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e55361ab5c4d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9e6bf1c616c94299"/>
    <x:sheet xmlns:r="http://schemas.openxmlformats.org/officeDocument/2006/relationships" name="Sources" sheetId="2" r:id="R3d5563b71dc34988"/>
    <x:sheet xmlns:r="http://schemas.openxmlformats.org/officeDocument/2006/relationships" name="Historicals_IS" sheetId="3" r:id="R49fbba34b5c14aee"/>
    <x:sheet xmlns:r="http://schemas.openxmlformats.org/officeDocument/2006/relationships" name="Historicals_BS" sheetId="4" r:id="Rb1234db5dd0b4bf5"/>
    <x:sheet xmlns:r="http://schemas.openxmlformats.org/officeDocument/2006/relationships" name="Historicals_CF" sheetId="5" r:id="R525d6e181f3a4024"/>
    <x:sheet xmlns:r="http://schemas.openxmlformats.org/officeDocument/2006/relationships" name="KPIs" sheetId="6" r:id="R799901fddc0348e4"/>
    <x:sheet xmlns:r="http://schemas.openxmlformats.org/officeDocument/2006/relationships" name="Assumptions" sheetId="7" r:id="R0de3c6024d9743b4"/>
    <x:sheet xmlns:r="http://schemas.openxmlformats.org/officeDocument/2006/relationships" name="Revenue_Build" sheetId="8" r:id="R6e7a68038e17425f"/>
    <x:sheet xmlns:r="http://schemas.openxmlformats.org/officeDocument/2006/relationships" name="Cost_Build" sheetId="9" r:id="R01bbb9a30b0e47c0"/>
    <x:sheet xmlns:r="http://schemas.openxmlformats.org/officeDocument/2006/relationships" name="WC_PPE_Debt" sheetId="10" r:id="Raedcc34f433c4b57"/>
    <x:sheet xmlns:r="http://schemas.openxmlformats.org/officeDocument/2006/relationships" name="IS_Forecast" sheetId="11" r:id="R50335cf5c7b1494a"/>
    <x:sheet xmlns:r="http://schemas.openxmlformats.org/officeDocument/2006/relationships" name="BS_Forecast" sheetId="12" r:id="Rc3f0cfb2d8dd4ea2"/>
    <x:sheet xmlns:r="http://schemas.openxmlformats.org/officeDocument/2006/relationships" name="CF_Forecast" sheetId="13" r:id="R82263368d02d4ece"/>
    <x:sheet xmlns:r="http://schemas.openxmlformats.org/officeDocument/2006/relationships" name="Checks" sheetId="14" r:id="R3f8ddd505c124a3b"/>
    <x:sheet xmlns:r="http://schemas.openxmlformats.org/officeDocument/2006/relationships" name="WACC" sheetId="15" r:id="R2111e154108e4641"/>
    <x:sheet xmlns:r="http://schemas.openxmlformats.org/officeDocument/2006/relationships" name="DCF" sheetId="16" r:id="R5e5df48a96c44107"/>
    <x:sheet xmlns:r="http://schemas.openxmlformats.org/officeDocument/2006/relationships" name="Sensitivity" sheetId="17" r:id="R26041299525e433c"/>
    <x:sheet xmlns:r="http://schemas.openxmlformats.org/officeDocument/2006/relationships" name="Summary" sheetId="18" r:id="R2c100aa415644e4d"/>
  </x:sheets>
  <x:definedNames>
    <x:definedName name="A_REV_Q_01">Assumptions!$E$4:$I$4</x:definedName>
    <x:definedName name="A_REV_Q_01_FY1">Assumptions!$E$4</x:definedName>
    <x:definedName name="A_REV_Q_01_FY2">Assumptions!$F$4</x:definedName>
    <x:definedName name="A_REV_Q_01_FY3">Assumptions!$G$4</x:definedName>
    <x:definedName name="A_REV_Q_01_FY4">Assumptions!$H$4</x:definedName>
    <x:definedName name="A_REV_Q_01_FY5">Assumptions!$I$4</x:definedName>
    <x:definedName name="A_REV_P_01">Assumptions!$E$5:$I$5</x:definedName>
    <x:definedName name="A_REV_P_01_FY1">Assumptions!$E$5</x:definedName>
    <x:definedName name="A_REV_P_01_FY2">Assumptions!$F$5</x:definedName>
    <x:definedName name="A_REV_P_01_FY3">Assumptions!$G$5</x:definedName>
    <x:definedName name="A_REV_P_01_FY4">Assumptions!$H$5</x:definedName>
    <x:definedName name="A_REV_P_01_FY5">Assumptions!$I$5</x:definedName>
    <x:definedName name="A_REV_Q_02">Assumptions!$E$6:$I$6</x:definedName>
    <x:definedName name="A_REV_Q_02_FY1">Assumptions!$E$6</x:definedName>
    <x:definedName name="A_REV_Q_02_FY2">Assumptions!$F$6</x:definedName>
    <x:definedName name="A_REV_Q_02_FY3">Assumptions!$G$6</x:definedName>
    <x:definedName name="A_REV_Q_02_FY4">Assumptions!$H$6</x:definedName>
    <x:definedName name="A_REV_Q_02_FY5">Assumptions!$I$6</x:definedName>
    <x:definedName name="A_REV_P_02">Assumptions!$E$7:$I$7</x:definedName>
    <x:definedName name="A_REV_P_02_FY1">Assumptions!$E$7</x:definedName>
    <x:definedName name="A_REV_P_02_FY2">Assumptions!$F$7</x:definedName>
    <x:definedName name="A_REV_P_02_FY3">Assumptions!$G$7</x:definedName>
    <x:definedName name="A_REV_P_02_FY4">Assumptions!$H$7</x:definedName>
    <x:definedName name="A_REV_P_02_FY5">Assumptions!$I$7</x:definedName>
    <x:definedName name="A_REV_MIX_01">Assumptions!$E$8:$I$8</x:definedName>
    <x:definedName name="A_REV_MIX_01_FY1">Assumptions!$E$8</x:definedName>
    <x:definedName name="A_REV_MIX_01_FY2">Assumptions!$F$8</x:definedName>
    <x:definedName name="A_REV_MIX_01_FY3">Assumptions!$G$8</x:definedName>
    <x:definedName name="A_REV_MIX_01_FY4">Assumptions!$H$8</x:definedName>
    <x:definedName name="A_REV_MIX_01_FY5">Assumptions!$I$8</x:definedName>
    <x:definedName name="A_REV_FX_01">Assumptions!$E$9:$I$9</x:definedName>
    <x:definedName name="A_REV_FX_01_FY1">Assumptions!$E$9</x:definedName>
    <x:definedName name="A_REV_FX_01_FY2">Assumptions!$F$9</x:definedName>
    <x:definedName name="A_REV_FX_01_FY3">Assumptions!$G$9</x:definedName>
    <x:definedName name="A_REV_FX_01_FY4">Assumptions!$H$9</x:definedName>
    <x:definedName name="A_REV_FX_01_FY5">Assumptions!$I$9</x:definedName>
    <x:definedName name="A_COGS_01">Assumptions!$E$10:$I$10</x:definedName>
    <x:definedName name="A_COGS_01_FY1">Assumptions!$E$10</x:definedName>
    <x:definedName name="A_COGS_01_FY2">Assumptions!$F$10</x:definedName>
    <x:definedName name="A_COGS_01_FY3">Assumptions!$G$10</x:definedName>
    <x:definedName name="A_COGS_01_FY4">Assumptions!$H$10</x:definedName>
    <x:definedName name="A_COGS_01_FY5">Assumptions!$I$10</x:definedName>
    <x:definedName name="A_COGS_02">Assumptions!$E$11:$I$11</x:definedName>
    <x:definedName name="A_COGS_02_FY1">Assumptions!$E$11</x:definedName>
    <x:definedName name="A_COGS_02_FY2">Assumptions!$F$11</x:definedName>
    <x:definedName name="A_COGS_02_FY3">Assumptions!$G$11</x:definedName>
    <x:definedName name="A_COGS_02_FY4">Assumptions!$H$11</x:definedName>
    <x:definedName name="A_COGS_02_FY5">Assumptions!$I$11</x:definedName>
    <x:definedName name="A_COGS_FIX_01">Assumptions!$E$12:$I$12</x:definedName>
    <x:definedName name="A_COGS_FIX_01_FY1">Assumptions!$E$12</x:definedName>
    <x:definedName name="A_COGS_FIX_01_FY2">Assumptions!$F$12</x:definedName>
    <x:definedName name="A_COGS_FIX_01_FY3">Assumptions!$G$12</x:definedName>
    <x:definedName name="A_COGS_FIX_01_FY4">Assumptions!$H$12</x:definedName>
    <x:definedName name="A_COGS_FIX_01_FY5">Assumptions!$I$12</x:definedName>
    <x:definedName name="A_OPEX_RD_HC">Assumptions!$E$13:$I$13</x:definedName>
    <x:definedName name="A_OPEX_RD_HC_FY1">Assumptions!$E$13</x:definedName>
    <x:definedName name="A_OPEX_RD_HC_FY2">Assumptions!$F$13</x:definedName>
    <x:definedName name="A_OPEX_RD_HC_FY3">Assumptions!$G$13</x:definedName>
    <x:definedName name="A_OPEX_RD_HC_FY4">Assumptions!$H$13</x:definedName>
    <x:definedName name="A_OPEX_RD_HC_FY5">Assumptions!$I$13</x:definedName>
    <x:definedName name="A_OPEX_RD_COMP">Assumptions!$E$14:$I$14</x:definedName>
    <x:definedName name="A_OPEX_RD_COMP_FY1">Assumptions!$E$14</x:definedName>
    <x:definedName name="A_OPEX_RD_COMP_FY2">Assumptions!$F$14</x:definedName>
    <x:definedName name="A_OPEX_RD_COMP_FY3">Assumptions!$G$14</x:definedName>
    <x:definedName name="A_OPEX_RD_COMP_FY4">Assumptions!$H$14</x:definedName>
    <x:definedName name="A_OPEX_RD_COMP_FY5">Assumptions!$I$14</x:definedName>
    <x:definedName name="A_OPEX_RD_OTHER">Assumptions!$E$15:$I$15</x:definedName>
    <x:definedName name="A_OPEX_RD_OTHER_FY1">Assumptions!$E$15</x:definedName>
    <x:definedName name="A_OPEX_RD_OTHER_FY2">Assumptions!$F$15</x:definedName>
    <x:definedName name="A_OPEX_RD_OTHER_FY3">Assumptions!$G$15</x:definedName>
    <x:definedName name="A_OPEX_RD_OTHER_FY4">Assumptions!$H$15</x:definedName>
    <x:definedName name="A_OPEX_RD_OTHER_FY5">Assumptions!$I$15</x:definedName>
    <x:definedName name="A_OPEX_SM_HC">Assumptions!$E$16:$I$16</x:definedName>
    <x:definedName name="A_OPEX_SM_HC_FY1">Assumptions!$E$16</x:definedName>
    <x:definedName name="A_OPEX_SM_HC_FY2">Assumptions!$F$16</x:definedName>
    <x:definedName name="A_OPEX_SM_HC_FY3">Assumptions!$G$16</x:definedName>
    <x:definedName name="A_OPEX_SM_HC_FY4">Assumptions!$H$16</x:definedName>
    <x:definedName name="A_OPEX_SM_HC_FY5">Assumptions!$I$16</x:definedName>
    <x:definedName name="A_OPEX_SM_COMP">Assumptions!$E$17:$I$17</x:definedName>
    <x:definedName name="A_OPEX_SM_COMP_FY1">Assumptions!$E$17</x:definedName>
    <x:definedName name="A_OPEX_SM_COMP_FY2">Assumptions!$F$17</x:definedName>
    <x:definedName name="A_OPEX_SM_COMP_FY3">Assumptions!$G$17</x:definedName>
    <x:definedName name="A_OPEX_SM_COMP_FY4">Assumptions!$H$17</x:definedName>
    <x:definedName name="A_OPEX_SM_COMP_FY5">Assumptions!$I$17</x:definedName>
    <x:definedName name="A_OPEX_SM_MKTG">Assumptions!$E$18:$I$18</x:definedName>
    <x:definedName name="A_OPEX_SM_MKTG_FY1">Assumptions!$E$18</x:definedName>
    <x:definedName name="A_OPEX_SM_MKTG_FY2">Assumptions!$F$18</x:definedName>
    <x:definedName name="A_OPEX_SM_MKTG_FY3">Assumptions!$G$18</x:definedName>
    <x:definedName name="A_OPEX_SM_MKTG_FY4">Assumptions!$H$18</x:definedName>
    <x:definedName name="A_OPEX_SM_MKTG_FY5">Assumptions!$I$18</x:definedName>
    <x:definedName name="A_OPEX_GA_HC">Assumptions!$E$19:$I$19</x:definedName>
    <x:definedName name="A_OPEX_GA_HC_FY1">Assumptions!$E$19</x:definedName>
    <x:definedName name="A_OPEX_GA_HC_FY2">Assumptions!$F$19</x:definedName>
    <x:definedName name="A_OPEX_GA_HC_FY3">Assumptions!$G$19</x:definedName>
    <x:definedName name="A_OPEX_GA_HC_FY4">Assumptions!$H$19</x:definedName>
    <x:definedName name="A_OPEX_GA_HC_FY5">Assumptions!$I$19</x:definedName>
    <x:definedName name="A_OPEX_GA_COMP">Assumptions!$E$20:$I$20</x:definedName>
    <x:definedName name="A_OPEX_GA_COMP_FY1">Assumptions!$E$20</x:definedName>
    <x:definedName name="A_OPEX_GA_COMP_FY2">Assumptions!$F$20</x:definedName>
    <x:definedName name="A_OPEX_GA_COMP_FY3">Assumptions!$G$20</x:definedName>
    <x:definedName name="A_OPEX_GA_COMP_FY4">Assumptions!$H$20</x:definedName>
    <x:definedName name="A_OPEX_GA_COMP_FY5">Assumptions!$I$20</x:definedName>
    <x:definedName name="A_OPEX_GA_OTHER">Assumptions!$E$21:$I$21</x:definedName>
    <x:definedName name="A_OPEX_GA_OTHER_FY1">Assumptions!$E$21</x:definedName>
    <x:definedName name="A_OPEX_GA_OTHER_FY2">Assumptions!$F$21</x:definedName>
    <x:definedName name="A_OPEX_GA_OTHER_FY3">Assumptions!$G$21</x:definedName>
    <x:definedName name="A_OPEX_GA_OTHER_FY4">Assumptions!$H$21</x:definedName>
    <x:definedName name="A_OPEX_GA_OTHER_FY5">Assumptions!$I$21</x:definedName>
    <x:definedName name="A_OPEX_SBC_RATE">Assumptions!$E$22:$I$22</x:definedName>
    <x:definedName name="A_OPEX_SBC_RATE_FY1">Assumptions!$E$22</x:definedName>
    <x:definedName name="A_OPEX_SBC_RATE_FY2">Assumptions!$F$22</x:definedName>
    <x:definedName name="A_OPEX_SBC_RATE_FY3">Assumptions!$G$22</x:definedName>
    <x:definedName name="A_OPEX_SBC_RATE_FY4">Assumptions!$H$22</x:definedName>
    <x:definedName name="A_OPEX_SBC_RATE_FY5">Assumptions!$I$22</x:definedName>
    <x:definedName name="A_WC_DSO">Assumptions!$E$23:$I$23</x:definedName>
    <x:definedName name="A_WC_DSO_FY1">Assumptions!$E$23</x:definedName>
    <x:definedName name="A_WC_DSO_FY2">Assumptions!$F$23</x:definedName>
    <x:definedName name="A_WC_DSO_FY3">Assumptions!$G$23</x:definedName>
    <x:definedName name="A_WC_DSO_FY4">Assumptions!$H$23</x:definedName>
    <x:definedName name="A_WC_DSO_FY5">Assumptions!$I$23</x:definedName>
    <x:definedName name="A_WC_DIO">Assumptions!$E$24:$I$24</x:definedName>
    <x:definedName name="A_WC_DIO_FY1">Assumptions!$E$24</x:definedName>
    <x:definedName name="A_WC_DIO_FY2">Assumptions!$F$24</x:definedName>
    <x:definedName name="A_WC_DIO_FY3">Assumptions!$G$24</x:definedName>
    <x:definedName name="A_WC_DIO_FY4">Assumptions!$H$24</x:definedName>
    <x:definedName name="A_WC_DIO_FY5">Assumptions!$I$24</x:definedName>
    <x:definedName name="A_WC_DPO">Assumptions!$E$25:$I$25</x:definedName>
    <x:definedName name="A_WC_DPO_FY1">Assumptions!$E$25</x:definedName>
    <x:definedName name="A_WC_DPO_FY2">Assumptions!$F$25</x:definedName>
    <x:definedName name="A_WC_DPO_FY3">Assumptions!$G$25</x:definedName>
    <x:definedName name="A_WC_DPO_FY4">Assumptions!$H$25</x:definedName>
    <x:definedName name="A_WC_DPO_FY5">Assumptions!$I$25</x:definedName>
    <x:definedName name="A_WC_DEFREV">Assumptions!$E$26:$I$26</x:definedName>
    <x:definedName name="A_WC_DEFREV_FY1">Assumptions!$E$26</x:definedName>
    <x:definedName name="A_WC_DEFREV_FY2">Assumptions!$F$26</x:definedName>
    <x:definedName name="A_WC_DEFREV_FY3">Assumptions!$G$26</x:definedName>
    <x:definedName name="A_WC_DEFREV_FY4">Assumptions!$H$26</x:definedName>
    <x:definedName name="A_WC_DEFREV_FY5">Assumptions!$I$26</x:definedName>
    <x:definedName name="A_WC_PREPAID">Assumptions!$E$27:$I$27</x:definedName>
    <x:definedName name="A_WC_PREPAID_FY1">Assumptions!$E$27</x:definedName>
    <x:definedName name="A_WC_PREPAID_FY2">Assumptions!$F$27</x:definedName>
    <x:definedName name="A_WC_PREPAID_FY3">Assumptions!$G$27</x:definedName>
    <x:definedName name="A_WC_PREPAID_FY4">Assumptions!$H$27</x:definedName>
    <x:definedName name="A_WC_PREPAID_FY5">Assumptions!$I$27</x:definedName>
    <x:definedName name="A_WC_ACCRUED">Assumptions!$E$28:$I$28</x:definedName>
    <x:definedName name="A_WC_ACCRUED_FY1">Assumptions!$E$28</x:definedName>
    <x:definedName name="A_WC_ACCRUED_FY2">Assumptions!$F$28</x:definedName>
    <x:definedName name="A_WC_ACCRUED_FY3">Assumptions!$G$28</x:definedName>
    <x:definedName name="A_WC_ACCRUED_FY4">Assumptions!$H$28</x:definedName>
    <x:definedName name="A_WC_ACCRUED_FY5">Assumptions!$I$28</x:definedName>
    <x:definedName name="A_WC_OTHER">Assumptions!$E$29:$I$29</x:definedName>
    <x:definedName name="A_WC_OTHER_FY1">Assumptions!$E$29</x:definedName>
    <x:definedName name="A_WC_OTHER_FY2">Assumptions!$F$29</x:definedName>
    <x:definedName name="A_WC_OTHER_FY3">Assumptions!$G$29</x:definedName>
    <x:definedName name="A_WC_OTHER_FY4">Assumptions!$H$29</x:definedName>
    <x:definedName name="A_WC_OTHER_FY5">Assumptions!$I$29</x:definedName>
    <x:definedName name="A_PPE_CAPEX_MAINT">Assumptions!$E$30:$I$30</x:definedName>
    <x:definedName name="A_PPE_CAPEX_MAINT_FY1">Assumptions!$E$30</x:definedName>
    <x:definedName name="A_PPE_CAPEX_MAINT_FY2">Assumptions!$F$30</x:definedName>
    <x:definedName name="A_PPE_CAPEX_MAINT_FY3">Assumptions!$G$30</x:definedName>
    <x:definedName name="A_PPE_CAPEX_MAINT_FY4">Assumptions!$H$30</x:definedName>
    <x:definedName name="A_PPE_CAPEX_MAINT_FY5">Assumptions!$I$30</x:definedName>
    <x:definedName name="A_PPE_CAPEX_GROWTH">Assumptions!$E$31:$I$31</x:definedName>
    <x:definedName name="A_PPE_CAPEX_GROWTH_FY1">Assumptions!$E$31</x:definedName>
    <x:definedName name="A_PPE_CAPEX_GROWTH_FY2">Assumptions!$F$31</x:definedName>
    <x:definedName name="A_PPE_CAPEX_GROWTH_FY3">Assumptions!$G$31</x:definedName>
    <x:definedName name="A_PPE_CAPEX_GROWTH_FY4">Assumptions!$H$31</x:definedName>
    <x:definedName name="A_PPE_CAPEX_GROWTH_FY5">Assumptions!$I$31</x:definedName>
    <x:definedName name="A_PPE_LIFE">Assumptions!$E$32:$I$32</x:definedName>
    <x:definedName name="A_PPE_LIFE_FY1">Assumptions!$E$32</x:definedName>
    <x:definedName name="A_PPE_LIFE_FY2">Assumptions!$F$32</x:definedName>
    <x:definedName name="A_PPE_LIFE_FY3">Assumptions!$G$32</x:definedName>
    <x:definedName name="A_PPE_LIFE_FY4">Assumptions!$H$32</x:definedName>
    <x:definedName name="A_PPE_LIFE_FY5">Assumptions!$I$32</x:definedName>
    <x:definedName name="A_PPE_DEP_METHOD">Assumptions!$E$33:$I$33</x:definedName>
    <x:definedName name="A_PPE_DEP_METHOD_FY1">Assumptions!$E$33</x:definedName>
    <x:definedName name="A_PPE_DEP_METHOD_FY2">Assumptions!$F$33</x:definedName>
    <x:definedName name="A_PPE_DEP_METHOD_FY3">Assumptions!$G$33</x:definedName>
    <x:definedName name="A_PPE_DEP_METHOD_FY4">Assumptions!$H$33</x:definedName>
    <x:definedName name="A_PPE_DEP_METHOD_FY5">Assumptions!$I$33</x:definedName>
    <x:definedName name="A_DEBT_SCHED">Assumptions!$E$34:$I$34</x:definedName>
    <x:definedName name="A_DEBT_SCHED_FY1">Assumptions!$E$34</x:definedName>
    <x:definedName name="A_DEBT_SCHED_FY2">Assumptions!$F$34</x:definedName>
    <x:definedName name="A_DEBT_SCHED_FY3">Assumptions!$G$34</x:definedName>
    <x:definedName name="A_DEBT_SCHED_FY4">Assumptions!$H$34</x:definedName>
    <x:definedName name="A_DEBT_SCHED_FY5">Assumptions!$I$34</x:definedName>
    <x:definedName name="A_DEBT_RATE_EX">Assumptions!$E$35:$I$35</x:definedName>
    <x:definedName name="A_DEBT_RATE_EX_FY1">Assumptions!$E$35</x:definedName>
    <x:definedName name="A_DEBT_RATE_EX_FY2">Assumptions!$F$35</x:definedName>
    <x:definedName name="A_DEBT_RATE_EX_FY3">Assumptions!$G$35</x:definedName>
    <x:definedName name="A_DEBT_RATE_EX_FY4">Assumptions!$H$35</x:definedName>
    <x:definedName name="A_DEBT_RATE_EX_FY5">Assumptions!$I$35</x:definedName>
    <x:definedName name="A_DEBT_NEW">Assumptions!$E$36:$I$36</x:definedName>
    <x:definedName name="A_DEBT_NEW_FY1">Assumptions!$E$36</x:definedName>
    <x:definedName name="A_DEBT_NEW_FY2">Assumptions!$F$36</x:definedName>
    <x:definedName name="A_DEBT_NEW_FY3">Assumptions!$G$36</x:definedName>
    <x:definedName name="A_DEBT_NEW_FY4">Assumptions!$H$36</x:definedName>
    <x:definedName name="A_DEBT_NEW_FY5">Assumptions!$I$36</x:definedName>
    <x:definedName name="A_DEBT_RATE_NEW">Assumptions!$E$37:$I$37</x:definedName>
    <x:definedName name="A_DEBT_RATE_NEW_FY1">Assumptions!$E$37</x:definedName>
    <x:definedName name="A_DEBT_RATE_NEW_FY2">Assumptions!$F$37</x:definedName>
    <x:definedName name="A_DEBT_RATE_NEW_FY3">Assumptions!$G$37</x:definedName>
    <x:definedName name="A_DEBT_RATE_NEW_FY4">Assumptions!$H$37</x:definedName>
    <x:definedName name="A_DEBT_RATE_NEW_FY5">Assumptions!$I$37</x:definedName>
    <x:definedName name="A_REVOLVER_RATE">Assumptions!$E$38:$I$38</x:definedName>
    <x:definedName name="A_REVOLVER_RATE_FY1">Assumptions!$E$38</x:definedName>
    <x:definedName name="A_REVOLVER_RATE_FY2">Assumptions!$F$38</x:definedName>
    <x:definedName name="A_REVOLVER_RATE_FY3">Assumptions!$G$38</x:definedName>
    <x:definedName name="A_REVOLVER_RATE_FY4">Assumptions!$H$38</x:definedName>
    <x:definedName name="A_REVOLVER_RATE_FY5">Assumptions!$I$38</x:definedName>
    <x:definedName name="A_SHARES_GROWTH">Assumptions!$E$39:$I$39</x:definedName>
    <x:definedName name="A_SHARES_GROWTH_FY1">Assumptions!$E$39</x:definedName>
    <x:definedName name="A_SHARES_GROWTH_FY2">Assumptions!$F$39</x:definedName>
    <x:definedName name="A_SHARES_GROWTH_FY3">Assumptions!$G$39</x:definedName>
    <x:definedName name="A_SHARES_GROWTH_FY4">Assumptions!$H$39</x:definedName>
    <x:definedName name="A_SHARES_GROWTH_FY5">Assumptions!$I$39</x:definedName>
    <x:definedName name="A_BUYBACK">Assumptions!$E$40:$I$40</x:definedName>
    <x:definedName name="A_BUYBACK_FY1">Assumptions!$E$40</x:definedName>
    <x:definedName name="A_BUYBACK_FY2">Assumptions!$F$40</x:definedName>
    <x:definedName name="A_BUYBACK_FY3">Assumptions!$G$40</x:definedName>
    <x:definedName name="A_BUYBACK_FY4">Assumptions!$H$40</x:definedName>
    <x:definedName name="A_BUYBACK_FY5">Assumptions!$I$40</x:definedName>
    <x:definedName name="A_DIVIDEND">Assumptions!$E$41:$I$41</x:definedName>
    <x:definedName name="A_DIVIDEND_FY1">Assumptions!$E$41</x:definedName>
    <x:definedName name="A_DIVIDEND_FY2">Assumptions!$F$41</x:definedName>
    <x:definedName name="A_DIVIDEND_FY3">Assumptions!$G$41</x:definedName>
    <x:definedName name="A_DIVIDEND_FY4">Assumptions!$H$41</x:definedName>
    <x:definedName name="A_DIVIDEND_FY5">Assumptions!$I$41</x:definedName>
    <x:definedName name="A_TAX_RATE">Assumptions!$E$42:$I$42</x:definedName>
    <x:definedName name="A_TAX_RATE_FY1">Assumptions!$E$42</x:definedName>
    <x:definedName name="A_TAX_RATE_FY2">Assumptions!$F$42</x:definedName>
    <x:definedName name="A_TAX_RATE_FY3">Assumptions!$G$42</x:definedName>
    <x:definedName name="A_TAX_RATE_FY4">Assumptions!$H$42</x:definedName>
    <x:definedName name="A_TAX_RATE_FY5">Assumptions!$I$42</x:definedName>
    <x:definedName name="A_WACC_RF">Assumptions!$E$43:$I$43</x:definedName>
    <x:definedName name="A_WACC_RF_FY1">Assumptions!$E$43</x:definedName>
    <x:definedName name="A_WACC_RF_FY2">Assumptions!$F$43</x:definedName>
    <x:definedName name="A_WACC_RF_FY3">Assumptions!$G$43</x:definedName>
    <x:definedName name="A_WACC_RF_FY4">Assumptions!$H$43</x:definedName>
    <x:definedName name="A_WACC_RF_FY5">Assumptions!$I$43</x:definedName>
    <x:definedName name="A_WACC_PREM_OP">Assumptions!$E$44:$I$44</x:definedName>
    <x:definedName name="A_WACC_PREM_OP_FY1">Assumptions!$E$44</x:definedName>
    <x:definedName name="A_WACC_PREM_OP_FY2">Assumptions!$F$44</x:definedName>
    <x:definedName name="A_WACC_PREM_OP_FY3">Assumptions!$G$44</x:definedName>
    <x:definedName name="A_WACC_PREM_OP_FY4">Assumptions!$H$44</x:definedName>
    <x:definedName name="A_WACC_PREM_OP_FY5">Assumptions!$I$44</x:definedName>
    <x:definedName name="A_WACC_PREM_FIN">Assumptions!$E$45:$I$45</x:definedName>
    <x:definedName name="A_WACC_PREM_FIN_FY1">Assumptions!$E$45</x:definedName>
    <x:definedName name="A_WACC_PREM_FIN_FY2">Assumptions!$F$45</x:definedName>
    <x:definedName name="A_WACC_PREM_FIN_FY3">Assumptions!$G$45</x:definedName>
    <x:definedName name="A_WACC_PREM_FIN_FY4">Assumptions!$H$45</x:definedName>
    <x:definedName name="A_WACC_PREM_FIN_FY5">Assumptions!$I$45</x:definedName>
    <x:definedName name="A_WACC_PREM_MOAT">Assumptions!$E$46:$I$46</x:definedName>
    <x:definedName name="A_WACC_PREM_MOAT_FY1">Assumptions!$E$46</x:definedName>
    <x:definedName name="A_WACC_PREM_MOAT_FY2">Assumptions!$F$46</x:definedName>
    <x:definedName name="A_WACC_PREM_MOAT_FY3">Assumptions!$G$46</x:definedName>
    <x:definedName name="A_WACC_PREM_MOAT_FY4">Assumptions!$H$46</x:definedName>
    <x:definedName name="A_WACC_PREM_MOAT_FY5">Assumptions!$I$46</x:definedName>
    <x:definedName name="A_WACC_PREM_REG">Assumptions!$E$47:$I$47</x:definedName>
    <x:definedName name="A_WACC_PREM_REG_FY1">Assumptions!$E$47</x:definedName>
    <x:definedName name="A_WACC_PREM_REG_FY2">Assumptions!$F$47</x:definedName>
    <x:definedName name="A_WACC_PREM_REG_FY3">Assumptions!$G$47</x:definedName>
    <x:definedName name="A_WACC_PREM_REG_FY4">Assumptions!$H$47</x:definedName>
    <x:definedName name="A_WACC_PREM_REG_FY5">Assumptions!$I$47</x:definedName>
    <x:definedName name="A_WACC_PREM_SIZE">Assumptions!$E$48:$I$48</x:definedName>
    <x:definedName name="A_WACC_PREM_SIZE_FY1">Assumptions!$E$48</x:definedName>
    <x:definedName name="A_WACC_PREM_SIZE_FY2">Assumptions!$F$48</x:definedName>
    <x:definedName name="A_WACC_PREM_SIZE_FY3">Assumptions!$G$48</x:definedName>
    <x:definedName name="A_WACC_PREM_SIZE_FY4">Assumptions!$H$48</x:definedName>
    <x:definedName name="A_WACC_PREM_SIZE_FY5">Assumptions!$I$48</x:definedName>
    <x:definedName name="A_WACC_KD_PRETAX">Assumptions!$E$49:$I$49</x:definedName>
    <x:definedName name="A_WACC_KD_PRETAX_FY1">Assumptions!$E$49</x:definedName>
    <x:definedName name="A_WACC_KD_PRETAX_FY2">Assumptions!$F$49</x:definedName>
    <x:definedName name="A_WACC_KD_PRETAX_FY3">Assumptions!$G$49</x:definedName>
    <x:definedName name="A_WACC_KD_PRETAX_FY4">Assumptions!$H$49</x:definedName>
    <x:definedName name="A_WACC_KD_PRETAX_FY5">Assumptions!$I$49</x:definedName>
    <x:definedName name="A_WACC_WEIGHT_E">Assumptions!$E$50:$I$50</x:definedName>
    <x:definedName name="A_WACC_WEIGHT_E_FY1">Assumptions!$E$50</x:definedName>
    <x:definedName name="A_WACC_WEIGHT_E_FY2">Assumptions!$F$50</x:definedName>
    <x:definedName name="A_WACC_WEIGHT_E_FY3">Assumptions!$G$50</x:definedName>
    <x:definedName name="A_WACC_WEIGHT_E_FY4">Assumptions!$H$50</x:definedName>
    <x:definedName name="A_WACC_WEIGHT_E_FY5">Assumptions!$I$50</x:definedName>
    <x:definedName name="A_WACC_WEIGHT_D">Assumptions!$E$51:$I$51</x:definedName>
    <x:definedName name="A_WACC_WEIGHT_D_FY1">Assumptions!$E$51</x:definedName>
    <x:definedName name="A_WACC_WEIGHT_D_FY2">Assumptions!$F$51</x:definedName>
    <x:definedName name="A_WACC_WEIGHT_D_FY3">Assumptions!$G$51</x:definedName>
    <x:definedName name="A_WACC_WEIGHT_D_FY4">Assumptions!$H$51</x:definedName>
    <x:definedName name="A_WACC_WEIGHT_D_FY5">Assumptions!$I$51</x:definedName>
    <x:definedName name="A_WACC_TG">Assumptions!$E$52:$I$52</x:definedName>
    <x:definedName name="A_WACC_TG_FY1">Assumptions!$E$52</x:definedName>
    <x:definedName name="A_WACC_TG_FY2">Assumptions!$F$52</x:definedName>
    <x:definedName name="A_WACC_TG_FY3">Assumptions!$G$52</x:definedName>
    <x:definedName name="A_WACC_TG_FY4">Assumptions!$H$52</x:definedName>
    <x:definedName name="A_WACC_TG_FY5">Assumptions!$I$52</x:definedName>
    <x:definedName name="A_WACC_EXIT_MULT">Assumptions!$E$53:$I$53</x:definedName>
    <x:definedName name="A_WACC_EXIT_MULT_FY1">Assumptions!$E$53</x:definedName>
    <x:definedName name="A_WACC_EXIT_MULT_FY2">Assumptions!$F$53</x:definedName>
    <x:definedName name="A_WACC_EXIT_MULT_FY3">Assumptions!$G$53</x:definedName>
    <x:definedName name="A_WACC_EXIT_MULT_FY4">Assumptions!$H$53</x:definedName>
    <x:definedName name="A_WACC_EXIT_MULT_FY5">Assumptions!$I$53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$#,##0.0;[Red]($#,##0.0);-"/>
    <x:numFmt numFmtId="201" formatCode="#,##0.0;[Red](#,##0.0);-"/>
    <x:numFmt numFmtId="202" formatCode="$0.00;[Red]($0.00);-"/>
    <x:numFmt numFmtId="203" formatCode="0.0%;[Red](0.0%);-"/>
    <x:numFmt numFmtId="204" formatCode="0.0x;[Red](0.0x);-"/>
    <x:numFmt numFmtId="205" formatCode="0.000"/>
    <x:numFmt numFmtId="206" formatCode="0.000x"/>
  </x:numFmts>
  <x:fonts count="18">
    <x:font>
      <x:sz val="11"/>
      <x:name val="Carlito"/>
    </x:font>
    <x:font>
      <x:b/>
      <x:sz val="11"/>
      <x:color rgb="000000"/>
      <x:name val="Carlito"/>
    </x:font>
    <x:font>
      <x:b/>
      <x:sz val="10"/>
      <x:color rgb="000000"/>
      <x:name val="Calibri"/>
    </x:font>
    <x:font>
      <x:sz val="10"/>
      <x:name val="Calibri"/>
    </x:font>
    <x:font>
      <x:b/>
      <x:sz val="18"/>
      <x:color rgb="17365D"/>
      <x:name val="Calibri"/>
    </x:font>
    <x:font>
      <x:b/>
      <x:sz val="10"/>
      <x:name val="Calibri"/>
    </x:font>
    <x:font>
      <x:b/>
      <x:sz val="10"/>
      <x:color rgb="FFFFFF"/>
      <x:name val="Calibri"/>
    </x:font>
    <x:font>
      <x:b/>
      <x:sz val="10"/>
      <x:color rgb="0000FF"/>
      <x:name val="Calibri"/>
    </x:font>
    <x:font>
      <x:b/>
      <x:sz val="10"/>
      <x:color rgb="008000"/>
      <x:name val="Calibri"/>
    </x:font>
    <x:font>
      <x:b/>
      <x:sz val="10"/>
      <x:color rgb="C00000"/>
      <x:name val="Calibri"/>
    </x:font>
    <x:font>
      <x:sz val="10"/>
      <x:color rgb="0000FF"/>
      <x:name val="Calibri"/>
    </x:font>
    <x:font>
      <x:sz val="11"/>
      <x:color rgb="0000FF"/>
      <x:name val="Carlito"/>
    </x:font>
    <x:font>
      <x:sz val="10"/>
      <x:name val="Calibri"/>
    </x:font>
    <x:font>
      <x:sz val="10"/>
      <x:color rgb="008000"/>
      <x:name val="Calibri"/>
    </x:font>
    <x:font>
      <x:sz val="10"/>
      <x:color rgb="000000"/>
      <x:name val="Calibri"/>
    </x:font>
    <x:font>
      <x:b/>
      <x:sz val="16"/>
      <x:color rgb="17365D"/>
      <x:name val="Calibri"/>
    </x:font>
    <x:font>
      <x:sz val="11"/>
      <x:color rgb="000000"/>
      <x:name val="Carlito"/>
    </x:font>
    <x:font>
      <x:sz val="11"/>
      <x:color rgb="008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3F6FA"/>
      </x:patternFill>
    </x:fill>
    <x:fill>
      <x:patternFill patternType="solid">
        <x:fgColor rgb="17365D"/>
      </x:patternFill>
    </x:fill>
    <x:fill>
      <x:patternFill patternType="solid">
        <x:fgColor rgb="D9EAF7"/>
      </x:patternFill>
    </x:fill>
  </x:fills>
  <x:borders count="18">
    <x:border/>
    <x:border>
      <x:left style="thin">
        <x:color rgb="BFBFBF"/>
      </x:left>
      <x:top style="thin">
        <x:color rgb="BFBFBF"/>
      </x:top>
    </x:border>
    <x:border>
      <x:top style="thin">
        <x:color rgb="BFBFBF"/>
      </x:top>
    </x:border>
    <x:border>
      <x:right style="thin">
        <x:color rgb="BFBFBF"/>
      </x:right>
      <x:top style="thin">
        <x:color rgb="BFBFBF"/>
      </x:top>
    </x:border>
    <x:border>
      <x:left style="thin">
        <x:color rgb="BFBFBF"/>
      </x:left>
    </x:border>
    <x:border>
      <x:right style="thin">
        <x:color rgb="BFBFBF"/>
      </x:right>
    </x:border>
    <x:border>
      <x:left style="thin">
        <x:color rgb="BFBFBF"/>
      </x:left>
      <x:bottom style="thin">
        <x:color rgb="BFBFBF"/>
      </x:bottom>
    </x:border>
    <x:border>
      <x:bottom style="thin">
        <x:color rgb="BFBFBF"/>
      </x:bottom>
    </x:border>
    <x:border>
      <x:right style="thin">
        <x:color rgb="BFBFBF"/>
      </x:right>
      <x:bottom style="thin">
        <x:color rgb="BFBFBF"/>
      </x:bottom>
    </x:border>
    <x:border>
      <x:right style="thin">
        <x:color rgb="E5E7EB"/>
      </x:right>
      <x:bottom style="thin">
        <x:color rgb="E5E7EB"/>
      </x:bottom>
    </x:border>
    <x:border>
      <x:left style="thin">
        <x:color rgb="E5E7EB"/>
      </x:left>
      <x:right style="thin">
        <x:color rgb="E5E7EB"/>
      </x:right>
      <x:bottom style="thin">
        <x:color rgb="E5E7EB"/>
      </x:bottom>
    </x:border>
    <x:border>
      <x:left style="thin">
        <x:color rgb="E5E7EB"/>
      </x:left>
      <x:bottom style="thin">
        <x:color rgb="E5E7EB"/>
      </x:bottom>
    </x:border>
    <x:border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top style="thin">
        <x:color rgb="E5E7EB"/>
      </x:top>
      <x:bottom style="thin">
        <x:color rgb="E5E7EB"/>
      </x:bottom>
    </x:border>
    <x:border>
      <x:right style="thin">
        <x:color rgb="E5E7EB"/>
      </x:right>
      <x:top style="thin">
        <x:color rgb="E5E7EB"/>
      </x:top>
    </x:border>
    <x:border>
      <x:left style="thin">
        <x:color rgb="E5E7EB"/>
      </x:left>
      <x:right style="thin">
        <x:color rgb="E5E7EB"/>
      </x:right>
      <x:top style="thin">
        <x:color rgb="E5E7EB"/>
      </x:top>
    </x:border>
    <x:border>
      <x:left style="thin">
        <x:color rgb="E5E7EB"/>
      </x:left>
      <x:top style="thin">
        <x:color rgb="E5E7EB"/>
      </x:top>
    </x:border>
  </x:borders>
  <x:cellStyleXfs count="1">
    <x:xf numFmtId="0" fontId="0" fillId="0" borderId="0"/>
  </x:cellStyleXfs>
  <x:cellXfs count="28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/>
    <x:xf numFmtId="0" fontId="6" fillId="3" borderId="0" xfId="0" applyNumberFormat="1" applyFont="1" applyFill="1" applyBorder="1"/>
    <x:xf numFmtId="0" fontId="7" fillId="3" borderId="0" xfId="0" applyNumberFormat="1" applyFont="1" applyFill="1" applyBorder="1"/>
    <x:xf numFmtId="0" fontId="8" fillId="3" borderId="0" xfId="0" applyNumberFormat="1" applyFont="1" applyFill="1" applyBorder="1"/>
    <x:xf numFmtId="0" fontId="9" fillId="3" borderId="0" xfId="0" applyNumberFormat="1" applyFont="1" applyFill="1" applyBorder="1"/>
    <x:xf numFmtId="0" fontId="5" fillId="0" borderId="1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5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4" xfId="0" applyNumberFormat="1" applyFont="1" applyFill="1" applyBorder="1"/>
    <x:xf numFmtId="0" fontId="6" fillId="3" borderId="4" xfId="0" applyNumberFormat="1" applyFont="1" applyFill="1" applyBorder="1"/>
    <x:xf numFmtId="0" fontId="9" fillId="3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0" fontId="6" fillId="3" borderId="0" xfId="0" applyNumberFormat="1" applyFont="1" applyFill="1" applyBorder="1" applyAlignment="1">
      <x:alignment horizontal="center" wrapText="1"/>
    </x:xf>
    <x:xf numFmtId="200" fontId="3" fillId="0" borderId="0" xfId="0" applyNumberFormat="1" applyFont="1" applyFill="1" applyBorder="1"/>
    <x:xf numFmtId="200" fontId="0" fillId="0" borderId="0" xfId="0" applyNumberFormat="1" applyFont="1" applyFill="1" applyBorder="1"/>
    <x:xf numFmtId="0" fontId="10" fillId="0" borderId="0" xfId="0" applyNumberFormat="1" applyFont="1" applyFill="1" applyBorder="1"/>
    <x:xf numFmtId="200" fontId="10" fillId="0" borderId="0" xfId="0" applyNumberFormat="1" applyFont="1" applyFill="1" applyBorder="1"/>
    <x:xf numFmtId="0" fontId="11" fillId="0" borderId="0" xfId="0" applyNumberFormat="1" applyFont="1" applyFill="1" applyBorder="1"/>
    <x:xf numFmtId="200" fontId="11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200" fontId="10" fillId="0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wrapText="1"/>
    </x:xf>
    <x:xf numFmtId="200" fontId="11" fillId="0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/>
    <x:xf numFmtId="201" fontId="3" fillId="0" borderId="0" xfId="0" applyNumberFormat="1" applyFont="1" applyFill="1" applyBorder="1"/>
    <x:xf numFmtId="201" fontId="10" fillId="0" borderId="0" xfId="0" applyNumberFormat="1" applyFont="1" applyFill="1" applyBorder="1"/>
    <x:xf numFmtId="202" fontId="3" fillId="0" borderId="0" xfId="0" applyNumberFormat="1" applyFont="1" applyFill="1" applyBorder="1"/>
    <x:xf numFmtId="202" fontId="10" fillId="0" borderId="0" xfId="0" applyNumberFormat="1" applyFont="1" applyFill="1" applyBorder="1"/>
    <x:xf numFmtId="0" fontId="12" fillId="0" borderId="9" xfId="0" applyNumberFormat="1" applyFont="1" applyFill="1" applyBorder="1"/>
    <x:xf numFmtId="200" fontId="10" fillId="0" borderId="10" xfId="0" applyNumberFormat="1" applyFont="1" applyFill="1" applyBorder="1"/>
    <x:xf numFmtId="200" fontId="10" fillId="0" borderId="11" xfId="0" applyNumberFormat="1" applyFont="1" applyFill="1" applyBorder="1"/>
    <x:xf numFmtId="0" fontId="12" fillId="0" borderId="12" xfId="0" applyNumberFormat="1" applyFont="1" applyFill="1" applyBorder="1"/>
    <x:xf numFmtId="200" fontId="10" fillId="0" borderId="13" xfId="0" applyNumberFormat="1" applyFont="1" applyFill="1" applyBorder="1"/>
    <x:xf numFmtId="200" fontId="10" fillId="0" borderId="14" xfId="0" applyNumberFormat="1" applyFont="1" applyFill="1" applyBorder="1"/>
    <x:xf numFmtId="201" fontId="10" fillId="0" borderId="13" xfId="0" applyNumberFormat="1" applyFont="1" applyFill="1" applyBorder="1"/>
    <x:xf numFmtId="201" fontId="10" fillId="0" borderId="14" xfId="0" applyNumberFormat="1" applyFont="1" applyFill="1" applyBorder="1"/>
    <x:xf numFmtId="0" fontId="12" fillId="0" borderId="15" xfId="0" applyNumberFormat="1" applyFont="1" applyFill="1" applyBorder="1"/>
    <x:xf numFmtId="202" fontId="10" fillId="0" borderId="16" xfId="0" applyNumberFormat="1" applyFont="1" applyFill="1" applyBorder="1"/>
    <x:xf numFmtId="202" fontId="10" fillId="0" borderId="17" xfId="0" applyNumberFormat="1" applyFont="1" applyFill="1" applyBorder="1"/>
    <x:xf numFmtId="200" fontId="10" fillId="0" borderId="16" xfId="0" applyNumberFormat="1" applyFont="1" applyFill="1" applyBorder="1"/>
    <x:xf numFmtId="200" fontId="10" fillId="0" borderId="17" xfId="0" applyNumberFormat="1" applyFont="1" applyFill="1" applyBorder="1"/>
    <x:xf numFmtId="0" fontId="13" fillId="0" borderId="0" xfId="0" applyNumberFormat="1" applyFont="1" applyFill="1" applyBorder="1"/>
    <x:xf numFmtId="203" fontId="13" fillId="0" borderId="0" xfId="0" applyNumberFormat="1" applyFont="1" applyFill="1" applyBorder="1"/>
    <x:xf numFmtId="201" fontId="13" fillId="0" borderId="0" xfId="0" applyNumberFormat="1" applyFont="1" applyFill="1" applyBorder="1"/>
    <x:xf numFmtId="204" fontId="1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10" xfId="0" applyNumberFormat="1" applyFont="1" applyFill="1" applyBorder="1"/>
    <x:xf numFmtId="203" fontId="13" fillId="0" borderId="10" xfId="0" applyNumberFormat="1" applyFont="1" applyFill="1" applyBorder="1"/>
    <x:xf numFmtId="203" fontId="13" fillId="0" borderId="11" xfId="0" applyNumberFormat="1" applyFont="1" applyFill="1" applyBorder="1"/>
    <x:xf numFmtId="0" fontId="3" fillId="0" borderId="12" xfId="0" applyNumberFormat="1" applyFont="1" applyFill="1" applyBorder="1"/>
    <x:xf numFmtId="0" fontId="3" fillId="0" borderId="13" xfId="0" applyNumberFormat="1" applyFont="1" applyFill="1" applyBorder="1"/>
    <x:xf numFmtId="203" fontId="13" fillId="0" borderId="13" xfId="0" applyNumberFormat="1" applyFont="1" applyFill="1" applyBorder="1"/>
    <x:xf numFmtId="203" fontId="13" fillId="0" borderId="14" xfId="0" applyNumberFormat="1" applyFont="1" applyFill="1" applyBorder="1"/>
    <x:xf numFmtId="201" fontId="13" fillId="0" borderId="13" xfId="0" applyNumberFormat="1" applyFont="1" applyFill="1" applyBorder="1"/>
    <x:xf numFmtId="201" fontId="13" fillId="0" borderId="14" xfId="0" applyNumberFormat="1" applyFont="1" applyFill="1" applyBorder="1"/>
    <x:xf numFmtId="204" fontId="13" fillId="0" borderId="13" xfId="0" applyNumberFormat="1" applyFont="1" applyFill="1" applyBorder="1"/>
    <x:xf numFmtId="204" fontId="13" fillId="0" borderId="14" xfId="0" applyNumberFormat="1" applyFont="1" applyFill="1" applyBorder="1"/>
    <x:xf numFmtId="0" fontId="3" fillId="0" borderId="15" xfId="0" applyNumberFormat="1" applyFont="1" applyFill="1" applyBorder="1"/>
    <x:xf numFmtId="0" fontId="3" fillId="0" borderId="16" xfId="0" applyNumberFormat="1" applyFont="1" applyFill="1" applyBorder="1"/>
    <x:xf numFmtId="203" fontId="13" fillId="0" borderId="16" xfId="0" applyNumberFormat="1" applyFont="1" applyFill="1" applyBorder="1"/>
    <x:xf numFmtId="203" fontId="13" fillId="0" borderId="17" xfId="0" applyNumberFormat="1" applyFont="1" applyFill="1" applyBorder="1"/>
    <x:xf numFmtId="0" fontId="14" fillId="0" borderId="0" xfId="0" applyNumberFormat="1" applyFont="1" applyFill="1" applyBorder="1" applyAlignment="1">
      <x:alignment wrapText="1"/>
    </x:xf>
    <x:xf numFmtId="201" fontId="10" fillId="0" borderId="0" xfId="0" applyNumberFormat="1" applyFont="1" applyFill="1" applyBorder="1" applyAlignment="1">
      <x:alignment wrapText="1"/>
    </x:xf>
    <x:xf numFmtId="203" fontId="10" fillId="0" borderId="0" xfId="0" applyNumberFormat="1" applyFont="1" applyFill="1" applyBorder="1" applyAlignment="1">
      <x:alignment wrapText="1"/>
    </x:xf>
    <x:xf numFmtId="204" fontId="1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/>
    <x:xf numFmtId="0" fontId="2" fillId="4" borderId="0" xfId="0" applyNumberFormat="1" applyFont="1" applyFill="1" applyBorder="1"/>
    <x:xf numFmtId="0" fontId="14" fillId="0" borderId="0" xfId="0" applyNumberFormat="1" applyFont="1" applyFill="1" applyBorder="1"/>
    <x:xf numFmtId="200" fontId="2" fillId="4" borderId="0" xfId="0" applyNumberFormat="1" applyFont="1" applyFill="1" applyBorder="1"/>
    <x:xf numFmtId="200" fontId="14" fillId="0" borderId="0" xfId="0" applyNumberFormat="1" applyFont="1" applyFill="1" applyBorder="1"/>
    <x:xf numFmtId="203" fontId="14" fillId="0" borderId="0" xfId="0" applyNumberFormat="1" applyFont="1" applyFill="1" applyBorder="1"/>
    <x:xf numFmtId="203" fontId="3" fillId="0" borderId="0" xfId="0" applyNumberFormat="1" applyFont="1" applyFill="1" applyBorder="1"/>
    <x:xf numFmtId="205" fontId="3" fillId="0" borderId="0" xfId="0" applyNumberFormat="1" applyFont="1" applyFill="1" applyBorder="1"/>
    <x:xf numFmtId="0" fontId="9" fillId="0" borderId="0" xfId="0" applyNumberFormat="1" applyFont="1" applyFill="1" applyBorder="1"/>
    <x:xf numFmtId="203" fontId="3" fillId="4" borderId="0" xfId="0" applyNumberFormat="1" applyFont="1" applyFill="1" applyBorder="1"/>
    <x:xf numFmtId="0" fontId="5" fillId="4" borderId="0" xfId="0" applyNumberFormat="1" applyFont="1" applyFill="1" applyBorder="1"/>
    <x:xf numFmtId="203" fontId="5" fillId="4" borderId="0" xfId="0" applyNumberFormat="1" applyFont="1" applyFill="1" applyBorder="1"/>
    <x:xf numFmtId="206" fontId="3" fillId="0" borderId="0" xfId="0" applyNumberFormat="1" applyFont="1" applyFill="1" applyBorder="1"/>
    <x:xf numFmtId="204" fontId="3" fillId="0" borderId="0" xfId="0" applyNumberFormat="1" applyFont="1" applyFill="1" applyBorder="1"/>
    <x:xf numFmtId="200" fontId="3" fillId="0" borderId="11" xfId="0" applyNumberFormat="1" applyFont="1" applyFill="1" applyBorder="1"/>
    <x:xf numFmtId="203" fontId="3" fillId="0" borderId="14" xfId="0" applyNumberFormat="1" applyFont="1" applyFill="1" applyBorder="1"/>
    <x:xf numFmtId="200" fontId="3" fillId="0" borderId="14" xfId="0" applyNumberFormat="1" applyFont="1" applyFill="1" applyBorder="1"/>
    <x:xf numFmtId="204" fontId="3" fillId="0" borderId="14" xfId="0" applyNumberFormat="1" applyFont="1" applyFill="1" applyBorder="1"/>
    <x:xf numFmtId="201" fontId="3" fillId="0" borderId="14" xfId="0" applyNumberFormat="1" applyFont="1" applyFill="1" applyBorder="1"/>
    <x:xf numFmtId="202" fontId="3" fillId="0" borderId="17" xfId="0" applyNumberFormat="1" applyFont="1" applyFill="1" applyBorder="1"/>
    <x:xf numFmtId="0" fontId="3" fillId="2" borderId="12" xfId="0" applyNumberFormat="1" applyFont="1" applyFill="1" applyBorder="1"/>
    <x:xf numFmtId="200" fontId="3" fillId="2" borderId="14" xfId="0" applyNumberFormat="1" applyFont="1" applyFill="1" applyBorder="1"/>
    <x:xf numFmtId="201" fontId="3" fillId="2" borderId="14" xfId="0" applyNumberFormat="1" applyFont="1" applyFill="1" applyBorder="1"/>
    <x:xf numFmtId="0" fontId="3" fillId="2" borderId="15" xfId="0" applyNumberFormat="1" applyFont="1" applyFill="1" applyBorder="1"/>
    <x:xf numFmtId="202" fontId="3" fillId="2" borderId="17" xfId="0" applyNumberFormat="1" applyFont="1" applyFill="1" applyBorder="1"/>
    <x:xf numFmtId="0" fontId="3" fillId="4" borderId="15" xfId="0" applyNumberFormat="1" applyFont="1" applyFill="1" applyBorder="1"/>
    <x:xf numFmtId="202" fontId="3" fillId="4" borderId="17" xfId="0" applyNumberFormat="1" applyFont="1" applyFill="1" applyBorder="1"/>
    <x:xf numFmtId="0" fontId="5" fillId="4" borderId="15" xfId="0" applyNumberFormat="1" applyFont="1" applyFill="1" applyBorder="1"/>
    <x:xf numFmtId="202" fontId="5" fillId="4" borderId="17" xfId="0" applyNumberFormat="1" applyFont="1" applyFill="1" applyBorder="1"/>
    <x:xf numFmtId="202" fontId="6" fillId="3" borderId="0" xfId="0" applyNumberFormat="1" applyFont="1" applyFill="1" applyBorder="1" applyAlignment="1">
      <x:alignment horizontal="center" wrapText="1"/>
    </x:xf>
    <x:xf numFmtId="0" fontId="15" fillId="0" borderId="0" xfId="0" applyNumberFormat="1" applyFont="1" applyFill="1" applyBorder="1"/>
    <x:xf numFmtId="0" fontId="9" fillId="4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0" fontId="6" fillId="3" borderId="4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vertical="center"/>
    </x:xf>
    <x:xf numFmtId="0" fontId="9" fillId="3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vertical="center" wrapText="1"/>
    </x:xf>
    <x:xf numFmtId="0" fontId="5" fillId="0" borderId="4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6" fillId="3" borderId="4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 applyAlignment="1">
      <x:alignment vertical="center" wrapText="1"/>
    </x:xf>
    <x:xf numFmtId="0" fontId="9" fillId="3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7" xfId="0" applyNumberFormat="1" applyFont="1" applyFill="1" applyBorder="1" applyAlignment="1">
      <x:alignment vertical="center" wrapText="1"/>
    </x:xf>
    <x:xf numFmtId="0" fontId="3" fillId="0" borderId="8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 applyAlignment="1">
      <x:alignment vertical="center" wrapText="1"/>
    </x:xf>
    <x:xf numFmtId="200" fontId="10" fillId="0" borderId="0" xfId="0" applyNumberFormat="1" applyFont="1" applyFill="1" applyBorder="1" applyAlignment="1">
      <x:alignment vertical="center" wrapText="1"/>
    </x:xf>
    <x:xf numFmtId="0" fontId="12" fillId="0" borderId="9" xfId="0" applyNumberFormat="1" applyFont="1" applyFill="1" applyBorder="1" applyAlignment="1">
      <x:alignment vertical="center"/>
    </x:xf>
    <x:xf numFmtId="200" fontId="10" fillId="0" borderId="10" xfId="0" applyNumberFormat="1" applyFont="1" applyFill="1" applyBorder="1" applyAlignment="1">
      <x:alignment vertical="center"/>
    </x:xf>
    <x:xf numFmtId="200" fontId="10" fillId="0" borderId="11" xfId="0" applyNumberFormat="1" applyFont="1" applyFill="1" applyBorder="1" applyAlignment="1">
      <x:alignment vertical="center"/>
    </x:xf>
    <x:xf numFmtId="0" fontId="12" fillId="0" borderId="12" xfId="0" applyNumberFormat="1" applyFont="1" applyFill="1" applyBorder="1" applyAlignment="1">
      <x:alignment vertical="center"/>
    </x:xf>
    <x:xf numFmtId="200" fontId="10" fillId="0" borderId="13" xfId="0" applyNumberFormat="1" applyFont="1" applyFill="1" applyBorder="1" applyAlignment="1">
      <x:alignment vertical="center"/>
    </x:xf>
    <x:xf numFmtId="200" fontId="10" fillId="0" borderId="14" xfId="0" applyNumberFormat="1" applyFont="1" applyFill="1" applyBorder="1" applyAlignment="1">
      <x:alignment vertical="center"/>
    </x:xf>
    <x:xf numFmtId="201" fontId="10" fillId="0" borderId="13" xfId="0" applyNumberFormat="1" applyFont="1" applyFill="1" applyBorder="1" applyAlignment="1">
      <x:alignment vertical="center"/>
    </x:xf>
    <x:xf numFmtId="201" fontId="10" fillId="0" borderId="14" xfId="0" applyNumberFormat="1" applyFont="1" applyFill="1" applyBorder="1" applyAlignment="1">
      <x:alignment vertical="center"/>
    </x:xf>
    <x:xf numFmtId="0" fontId="12" fillId="0" borderId="15" xfId="0" applyNumberFormat="1" applyFont="1" applyFill="1" applyBorder="1" applyAlignment="1">
      <x:alignment vertical="center"/>
    </x:xf>
    <x:xf numFmtId="202" fontId="10" fillId="0" borderId="16" xfId="0" applyNumberFormat="1" applyFont="1" applyFill="1" applyBorder="1" applyAlignment="1">
      <x:alignment vertical="center"/>
    </x:xf>
    <x:xf numFmtId="202" fontId="10" fillId="0" borderId="17" xfId="0" applyNumberFormat="1" applyFont="1" applyFill="1" applyBorder="1" applyAlignment="1">
      <x:alignment vertical="center"/>
    </x:xf>
    <x:xf numFmtId="0" fontId="12" fillId="0" borderId="9" xfId="0" applyNumberFormat="1" applyFont="1" applyFill="1" applyBorder="1" applyAlignment="1">
      <x:alignment vertical="center" wrapText="1"/>
    </x:xf>
    <x:xf numFmtId="200" fontId="10" fillId="0" borderId="10" xfId="0" applyNumberFormat="1" applyFont="1" applyFill="1" applyBorder="1" applyAlignment="1">
      <x:alignment vertical="center" wrapText="1"/>
    </x:xf>
    <x:xf numFmtId="200" fontId="10" fillId="0" borderId="11" xfId="0" applyNumberFormat="1" applyFont="1" applyFill="1" applyBorder="1" applyAlignment="1">
      <x:alignment vertical="center" wrapText="1"/>
    </x:xf>
    <x:xf numFmtId="0" fontId="12" fillId="0" borderId="12" xfId="0" applyNumberFormat="1" applyFont="1" applyFill="1" applyBorder="1" applyAlignment="1">
      <x:alignment vertical="center" wrapText="1"/>
    </x:xf>
    <x:xf numFmtId="200" fontId="10" fillId="0" borderId="13" xfId="0" applyNumberFormat="1" applyFont="1" applyFill="1" applyBorder="1" applyAlignment="1">
      <x:alignment vertical="center" wrapText="1"/>
    </x:xf>
    <x:xf numFmtId="200" fontId="10" fillId="0" borderId="14" xfId="0" applyNumberFormat="1" applyFont="1" applyFill="1" applyBorder="1" applyAlignment="1">
      <x:alignment vertical="center" wrapText="1"/>
    </x:xf>
    <x:xf numFmtId="201" fontId="10" fillId="0" borderId="13" xfId="0" applyNumberFormat="1" applyFont="1" applyFill="1" applyBorder="1" applyAlignment="1">
      <x:alignment vertical="center" wrapText="1"/>
    </x:xf>
    <x:xf numFmtId="201" fontId="10" fillId="0" borderId="14" xfId="0" applyNumberFormat="1" applyFont="1" applyFill="1" applyBorder="1" applyAlignment="1">
      <x:alignment vertical="center" wrapText="1"/>
    </x:xf>
    <x:xf numFmtId="0" fontId="12" fillId="0" borderId="15" xfId="0" applyNumberFormat="1" applyFont="1" applyFill="1" applyBorder="1" applyAlignment="1">
      <x:alignment vertical="center" wrapText="1"/>
    </x:xf>
    <x:xf numFmtId="202" fontId="10" fillId="0" borderId="16" xfId="0" applyNumberFormat="1" applyFont="1" applyFill="1" applyBorder="1" applyAlignment="1">
      <x:alignment vertical="center" wrapText="1"/>
    </x:xf>
    <x:xf numFmtId="202" fontId="10" fillId="0" borderId="17" xfId="0" applyNumberFormat="1" applyFont="1" applyFill="1" applyBorder="1" applyAlignment="1">
      <x:alignment vertical="center" wrapText="1"/>
    </x:xf>
    <x:xf numFmtId="200" fontId="10" fillId="0" borderId="16" xfId="0" applyNumberFormat="1" applyFont="1" applyFill="1" applyBorder="1" applyAlignment="1">
      <x:alignment vertical="center"/>
    </x:xf>
    <x:xf numFmtId="200" fontId="10" fillId="0" borderId="17" xfId="0" applyNumberFormat="1" applyFont="1" applyFill="1" applyBorder="1" applyAlignment="1">
      <x:alignment vertical="center"/>
    </x:xf>
    <x:xf numFmtId="200" fontId="10" fillId="0" borderId="16" xfId="0" applyNumberFormat="1" applyFont="1" applyFill="1" applyBorder="1" applyAlignment="1">
      <x:alignment vertical="center" wrapText="1"/>
    </x:xf>
    <x:xf numFmtId="200" fontId="10" fillId="0" borderId="17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vertical="center"/>
    </x:xf>
    <x:xf numFmtId="0" fontId="3" fillId="0" borderId="10" xfId="0" applyNumberFormat="1" applyFont="1" applyFill="1" applyBorder="1" applyAlignment="1">
      <x:alignment vertical="center"/>
    </x:xf>
    <x:xf numFmtId="203" fontId="13" fillId="0" borderId="10" xfId="0" applyNumberFormat="1" applyFont="1" applyFill="1" applyBorder="1" applyAlignment="1">
      <x:alignment vertical="center"/>
    </x:xf>
    <x:xf numFmtId="203" fontId="13" fillId="0" borderId="11" xfId="0" applyNumberFormat="1" applyFont="1" applyFill="1" applyBorder="1" applyAlignment="1">
      <x:alignment vertical="center"/>
    </x:xf>
    <x:xf numFmtId="0" fontId="3" fillId="0" borderId="12" xfId="0" applyNumberFormat="1" applyFont="1" applyFill="1" applyBorder="1" applyAlignment="1">
      <x:alignment vertical="center"/>
    </x:xf>
    <x:xf numFmtId="0" fontId="3" fillId="0" borderId="13" xfId="0" applyNumberFormat="1" applyFont="1" applyFill="1" applyBorder="1" applyAlignment="1">
      <x:alignment vertical="center"/>
    </x:xf>
    <x:xf numFmtId="203" fontId="13" fillId="0" borderId="13" xfId="0" applyNumberFormat="1" applyFont="1" applyFill="1" applyBorder="1" applyAlignment="1">
      <x:alignment vertical="center"/>
    </x:xf>
    <x:xf numFmtId="203" fontId="13" fillId="0" borderId="14" xfId="0" applyNumberFormat="1" applyFont="1" applyFill="1" applyBorder="1" applyAlignment="1">
      <x:alignment vertical="center"/>
    </x:xf>
    <x:xf numFmtId="201" fontId="13" fillId="0" borderId="13" xfId="0" applyNumberFormat="1" applyFont="1" applyFill="1" applyBorder="1" applyAlignment="1">
      <x:alignment vertical="center"/>
    </x:xf>
    <x:xf numFmtId="201" fontId="13" fillId="0" borderId="14" xfId="0" applyNumberFormat="1" applyFont="1" applyFill="1" applyBorder="1" applyAlignment="1">
      <x:alignment vertical="center"/>
    </x:xf>
    <x:xf numFmtId="204" fontId="13" fillId="0" borderId="13" xfId="0" applyNumberFormat="1" applyFont="1" applyFill="1" applyBorder="1" applyAlignment="1">
      <x:alignment vertical="center"/>
    </x:xf>
    <x:xf numFmtId="204" fontId="13" fillId="0" borderId="14" xfId="0" applyNumberFormat="1" applyFont="1" applyFill="1" applyBorder="1" applyAlignment="1">
      <x:alignment vertical="center"/>
    </x:xf>
    <x:xf numFmtId="0" fontId="3" fillId="0" borderId="15" xfId="0" applyNumberFormat="1" applyFont="1" applyFill="1" applyBorder="1" applyAlignment="1">
      <x:alignment vertical="center"/>
    </x:xf>
    <x:xf numFmtId="0" fontId="3" fillId="0" borderId="16" xfId="0" applyNumberFormat="1" applyFont="1" applyFill="1" applyBorder="1" applyAlignment="1">
      <x:alignment vertical="center"/>
    </x:xf>
    <x:xf numFmtId="203" fontId="13" fillId="0" borderId="16" xfId="0" applyNumberFormat="1" applyFont="1" applyFill="1" applyBorder="1" applyAlignment="1">
      <x:alignment vertical="center"/>
    </x:xf>
    <x:xf numFmtId="203" fontId="13" fillId="0" borderId="17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 wrapText="1"/>
    </x:xf>
    <x:xf numFmtId="0" fontId="3" fillId="0" borderId="10" xfId="0" applyNumberFormat="1" applyFont="1" applyFill="1" applyBorder="1" applyAlignment="1">
      <x:alignment vertical="center" wrapText="1"/>
    </x:xf>
    <x:xf numFmtId="203" fontId="13" fillId="0" borderId="10" xfId="0" applyNumberFormat="1" applyFont="1" applyFill="1" applyBorder="1" applyAlignment="1">
      <x:alignment vertical="center" wrapText="1"/>
    </x:xf>
    <x:xf numFmtId="203" fontId="13" fillId="0" borderId="11" xfId="0" applyNumberFormat="1" applyFont="1" applyFill="1" applyBorder="1" applyAlignment="1">
      <x:alignment vertical="center" wrapText="1"/>
    </x:xf>
    <x:xf numFmtId="0" fontId="3" fillId="0" borderId="12" xfId="0" applyNumberFormat="1" applyFont="1" applyFill="1" applyBorder="1" applyAlignment="1">
      <x:alignment vertical="center" wrapText="1"/>
    </x:xf>
    <x:xf numFmtId="0" fontId="3" fillId="0" borderId="13" xfId="0" applyNumberFormat="1" applyFont="1" applyFill="1" applyBorder="1" applyAlignment="1">
      <x:alignment vertical="center" wrapText="1"/>
    </x:xf>
    <x:xf numFmtId="203" fontId="13" fillId="0" borderId="13" xfId="0" applyNumberFormat="1" applyFont="1" applyFill="1" applyBorder="1" applyAlignment="1">
      <x:alignment vertical="center" wrapText="1"/>
    </x:xf>
    <x:xf numFmtId="203" fontId="13" fillId="0" borderId="14" xfId="0" applyNumberFormat="1" applyFont="1" applyFill="1" applyBorder="1" applyAlignment="1">
      <x:alignment vertical="center" wrapText="1"/>
    </x:xf>
    <x:xf numFmtId="201" fontId="13" fillId="0" borderId="13" xfId="0" applyNumberFormat="1" applyFont="1" applyFill="1" applyBorder="1" applyAlignment="1">
      <x:alignment vertical="center" wrapText="1"/>
    </x:xf>
    <x:xf numFmtId="201" fontId="13" fillId="0" borderId="14" xfId="0" applyNumberFormat="1" applyFont="1" applyFill="1" applyBorder="1" applyAlignment="1">
      <x:alignment vertical="center" wrapText="1"/>
    </x:xf>
    <x:xf numFmtId="204" fontId="13" fillId="0" borderId="13" xfId="0" applyNumberFormat="1" applyFont="1" applyFill="1" applyBorder="1" applyAlignment="1">
      <x:alignment vertical="center" wrapText="1"/>
    </x:xf>
    <x:xf numFmtId="204" fontId="13" fillId="0" borderId="14" xfId="0" applyNumberFormat="1" applyFont="1" applyFill="1" applyBorder="1" applyAlignment="1">
      <x:alignment vertical="center" wrapText="1"/>
    </x:xf>
    <x:xf numFmtId="0" fontId="3" fillId="0" borderId="15" xfId="0" applyNumberFormat="1" applyFont="1" applyFill="1" applyBorder="1" applyAlignment="1">
      <x:alignment vertical="center" wrapText="1"/>
    </x:xf>
    <x:xf numFmtId="0" fontId="3" fillId="0" borderId="16" xfId="0" applyNumberFormat="1" applyFont="1" applyFill="1" applyBorder="1" applyAlignment="1">
      <x:alignment vertical="center" wrapText="1"/>
    </x:xf>
    <x:xf numFmtId="203" fontId="13" fillId="0" borderId="16" xfId="0" applyNumberFormat="1" applyFont="1" applyFill="1" applyBorder="1" applyAlignment="1">
      <x:alignment vertical="center" wrapText="1"/>
    </x:xf>
    <x:xf numFmtId="203" fontId="13" fillId="0" borderId="17" xfId="0" applyNumberFormat="1" applyFont="1" applyFill="1" applyBorder="1" applyAlignment="1">
      <x:alignment vertical="center" wrapText="1"/>
    </x:xf>
    <x:xf numFmtId="201" fontId="10" fillId="0" borderId="0" xfId="0" applyNumberFormat="1" applyFont="1" applyFill="1" applyBorder="1" applyAlignment="1">
      <x:alignment vertical="center" wrapText="1"/>
    </x:xf>
    <x:xf numFmtId="0" fontId="14" fillId="0" borderId="0" xfId="0" applyNumberFormat="1" applyFont="1" applyFill="1" applyBorder="1" applyAlignment="1">
      <x:alignment vertical="center" wrapText="1"/>
    </x:xf>
    <x:xf numFmtId="203" fontId="10" fillId="0" borderId="0" xfId="0" applyNumberFormat="1" applyFont="1" applyFill="1" applyBorder="1" applyAlignment="1">
      <x:alignment vertical="center" wrapText="1"/>
    </x:xf>
    <x:xf numFmtId="204" fontId="10" fillId="0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/>
    </x:xf>
    <x:xf numFmtId="200" fontId="2" fillId="4" borderId="0" xfId="0" applyNumberFormat="1" applyFont="1" applyFill="1" applyBorder="1" applyAlignment="1">
      <x:alignment vertical="center"/>
    </x:xf>
    <x:xf numFmtId="200" fontId="14" fillId="0" borderId="0" xfId="0" applyNumberFormat="1" applyFont="1" applyFill="1" applyBorder="1" applyAlignment="1">
      <x:alignment vertical="center"/>
    </x:xf>
    <x:xf numFmtId="203" fontId="14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200" fontId="2" fillId="4" borderId="0" xfId="0" applyNumberFormat="1" applyFont="1" applyFill="1" applyBorder="1" applyAlignment="1">
      <x:alignment vertical="center" wrapText="1"/>
    </x:xf>
    <x:xf numFmtId="200" fontId="14" fillId="0" borderId="0" xfId="0" applyNumberFormat="1" applyFont="1" applyFill="1" applyBorder="1" applyAlignment="1">
      <x:alignment vertical="center" wrapText="1"/>
    </x:xf>
    <x:xf numFmtId="203" fontId="14" fillId="0" borderId="0" xfId="0" applyNumberFormat="1" applyFont="1" applyFill="1" applyBorder="1" applyAlignment="1">
      <x:alignment vertical="center" wrapText="1"/>
    </x:xf>
    <x:xf numFmtId="203" fontId="3" fillId="0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 wrapText="1"/>
    </x:xf>
    <x:xf numFmtId="201" fontId="3" fillId="0" borderId="0" xfId="0" applyNumberFormat="1" applyFont="1" applyFill="1" applyBorder="1" applyAlignment="1">
      <x:alignment vertical="center" wrapText="1"/>
    </x:xf>
    <x:xf numFmtId="202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 wrapText="1"/>
    </x:xf>
    <x:xf numFmtId="205" fontId="3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205" fontId="3" fillId="0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/>
    </x:xf>
    <x:xf numFmtId="203" fontId="5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 wrapText="1"/>
    </x:xf>
    <x:xf numFmtId="203" fontId="5" fillId="4" borderId="0" xfId="0" applyNumberFormat="1" applyFont="1" applyFill="1" applyBorder="1" applyAlignment="1">
      <x:alignment vertical="center" wrapText="1"/>
    </x:xf>
    <x:xf numFmtId="206" fontId="3" fillId="0" borderId="0" xfId="0" applyNumberFormat="1" applyFont="1" applyFill="1" applyBorder="1" applyAlignment="1">
      <x:alignment vertical="center"/>
    </x:xf>
    <x:xf numFmtId="200" fontId="3" fillId="0" borderId="11" xfId="0" applyNumberFormat="1" applyFont="1" applyFill="1" applyBorder="1" applyAlignment="1">
      <x:alignment vertical="center"/>
    </x:xf>
    <x:xf numFmtId="203" fontId="3" fillId="0" borderId="14" xfId="0" applyNumberFormat="1" applyFont="1" applyFill="1" applyBorder="1" applyAlignment="1">
      <x:alignment vertical="center"/>
    </x:xf>
    <x:xf numFmtId="200" fontId="3" fillId="0" borderId="14" xfId="0" applyNumberFormat="1" applyFont="1" applyFill="1" applyBorder="1" applyAlignment="1">
      <x:alignment vertical="center"/>
    </x:xf>
    <x:xf numFmtId="204" fontId="3" fillId="0" borderId="14" xfId="0" applyNumberFormat="1" applyFont="1" applyFill="1" applyBorder="1" applyAlignment="1">
      <x:alignment vertical="center"/>
    </x:xf>
    <x:xf numFmtId="0" fontId="3" fillId="2" borderId="12" xfId="0" applyNumberFormat="1" applyFont="1" applyFill="1" applyBorder="1" applyAlignment="1">
      <x:alignment vertical="center"/>
    </x:xf>
    <x:xf numFmtId="200" fontId="3" fillId="2" borderId="14" xfId="0" applyNumberFormat="1" applyFont="1" applyFill="1" applyBorder="1" applyAlignment="1">
      <x:alignment vertical="center"/>
    </x:xf>
    <x:xf numFmtId="201" fontId="3" fillId="2" borderId="14" xfId="0" applyNumberFormat="1" applyFont="1" applyFill="1" applyBorder="1" applyAlignment="1">
      <x:alignment vertical="center"/>
    </x:xf>
    <x:xf numFmtId="0" fontId="5" fillId="4" borderId="15" xfId="0" applyNumberFormat="1" applyFont="1" applyFill="1" applyBorder="1" applyAlignment="1">
      <x:alignment vertical="center"/>
    </x:xf>
    <x:xf numFmtId="202" fontId="5" fillId="4" borderId="17" xfId="0" applyNumberFormat="1" applyFont="1" applyFill="1" applyBorder="1" applyAlignment="1">
      <x:alignment vertical="center"/>
    </x:xf>
    <x:xf numFmtId="204" fontId="3" fillId="0" borderId="0" xfId="0" applyNumberFormat="1" applyFont="1" applyFill="1" applyBorder="1" applyAlignment="1">
      <x:alignment vertical="center"/>
    </x:xf>
    <x:xf numFmtId="206" fontId="3" fillId="0" borderId="0" xfId="0" applyNumberFormat="1" applyFont="1" applyFill="1" applyBorder="1" applyAlignment="1">
      <x:alignment vertical="center" wrapText="1"/>
    </x:xf>
    <x:xf numFmtId="200" fontId="3" fillId="0" borderId="11" xfId="0" applyNumberFormat="1" applyFont="1" applyFill="1" applyBorder="1" applyAlignment="1">
      <x:alignment vertical="center" wrapText="1"/>
    </x:xf>
    <x:xf numFmtId="203" fontId="3" fillId="0" borderId="14" xfId="0" applyNumberFormat="1" applyFont="1" applyFill="1" applyBorder="1" applyAlignment="1">
      <x:alignment vertical="center" wrapText="1"/>
    </x:xf>
    <x:xf numFmtId="200" fontId="3" fillId="0" borderId="14" xfId="0" applyNumberFormat="1" applyFont="1" applyFill="1" applyBorder="1" applyAlignment="1">
      <x:alignment vertical="center" wrapText="1"/>
    </x:xf>
    <x:xf numFmtId="204" fontId="3" fillId="0" borderId="14" xfId="0" applyNumberFormat="1" applyFont="1" applyFill="1" applyBorder="1" applyAlignment="1">
      <x:alignment vertical="center" wrapText="1"/>
    </x:xf>
    <x:xf numFmtId="0" fontId="3" fillId="2" borderId="12" xfId="0" applyNumberFormat="1" applyFont="1" applyFill="1" applyBorder="1" applyAlignment="1">
      <x:alignment vertical="center" wrapText="1"/>
    </x:xf>
    <x:xf numFmtId="200" fontId="3" fillId="2" borderId="14" xfId="0" applyNumberFormat="1" applyFont="1" applyFill="1" applyBorder="1" applyAlignment="1">
      <x:alignment vertical="center" wrapText="1"/>
    </x:xf>
    <x:xf numFmtId="201" fontId="3" fillId="2" borderId="14" xfId="0" applyNumberFormat="1" applyFont="1" applyFill="1" applyBorder="1" applyAlignment="1">
      <x:alignment vertical="center" wrapText="1"/>
    </x:xf>
    <x:xf numFmtId="0" fontId="5" fillId="4" borderId="15" xfId="0" applyNumberFormat="1" applyFont="1" applyFill="1" applyBorder="1" applyAlignment="1">
      <x:alignment vertical="center" wrapText="1"/>
    </x:xf>
    <x:xf numFmtId="202" fontId="5" fillId="4" borderId="17" xfId="0" applyNumberFormat="1" applyFont="1" applyFill="1" applyBorder="1" applyAlignment="1">
      <x:alignment vertical="center" wrapText="1"/>
    </x:xf>
    <x:xf numFmtId="204" fontId="3" fillId="0" borderId="0" xfId="0" applyNumberFormat="1" applyFont="1" applyFill="1" applyBorder="1" applyAlignment="1">
      <x:alignment vertical="center" wrapText="1"/>
    </x:xf>
    <x:xf numFmtId="202" fontId="6" fillId="3" borderId="0" xfId="0" applyNumberFormat="1" applyFont="1" applyFill="1" applyBorder="1" applyAlignment="1">
      <x:alignment horizontal="center" vertical="center" wrapText="1"/>
    </x:xf>
    <x:xf numFmtId="0" fontId="15" fillId="0" borderId="0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 applyAlignment="1">
      <x:alignment vertical="center"/>
    </x:xf>
    <x:xf numFmtId="0" fontId="15" fillId="0" borderId="0" xfId="0" applyNumberFormat="1" applyFont="1" applyFill="1" applyBorder="1" applyAlignment="1">
      <x:alignment vertical="center" wrapText="1"/>
    </x:xf>
    <x:xf numFmtId="0" fontId="9" fillId="4" borderId="0" xfId="0" applyNumberFormat="1" applyFont="1" applyFill="1" applyBorder="1" applyAlignment="1">
      <x:alignment vertical="center" wrapText="1"/>
    </x:xf>
    <x:xf numFmtId="0" fontId="16" fillId="0" borderId="0" xfId="0" applyNumberFormat="1" applyFont="1" applyFill="1" applyBorder="1"/>
    <x:xf numFmtId="201" fontId="14" fillId="0" borderId="0" xfId="0" applyNumberFormat="1" applyFont="1" applyFill="1" applyBorder="1" applyAlignment="1">
      <x:alignment vertical="center" wrapText="1"/>
    </x:xf>
    <x:xf numFmtId="202" fontId="14" fillId="0" borderId="0" xfId="0" applyNumberFormat="1" applyFont="1" applyFill="1" applyBorder="1" applyAlignment="1">
      <x:alignment vertical="center" wrapText="1"/>
    </x:xf>
    <x:xf numFmtId="203" fontId="2" fillId="4" borderId="0" xfId="0" applyNumberFormat="1" applyFont="1" applyFill="1" applyBorder="1" applyAlignment="1">
      <x:alignment vertical="center" wrapText="1"/>
    </x:xf>
    <x:xf numFmtId="206" fontId="14" fillId="0" borderId="0" xfId="0" applyNumberFormat="1" applyFont="1" applyFill="1" applyBorder="1" applyAlignment="1">
      <x:alignment vertical="center" wrapText="1"/>
    </x:xf>
    <x:xf numFmtId="200" fontId="14" fillId="0" borderId="11" xfId="0" applyNumberFormat="1" applyFont="1" applyFill="1" applyBorder="1" applyAlignment="1">
      <x:alignment vertical="center" wrapText="1"/>
    </x:xf>
    <x:xf numFmtId="203" fontId="14" fillId="0" borderId="14" xfId="0" applyNumberFormat="1" applyFont="1" applyFill="1" applyBorder="1" applyAlignment="1">
      <x:alignment vertical="center" wrapText="1"/>
    </x:xf>
    <x:xf numFmtId="200" fontId="14" fillId="0" borderId="14" xfId="0" applyNumberFormat="1" applyFont="1" applyFill="1" applyBorder="1" applyAlignment="1">
      <x:alignment vertical="center" wrapText="1"/>
    </x:xf>
    <x:xf numFmtId="204" fontId="14" fillId="0" borderId="14" xfId="0" applyNumberFormat="1" applyFont="1" applyFill="1" applyBorder="1" applyAlignment="1">
      <x:alignment vertical="center" wrapText="1"/>
    </x:xf>
    <x:xf numFmtId="200" fontId="14" fillId="2" borderId="14" xfId="0" applyNumberFormat="1" applyFont="1" applyFill="1" applyBorder="1" applyAlignment="1">
      <x:alignment vertical="center" wrapText="1"/>
    </x:xf>
    <x:xf numFmtId="201" fontId="14" fillId="2" borderId="14" xfId="0" applyNumberFormat="1" applyFont="1" applyFill="1" applyBorder="1" applyAlignment="1">
      <x:alignment vertical="center" wrapText="1"/>
    </x:xf>
    <x:xf numFmtId="202" fontId="2" fillId="4" borderId="17" xfId="0" applyNumberFormat="1" applyFont="1" applyFill="1" applyBorder="1" applyAlignment="1">
      <x:alignment vertical="center" wrapText="1"/>
    </x:xf>
    <x:xf numFmtId="204" fontId="14" fillId="0" borderId="0" xfId="0" applyNumberFormat="1" applyFont="1" applyFill="1" applyBorder="1" applyAlignment="1">
      <x:alignment vertical="center" wrapText="1"/>
    </x:xf>
    <x:xf numFmtId="202" fontId="2" fillId="3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3" fillId="0" borderId="10" xfId="0" applyNumberFormat="1" applyFont="1" applyFill="1" applyBorder="1" applyAlignment="1">
      <x:alignment vertical="center" wrapText="1"/>
    </x:xf>
    <x:xf numFmtId="0" fontId="13" fillId="0" borderId="0" xfId="0" applyNumberFormat="1" applyFont="1" applyFill="1" applyBorder="1" applyAlignment="1">
      <x:alignment vertical="center" wrapText="1"/>
    </x:xf>
    <x:xf numFmtId="0" fontId="13" fillId="0" borderId="13" xfId="0" applyNumberFormat="1" applyFont="1" applyFill="1" applyBorder="1" applyAlignment="1">
      <x:alignment vertical="center" wrapText="1"/>
    </x:xf>
    <x:xf numFmtId="0" fontId="13" fillId="0" borderId="16" xfId="0" applyNumberFormat="1" applyFont="1" applyFill="1" applyBorder="1" applyAlignment="1">
      <x:alignment vertical="center" wrapText="1"/>
    </x:xf>
    <x:xf numFmtId="0" fontId="17" fillId="0" borderId="0" xfId="0" applyNumberFormat="1" applyFont="1" applyFill="1" applyBorder="1"/>
  </x:cellXfs>
  <x:cellStyles count="1">
    <x:cellStyle name="Normal" xfId="0"/>
  </x:cellStyles>
  <x:dxfs count="5">
    <x:dxf>
      <x:font>
        <x:b/>
        <x:color rgb="7F6000"/>
      </x:font>
      <x:fill>
        <x:patternFill patternType="solid">
          <x:bgColor rgb="FFF2CC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FFF2CC"/>
        </x:patternFill>
      </x:fill>
    </x:dxf>
    <x:dxf>
      <x:font>
        <x:b/>
        <x:color rgb="990000"/>
      </x:font>
      <x:fill>
        <x:patternFill patternType="solid">
          <x:bgColor rgb="F4CCCC"/>
        </x:patternFill>
      </x:fill>
    </x:dxf>
    <x:dxf>
      <x:font>
        <x:b/>
        <x:color rgb="274E13"/>
      </x:font>
      <x:fill>
        <x:patternFill patternType="solid">
          <x:bgColor rgb="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a86cf9d6d14488" /><Relationship Type="http://schemas.openxmlformats.org/officeDocument/2006/relationships/theme" Target="/xl/theme/theme1.xml" Id="Rd37d02bc06fd49f4" /><Relationship Type="http://schemas.openxmlformats.org/officeDocument/2006/relationships/sharedStrings" Target="/xl/sharedStrings.xml" Id="R72cd41ba874946c0" /><Relationship Type="http://schemas.openxmlformats.org/officeDocument/2006/relationships/worksheet" Target="/xl/worksheets/sheet1.xml" Id="R9e6bf1c616c94299" /><Relationship Type="http://schemas.openxmlformats.org/officeDocument/2006/relationships/worksheet" Target="/xl/worksheets/sheet2.xml" Id="R3d5563b71dc34988" /><Relationship Type="http://schemas.openxmlformats.org/officeDocument/2006/relationships/worksheet" Target="/xl/worksheets/sheet3.xml" Id="R49fbba34b5c14aee" /><Relationship Type="http://schemas.openxmlformats.org/officeDocument/2006/relationships/worksheet" Target="/xl/worksheets/sheet4.xml" Id="Rb1234db5dd0b4bf5" /><Relationship Type="http://schemas.openxmlformats.org/officeDocument/2006/relationships/worksheet" Target="/xl/worksheets/sheet5.xml" Id="R525d6e181f3a4024" /><Relationship Type="http://schemas.openxmlformats.org/officeDocument/2006/relationships/worksheet" Target="/xl/worksheets/sheet6.xml" Id="R799901fddc0348e4" /><Relationship Type="http://schemas.openxmlformats.org/officeDocument/2006/relationships/worksheet" Target="/xl/worksheets/sheet7.xml" Id="R0de3c6024d9743b4" /><Relationship Type="http://schemas.openxmlformats.org/officeDocument/2006/relationships/worksheet" Target="/xl/worksheets/sheet8.xml" Id="R6e7a68038e17425f" /><Relationship Type="http://schemas.openxmlformats.org/officeDocument/2006/relationships/worksheet" Target="/xl/worksheets/sheet9.xml" Id="R01bbb9a30b0e47c0" /><Relationship Type="http://schemas.openxmlformats.org/officeDocument/2006/relationships/worksheet" Target="/xl/worksheets/sheet10.xml" Id="Raedcc34f433c4b57" /><Relationship Type="http://schemas.openxmlformats.org/officeDocument/2006/relationships/worksheet" Target="/xl/worksheets/sheet11.xml" Id="R50335cf5c7b1494a" /><Relationship Type="http://schemas.openxmlformats.org/officeDocument/2006/relationships/worksheet" Target="/xl/worksheets/sheet12.xml" Id="Rc3f0cfb2d8dd4ea2" /><Relationship Type="http://schemas.openxmlformats.org/officeDocument/2006/relationships/worksheet" Target="/xl/worksheets/sheet13.xml" Id="R82263368d02d4ece" /><Relationship Type="http://schemas.openxmlformats.org/officeDocument/2006/relationships/worksheet" Target="/xl/worksheets/sheet14.xml" Id="R3f8ddd505c124a3b" /><Relationship Type="http://schemas.openxmlformats.org/officeDocument/2006/relationships/worksheet" Target="/xl/worksheets/sheet15.xml" Id="R2111e154108e4641" /><Relationship Type="http://schemas.openxmlformats.org/officeDocument/2006/relationships/worksheet" Target="/xl/worksheets/sheet16.xml" Id="R5e5df48a96c44107" /><Relationship Type="http://schemas.openxmlformats.org/officeDocument/2006/relationships/worksheet" Target="/xl/worksheets/sheet17.xml" Id="R26041299525e433c" /><Relationship Type="http://schemas.openxmlformats.org/officeDocument/2006/relationships/worksheet" Target="/xl/worksheets/sheet18.xml" Id="R2c100aa415644e4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2.13999938964844" hidden="0" customWidth="1"/>
    <x:col min="2" max="2" width="79.29000091552734" hidden="0" customWidth="1"/>
  </x:cols>
  <x:sheetData>
    <x:row r="1">
      <x:c r="A1" s="4" t="str">
        <x:v>FYE: February.  Units: $ in millions except per-share data, shares in millions, ratios, and noted operating drivers.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>
      <x:c r="A3" s="130" t="str">
        <x:v>Everpure Integrated Forecast</x:v>
      </x:c>
      <x:c r="B3" s="130"/>
      <x:c r="C3" s="130"/>
      <x:c r="D3" s="130"/>
      <x:c r="E3" s="130"/>
      <x:c r="F3" s="130"/>
      <x:c r="G3" s="119"/>
      <x:c r="H3" s="119"/>
      <x:c r="I3" s="119"/>
      <x:c r="J3" s="119"/>
      <x:c r="K3" s="119"/>
      <x:c r="L3" s="5"/>
    </x:row>
    <x:row r="4">
      <x:c r="A4" s="119"/>
      <x:c r="B4" s="119"/>
      <x:c r="C4" s="119"/>
      <x:c r="D4" s="119"/>
      <x:c r="E4" s="119"/>
      <x:c r="F4" s="119"/>
      <x:c r="G4" s="119"/>
      <x:c r="H4" s="119"/>
      <x:c r="I4" s="119"/>
      <x:c r="J4" s="119"/>
      <x:c r="K4" s="119"/>
      <x:c r="L4" s="5"/>
    </x:row>
    <x:row r="5">
      <x:c r="A5" s="131" t="str">
        <x:v>Ticker per floor plan</x:v>
      </x:c>
      <x:c r="B5" s="115" t="str">
        <x:v>$P</x:v>
      </x:c>
      <x:c r="C5" s="115"/>
      <x:c r="D5" s="115"/>
      <x:c r="E5" s="115"/>
      <x:c r="F5" s="132"/>
      <x:c r="G5" s="119"/>
      <x:c r="H5" s="119"/>
      <x:c r="I5" s="119"/>
      <x:c r="J5" s="119"/>
      <x:c r="K5" s="119"/>
      <x:c r="L5" s="5"/>
    </x:row>
    <x:row r="6">
      <x:c r="A6" s="133" t="str">
        <x:v>Trading symbol shown on latest 10-K cover</x:v>
      </x:c>
      <x:c r="B6" s="119" t="str">
        <x:v>PSTG</x:v>
      </x:c>
      <x:c r="C6" s="119"/>
      <x:c r="D6" s="119"/>
      <x:c r="E6" s="119"/>
      <x:c r="F6" s="134"/>
      <x:c r="G6" s="119"/>
      <x:c r="H6" s="119"/>
      <x:c r="I6" s="119"/>
      <x:c r="J6" s="119"/>
      <x:c r="K6" s="119"/>
      <x:c r="L6" s="5"/>
    </x:row>
    <x:row r="7">
      <x:c r="A7" s="133" t="str">
        <x:v>Full legal name</x:v>
      </x:c>
      <x:c r="B7" s="119" t="str">
        <x:v>Everpure, Inc.</x:v>
      </x:c>
      <x:c r="C7" s="119"/>
      <x:c r="D7" s="119"/>
      <x:c r="E7" s="119"/>
      <x:c r="F7" s="134"/>
      <x:c r="G7" s="119"/>
      <x:c r="H7" s="119"/>
      <x:c r="I7" s="119"/>
      <x:c r="J7" s="119"/>
      <x:c r="K7" s="119"/>
      <x:c r="L7" s="5"/>
    </x:row>
    <x:row r="8">
      <x:c r="A8" s="133" t="str">
        <x:v>Legacy filing name</x:v>
      </x:c>
      <x:c r="B8" s="119" t="str">
        <x:v>Pure Storage, Inc.</x:v>
      </x:c>
      <x:c r="C8" s="119"/>
      <x:c r="D8" s="119"/>
      <x:c r="E8" s="119"/>
      <x:c r="F8" s="134"/>
      <x:c r="G8" s="119"/>
      <x:c r="H8" s="119"/>
      <x:c r="I8" s="119"/>
      <x:c r="J8" s="119"/>
      <x:c r="K8" s="119"/>
      <x:c r="L8" s="5"/>
    </x:row>
    <x:row r="9">
      <x:c r="A9" s="133" t="str">
        <x:v>Fiscal year end</x:v>
      </x:c>
      <x:c r="B9" s="119" t="str">
        <x:v>First Sunday after January 30, February fiscal year</x:v>
      </x:c>
      <x:c r="C9" s="119"/>
      <x:c r="D9" s="119"/>
      <x:c r="E9" s="119"/>
      <x:c r="F9" s="134"/>
      <x:c r="G9" s="119"/>
      <x:c r="H9" s="119"/>
      <x:c r="I9" s="119"/>
      <x:c r="J9" s="119"/>
      <x:c r="K9" s="119"/>
      <x:c r="L9" s="5"/>
    </x:row>
    <x:row r="10">
      <x:c r="A10" s="133" t="str">
        <x:v>Reporting currency</x:v>
      </x:c>
      <x:c r="B10" s="119" t="str">
        <x:v>USD</x:v>
      </x:c>
      <x:c r="C10" s="119"/>
      <x:c r="D10" s="119"/>
      <x:c r="E10" s="119"/>
      <x:c r="F10" s="134"/>
      <x:c r="G10" s="119"/>
      <x:c r="H10" s="119"/>
      <x:c r="I10" s="119"/>
      <x:c r="J10" s="119"/>
      <x:c r="K10" s="119"/>
      <x:c r="L10" s="5"/>
    </x:row>
    <x:row r="11">
      <x:c r="A11" s="133" t="str">
        <x:v>Units</x:v>
      </x:c>
      <x:c r="B11" s="119" t="str">
        <x:v>$ in millions except per-share data and ratios</x:v>
      </x:c>
      <x:c r="C11" s="119"/>
      <x:c r="D11" s="119"/>
      <x:c r="E11" s="119"/>
      <x:c r="F11" s="134"/>
      <x:c r="G11" s="119"/>
      <x:c r="H11" s="119"/>
      <x:c r="I11" s="119"/>
      <x:c r="J11" s="119"/>
      <x:c r="K11" s="119"/>
      <x:c r="L11" s="5"/>
    </x:row>
    <x:row r="12">
      <x:c r="A12" s="133" t="str">
        <x:v>Build date</x:v>
      </x:c>
      <x:c r="B12" s="119" t="str">
        <x:v>2026-05-01</x:v>
      </x:c>
      <x:c r="C12" s="119"/>
      <x:c r="D12" s="119"/>
      <x:c r="E12" s="119"/>
      <x:c r="F12" s="134"/>
      <x:c r="G12" s="119"/>
      <x:c r="H12" s="119"/>
      <x:c r="I12" s="119"/>
      <x:c r="J12" s="119"/>
      <x:c r="K12" s="119"/>
      <x:c r="L12" s="5"/>
    </x:row>
    <x:row r="13">
      <x:c r="A13" s="133" t="str">
        <x:v>Model version</x:v>
      </x:c>
      <x:c r="B13" s="119" t="str">
        <x:v>1.0</x:v>
      </x:c>
      <x:c r="C13" s="119"/>
      <x:c r="D13" s="119"/>
      <x:c r="E13" s="119"/>
      <x:c r="F13" s="134"/>
      <x:c r="G13" s="119"/>
      <x:c r="H13" s="119"/>
      <x:c r="I13" s="119"/>
      <x:c r="J13" s="119"/>
      <x:c r="K13" s="119"/>
      <x:c r="L13" s="5"/>
    </x:row>
    <x:row r="14">
      <x:c r="A14" s="133" t="str">
        <x:v>Author</x:v>
      </x:c>
      <x:c r="B14" s="119" t="str">
        <x:v>Codex</x:v>
      </x:c>
      <x:c r="C14" s="119"/>
      <x:c r="D14" s="119"/>
      <x:c r="E14" s="119"/>
      <x:c r="F14" s="134"/>
      <x:c r="G14" s="119"/>
      <x:c r="H14" s="119"/>
      <x:c r="I14" s="119"/>
      <x:c r="J14" s="119"/>
      <x:c r="K14" s="119"/>
      <x:c r="L14" s="5"/>
    </x:row>
    <x:row r="15">
      <x:c r="A15" s="133" t="str">
        <x:v>Historical period</x:v>
      </x:c>
      <x:c r="B15" s="119" t="str">
        <x:v>FY2021-FY2026</x:v>
      </x:c>
      <x:c r="C15" s="119"/>
      <x:c r="D15" s="119"/>
      <x:c r="E15" s="119"/>
      <x:c r="F15" s="134"/>
      <x:c r="G15" s="119"/>
      <x:c r="H15" s="119"/>
      <x:c r="I15" s="119"/>
      <x:c r="J15" s="119"/>
      <x:c r="K15" s="119"/>
      <x:c r="L15" s="5"/>
    </x:row>
    <x:row r="16">
      <x:c r="A16" s="133" t="str">
        <x:v>Forecast period</x:v>
      </x:c>
      <x:c r="B16" s="119" t="str">
        <x:v>FY2027E-FY2031E</x:v>
      </x:c>
      <x:c r="C16" s="119"/>
      <x:c r="D16" s="119"/>
      <x:c r="E16" s="119"/>
      <x:c r="F16" s="134"/>
      <x:c r="G16" s="119"/>
      <x:c r="H16" s="119"/>
      <x:c r="I16" s="119"/>
      <x:c r="J16" s="119"/>
      <x:c r="K16" s="119"/>
      <x:c r="L16" s="5"/>
    </x:row>
    <x:row r="17">
      <x:c r="A17" s="133" t="str">
        <x:v>Calculation note</x:v>
      </x:c>
      <x:c r="B17" s="119" t="str">
        <x:v>No circular references are used.  Cash is derived from the cash flow schedule.</x:v>
      </x:c>
      <x:c r="C17" s="119"/>
      <x:c r="D17" s="119"/>
      <x:c r="E17" s="119"/>
      <x:c r="F17" s="134"/>
      <x:c r="G17" s="119"/>
      <x:c r="H17" s="119"/>
      <x:c r="I17" s="119"/>
      <x:c r="J17" s="119"/>
      <x:c r="K17" s="119"/>
      <x:c r="L17" s="5"/>
    </x:row>
    <x:row r="18">
      <x:c r="A18" s="133" t="str">
        <x:v>Source coverage note</x:v>
      </x:c>
      <x:c r="B18" s="119" t="str">
        <x:v>Three provided 10-K PDFs plus official FY2022 and FY2023 Form 10-K PDFs complete six historical years.</x:v>
      </x:c>
      <x:c r="C18" s="119"/>
      <x:c r="D18" s="119"/>
      <x:c r="E18" s="119"/>
      <x:c r="F18" s="134"/>
      <x:c r="G18" s="119"/>
      <x:c r="H18" s="119"/>
      <x:c r="I18" s="119"/>
      <x:c r="J18" s="119"/>
      <x:c r="K18" s="119"/>
      <x:c r="L18" s="5"/>
    </x:row>
    <x:row r="19">
      <x:c r="A19" s="135"/>
      <x:c r="B19" s="119"/>
      <x:c r="C19" s="119"/>
      <x:c r="D19" s="119"/>
      <x:c r="E19" s="119"/>
      <x:c r="F19" s="134"/>
      <x:c r="G19" s="119"/>
      <x:c r="H19" s="119"/>
      <x:c r="I19" s="119"/>
      <x:c r="J19" s="119"/>
      <x:c r="K19" s="119"/>
      <x:c r="L19" s="5"/>
    </x:row>
    <x:row r="20">
      <x:c r="A20" s="136" t="str">
        <x:v>Color convention</x:v>
      </x:c>
      <x:c r="B20" s="137" t="str">
        <x:v>Blue font</x:v>
      </x:c>
      <x:c r="C20" s="138" t="str">
        <x:v>Hardcoded input</x:v>
      </x:c>
      <x:c r="D20" s="139" t="str">
        <x:v>Green font</x:v>
      </x:c>
      <x:c r="E20" s="138" t="str">
        <x:v>Internal workbook link</x:v>
      </x:c>
      <x:c r="F20" s="140" t="str">
        <x:v>Red font check</x:v>
      </x:c>
      <x:c r="G20" s="119"/>
      <x:c r="H20" s="119"/>
      <x:c r="I20" s="119"/>
      <x:c r="J20" s="119"/>
      <x:c r="K20" s="119"/>
      <x:c r="L20" s="5"/>
    </x:row>
    <x:row r="21">
      <x:c r="A21" s="141"/>
      <x:c r="B21" s="142"/>
      <x:c r="C21" s="142"/>
      <x:c r="D21" s="142"/>
      <x:c r="E21" s="142"/>
      <x:c r="F21" s="143"/>
      <x:c r="G21" s="119"/>
      <x:c r="H21" s="119"/>
      <x:c r="I21" s="119"/>
      <x:c r="J21" s="119"/>
      <x:c r="K21" s="119"/>
      <x:c r="L21" s="5"/>
    </x:row>
    <x:row r="22">
      <x:c r="A22" s="119"/>
      <x:c r="B22" s="119"/>
      <x:c r="C22" s="119"/>
      <x:c r="D22" s="119"/>
      <x:c r="E22" s="119"/>
      <x:c r="F22" s="119"/>
      <x:c r="G22" s="119"/>
      <x:c r="H22" s="119"/>
      <x:c r="I22" s="119"/>
      <x:c r="J22" s="119"/>
      <x:c r="K22" s="119"/>
      <x:c r="L22" s="5"/>
    </x:row>
    <x:row r="23">
      <x:c r="A23" s="119"/>
      <x:c r="B23" s="119"/>
      <x:c r="C23" s="119"/>
      <x:c r="D23" s="119"/>
      <x:c r="E23" s="119"/>
      <x:c r="F23" s="119"/>
      <x:c r="G23" s="119"/>
      <x:c r="H23" s="119"/>
      <x:c r="I23" s="119"/>
      <x:c r="J23" s="119"/>
      <x:c r="K23" s="119"/>
      <x:c r="L23" s="5"/>
    </x:row>
    <x:row r="24">
      <x:c r="A24" s="119"/>
      <x:c r="B24" s="119"/>
      <x:c r="C24" s="119"/>
      <x:c r="D24" s="119"/>
      <x:c r="E24" s="119"/>
      <x:c r="F24" s="119"/>
      <x:c r="G24" s="119"/>
      <x:c r="H24" s="119"/>
      <x:c r="I24" s="119"/>
      <x:c r="J24" s="119"/>
      <x:c r="K24" s="119"/>
      <x:c r="L24" s="5"/>
    </x:row>
    <x:row r="25">
      <x:c r="A25" s="119"/>
      <x:c r="B25" s="119"/>
      <x:c r="C25" s="119"/>
      <x:c r="D25" s="119"/>
      <x:c r="E25" s="119"/>
      <x:c r="F25" s="119"/>
      <x:c r="G25" s="119"/>
      <x:c r="H25" s="119"/>
      <x:c r="I25" s="119"/>
      <x:c r="J25" s="119"/>
      <x:c r="K25" s="119"/>
      <x:c r="L25" s="5"/>
    </x:row>
    <x:row r="26">
      <x:c r="A26" s="119"/>
      <x:c r="B26" s="119"/>
      <x:c r="C26" s="119"/>
      <x:c r="D26" s="119"/>
      <x:c r="E26" s="119"/>
      <x:c r="F26" s="119"/>
      <x:c r="G26" s="119"/>
      <x:c r="H26" s="119"/>
      <x:c r="I26" s="119"/>
      <x:c r="J26" s="119"/>
      <x:c r="K26" s="119"/>
      <x:c r="L26" s="5"/>
    </x:row>
    <x:row r="27">
      <x:c r="A27" s="119"/>
      <x:c r="B27" s="119"/>
      <x:c r="C27" s="119"/>
      <x:c r="D27" s="119"/>
      <x:c r="E27" s="119"/>
      <x:c r="F27" s="119"/>
      <x:c r="G27" s="119"/>
      <x:c r="H27" s="119"/>
      <x:c r="I27" s="119"/>
      <x:c r="J27" s="119"/>
      <x:c r="K27" s="119"/>
      <x:c r="L27" s="5"/>
    </x:row>
    <x:row r="28">
      <x:c r="A28" s="119"/>
      <x:c r="B28" s="119"/>
      <x:c r="C28" s="119"/>
      <x:c r="D28" s="119"/>
      <x:c r="E28" s="119"/>
      <x:c r="F28" s="119"/>
      <x:c r="G28" s="119"/>
      <x:c r="H28" s="119"/>
      <x:c r="I28" s="119"/>
      <x:c r="J28" s="119"/>
      <x:c r="K28" s="119"/>
      <x:c r="L28" s="5"/>
    </x:row>
    <x:row r="29">
      <x:c r="A29" s="119"/>
      <x:c r="B29" s="119"/>
      <x:c r="C29" s="119"/>
      <x:c r="D29" s="119"/>
      <x:c r="E29" s="119"/>
      <x:c r="F29" s="119"/>
      <x:c r="G29" s="119"/>
      <x:c r="H29" s="119"/>
      <x:c r="I29" s="119"/>
      <x:c r="J29" s="119"/>
      <x:c r="K29" s="119"/>
      <x:c r="L29" s="5"/>
    </x:row>
    <x:row r="30">
      <x:c r="A30" s="119"/>
      <x:c r="B30" s="119"/>
      <x:c r="C30" s="119"/>
      <x:c r="D30" s="119"/>
      <x:c r="E30" s="119"/>
      <x:c r="F30" s="119"/>
      <x:c r="G30" s="119"/>
      <x:c r="H30" s="119"/>
      <x:c r="I30" s="119"/>
      <x:c r="J30" s="119"/>
      <x:c r="K30" s="119"/>
      <x:c r="L30" s="5"/>
    </x:row>
    <x:row r="31">
      <x:c r="A31" s="119"/>
      <x:c r="B31" s="119"/>
      <x:c r="C31" s="119"/>
      <x:c r="D31" s="119"/>
      <x:c r="E31" s="119"/>
      <x:c r="F31" s="119"/>
      <x:c r="G31" s="119"/>
      <x:c r="H31" s="119"/>
      <x:c r="I31" s="119"/>
      <x:c r="J31" s="119"/>
      <x:c r="K31" s="119"/>
      <x:c r="L31" s="5"/>
    </x:row>
    <x:row r="32">
      <x:c r="A32" s="119"/>
      <x:c r="B32" s="119"/>
      <x:c r="C32" s="119"/>
      <x:c r="D32" s="119"/>
      <x:c r="E32" s="119"/>
      <x:c r="F32" s="119"/>
      <x:c r="G32" s="119"/>
      <x:c r="H32" s="119"/>
      <x:c r="I32" s="119"/>
      <x:c r="J32" s="119"/>
      <x:c r="K32" s="119"/>
      <x:c r="L32" s="5"/>
    </x:row>
    <x:row r="33">
      <x:c r="A33" s="119"/>
      <x:c r="B33" s="119"/>
      <x:c r="C33" s="119"/>
      <x:c r="D33" s="119"/>
      <x:c r="E33" s="119"/>
      <x:c r="F33" s="119"/>
      <x:c r="G33" s="119"/>
      <x:c r="H33" s="119"/>
      <x:c r="I33" s="119"/>
      <x:c r="J33" s="119"/>
      <x:c r="K33" s="119"/>
      <x:c r="L33" s="5"/>
    </x:row>
    <x:row r="34">
      <x:c r="A34" s="119"/>
      <x:c r="B34" s="119"/>
      <x:c r="C34" s="119"/>
      <x:c r="D34" s="119"/>
      <x:c r="E34" s="119"/>
      <x:c r="F34" s="119"/>
      <x:c r="G34" s="119"/>
      <x:c r="H34" s="119"/>
      <x:c r="I34" s="119"/>
      <x:c r="J34" s="119"/>
      <x:c r="K34" s="119"/>
      <x:c r="L34" s="5"/>
    </x:row>
    <x:row r="35">
      <x:c r="A35" s="119"/>
      <x:c r="B35" s="119"/>
      <x:c r="C35" s="119"/>
      <x:c r="D35" s="119"/>
      <x:c r="E35" s="119"/>
      <x:c r="F35" s="119"/>
      <x:c r="G35" s="119"/>
      <x:c r="H35" s="119"/>
      <x:c r="I35" s="119"/>
      <x:c r="J35" s="119"/>
      <x:c r="K35" s="119"/>
      <x:c r="L35" s="5"/>
    </x:row>
    <x:row r="36">
      <x:c r="A36" s="119"/>
      <x:c r="B36" s="119"/>
      <x:c r="C36" s="119"/>
      <x:c r="D36" s="119"/>
      <x:c r="E36" s="119"/>
      <x:c r="F36" s="119"/>
      <x:c r="G36" s="119"/>
      <x:c r="H36" s="119"/>
      <x:c r="I36" s="119"/>
      <x:c r="J36" s="119"/>
      <x:c r="K36" s="119"/>
      <x:c r="L36" s="5"/>
    </x:row>
    <x:row r="37">
      <x:c r="A37" s="119"/>
      <x:c r="B37" s="119"/>
      <x:c r="C37" s="119"/>
      <x:c r="D37" s="119"/>
      <x:c r="E37" s="119"/>
      <x:c r="F37" s="119"/>
      <x:c r="G37" s="119"/>
      <x:c r="H37" s="119"/>
      <x:c r="I37" s="119"/>
      <x:c r="J37" s="119"/>
      <x:c r="K37" s="119"/>
      <x:c r="L37" s="5"/>
    </x:row>
    <x:row r="38">
      <x:c r="A38" s="119"/>
      <x:c r="B38" s="119"/>
      <x:c r="C38" s="119"/>
      <x:c r="D38" s="119"/>
      <x:c r="E38" s="119"/>
      <x:c r="F38" s="119"/>
      <x:c r="G38" s="119"/>
      <x:c r="H38" s="119"/>
      <x:c r="I38" s="119"/>
      <x:c r="J38" s="119"/>
      <x:c r="K38" s="119"/>
      <x:c r="L38" s="5"/>
    </x:row>
    <x:row r="39">
      <x:c r="A39" s="119"/>
      <x:c r="B39" s="119"/>
      <x:c r="C39" s="119"/>
      <x:c r="D39" s="119"/>
      <x:c r="E39" s="119"/>
      <x:c r="F39" s="119"/>
      <x:c r="G39" s="119"/>
      <x:c r="H39" s="119"/>
      <x:c r="I39" s="119"/>
      <x:c r="J39" s="119"/>
      <x:c r="K39" s="119"/>
      <x:c r="L39" s="5"/>
    </x:row>
    <x:row r="40">
      <x:c r="A40" s="119"/>
      <x:c r="B40" s="119"/>
      <x:c r="C40" s="119"/>
      <x:c r="D40" s="119"/>
      <x:c r="E40" s="119"/>
      <x:c r="F40" s="119"/>
      <x:c r="G40" s="119"/>
      <x:c r="H40" s="119"/>
      <x:c r="I40" s="119"/>
      <x:c r="J40" s="119"/>
      <x:c r="K40" s="119"/>
      <x:c r="L40" s="5"/>
    </x:row>
    <x:row r="41">
      <x:c r="A41" s="119"/>
      <x:c r="B41" s="119"/>
      <x:c r="C41" s="119"/>
      <x:c r="D41" s="119"/>
      <x:c r="E41" s="119"/>
      <x:c r="F41" s="119"/>
      <x:c r="G41" s="119"/>
      <x:c r="H41" s="119"/>
      <x:c r="I41" s="119"/>
      <x:c r="J41" s="119"/>
      <x:c r="K41" s="119"/>
      <x:c r="L41" s="5"/>
    </x:row>
    <x:row r="42">
      <x:c r="A42" s="119"/>
      <x:c r="B42" s="119"/>
      <x:c r="C42" s="119"/>
      <x:c r="D42" s="119"/>
      <x:c r="E42" s="119"/>
      <x:c r="F42" s="119"/>
      <x:c r="G42" s="119"/>
      <x:c r="H42" s="119"/>
      <x:c r="I42" s="119"/>
      <x:c r="J42" s="119"/>
      <x:c r="K42" s="119"/>
      <x:c r="L42" s="5"/>
    </x:row>
    <x:row r="43">
      <x:c r="A43" s="119"/>
      <x:c r="B43" s="119"/>
      <x:c r="C43" s="119"/>
      <x:c r="D43" s="119"/>
      <x:c r="E43" s="119"/>
      <x:c r="F43" s="119"/>
      <x:c r="G43" s="119"/>
      <x:c r="H43" s="119"/>
      <x:c r="I43" s="119"/>
      <x:c r="J43" s="119"/>
      <x:c r="K43" s="119"/>
      <x:c r="L43" s="5"/>
    </x:row>
    <x:row r="44">
      <x:c r="A44" s="119"/>
      <x:c r="B44" s="119"/>
      <x:c r="C44" s="119"/>
      <x:c r="D44" s="119"/>
      <x:c r="E44" s="119"/>
      <x:c r="F44" s="119"/>
      <x:c r="G44" s="119"/>
      <x:c r="H44" s="119"/>
      <x:c r="I44" s="119"/>
      <x:c r="J44" s="119"/>
      <x:c r="K44" s="119"/>
      <x:c r="L44" s="5"/>
    </x:row>
    <x:row r="45">
      <x:c r="A45" s="119"/>
      <x:c r="B45" s="119"/>
      <x:c r="C45" s="119"/>
      <x:c r="D45" s="119"/>
      <x:c r="E45" s="119"/>
      <x:c r="F45" s="119"/>
      <x:c r="G45" s="119"/>
      <x:c r="H45" s="119"/>
      <x:c r="I45" s="119"/>
      <x:c r="J45" s="119"/>
      <x:c r="K45" s="119"/>
      <x:c r="L45" s="5"/>
    </x:row>
    <x:row r="46">
      <x:c r="A46" s="119"/>
      <x:c r="B46" s="119"/>
      <x:c r="C46" s="119"/>
      <x:c r="D46" s="119"/>
      <x:c r="E46" s="119"/>
      <x:c r="F46" s="119"/>
      <x:c r="G46" s="119"/>
      <x:c r="H46" s="119"/>
      <x:c r="I46" s="119"/>
      <x:c r="J46" s="119"/>
      <x:c r="K46" s="119"/>
      <x:c r="L46" s="5"/>
    </x:row>
    <x:row r="47">
      <x:c r="A47" s="119"/>
      <x:c r="B47" s="119"/>
      <x:c r="C47" s="119"/>
      <x:c r="D47" s="119"/>
      <x:c r="E47" s="119"/>
      <x:c r="F47" s="119"/>
      <x:c r="G47" s="119"/>
      <x:c r="H47" s="119"/>
      <x:c r="I47" s="119"/>
      <x:c r="J47" s="119"/>
      <x:c r="K47" s="119"/>
      <x:c r="L47" s="5"/>
    </x:row>
    <x:row r="48">
      <x:c r="A48" s="119"/>
      <x:c r="B48" s="119"/>
      <x:c r="C48" s="119"/>
      <x:c r="D48" s="119"/>
      <x:c r="E48" s="119"/>
      <x:c r="F48" s="119"/>
      <x:c r="G48" s="119"/>
      <x:c r="H48" s="119"/>
      <x:c r="I48" s="119"/>
      <x:c r="J48" s="119"/>
      <x:c r="K48" s="119"/>
      <x:c r="L48" s="5"/>
    </x:row>
    <x:row r="49">
      <x:c r="A49" s="119"/>
      <x:c r="B49" s="119"/>
      <x:c r="C49" s="119"/>
      <x:c r="D49" s="119"/>
      <x:c r="E49" s="119"/>
      <x:c r="F49" s="119"/>
      <x:c r="G49" s="119"/>
      <x:c r="H49" s="119"/>
      <x:c r="I49" s="119"/>
      <x:c r="J49" s="119"/>
      <x:c r="K49" s="119"/>
      <x:c r="L49" s="5"/>
    </x:row>
    <x:row r="50">
      <x:c r="A50" s="119"/>
      <x:c r="B50" s="119"/>
      <x:c r="C50" s="119"/>
      <x:c r="D50" s="119"/>
      <x:c r="E50" s="119"/>
      <x:c r="F50" s="119"/>
      <x:c r="G50" s="119"/>
      <x:c r="H50" s="119"/>
      <x:c r="I50" s="119"/>
      <x:c r="J50" s="119"/>
      <x:c r="K50" s="119"/>
      <x:c r="L50" s="5"/>
    </x:row>
    <x:row r="51">
      <x:c r="A51" s="119"/>
      <x:c r="B51" s="119"/>
      <x:c r="C51" s="119"/>
      <x:c r="D51" s="119"/>
      <x:c r="E51" s="119"/>
      <x:c r="F51" s="119"/>
      <x:c r="G51" s="119"/>
      <x:c r="H51" s="119"/>
      <x:c r="I51" s="119"/>
      <x:c r="J51" s="119"/>
      <x:c r="K51" s="119"/>
      <x:c r="L51" s="5"/>
    </x:row>
    <x:row r="52">
      <x:c r="A52" s="119"/>
      <x:c r="B52" s="119"/>
      <x:c r="C52" s="119"/>
      <x:c r="D52" s="119"/>
      <x:c r="E52" s="119"/>
      <x:c r="F52" s="119"/>
      <x:c r="G52" s="119"/>
      <x:c r="H52" s="119"/>
      <x:c r="I52" s="119"/>
      <x:c r="J52" s="119"/>
      <x:c r="K52" s="119"/>
      <x:c r="L52" s="5"/>
    </x:row>
    <x:row r="53">
      <x:c r="A53" s="119"/>
      <x:c r="B53" s="119"/>
      <x:c r="C53" s="119"/>
      <x:c r="D53" s="119"/>
      <x:c r="E53" s="119"/>
      <x:c r="F53" s="119"/>
      <x:c r="G53" s="119"/>
      <x:c r="H53" s="119"/>
      <x:c r="I53" s="119"/>
      <x:c r="J53" s="119"/>
      <x:c r="K53" s="119"/>
      <x:c r="L53" s="5"/>
    </x:row>
    <x:row r="54">
      <x:c r="A54" s="119"/>
      <x:c r="B54" s="119"/>
      <x:c r="C54" s="119"/>
      <x:c r="D54" s="119"/>
      <x:c r="E54" s="119"/>
      <x:c r="F54" s="119"/>
      <x:c r="G54" s="119"/>
      <x:c r="H54" s="119"/>
      <x:c r="I54" s="119"/>
      <x:c r="J54" s="119"/>
      <x:c r="K54" s="119"/>
      <x:c r="L54" s="5"/>
    </x:row>
    <x:row r="55">
      <x:c r="A55" s="119"/>
      <x:c r="B55" s="119"/>
      <x:c r="C55" s="119"/>
      <x:c r="D55" s="119"/>
      <x:c r="E55" s="119"/>
      <x:c r="F55" s="119"/>
      <x:c r="G55" s="119"/>
      <x:c r="H55" s="119"/>
      <x:c r="I55" s="119"/>
      <x:c r="J55" s="119"/>
      <x:c r="K55" s="119"/>
      <x:c r="L55" s="5"/>
    </x:row>
    <x:row r="56">
      <x:c r="A56" s="119"/>
      <x:c r="B56" s="119"/>
      <x:c r="C56" s="119"/>
      <x:c r="D56" s="119"/>
      <x:c r="E56" s="119"/>
      <x:c r="F56" s="119"/>
      <x:c r="G56" s="119"/>
      <x:c r="H56" s="119"/>
      <x:c r="I56" s="119"/>
      <x:c r="J56" s="119"/>
      <x:c r="K56" s="119"/>
      <x:c r="L56" s="5"/>
    </x:row>
    <x:row r="57">
      <x:c r="A57" s="119"/>
      <x:c r="B57" s="119"/>
      <x:c r="C57" s="119"/>
      <x:c r="D57" s="119"/>
      <x:c r="E57" s="119"/>
      <x:c r="F57" s="119"/>
      <x:c r="G57" s="119"/>
      <x:c r="H57" s="119"/>
      <x:c r="I57" s="119"/>
      <x:c r="J57" s="119"/>
      <x:c r="K57" s="119"/>
      <x:c r="L57" s="5"/>
    </x:row>
    <x:row r="58">
      <x:c r="A58" s="119"/>
      <x:c r="B58" s="119"/>
      <x:c r="C58" s="119"/>
      <x:c r="D58" s="119"/>
      <x:c r="E58" s="119"/>
      <x:c r="F58" s="119"/>
      <x:c r="G58" s="119"/>
      <x:c r="H58" s="119"/>
      <x:c r="I58" s="119"/>
      <x:c r="J58" s="119"/>
      <x:c r="K58" s="119"/>
      <x:c r="L58" s="5"/>
    </x:row>
    <x:row r="59">
      <x:c r="A59" s="119"/>
      <x:c r="B59" s="119"/>
      <x:c r="C59" s="119"/>
      <x:c r="D59" s="119"/>
      <x:c r="E59" s="119"/>
      <x:c r="F59" s="119"/>
      <x:c r="G59" s="119"/>
      <x:c r="H59" s="119"/>
      <x:c r="I59" s="119"/>
      <x:c r="J59" s="119"/>
      <x:c r="K59" s="119"/>
      <x:c r="L59" s="5"/>
    </x:row>
    <x:row r="60">
      <x:c r="A60" s="119"/>
      <x:c r="B60" s="119"/>
      <x:c r="C60" s="119"/>
      <x:c r="D60" s="119"/>
      <x:c r="E60" s="119"/>
      <x:c r="F60" s="119"/>
      <x:c r="G60" s="119"/>
      <x:c r="H60" s="119"/>
      <x:c r="I60" s="119"/>
      <x:c r="J60" s="119"/>
      <x:c r="K60" s="119"/>
      <x:c r="L60" s="5"/>
    </x:row>
    <x:row r="61">
      <x:c r="A61" s="119"/>
      <x:c r="B61" s="119"/>
      <x:c r="C61" s="119"/>
      <x:c r="D61" s="119"/>
      <x:c r="E61" s="119"/>
      <x:c r="F61" s="119"/>
      <x:c r="G61" s="119"/>
      <x:c r="H61" s="119"/>
      <x:c r="I61" s="119"/>
      <x:c r="J61" s="119"/>
      <x:c r="K61" s="119"/>
      <x:c r="L61" s="5"/>
    </x:row>
    <x:row r="62">
      <x:c r="A62" s="119"/>
      <x:c r="B62" s="119"/>
      <x:c r="C62" s="119"/>
      <x:c r="D62" s="119"/>
      <x:c r="E62" s="119"/>
      <x:c r="F62" s="119"/>
      <x:c r="G62" s="119"/>
      <x:c r="H62" s="119"/>
      <x:c r="I62" s="119"/>
      <x:c r="J62" s="119"/>
      <x:c r="K62" s="119"/>
      <x:c r="L62" s="5"/>
    </x:row>
    <x:row r="63">
      <x:c r="A63" s="119"/>
      <x:c r="B63" s="119"/>
      <x:c r="C63" s="119"/>
      <x:c r="D63" s="119"/>
      <x:c r="E63" s="119"/>
      <x:c r="F63" s="119"/>
      <x:c r="G63" s="119"/>
      <x:c r="H63" s="119"/>
      <x:c r="I63" s="119"/>
      <x:c r="J63" s="119"/>
      <x:c r="K63" s="119"/>
      <x:c r="L63" s="5"/>
    </x:row>
    <x:row r="64">
      <x:c r="A64" s="119"/>
      <x:c r="B64" s="119"/>
      <x:c r="C64" s="119"/>
      <x:c r="D64" s="119"/>
      <x:c r="E64" s="119"/>
      <x:c r="F64" s="119"/>
      <x:c r="G64" s="119"/>
      <x:c r="H64" s="119"/>
      <x:c r="I64" s="119"/>
      <x:c r="J64" s="119"/>
      <x:c r="K64" s="119"/>
      <x:c r="L64" s="5"/>
    </x:row>
    <x:row r="65">
      <x:c r="A65" s="119"/>
      <x:c r="B65" s="119"/>
      <x:c r="C65" s="119"/>
      <x:c r="D65" s="119"/>
      <x:c r="E65" s="119"/>
      <x:c r="F65" s="119"/>
      <x:c r="G65" s="119"/>
      <x:c r="H65" s="119"/>
      <x:c r="I65" s="119"/>
      <x:c r="J65" s="119"/>
      <x:c r="K65" s="119"/>
      <x:c r="L65" s="5"/>
    </x:row>
    <x:row r="66">
      <x:c r="A66" s="119"/>
      <x:c r="B66" s="119"/>
      <x:c r="C66" s="119"/>
      <x:c r="D66" s="119"/>
      <x:c r="E66" s="119"/>
      <x:c r="F66" s="119"/>
      <x:c r="G66" s="119"/>
      <x:c r="H66" s="119"/>
      <x:c r="I66" s="119"/>
      <x:c r="J66" s="119"/>
      <x:c r="K66" s="119"/>
      <x:c r="L66" s="5"/>
    </x:row>
    <x:row r="67">
      <x:c r="A67" s="119"/>
      <x:c r="B67" s="119"/>
      <x:c r="C67" s="119"/>
      <x:c r="D67" s="119"/>
      <x:c r="E67" s="119"/>
      <x:c r="F67" s="119"/>
      <x:c r="G67" s="119"/>
      <x:c r="H67" s="119"/>
      <x:c r="I67" s="119"/>
      <x:c r="J67" s="119"/>
      <x:c r="K67" s="119"/>
      <x:c r="L67" s="5"/>
    </x:row>
    <x:row r="68">
      <x:c r="A68" s="119"/>
      <x:c r="B68" s="119"/>
      <x:c r="C68" s="119"/>
      <x:c r="D68" s="119"/>
      <x:c r="E68" s="119"/>
      <x:c r="F68" s="119"/>
      <x:c r="G68" s="119"/>
      <x:c r="H68" s="119"/>
      <x:c r="I68" s="119"/>
      <x:c r="J68" s="119"/>
      <x:c r="K68" s="119"/>
      <x:c r="L68" s="5"/>
    </x:row>
    <x:row r="69">
      <x:c r="A69" s="119"/>
      <x:c r="B69" s="119"/>
      <x:c r="C69" s="119"/>
      <x:c r="D69" s="119"/>
      <x:c r="E69" s="119"/>
      <x:c r="F69" s="119"/>
      <x:c r="G69" s="119"/>
      <x:c r="H69" s="119"/>
      <x:c r="I69" s="119"/>
      <x:c r="J69" s="119"/>
      <x:c r="K69" s="119"/>
      <x:c r="L69" s="5"/>
    </x:row>
    <x:row r="70">
      <x:c r="A70" s="119"/>
      <x:c r="B70" s="119"/>
      <x:c r="C70" s="119"/>
      <x:c r="D70" s="119"/>
      <x:c r="E70" s="119"/>
      <x:c r="F70" s="119"/>
      <x:c r="G70" s="119"/>
      <x:c r="H70" s="119"/>
      <x:c r="I70" s="119"/>
      <x:c r="J70" s="119"/>
      <x:c r="K70" s="119"/>
      <x:c r="L70" s="5"/>
    </x:row>
    <x:row r="71">
      <x:c r="A71" s="119"/>
      <x:c r="B71" s="119"/>
      <x:c r="C71" s="119"/>
      <x:c r="D71" s="119"/>
      <x:c r="E71" s="119"/>
      <x:c r="F71" s="119"/>
      <x:c r="G71" s="119"/>
      <x:c r="H71" s="119"/>
      <x:c r="I71" s="119"/>
      <x:c r="J71" s="119"/>
      <x:c r="K71" s="119"/>
      <x:c r="L71" s="5"/>
    </x:row>
    <x:row r="72">
      <x:c r="A72" s="119"/>
      <x:c r="B72" s="119"/>
      <x:c r="C72" s="119"/>
      <x:c r="D72" s="119"/>
      <x:c r="E72" s="119"/>
      <x:c r="F72" s="119"/>
      <x:c r="G72" s="119"/>
      <x:c r="H72" s="119"/>
      <x:c r="I72" s="119"/>
      <x:c r="J72" s="119"/>
      <x:c r="K72" s="119"/>
      <x:c r="L72" s="5"/>
    </x:row>
    <x:row r="73">
      <x:c r="A73" s="119"/>
      <x:c r="B73" s="119"/>
      <x:c r="C73" s="119"/>
      <x:c r="D73" s="119"/>
      <x:c r="E73" s="119"/>
      <x:c r="F73" s="119"/>
      <x:c r="G73" s="119"/>
      <x:c r="H73" s="119"/>
      <x:c r="I73" s="119"/>
      <x:c r="J73" s="119"/>
      <x:c r="K73" s="119"/>
      <x:c r="L73" s="5"/>
    </x:row>
    <x:row r="74">
      <x:c r="A74" s="119"/>
      <x:c r="B74" s="119"/>
      <x:c r="C74" s="119"/>
      <x:c r="D74" s="119"/>
      <x:c r="E74" s="119"/>
      <x:c r="F74" s="119"/>
      <x:c r="G74" s="119"/>
      <x:c r="H74" s="119"/>
      <x:c r="I74" s="119"/>
      <x:c r="J74" s="119"/>
      <x:c r="K74" s="119"/>
      <x:c r="L74" s="5"/>
    </x:row>
    <x:row r="75">
      <x:c r="A75" s="119"/>
      <x:c r="B75" s="119"/>
      <x:c r="C75" s="119"/>
      <x:c r="D75" s="119"/>
      <x:c r="E75" s="119"/>
      <x:c r="F75" s="119"/>
      <x:c r="G75" s="119"/>
      <x:c r="H75" s="119"/>
      <x:c r="I75" s="119"/>
      <x:c r="J75" s="119"/>
      <x:c r="K75" s="119"/>
      <x:c r="L75" s="5"/>
    </x:row>
    <x:row r="76">
      <x:c r="A76" s="119"/>
      <x:c r="B76" s="119"/>
      <x:c r="C76" s="119"/>
      <x:c r="D76" s="119"/>
      <x:c r="E76" s="119"/>
      <x:c r="F76" s="119"/>
      <x:c r="G76" s="119"/>
      <x:c r="H76" s="119"/>
      <x:c r="I76" s="119"/>
      <x:c r="J76" s="119"/>
      <x:c r="K76" s="119"/>
      <x:c r="L76" s="5"/>
    </x:row>
    <x:row r="77">
      <x:c r="A77" s="119"/>
      <x:c r="B77" s="119"/>
      <x:c r="C77" s="119"/>
      <x:c r="D77" s="119"/>
      <x:c r="E77" s="119"/>
      <x:c r="F77" s="119"/>
      <x:c r="G77" s="119"/>
      <x:c r="H77" s="119"/>
      <x:c r="I77" s="119"/>
      <x:c r="J77" s="119"/>
      <x:c r="K77" s="119"/>
      <x:c r="L77" s="5"/>
    </x:row>
    <x:row r="78">
      <x:c r="A78" s="119"/>
      <x:c r="B78" s="119"/>
      <x:c r="C78" s="119"/>
      <x:c r="D78" s="119"/>
      <x:c r="E78" s="119"/>
      <x:c r="F78" s="119"/>
      <x:c r="G78" s="119"/>
      <x:c r="H78" s="119"/>
      <x:c r="I78" s="119"/>
      <x:c r="J78" s="119"/>
      <x:c r="K78" s="119"/>
      <x:c r="L78" s="5"/>
    </x:row>
    <x:row r="79">
      <x:c r="A79" s="119"/>
      <x:c r="B79" s="119"/>
      <x:c r="C79" s="119"/>
      <x:c r="D79" s="119"/>
      <x:c r="E79" s="119"/>
      <x:c r="F79" s="119"/>
      <x:c r="G79" s="119"/>
      <x:c r="H79" s="119"/>
      <x:c r="I79" s="119"/>
      <x:c r="J79" s="119"/>
      <x:c r="K79" s="119"/>
      <x:c r="L79" s="5"/>
    </x:row>
    <x:row r="80">
      <x:c r="A80" s="119"/>
      <x:c r="B80" s="119"/>
      <x:c r="C80" s="119"/>
      <x:c r="D80" s="119"/>
      <x:c r="E80" s="119"/>
      <x:c r="F80" s="119"/>
      <x:c r="G80" s="119"/>
      <x:c r="H80" s="119"/>
      <x:c r="I80" s="119"/>
      <x:c r="J80" s="119"/>
      <x:c r="K80" s="119"/>
      <x:c r="L80" s="5"/>
    </x:row>
  </x:sheetData>
  <x:mergeCells>
    <x:mergeCell ref="A3:F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.290000915527344" hidden="0" customWidth="1"/>
    <x:col min="2" max="2" width="9.289999961853027" hidden="0" customWidth="1"/>
    <x:col min="3" max="3" width="35" hidden="0" customWidth="1"/>
    <x:col min="4" max="4" width="9.289999961853027" hidden="0" customWidth="1"/>
    <x:col min="5" max="5" width="12.859999656677246" hidden="0" customWidth="1"/>
    <x:col min="6" max="6" width="47.86000061035156" hidden="0" customWidth="1"/>
    <x:col min="7" max="7" width="7.860000133514404" hidden="0" customWidth="1"/>
    <x:col min="8" max="8" width="59.290000915527344" hidden="0" customWidth="1"/>
  </x:cols>
  <x:sheetData>
    <x:row r="1">
      <x:c r="A1" s="4" t="str">
        <x:v>FYE: February.  Units: $ in millions except per-share data, shares in millions, ratios, and noted operating drivers.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>
      <x:c r="A3" s="144" t="str">
        <x:v>H_tag</x:v>
      </x:c>
      <x:c r="B3" s="144" t="str">
        <x:v>Statement</x:v>
      </x:c>
      <x:c r="C3" s="144" t="str">
        <x:v>Line item</x:v>
      </x:c>
      <x:c r="D3" s="144" t="str">
        <x:v>FY</x:v>
      </x:c>
      <x:c r="E3" s="144" t="str">
        <x:v>Value</x:v>
      </x:c>
      <x:c r="F3" s="144" t="str">
        <x:v>10-K filename / source</x:v>
      </x:c>
      <x:c r="G3" s="144" t="str">
        <x:v>Page</x:v>
      </x:c>
      <x:c r="H3" s="144" t="str">
        <x:v>Note</x:v>
      </x:c>
      <x:c r="I3" s="119"/>
      <x:c r="J3" s="119"/>
      <x:c r="K3" s="119"/>
      <x:c r="L3" s="5"/>
    </x:row>
    <x:row r="4">
      <x:c r="A4" s="145" t="str">
        <x:v>H.IS.PRODUCT_REVENUE.FY2021</x:v>
      </x:c>
      <x:c r="B4" s="145" t="str">
        <x:v>IS</x:v>
      </x:c>
      <x:c r="C4" s="145" t="str">
        <x:v>Product revenue</x:v>
      </x:c>
      <x:c r="D4" s="145" t="str">
        <x:v>FY2021</x:v>
      </x:c>
      <x:c r="E4" s="146" t="n">
        <x:v>1144.098</x:v>
      </x:c>
      <x:c r="F4" s="145" t="str">
        <x:v>https://www.purestorage.com/content/dam/pdf/en/legal/2023-form-10-k.pdf</x:v>
      </x:c>
      <x:c r="G4" s="145" t="n">
        <x:v>59</x:v>
      </x:c>
      <x:c r="H4" s="145" t="str">
        <x:v>Official 2023 Form 10-K used to complete FY2021 and FY2022 history.</x:v>
      </x:c>
      <x:c r="I4" s="119"/>
      <x:c r="J4" s="119"/>
      <x:c r="K4" s="119"/>
      <x:c r="L4" s="5"/>
    </x:row>
    <x:row r="5">
      <x:c r="A5" s="145" t="str">
        <x:v>H.IS.PRODUCT_REVENUE.FY2022</x:v>
      </x:c>
      <x:c r="B5" s="145" t="str">
        <x:v>IS</x:v>
      </x:c>
      <x:c r="C5" s="145" t="str">
        <x:v>Product revenue</x:v>
      </x:c>
      <x:c r="D5" s="145" t="str">
        <x:v>FY2022</x:v>
      </x:c>
      <x:c r="E5" s="146" t="n">
        <x:v>1442.338</x:v>
      </x:c>
      <x:c r="F5" s="145" t="str">
        <x:v>https://www.purestorage.com/content/dam/pdf/en/legal/2023-form-10-k.pdf</x:v>
      </x:c>
      <x:c r="G5" s="145" t="n">
        <x:v>59</x:v>
      </x:c>
      <x:c r="H5" s="145" t="str">
        <x:v>Official 2023 Form 10-K used to complete FY2021 and FY2022 history.</x:v>
      </x:c>
      <x:c r="I5" s="119"/>
      <x:c r="J5" s="119"/>
      <x:c r="K5" s="119"/>
      <x:c r="L5" s="5"/>
    </x:row>
    <x:row r="6">
      <x:c r="A6" s="145" t="str">
        <x:v>H.IS.PRODUCT_REVENUE.FY2023</x:v>
      </x:c>
      <x:c r="B6" s="145" t="str">
        <x:v>IS</x:v>
      </x:c>
      <x:c r="C6" s="145" t="str">
        <x:v>Product revenue</x:v>
      </x:c>
      <x:c r="D6" s="145" t="str">
        <x:v>FY2023</x:v>
      </x:c>
      <x:c r="E6" s="146" t="n">
        <x:v>1792.153</x:v>
      </x:c>
      <x:c r="F6" s="145" t="str">
        <x:v>https://www.purestorage.com/content/dam/pdf/en/legal/2023-form-10-k.pdf</x:v>
      </x:c>
      <x:c r="G6" s="145" t="n">
        <x:v>59</x:v>
      </x:c>
      <x:c r="H6" s="145" t="str">
        <x:v>Official 2023 Form 10-K used to complete FY2021 and FY2022 history.</x:v>
      </x:c>
      <x:c r="I6" s="119"/>
      <x:c r="J6" s="119"/>
      <x:c r="K6" s="119"/>
      <x:c r="L6" s="5"/>
    </x:row>
    <x:row r="7">
      <x:c r="A7" s="145" t="str">
        <x:v>H.IS.PRODUCT_REVENUE.FY2024</x:v>
      </x:c>
      <x:c r="B7" s="145" t="str">
        <x:v>IS</x:v>
      </x:c>
      <x:c r="C7" s="145" t="str">
        <x:v>Product revenue</x:v>
      </x:c>
      <x:c r="D7" s="145" t="str">
        <x:v>FY2024</x:v>
      </x:c>
      <x:c r="E7" s="146" t="n">
        <x:v>1622.869</x:v>
      </x:c>
      <x:c r="F7" s="145" t="str">
        <x:v>ed7936ac-e0cd-408a-ae7f-063381fdf3a1.pdf</x:v>
      </x:c>
      <x:c r="G7" s="145" t="n">
        <x:v>60</x:v>
      </x:c>
      <x:c r="H7" s="145" t="str">
        <x:v>Provided 2024 Form 10-K.  Company named Pure Storage in this filing.</x:v>
      </x:c>
      <x:c r="I7" s="119"/>
      <x:c r="J7" s="119"/>
      <x:c r="K7" s="119"/>
      <x:c r="L7" s="5"/>
    </x:row>
    <x:row r="8">
      <x:c r="A8" s="145" t="str">
        <x:v>H.IS.PRODUCT_REVENUE.FY2025</x:v>
      </x:c>
      <x:c r="B8" s="145" t="str">
        <x:v>IS</x:v>
      </x:c>
      <x:c r="C8" s="145" t="str">
        <x:v>Product revenue</x:v>
      </x:c>
      <x:c r="D8" s="145" t="str">
        <x:v>FY2025</x:v>
      </x:c>
      <x:c r="E8" s="146" t="n">
        <x:v>1699.494</x:v>
      </x:c>
      <x:c r="F8" s="145" t="str">
        <x:v>8c023447-ebc8-42c3-86e5-21558f3d7224.pdf</x:v>
      </x:c>
      <x:c r="G8" s="145" t="n">
        <x:v>58</x:v>
      </x:c>
      <x:c r="H8" s="145" t="str">
        <x:v>Provided 2025 Form 10-K.  Company named Pure Storage in this filing.</x:v>
      </x:c>
      <x:c r="I8" s="119"/>
      <x:c r="J8" s="119"/>
      <x:c r="K8" s="119"/>
      <x:c r="L8" s="5"/>
    </x:row>
    <x:row r="9">
      <x:c r="A9" s="145" t="str">
        <x:v>H.IS.PRODUCT_REVENUE.FY2026</x:v>
      </x:c>
      <x:c r="B9" s="145" t="str">
        <x:v>IS</x:v>
      </x:c>
      <x:c r="C9" s="145" t="str">
        <x:v>Product revenue</x:v>
      </x:c>
      <x:c r="D9" s="145" t="str">
        <x:v>FY2026</x:v>
      </x:c>
      <x:c r="E9" s="146" t="n">
        <x:v>1971.678</x:v>
      </x:c>
      <x:c r="F9" s="145" t="str">
        <x:v>2e1ef280-4c52-445c-b593-a6c3a1fbfec6.pdf</x:v>
      </x:c>
      <x:c r="G9" s="145" t="n">
        <x:v>60</x:v>
      </x:c>
      <x:c r="H9" s="145" t="str">
        <x:v>Provided 2026 Form 10-K.  Company named Everpure in this filing.</x:v>
      </x:c>
      <x:c r="I9" s="119"/>
      <x:c r="J9" s="119"/>
      <x:c r="K9" s="119"/>
      <x:c r="L9" s="5"/>
    </x:row>
    <x:row r="10">
      <x:c r="A10" s="145" t="str">
        <x:v>H.IS.SUBSCRIPTION_REVENUE.FY2021</x:v>
      </x:c>
      <x:c r="B10" s="145" t="str">
        <x:v>IS</x:v>
      </x:c>
      <x:c r="C10" s="145" t="str">
        <x:v>Service / subscription revenue</x:v>
      </x:c>
      <x:c r="D10" s="145" t="str">
        <x:v>FY2021</x:v>
      </x:c>
      <x:c r="E10" s="146" t="n">
        <x:v>540.081</x:v>
      </x:c>
      <x:c r="F10" s="145" t="str">
        <x:v>https://www.purestorage.com/content/dam/pdf/en/legal/2023-form-10-k.pdf</x:v>
      </x:c>
      <x:c r="G10" s="145" t="n">
        <x:v>59</x:v>
      </x:c>
      <x:c r="H10" s="145" t="str">
        <x:v>Official 2023 Form 10-K used to complete FY2021 and FY2022 history.</x:v>
      </x:c>
      <x:c r="I10" s="119"/>
      <x:c r="J10" s="119"/>
      <x:c r="K10" s="119"/>
      <x:c r="L10" s="5"/>
    </x:row>
    <x:row r="11">
      <x:c r="A11" s="145" t="str">
        <x:v>H.IS.SUBSCRIPTION_REVENUE.FY2022</x:v>
      </x:c>
      <x:c r="B11" s="145" t="str">
        <x:v>IS</x:v>
      </x:c>
      <x:c r="C11" s="145" t="str">
        <x:v>Service / subscription revenue</x:v>
      </x:c>
      <x:c r="D11" s="145" t="str">
        <x:v>FY2022</x:v>
      </x:c>
      <x:c r="E11" s="146" t="n">
        <x:v>738.51</x:v>
      </x:c>
      <x:c r="F11" s="145" t="str">
        <x:v>https://www.purestorage.com/content/dam/pdf/en/legal/2023-form-10-k.pdf</x:v>
      </x:c>
      <x:c r="G11" s="145" t="n">
        <x:v>59</x:v>
      </x:c>
      <x:c r="H11" s="145" t="str">
        <x:v>Official 2023 Form 10-K used to complete FY2021 and FY2022 history.</x:v>
      </x:c>
      <x:c r="I11" s="119"/>
      <x:c r="J11" s="119"/>
      <x:c r="K11" s="119"/>
      <x:c r="L11" s="5"/>
    </x:row>
    <x:row r="12">
      <x:c r="A12" s="145" t="str">
        <x:v>H.IS.SUBSCRIPTION_REVENUE.FY2023</x:v>
      </x:c>
      <x:c r="B12" s="145" t="str">
        <x:v>IS</x:v>
      </x:c>
      <x:c r="C12" s="145" t="str">
        <x:v>Service / subscription revenue</x:v>
      </x:c>
      <x:c r="D12" s="145" t="str">
        <x:v>FY2023</x:v>
      </x:c>
      <x:c r="E12" s="146" t="n">
        <x:v>961.281</x:v>
      </x:c>
      <x:c r="F12" s="145" t="str">
        <x:v>https://www.purestorage.com/content/dam/pdf/en/legal/2023-form-10-k.pdf</x:v>
      </x:c>
      <x:c r="G12" s="145" t="n">
        <x:v>59</x:v>
      </x:c>
      <x:c r="H12" s="145" t="str">
        <x:v>Official 2023 Form 10-K used to complete FY2021 and FY2022 history.</x:v>
      </x:c>
      <x:c r="I12" s="119"/>
      <x:c r="J12" s="119"/>
      <x:c r="K12" s="119"/>
      <x:c r="L12" s="5"/>
    </x:row>
    <x:row r="13">
      <x:c r="A13" s="145" t="str">
        <x:v>H.IS.SUBSCRIPTION_REVENUE.FY2024</x:v>
      </x:c>
      <x:c r="B13" s="145" t="str">
        <x:v>IS</x:v>
      </x:c>
      <x:c r="C13" s="145" t="str">
        <x:v>Service / subscription revenue</x:v>
      </x:c>
      <x:c r="D13" s="145" t="str">
        <x:v>FY2024</x:v>
      </x:c>
      <x:c r="E13" s="146" t="n">
        <x:v>1207.752</x:v>
      </x:c>
      <x:c r="F13" s="145" t="str">
        <x:v>ed7936ac-e0cd-408a-ae7f-063381fdf3a1.pdf</x:v>
      </x:c>
      <x:c r="G13" s="145" t="n">
        <x:v>60</x:v>
      </x:c>
      <x:c r="H13" s="145" t="str">
        <x:v>Provided 2024 Form 10-K.  Company named Pure Storage in this filing.</x:v>
      </x:c>
      <x:c r="I13" s="119"/>
      <x:c r="J13" s="119"/>
      <x:c r="K13" s="119"/>
      <x:c r="L13" s="5"/>
    </x:row>
    <x:row r="14">
      <x:c r="A14" s="145" t="str">
        <x:v>H.IS.SUBSCRIPTION_REVENUE.FY2025</x:v>
      </x:c>
      <x:c r="B14" s="145" t="str">
        <x:v>IS</x:v>
      </x:c>
      <x:c r="C14" s="145" t="str">
        <x:v>Service / subscription revenue</x:v>
      </x:c>
      <x:c r="D14" s="145" t="str">
        <x:v>FY2025</x:v>
      </x:c>
      <x:c r="E14" s="146" t="n">
        <x:v>1468.67</x:v>
      </x:c>
      <x:c r="F14" s="145" t="str">
        <x:v>8c023447-ebc8-42c3-86e5-21558f3d7224.pdf</x:v>
      </x:c>
      <x:c r="G14" s="145" t="n">
        <x:v>58</x:v>
      </x:c>
      <x:c r="H14" s="145" t="str">
        <x:v>Provided 2025 Form 10-K.  Company named Pure Storage in this filing.</x:v>
      </x:c>
      <x:c r="I14" s="119"/>
      <x:c r="J14" s="119"/>
      <x:c r="K14" s="119"/>
      <x:c r="L14" s="5"/>
    </x:row>
    <x:row r="15">
      <x:c r="A15" s="145" t="str">
        <x:v>H.IS.SUBSCRIPTION_REVENUE.FY2026</x:v>
      </x:c>
      <x:c r="B15" s="145" t="str">
        <x:v>IS</x:v>
      </x:c>
      <x:c r="C15" s="145" t="str">
        <x:v>Service / subscription revenue</x:v>
      </x:c>
      <x:c r="D15" s="145" t="str">
        <x:v>FY2026</x:v>
      </x:c>
      <x:c r="E15" s="146" t="n">
        <x:v>1691.165</x:v>
      </x:c>
      <x:c r="F15" s="145" t="str">
        <x:v>2e1ef280-4c52-445c-b593-a6c3a1fbfec6.pdf</x:v>
      </x:c>
      <x:c r="G15" s="145" t="n">
        <x:v>60</x:v>
      </x:c>
      <x:c r="H15" s="145" t="str">
        <x:v>Provided 2026 Form 10-K.  Company named Everpure in this filing.</x:v>
      </x:c>
      <x:c r="I15" s="119"/>
      <x:c r="J15" s="119"/>
      <x:c r="K15" s="119"/>
      <x:c r="L15" s="5"/>
    </x:row>
    <x:row r="16">
      <x:c r="A16" s="145" t="str">
        <x:v>H.IS.TOTAL_REVENUE.FY2021</x:v>
      </x:c>
      <x:c r="B16" s="145" t="str">
        <x:v>IS</x:v>
      </x:c>
      <x:c r="C16" s="145" t="str">
        <x:v>Total revenue</x:v>
      </x:c>
      <x:c r="D16" s="145" t="str">
        <x:v>FY2021</x:v>
      </x:c>
      <x:c r="E16" s="146" t="n">
        <x:v>1684.179</x:v>
      </x:c>
      <x:c r="F16" s="145" t="str">
        <x:v>https://www.purestorage.com/content/dam/pdf/en/legal/2023-form-10-k.pdf</x:v>
      </x:c>
      <x:c r="G16" s="145" t="n">
        <x:v>59</x:v>
      </x:c>
      <x:c r="H16" s="145" t="str">
        <x:v>Official 2023 Form 10-K used to complete FY2021 and FY2022 history.</x:v>
      </x:c>
      <x:c r="I16" s="119"/>
      <x:c r="J16" s="119"/>
      <x:c r="K16" s="119"/>
      <x:c r="L16" s="5"/>
    </x:row>
    <x:row r="17">
      <x:c r="A17" s="145" t="str">
        <x:v>H.IS.TOTAL_REVENUE.FY2022</x:v>
      </x:c>
      <x:c r="B17" s="145" t="str">
        <x:v>IS</x:v>
      </x:c>
      <x:c r="C17" s="145" t="str">
        <x:v>Total revenue</x:v>
      </x:c>
      <x:c r="D17" s="145" t="str">
        <x:v>FY2022</x:v>
      </x:c>
      <x:c r="E17" s="146" t="n">
        <x:v>2180.848</x:v>
      </x:c>
      <x:c r="F17" s="145" t="str">
        <x:v>https://www.purestorage.com/content/dam/pdf/en/legal/2023-form-10-k.pdf</x:v>
      </x:c>
      <x:c r="G17" s="145" t="n">
        <x:v>59</x:v>
      </x:c>
      <x:c r="H17" s="145" t="str">
        <x:v>Official 2023 Form 10-K used to complete FY2021 and FY2022 history.</x:v>
      </x:c>
      <x:c r="I17" s="119"/>
      <x:c r="J17" s="119"/>
      <x:c r="K17" s="119"/>
      <x:c r="L17" s="5"/>
    </x:row>
    <x:row r="18">
      <x:c r="A18" s="145" t="str">
        <x:v>H.IS.TOTAL_REVENUE.FY2023</x:v>
      </x:c>
      <x:c r="B18" s="145" t="str">
        <x:v>IS</x:v>
      </x:c>
      <x:c r="C18" s="145" t="str">
        <x:v>Total revenue</x:v>
      </x:c>
      <x:c r="D18" s="145" t="str">
        <x:v>FY2023</x:v>
      </x:c>
      <x:c r="E18" s="146" t="n">
        <x:v>2753.434</x:v>
      </x:c>
      <x:c r="F18" s="145" t="str">
        <x:v>https://www.purestorage.com/content/dam/pdf/en/legal/2023-form-10-k.pdf</x:v>
      </x:c>
      <x:c r="G18" s="145" t="n">
        <x:v>59</x:v>
      </x:c>
      <x:c r="H18" s="145" t="str">
        <x:v>Official 2023 Form 10-K used to complete FY2021 and FY2022 history.</x:v>
      </x:c>
      <x:c r="I18" s="119"/>
      <x:c r="J18" s="119"/>
      <x:c r="K18" s="119"/>
      <x:c r="L18" s="5"/>
    </x:row>
    <x:row r="19">
      <x:c r="A19" s="145" t="str">
        <x:v>H.IS.TOTAL_REVENUE.FY2024</x:v>
      </x:c>
      <x:c r="B19" s="145" t="str">
        <x:v>IS</x:v>
      </x:c>
      <x:c r="C19" s="145" t="str">
        <x:v>Total revenue</x:v>
      </x:c>
      <x:c r="D19" s="145" t="str">
        <x:v>FY2024</x:v>
      </x:c>
      <x:c r="E19" s="146" t="n">
        <x:v>2830.621</x:v>
      </x:c>
      <x:c r="F19" s="145" t="str">
        <x:v>ed7936ac-e0cd-408a-ae7f-063381fdf3a1.pdf</x:v>
      </x:c>
      <x:c r="G19" s="145" t="n">
        <x:v>60</x:v>
      </x:c>
      <x:c r="H19" s="145" t="str">
        <x:v>Provided 2024 Form 10-K.  Company named Pure Storage in this filing.</x:v>
      </x:c>
      <x:c r="I19" s="119"/>
      <x:c r="J19" s="119"/>
      <x:c r="K19" s="119"/>
      <x:c r="L19" s="5"/>
    </x:row>
    <x:row r="20">
      <x:c r="A20" s="145" t="str">
        <x:v>H.IS.TOTAL_REVENUE.FY2025</x:v>
      </x:c>
      <x:c r="B20" s="145" t="str">
        <x:v>IS</x:v>
      </x:c>
      <x:c r="C20" s="145" t="str">
        <x:v>Total revenue</x:v>
      </x:c>
      <x:c r="D20" s="145" t="str">
        <x:v>FY2025</x:v>
      </x:c>
      <x:c r="E20" s="146" t="n">
        <x:v>3168.164</x:v>
      </x:c>
      <x:c r="F20" s="145" t="str">
        <x:v>8c023447-ebc8-42c3-86e5-21558f3d7224.pdf</x:v>
      </x:c>
      <x:c r="G20" s="145" t="n">
        <x:v>58</x:v>
      </x:c>
      <x:c r="H20" s="145" t="str">
        <x:v>Provided 2025 Form 10-K.  Company named Pure Storage in this filing.</x:v>
      </x:c>
      <x:c r="I20" s="119"/>
      <x:c r="J20" s="119"/>
      <x:c r="K20" s="119"/>
      <x:c r="L20" s="5"/>
    </x:row>
    <x:row r="21">
      <x:c r="A21" s="145" t="str">
        <x:v>H.IS.TOTAL_REVENUE.FY2026</x:v>
      </x:c>
      <x:c r="B21" s="145" t="str">
        <x:v>IS</x:v>
      </x:c>
      <x:c r="C21" s="145" t="str">
        <x:v>Total revenue</x:v>
      </x:c>
      <x:c r="D21" s="145" t="str">
        <x:v>FY2026</x:v>
      </x:c>
      <x:c r="E21" s="146" t="n">
        <x:v>3662.843</x:v>
      </x:c>
      <x:c r="F21" s="145" t="str">
        <x:v>2e1ef280-4c52-445c-b593-a6c3a1fbfec6.pdf</x:v>
      </x:c>
      <x:c r="G21" s="145" t="n">
        <x:v>60</x:v>
      </x:c>
      <x:c r="H21" s="145" t="str">
        <x:v>Provided 2026 Form 10-K.  Company named Everpure in this filing.</x:v>
      </x:c>
      <x:c r="I21" s="119"/>
      <x:c r="J21" s="119"/>
      <x:c r="K21" s="119"/>
      <x:c r="L21" s="5"/>
    </x:row>
    <x:row r="22">
      <x:c r="A22" s="145" t="str">
        <x:v>H.IS.COGS_PRODUCT.FY2021</x:v>
      </x:c>
      <x:c r="B22" s="145" t="str">
        <x:v>IS</x:v>
      </x:c>
      <x:c r="C22" s="145" t="str">
        <x:v>Cost of revenue - Product</x:v>
      </x:c>
      <x:c r="D22" s="145" t="str">
        <x:v>FY2021</x:v>
      </x:c>
      <x:c r="E22" s="146" t="n">
        <x:v>352.987</x:v>
      </x:c>
      <x:c r="F22" s="145" t="str">
        <x:v>https://www.purestorage.com/content/dam/pdf/en/legal/2023-form-10-k.pdf</x:v>
      </x:c>
      <x:c r="G22" s="145" t="n">
        <x:v>59</x:v>
      </x:c>
      <x:c r="H22" s="145" t="str">
        <x:v>Official 2023 Form 10-K used to complete FY2021 and FY2022 history.</x:v>
      </x:c>
      <x:c r="I22" s="119"/>
      <x:c r="J22" s="119"/>
      <x:c r="K22" s="119"/>
      <x:c r="L22" s="5"/>
    </x:row>
    <x:row r="23">
      <x:c r="A23" s="145" t="str">
        <x:v>H.IS.COGS_PRODUCT.FY2022</x:v>
      </x:c>
      <x:c r="B23" s="145" t="str">
        <x:v>IS</x:v>
      </x:c>
      <x:c r="C23" s="145" t="str">
        <x:v>Cost of revenue - Product</x:v>
      </x:c>
      <x:c r="D23" s="145" t="str">
        <x:v>FY2022</x:v>
      </x:c>
      <x:c r="E23" s="146" t="n">
        <x:v>477.899</x:v>
      </x:c>
      <x:c r="F23" s="145" t="str">
        <x:v>https://www.purestorage.com/content/dam/pdf/en/legal/2023-form-10-k.pdf</x:v>
      </x:c>
      <x:c r="G23" s="145" t="n">
        <x:v>59</x:v>
      </x:c>
      <x:c r="H23" s="145" t="str">
        <x:v>Official 2023 Form 10-K used to complete FY2021 and FY2022 history.</x:v>
      </x:c>
      <x:c r="I23" s="119"/>
      <x:c r="J23" s="119"/>
      <x:c r="K23" s="119"/>
      <x:c r="L23" s="5"/>
    </x:row>
    <x:row r="24">
      <x:c r="A24" s="145" t="str">
        <x:v>H.IS.COGS_PRODUCT.FY2023</x:v>
      </x:c>
      <x:c r="B24" s="145" t="str">
        <x:v>IS</x:v>
      </x:c>
      <x:c r="C24" s="145" t="str">
        <x:v>Cost of revenue - Product</x:v>
      </x:c>
      <x:c r="D24" s="145" t="str">
        <x:v>FY2023</x:v>
      </x:c>
      <x:c r="E24" s="146" t="n">
        <x:v>569.793</x:v>
      </x:c>
      <x:c r="F24" s="145" t="str">
        <x:v>https://www.purestorage.com/content/dam/pdf/en/legal/2023-form-10-k.pdf</x:v>
      </x:c>
      <x:c r="G24" s="145" t="n">
        <x:v>59</x:v>
      </x:c>
      <x:c r="H24" s="145" t="str">
        <x:v>Official 2023 Form 10-K used to complete FY2021 and FY2022 history.</x:v>
      </x:c>
      <x:c r="I24" s="119"/>
      <x:c r="J24" s="119"/>
      <x:c r="K24" s="119"/>
      <x:c r="L24" s="5"/>
    </x:row>
    <x:row r="25">
      <x:c r="A25" s="145" t="str">
        <x:v>H.IS.COGS_PRODUCT.FY2024</x:v>
      </x:c>
      <x:c r="B25" s="145" t="str">
        <x:v>IS</x:v>
      </x:c>
      <x:c r="C25" s="145" t="str">
        <x:v>Cost of revenue - Product</x:v>
      </x:c>
      <x:c r="D25" s="145" t="str">
        <x:v>FY2024</x:v>
      </x:c>
      <x:c r="E25" s="146" t="n">
        <x:v>472.43</x:v>
      </x:c>
      <x:c r="F25" s="145" t="str">
        <x:v>ed7936ac-e0cd-408a-ae7f-063381fdf3a1.pdf</x:v>
      </x:c>
      <x:c r="G25" s="145" t="n">
        <x:v>60</x:v>
      </x:c>
      <x:c r="H25" s="145" t="str">
        <x:v>Provided 2024 Form 10-K.  Company named Pure Storage in this filing.</x:v>
      </x:c>
      <x:c r="I25" s="119"/>
      <x:c r="J25" s="119"/>
      <x:c r="K25" s="119"/>
      <x:c r="L25" s="5"/>
    </x:row>
    <x:row r="26">
      <x:c r="A26" s="145" t="str">
        <x:v>H.IS.COGS_PRODUCT.FY2025</x:v>
      </x:c>
      <x:c r="B26" s="145" t="str">
        <x:v>IS</x:v>
      </x:c>
      <x:c r="C26" s="145" t="str">
        <x:v>Cost of revenue - Product</x:v>
      </x:c>
      <x:c r="D26" s="145" t="str">
        <x:v>FY2025</x:v>
      </x:c>
      <x:c r="E26" s="146" t="n">
        <x:v>575.347</x:v>
      </x:c>
      <x:c r="F26" s="145" t="str">
        <x:v>8c023447-ebc8-42c3-86e5-21558f3d7224.pdf</x:v>
      </x:c>
      <x:c r="G26" s="145" t="n">
        <x:v>58</x:v>
      </x:c>
      <x:c r="H26" s="145" t="str">
        <x:v>Provided 2025 Form 10-K.  Company named Pure Storage in this filing.</x:v>
      </x:c>
      <x:c r="I26" s="119"/>
      <x:c r="J26" s="119"/>
      <x:c r="K26" s="119"/>
      <x:c r="L26" s="5"/>
    </x:row>
    <x:row r="27">
      <x:c r="A27" s="145" t="str">
        <x:v>H.IS.COGS_PRODUCT.FY2026</x:v>
      </x:c>
      <x:c r="B27" s="145" t="str">
        <x:v>IS</x:v>
      </x:c>
      <x:c r="C27" s="145" t="str">
        <x:v>Cost of revenue - Product</x:v>
      </x:c>
      <x:c r="D27" s="145" t="str">
        <x:v>FY2026</x:v>
      </x:c>
      <x:c r="E27" s="146" t="n">
        <x:v>651.444</x:v>
      </x:c>
      <x:c r="F27" s="145" t="str">
        <x:v>2e1ef280-4c52-445c-b593-a6c3a1fbfec6.pdf</x:v>
      </x:c>
      <x:c r="G27" s="145" t="n">
        <x:v>60</x:v>
      </x:c>
      <x:c r="H27" s="145" t="str">
        <x:v>Provided 2026 Form 10-K.  Company named Everpure in this filing.</x:v>
      </x:c>
      <x:c r="I27" s="119"/>
      <x:c r="J27" s="119"/>
      <x:c r="K27" s="119"/>
      <x:c r="L27" s="5"/>
    </x:row>
    <x:row r="28">
      <x:c r="A28" s="145" t="str">
        <x:v>H.IS.COGS_SUBSCRIPTION.FY2021</x:v>
      </x:c>
      <x:c r="B28" s="145" t="str">
        <x:v>IS</x:v>
      </x:c>
      <x:c r="C28" s="145" t="str">
        <x:v>Cost of revenue - Service / subscription</x:v>
      </x:c>
      <x:c r="D28" s="145" t="str">
        <x:v>FY2021</x:v>
      </x:c>
      <x:c r="E28" s="146" t="n">
        <x:v>182.268</x:v>
      </x:c>
      <x:c r="F28" s="145" t="str">
        <x:v>https://www.purestorage.com/content/dam/pdf/en/legal/2023-form-10-k.pdf</x:v>
      </x:c>
      <x:c r="G28" s="145" t="n">
        <x:v>59</x:v>
      </x:c>
      <x:c r="H28" s="145" t="str">
        <x:v>Official 2023 Form 10-K used to complete FY2021 and FY2022 history.</x:v>
      </x:c>
      <x:c r="I28" s="119"/>
      <x:c r="J28" s="119"/>
      <x:c r="K28" s="119"/>
      <x:c r="L28" s="5"/>
    </x:row>
    <x:row r="29">
      <x:c r="A29" s="145" t="str">
        <x:v>H.IS.COGS_SUBSCRIPTION.FY2022</x:v>
      </x:c>
      <x:c r="B29" s="145" t="str">
        <x:v>IS</x:v>
      </x:c>
      <x:c r="C29" s="145" t="str">
        <x:v>Cost of revenue - Service / subscription</x:v>
      </x:c>
      <x:c r="D29" s="145" t="str">
        <x:v>FY2022</x:v>
      </x:c>
      <x:c r="E29" s="146" t="n">
        <x:v>230.43</x:v>
      </x:c>
      <x:c r="F29" s="145" t="str">
        <x:v>https://www.purestorage.com/content/dam/pdf/en/legal/2023-form-10-k.pdf</x:v>
      </x:c>
      <x:c r="G29" s="145" t="n">
        <x:v>59</x:v>
      </x:c>
      <x:c r="H29" s="145" t="str">
        <x:v>Official 2023 Form 10-K used to complete FY2021 and FY2022 history.</x:v>
      </x:c>
      <x:c r="I29" s="119"/>
      <x:c r="J29" s="119"/>
      <x:c r="K29" s="119"/>
      <x:c r="L29" s="5"/>
    </x:row>
    <x:row r="30">
      <x:c r="A30" s="145" t="str">
        <x:v>H.IS.COGS_SUBSCRIPTION.FY2023</x:v>
      </x:c>
      <x:c r="B30" s="145" t="str">
        <x:v>IS</x:v>
      </x:c>
      <x:c r="C30" s="145" t="str">
        <x:v>Cost of revenue - Service / subscription</x:v>
      </x:c>
      <x:c r="D30" s="145" t="str">
        <x:v>FY2023</x:v>
      </x:c>
      <x:c r="E30" s="146" t="n">
        <x:v>285.995</x:v>
      </x:c>
      <x:c r="F30" s="145" t="str">
        <x:v>https://www.purestorage.com/content/dam/pdf/en/legal/2023-form-10-k.pdf</x:v>
      </x:c>
      <x:c r="G30" s="145" t="n">
        <x:v>59</x:v>
      </x:c>
      <x:c r="H30" s="145" t="str">
        <x:v>Official 2023 Form 10-K used to complete FY2021 and FY2022 history.</x:v>
      </x:c>
      <x:c r="I30" s="119"/>
      <x:c r="J30" s="119"/>
      <x:c r="K30" s="119"/>
      <x:c r="L30" s="5"/>
    </x:row>
    <x:row r="31">
      <x:c r="A31" s="145" t="str">
        <x:v>H.IS.COGS_SUBSCRIPTION.FY2024</x:v>
      </x:c>
      <x:c r="B31" s="145" t="str">
        <x:v>IS</x:v>
      </x:c>
      <x:c r="C31" s="145" t="str">
        <x:v>Cost of revenue - Service / subscription</x:v>
      </x:c>
      <x:c r="D31" s="145" t="str">
        <x:v>FY2024</x:v>
      </x:c>
      <x:c r="E31" s="146" t="n">
        <x:v>337</x:v>
      </x:c>
      <x:c r="F31" s="145" t="str">
        <x:v>ed7936ac-e0cd-408a-ae7f-063381fdf3a1.pdf</x:v>
      </x:c>
      <x:c r="G31" s="145" t="n">
        <x:v>60</x:v>
      </x:c>
      <x:c r="H31" s="145" t="str">
        <x:v>Provided 2024 Form 10-K.  Company named Pure Storage in this filing.</x:v>
      </x:c>
      <x:c r="I31" s="119"/>
      <x:c r="J31" s="119"/>
      <x:c r="K31" s="119"/>
      <x:c r="L31" s="5"/>
    </x:row>
    <x:row r="32">
      <x:c r="A32" s="145" t="str">
        <x:v>H.IS.COGS_SUBSCRIPTION.FY2025</x:v>
      </x:c>
      <x:c r="B32" s="145" t="str">
        <x:v>IS</x:v>
      </x:c>
      <x:c r="C32" s="145" t="str">
        <x:v>Cost of revenue - Service / subscription</x:v>
      </x:c>
      <x:c r="D32" s="145" t="str">
        <x:v>FY2025</x:v>
      </x:c>
      <x:c r="E32" s="146" t="n">
        <x:v>380.108</x:v>
      </x:c>
      <x:c r="F32" s="145" t="str">
        <x:v>8c023447-ebc8-42c3-86e5-21558f3d7224.pdf</x:v>
      </x:c>
      <x:c r="G32" s="145" t="n">
        <x:v>58</x:v>
      </x:c>
      <x:c r="H32" s="145" t="str">
        <x:v>Provided 2025 Form 10-K.  Company named Pure Storage in this filing.</x:v>
      </x:c>
      <x:c r="I32" s="119"/>
      <x:c r="J32" s="119"/>
      <x:c r="K32" s="119"/>
      <x:c r="L32" s="5"/>
    </x:row>
    <x:row r="33">
      <x:c r="A33" s="145" t="str">
        <x:v>H.IS.COGS_SUBSCRIPTION.FY2026</x:v>
      </x:c>
      <x:c r="B33" s="145" t="str">
        <x:v>IS</x:v>
      </x:c>
      <x:c r="C33" s="145" t="str">
        <x:v>Cost of revenue - Service / subscription</x:v>
      </x:c>
      <x:c r="D33" s="145" t="str">
        <x:v>FY2026</x:v>
      </x:c>
      <x:c r="E33" s="146" t="n">
        <x:v>433.446</x:v>
      </x:c>
      <x:c r="F33" s="145" t="str">
        <x:v>2e1ef280-4c52-445c-b593-a6c3a1fbfec6.pdf</x:v>
      </x:c>
      <x:c r="G33" s="145" t="n">
        <x:v>60</x:v>
      </x:c>
      <x:c r="H33" s="145" t="str">
        <x:v>Provided 2026 Form 10-K.  Company named Everpure in this filing.</x:v>
      </x:c>
      <x:c r="I33" s="119"/>
      <x:c r="J33" s="119"/>
      <x:c r="K33" s="119"/>
      <x:c r="L33" s="5"/>
    </x:row>
    <x:row r="34">
      <x:c r="A34" s="145" t="str">
        <x:v>H.IS.TOTAL_COGS.FY2021</x:v>
      </x:c>
      <x:c r="B34" s="145" t="str">
        <x:v>IS</x:v>
      </x:c>
      <x:c r="C34" s="145" t="str">
        <x:v>Total cost of revenue</x:v>
      </x:c>
      <x:c r="D34" s="145" t="str">
        <x:v>FY2021</x:v>
      </x:c>
      <x:c r="E34" s="146" t="n">
        <x:v>535.255</x:v>
      </x:c>
      <x:c r="F34" s="145" t="str">
        <x:v>https://www.purestorage.com/content/dam/pdf/en/legal/2023-form-10-k.pdf</x:v>
      </x:c>
      <x:c r="G34" s="145" t="n">
        <x:v>59</x:v>
      </x:c>
      <x:c r="H34" s="145" t="str">
        <x:v>Official 2023 Form 10-K used to complete FY2021 and FY2022 history.</x:v>
      </x:c>
      <x:c r="I34" s="119"/>
      <x:c r="J34" s="119"/>
      <x:c r="K34" s="119"/>
      <x:c r="L34" s="5"/>
    </x:row>
    <x:row r="35">
      <x:c r="A35" s="145" t="str">
        <x:v>H.IS.TOTAL_COGS.FY2022</x:v>
      </x:c>
      <x:c r="B35" s="145" t="str">
        <x:v>IS</x:v>
      </x:c>
      <x:c r="C35" s="145" t="str">
        <x:v>Total cost of revenue</x:v>
      </x:c>
      <x:c r="D35" s="145" t="str">
        <x:v>FY2022</x:v>
      </x:c>
      <x:c r="E35" s="146" t="n">
        <x:v>708.329</x:v>
      </x:c>
      <x:c r="F35" s="145" t="str">
        <x:v>https://www.purestorage.com/content/dam/pdf/en/legal/2023-form-10-k.pdf</x:v>
      </x:c>
      <x:c r="G35" s="145" t="n">
        <x:v>59</x:v>
      </x:c>
      <x:c r="H35" s="145" t="str">
        <x:v>Official 2023 Form 10-K used to complete FY2021 and FY2022 history.</x:v>
      </x:c>
      <x:c r="I35" s="119"/>
      <x:c r="J35" s="119"/>
      <x:c r="K35" s="119"/>
      <x:c r="L35" s="5"/>
    </x:row>
    <x:row r="36">
      <x:c r="A36" s="145" t="str">
        <x:v>H.IS.TOTAL_COGS.FY2023</x:v>
      </x:c>
      <x:c r="B36" s="145" t="str">
        <x:v>IS</x:v>
      </x:c>
      <x:c r="C36" s="145" t="str">
        <x:v>Total cost of revenue</x:v>
      </x:c>
      <x:c r="D36" s="145" t="str">
        <x:v>FY2023</x:v>
      </x:c>
      <x:c r="E36" s="146" t="n">
        <x:v>855.788</x:v>
      </x:c>
      <x:c r="F36" s="145" t="str">
        <x:v>https://www.purestorage.com/content/dam/pdf/en/legal/2023-form-10-k.pdf</x:v>
      </x:c>
      <x:c r="G36" s="145" t="n">
        <x:v>59</x:v>
      </x:c>
      <x:c r="H36" s="145" t="str">
        <x:v>Official 2023 Form 10-K used to complete FY2021 and FY2022 history.</x:v>
      </x:c>
      <x:c r="I36" s="119"/>
      <x:c r="J36" s="119"/>
      <x:c r="K36" s="119"/>
      <x:c r="L36" s="5"/>
    </x:row>
    <x:row r="37">
      <x:c r="A37" s="145" t="str">
        <x:v>H.IS.TOTAL_COGS.FY2024</x:v>
      </x:c>
      <x:c r="B37" s="145" t="str">
        <x:v>IS</x:v>
      </x:c>
      <x:c r="C37" s="145" t="str">
        <x:v>Total cost of revenue</x:v>
      </x:c>
      <x:c r="D37" s="145" t="str">
        <x:v>FY2024</x:v>
      </x:c>
      <x:c r="E37" s="146" t="n">
        <x:v>809.43</x:v>
      </x:c>
      <x:c r="F37" s="145" t="str">
        <x:v>ed7936ac-e0cd-408a-ae7f-063381fdf3a1.pdf</x:v>
      </x:c>
      <x:c r="G37" s="145" t="n">
        <x:v>60</x:v>
      </x:c>
      <x:c r="H37" s="145" t="str">
        <x:v>Provided 2024 Form 10-K.  Company named Pure Storage in this filing.</x:v>
      </x:c>
      <x:c r="I37" s="119"/>
      <x:c r="J37" s="119"/>
      <x:c r="K37" s="119"/>
      <x:c r="L37" s="5"/>
    </x:row>
    <x:row r="38">
      <x:c r="A38" s="145" t="str">
        <x:v>H.IS.TOTAL_COGS.FY2025</x:v>
      </x:c>
      <x:c r="B38" s="145" t="str">
        <x:v>IS</x:v>
      </x:c>
      <x:c r="C38" s="145" t="str">
        <x:v>Total cost of revenue</x:v>
      </x:c>
      <x:c r="D38" s="145" t="str">
        <x:v>FY2025</x:v>
      </x:c>
      <x:c r="E38" s="146" t="n">
        <x:v>955.455</x:v>
      </x:c>
      <x:c r="F38" s="145" t="str">
        <x:v>8c023447-ebc8-42c3-86e5-21558f3d7224.pdf</x:v>
      </x:c>
      <x:c r="G38" s="145" t="n">
        <x:v>58</x:v>
      </x:c>
      <x:c r="H38" s="145" t="str">
        <x:v>Provided 2025 Form 10-K.  Company named Pure Storage in this filing.</x:v>
      </x:c>
      <x:c r="I38" s="119"/>
      <x:c r="J38" s="119"/>
      <x:c r="K38" s="119"/>
      <x:c r="L38" s="5"/>
    </x:row>
    <x:row r="39">
      <x:c r="A39" s="145" t="str">
        <x:v>H.IS.TOTAL_COGS.FY2026</x:v>
      </x:c>
      <x:c r="B39" s="145" t="str">
        <x:v>IS</x:v>
      </x:c>
      <x:c r="C39" s="145" t="str">
        <x:v>Total cost of revenue</x:v>
      </x:c>
      <x:c r="D39" s="145" t="str">
        <x:v>FY2026</x:v>
      </x:c>
      <x:c r="E39" s="146" t="n">
        <x:v>1084.89</x:v>
      </x:c>
      <x:c r="F39" s="145" t="str">
        <x:v>2e1ef280-4c52-445c-b593-a6c3a1fbfec6.pdf</x:v>
      </x:c>
      <x:c r="G39" s="145" t="n">
        <x:v>60</x:v>
      </x:c>
      <x:c r="H39" s="145" t="str">
        <x:v>Provided 2026 Form 10-K.  Company named Everpure in this filing.</x:v>
      </x:c>
      <x:c r="I39" s="119"/>
      <x:c r="J39" s="119"/>
      <x:c r="K39" s="119"/>
      <x:c r="L39" s="5"/>
    </x:row>
    <x:row r="40">
      <x:c r="A40" s="145" t="str">
        <x:v>H.IS.GROSS_PROFIT.FY2021</x:v>
      </x:c>
      <x:c r="B40" s="145" t="str">
        <x:v>IS</x:v>
      </x:c>
      <x:c r="C40" s="145" t="str">
        <x:v>Gross profit</x:v>
      </x:c>
      <x:c r="D40" s="145" t="str">
        <x:v>FY2021</x:v>
      </x:c>
      <x:c r="E40" s="146" t="n">
        <x:v>1148.924</x:v>
      </x:c>
      <x:c r="F40" s="145" t="str">
        <x:v>https://www.purestorage.com/content/dam/pdf/en/legal/2023-form-10-k.pdf</x:v>
      </x:c>
      <x:c r="G40" s="145" t="n">
        <x:v>59</x:v>
      </x:c>
      <x:c r="H40" s="145" t="str">
        <x:v>Official 2023 Form 10-K used to complete FY2021 and FY2022 history.</x:v>
      </x:c>
      <x:c r="I40" s="119"/>
      <x:c r="J40" s="119"/>
      <x:c r="K40" s="119"/>
      <x:c r="L40" s="5"/>
    </x:row>
    <x:row r="41">
      <x:c r="A41" s="145" t="str">
        <x:v>H.IS.GROSS_PROFIT.FY2022</x:v>
      </x:c>
      <x:c r="B41" s="145" t="str">
        <x:v>IS</x:v>
      </x:c>
      <x:c r="C41" s="145" t="str">
        <x:v>Gross profit</x:v>
      </x:c>
      <x:c r="D41" s="145" t="str">
        <x:v>FY2022</x:v>
      </x:c>
      <x:c r="E41" s="146" t="n">
        <x:v>1472.519</x:v>
      </x:c>
      <x:c r="F41" s="145" t="str">
        <x:v>https://www.purestorage.com/content/dam/pdf/en/legal/2023-form-10-k.pdf</x:v>
      </x:c>
      <x:c r="G41" s="145" t="n">
        <x:v>59</x:v>
      </x:c>
      <x:c r="H41" s="145" t="str">
        <x:v>Official 2023 Form 10-K used to complete FY2021 and FY2022 history.</x:v>
      </x:c>
      <x:c r="I41" s="119"/>
      <x:c r="J41" s="119"/>
      <x:c r="K41" s="119"/>
      <x:c r="L41" s="5"/>
    </x:row>
    <x:row r="42">
      <x:c r="A42" s="145" t="str">
        <x:v>H.IS.GROSS_PROFIT.FY2023</x:v>
      </x:c>
      <x:c r="B42" s="145" t="str">
        <x:v>IS</x:v>
      </x:c>
      <x:c r="C42" s="145" t="str">
        <x:v>Gross profit</x:v>
      </x:c>
      <x:c r="D42" s="145" t="str">
        <x:v>FY2023</x:v>
      </x:c>
      <x:c r="E42" s="146" t="n">
        <x:v>1897.646</x:v>
      </x:c>
      <x:c r="F42" s="145" t="str">
        <x:v>https://www.purestorage.com/content/dam/pdf/en/legal/2023-form-10-k.pdf</x:v>
      </x:c>
      <x:c r="G42" s="145" t="n">
        <x:v>59</x:v>
      </x:c>
      <x:c r="H42" s="145" t="str">
        <x:v>Official 2023 Form 10-K used to complete FY2021 and FY2022 history.</x:v>
      </x:c>
      <x:c r="I42" s="119"/>
      <x:c r="J42" s="119"/>
      <x:c r="K42" s="119"/>
      <x:c r="L42" s="5"/>
    </x:row>
    <x:row r="43">
      <x:c r="A43" s="145" t="str">
        <x:v>H.IS.GROSS_PROFIT.FY2024</x:v>
      </x:c>
      <x:c r="B43" s="145" t="str">
        <x:v>IS</x:v>
      </x:c>
      <x:c r="C43" s="145" t="str">
        <x:v>Gross profit</x:v>
      </x:c>
      <x:c r="D43" s="145" t="str">
        <x:v>FY2024</x:v>
      </x:c>
      <x:c r="E43" s="146" t="n">
        <x:v>2021.191</x:v>
      </x:c>
      <x:c r="F43" s="145" t="str">
        <x:v>ed7936ac-e0cd-408a-ae7f-063381fdf3a1.pdf</x:v>
      </x:c>
      <x:c r="G43" s="145" t="n">
        <x:v>60</x:v>
      </x:c>
      <x:c r="H43" s="145" t="str">
        <x:v>Provided 2024 Form 10-K.  Company named Pure Storage in this filing.</x:v>
      </x:c>
      <x:c r="I43" s="119"/>
      <x:c r="J43" s="119"/>
      <x:c r="K43" s="119"/>
      <x:c r="L43" s="5"/>
    </x:row>
    <x:row r="44">
      <x:c r="A44" s="145" t="str">
        <x:v>H.IS.GROSS_PROFIT.FY2025</x:v>
      </x:c>
      <x:c r="B44" s="145" t="str">
        <x:v>IS</x:v>
      </x:c>
      <x:c r="C44" s="145" t="str">
        <x:v>Gross profit</x:v>
      </x:c>
      <x:c r="D44" s="145" t="str">
        <x:v>FY2025</x:v>
      </x:c>
      <x:c r="E44" s="146" t="n">
        <x:v>2212.709</x:v>
      </x:c>
      <x:c r="F44" s="145" t="str">
        <x:v>8c023447-ebc8-42c3-86e5-21558f3d7224.pdf</x:v>
      </x:c>
      <x:c r="G44" s="145" t="n">
        <x:v>58</x:v>
      </x:c>
      <x:c r="H44" s="145" t="str">
        <x:v>Provided 2025 Form 10-K.  Company named Pure Storage in this filing.</x:v>
      </x:c>
      <x:c r="I44" s="119"/>
      <x:c r="J44" s="119"/>
      <x:c r="K44" s="119"/>
      <x:c r="L44" s="5"/>
    </x:row>
    <x:row r="45">
      <x:c r="A45" s="145" t="str">
        <x:v>H.IS.GROSS_PROFIT.FY2026</x:v>
      </x:c>
      <x:c r="B45" s="145" t="str">
        <x:v>IS</x:v>
      </x:c>
      <x:c r="C45" s="145" t="str">
        <x:v>Gross profit</x:v>
      </x:c>
      <x:c r="D45" s="145" t="str">
        <x:v>FY2026</x:v>
      </x:c>
      <x:c r="E45" s="146" t="n">
        <x:v>2577.953</x:v>
      </x:c>
      <x:c r="F45" s="145" t="str">
        <x:v>2e1ef280-4c52-445c-b593-a6c3a1fbfec6.pdf</x:v>
      </x:c>
      <x:c r="G45" s="145" t="n">
        <x:v>60</x:v>
      </x:c>
      <x:c r="H45" s="145" t="str">
        <x:v>Provided 2026 Form 10-K.  Company named Everpure in this filing.</x:v>
      </x:c>
      <x:c r="I45" s="119"/>
      <x:c r="J45" s="119"/>
      <x:c r="K45" s="119"/>
      <x:c r="L45" s="5"/>
    </x:row>
    <x:row r="46">
      <x:c r="A46" s="145" t="str">
        <x:v>H.IS.RD.FY2021</x:v>
      </x:c>
      <x:c r="B46" s="145" t="str">
        <x:v>IS</x:v>
      </x:c>
      <x:c r="C46" s="145" t="str">
        <x:v>Research and development</x:v>
      </x:c>
      <x:c r="D46" s="145" t="str">
        <x:v>FY2021</x:v>
      </x:c>
      <x:c r="E46" s="146" t="n">
        <x:v>480.467</x:v>
      </x:c>
      <x:c r="F46" s="145" t="str">
        <x:v>https://www.purestorage.com/content/dam/pdf/en/legal/2023-form-10-k.pdf</x:v>
      </x:c>
      <x:c r="G46" s="145" t="n">
        <x:v>59</x:v>
      </x:c>
      <x:c r="H46" s="145" t="str">
        <x:v>Official 2023 Form 10-K used to complete FY2021 and FY2022 history.</x:v>
      </x:c>
      <x:c r="I46" s="119"/>
      <x:c r="J46" s="119"/>
      <x:c r="K46" s="119"/>
      <x:c r="L46" s="5"/>
    </x:row>
    <x:row r="47">
      <x:c r="A47" s="145" t="str">
        <x:v>H.IS.RD.FY2022</x:v>
      </x:c>
      <x:c r="B47" s="145" t="str">
        <x:v>IS</x:v>
      </x:c>
      <x:c r="C47" s="145" t="str">
        <x:v>Research and development</x:v>
      </x:c>
      <x:c r="D47" s="145" t="str">
        <x:v>FY2022</x:v>
      </x:c>
      <x:c r="E47" s="146" t="n">
        <x:v>581.935</x:v>
      </x:c>
      <x:c r="F47" s="145" t="str">
        <x:v>https://www.purestorage.com/content/dam/pdf/en/legal/2023-form-10-k.pdf</x:v>
      </x:c>
      <x:c r="G47" s="145" t="n">
        <x:v>59</x:v>
      </x:c>
      <x:c r="H47" s="145" t="str">
        <x:v>Official 2023 Form 10-K used to complete FY2021 and FY2022 history.</x:v>
      </x:c>
      <x:c r="I47" s="119"/>
      <x:c r="J47" s="119"/>
      <x:c r="K47" s="119"/>
      <x:c r="L47" s="5"/>
    </x:row>
    <x:row r="48">
      <x:c r="A48" s="145" t="str">
        <x:v>H.IS.RD.FY2023</x:v>
      </x:c>
      <x:c r="B48" s="145" t="str">
        <x:v>IS</x:v>
      </x:c>
      <x:c r="C48" s="145" t="str">
        <x:v>Research and development</x:v>
      </x:c>
      <x:c r="D48" s="145" t="str">
        <x:v>FY2023</x:v>
      </x:c>
      <x:c r="E48" s="146" t="n">
        <x:v>692.528</x:v>
      </x:c>
      <x:c r="F48" s="145" t="str">
        <x:v>https://www.purestorage.com/content/dam/pdf/en/legal/2023-form-10-k.pdf</x:v>
      </x:c>
      <x:c r="G48" s="145" t="n">
        <x:v>59</x:v>
      </x:c>
      <x:c r="H48" s="145" t="str">
        <x:v>Official 2023 Form 10-K used to complete FY2021 and FY2022 history.</x:v>
      </x:c>
      <x:c r="I48" s="119"/>
      <x:c r="J48" s="119"/>
      <x:c r="K48" s="119"/>
      <x:c r="L48" s="5"/>
    </x:row>
    <x:row r="49">
      <x:c r="A49" s="145" t="str">
        <x:v>H.IS.RD.FY2024</x:v>
      </x:c>
      <x:c r="B49" s="145" t="str">
        <x:v>IS</x:v>
      </x:c>
      <x:c r="C49" s="145" t="str">
        <x:v>Research and development</x:v>
      </x:c>
      <x:c r="D49" s="145" t="str">
        <x:v>FY2024</x:v>
      </x:c>
      <x:c r="E49" s="146" t="n">
        <x:v>736.764</x:v>
      </x:c>
      <x:c r="F49" s="145" t="str">
        <x:v>ed7936ac-e0cd-408a-ae7f-063381fdf3a1.pdf</x:v>
      </x:c>
      <x:c r="G49" s="145" t="n">
        <x:v>60</x:v>
      </x:c>
      <x:c r="H49" s="145" t="str">
        <x:v>Provided 2024 Form 10-K.  Company named Pure Storage in this filing.</x:v>
      </x:c>
      <x:c r="I49" s="119"/>
      <x:c r="J49" s="119"/>
      <x:c r="K49" s="119"/>
      <x:c r="L49" s="5"/>
    </x:row>
    <x:row r="50">
      <x:c r="A50" s="145" t="str">
        <x:v>H.IS.RD.FY2025</x:v>
      </x:c>
      <x:c r="B50" s="145" t="str">
        <x:v>IS</x:v>
      </x:c>
      <x:c r="C50" s="145" t="str">
        <x:v>Research and development</x:v>
      </x:c>
      <x:c r="D50" s="145" t="str">
        <x:v>FY2025</x:v>
      </x:c>
      <x:c r="E50" s="146" t="n">
        <x:v>804.405</x:v>
      </x:c>
      <x:c r="F50" s="145" t="str">
        <x:v>8c023447-ebc8-42c3-86e5-21558f3d7224.pdf</x:v>
      </x:c>
      <x:c r="G50" s="145" t="n">
        <x:v>58</x:v>
      </x:c>
      <x:c r="H50" s="145" t="str">
        <x:v>Provided 2025 Form 10-K.  Company named Pure Storage in this filing.</x:v>
      </x:c>
      <x:c r="I50" s="119"/>
      <x:c r="J50" s="119"/>
      <x:c r="K50" s="119"/>
      <x:c r="L50" s="5"/>
    </x:row>
    <x:row r="51">
      <x:c r="A51" s="145" t="str">
        <x:v>H.IS.RD.FY2026</x:v>
      </x:c>
      <x:c r="B51" s="145" t="str">
        <x:v>IS</x:v>
      </x:c>
      <x:c r="C51" s="145" t="str">
        <x:v>Research and development</x:v>
      </x:c>
      <x:c r="D51" s="145" t="str">
        <x:v>FY2026</x:v>
      </x:c>
      <x:c r="E51" s="146" t="n">
        <x:v>963.291</x:v>
      </x:c>
      <x:c r="F51" s="145" t="str">
        <x:v>2e1ef280-4c52-445c-b593-a6c3a1fbfec6.pdf</x:v>
      </x:c>
      <x:c r="G51" s="145" t="n">
        <x:v>60</x:v>
      </x:c>
      <x:c r="H51" s="145" t="str">
        <x:v>Provided 2026 Form 10-K.  Company named Everpure in this filing.</x:v>
      </x:c>
      <x:c r="I51" s="119"/>
      <x:c r="J51" s="119"/>
      <x:c r="K51" s="119"/>
      <x:c r="L51" s="5"/>
    </x:row>
    <x:row r="52">
      <x:c r="A52" s="145" t="str">
        <x:v>H.IS.SM.FY2021</x:v>
      </x:c>
      <x:c r="B52" s="145" t="str">
        <x:v>IS</x:v>
      </x:c>
      <x:c r="C52" s="145" t="str">
        <x:v>Sales and marketing</x:v>
      </x:c>
      <x:c r="D52" s="145" t="str">
        <x:v>FY2021</x:v>
      </x:c>
      <x:c r="E52" s="146" t="n">
        <x:v>716.014</x:v>
      </x:c>
      <x:c r="F52" s="145" t="str">
        <x:v>https://www.purestorage.com/content/dam/pdf/en/legal/2023-form-10-k.pdf</x:v>
      </x:c>
      <x:c r="G52" s="145" t="n">
        <x:v>59</x:v>
      </x:c>
      <x:c r="H52" s="145" t="str">
        <x:v>Official 2023 Form 10-K used to complete FY2021 and FY2022 history.</x:v>
      </x:c>
      <x:c r="I52" s="119"/>
      <x:c r="J52" s="119"/>
      <x:c r="K52" s="119"/>
      <x:c r="L52" s="5"/>
    </x:row>
    <x:row r="53">
      <x:c r="A53" s="145" t="str">
        <x:v>H.IS.SM.FY2022</x:v>
      </x:c>
      <x:c r="B53" s="145" t="str">
        <x:v>IS</x:v>
      </x:c>
      <x:c r="C53" s="145" t="str">
        <x:v>Sales and marketing</x:v>
      </x:c>
      <x:c r="D53" s="145" t="str">
        <x:v>FY2022</x:v>
      </x:c>
      <x:c r="E53" s="146" t="n">
        <x:v>799.001</x:v>
      </x:c>
      <x:c r="F53" s="145" t="str">
        <x:v>https://www.purestorage.com/content/dam/pdf/en/legal/2023-form-10-k.pdf</x:v>
      </x:c>
      <x:c r="G53" s="145" t="n">
        <x:v>59</x:v>
      </x:c>
      <x:c r="H53" s="145" t="str">
        <x:v>Official 2023 Form 10-K used to complete FY2021 and FY2022 history.</x:v>
      </x:c>
      <x:c r="I53" s="119"/>
      <x:c r="J53" s="119"/>
      <x:c r="K53" s="119"/>
      <x:c r="L53" s="5"/>
    </x:row>
    <x:row r="54">
      <x:c r="A54" s="145" t="str">
        <x:v>H.IS.SM.FY2023</x:v>
      </x:c>
      <x:c r="B54" s="145" t="str">
        <x:v>IS</x:v>
      </x:c>
      <x:c r="C54" s="145" t="str">
        <x:v>Sales and marketing</x:v>
      </x:c>
      <x:c r="D54" s="145" t="str">
        <x:v>FY2023</x:v>
      </x:c>
      <x:c r="E54" s="146" t="n">
        <x:v>883.609</x:v>
      </x:c>
      <x:c r="F54" s="145" t="str">
        <x:v>https://www.purestorage.com/content/dam/pdf/en/legal/2023-form-10-k.pdf</x:v>
      </x:c>
      <x:c r="G54" s="145" t="n">
        <x:v>59</x:v>
      </x:c>
      <x:c r="H54" s="145" t="str">
        <x:v>Official 2023 Form 10-K used to complete FY2021 and FY2022 history.</x:v>
      </x:c>
      <x:c r="I54" s="119"/>
      <x:c r="J54" s="119"/>
      <x:c r="K54" s="119"/>
      <x:c r="L54" s="5"/>
    </x:row>
    <x:row r="55">
      <x:c r="A55" s="145" t="str">
        <x:v>H.IS.SM.FY2024</x:v>
      </x:c>
      <x:c r="B55" s="145" t="str">
        <x:v>IS</x:v>
      </x:c>
      <x:c r="C55" s="145" t="str">
        <x:v>Sales and marketing</x:v>
      </x:c>
      <x:c r="D55" s="145" t="str">
        <x:v>FY2024</x:v>
      </x:c>
      <x:c r="E55" s="146" t="n">
        <x:v>945.021</x:v>
      </x:c>
      <x:c r="F55" s="145" t="str">
        <x:v>ed7936ac-e0cd-408a-ae7f-063381fdf3a1.pdf</x:v>
      </x:c>
      <x:c r="G55" s="145" t="n">
        <x:v>60</x:v>
      </x:c>
      <x:c r="H55" s="145" t="str">
        <x:v>Provided 2024 Form 10-K.  Company named Pure Storage in this filing.</x:v>
      </x:c>
      <x:c r="I55" s="119"/>
      <x:c r="J55" s="119"/>
      <x:c r="K55" s="119"/>
      <x:c r="L55" s="5"/>
    </x:row>
    <x:row r="56">
      <x:c r="A56" s="145" t="str">
        <x:v>H.IS.SM.FY2025</x:v>
      </x:c>
      <x:c r="B56" s="145" t="str">
        <x:v>IS</x:v>
      </x:c>
      <x:c r="C56" s="145" t="str">
        <x:v>Sales and marketing</x:v>
      </x:c>
      <x:c r="D56" s="145" t="str">
        <x:v>FY2025</x:v>
      </x:c>
      <x:c r="E56" s="146" t="n">
        <x:v>1020.914</x:v>
      </x:c>
      <x:c r="F56" s="145" t="str">
        <x:v>8c023447-ebc8-42c3-86e5-21558f3d7224.pdf</x:v>
      </x:c>
      <x:c r="G56" s="145" t="n">
        <x:v>58</x:v>
      </x:c>
      <x:c r="H56" s="145" t="str">
        <x:v>Provided 2025 Form 10-K.  Company named Pure Storage in this filing.</x:v>
      </x:c>
      <x:c r="I56" s="119"/>
      <x:c r="J56" s="119"/>
      <x:c r="K56" s="119"/>
      <x:c r="L56" s="5"/>
    </x:row>
    <x:row r="57">
      <x:c r="A57" s="145" t="str">
        <x:v>H.IS.SM.FY2026</x:v>
      </x:c>
      <x:c r="B57" s="145" t="str">
        <x:v>IS</x:v>
      </x:c>
      <x:c r="C57" s="145" t="str">
        <x:v>Sales and marketing</x:v>
      </x:c>
      <x:c r="D57" s="145" t="str">
        <x:v>FY2026</x:v>
      </x:c>
      <x:c r="E57" s="146" t="n">
        <x:v>1181.488</x:v>
      </x:c>
      <x:c r="F57" s="145" t="str">
        <x:v>2e1ef280-4c52-445c-b593-a6c3a1fbfec6.pdf</x:v>
      </x:c>
      <x:c r="G57" s="145" t="n">
        <x:v>60</x:v>
      </x:c>
      <x:c r="H57" s="145" t="str">
        <x:v>Provided 2026 Form 10-K.  Company named Everpure in this filing.</x:v>
      </x:c>
      <x:c r="I57" s="119"/>
      <x:c r="J57" s="119"/>
      <x:c r="K57" s="119"/>
      <x:c r="L57" s="5"/>
    </x:row>
    <x:row r="58">
      <x:c r="A58" s="145" t="str">
        <x:v>H.IS.GA.FY2021</x:v>
      </x:c>
      <x:c r="B58" s="145" t="str">
        <x:v>IS</x:v>
      </x:c>
      <x:c r="C58" s="145" t="str">
        <x:v>General and administrative</x:v>
      </x:c>
      <x:c r="D58" s="145" t="str">
        <x:v>FY2021</x:v>
      </x:c>
      <x:c r="E58" s="146" t="n">
        <x:v>182.477</x:v>
      </x:c>
      <x:c r="F58" s="145" t="str">
        <x:v>https://www.purestorage.com/content/dam/pdf/en/legal/2023-form-10-k.pdf</x:v>
      </x:c>
      <x:c r="G58" s="145" t="n">
        <x:v>59</x:v>
      </x:c>
      <x:c r="H58" s="145" t="str">
        <x:v>Official 2023 Form 10-K used to complete FY2021 and FY2022 history.</x:v>
      </x:c>
      <x:c r="I58" s="119"/>
      <x:c r="J58" s="119"/>
      <x:c r="K58" s="119"/>
      <x:c r="L58" s="5"/>
    </x:row>
    <x:row r="59">
      <x:c r="A59" s="145" t="str">
        <x:v>H.IS.GA.FY2022</x:v>
      </x:c>
      <x:c r="B59" s="145" t="str">
        <x:v>IS</x:v>
      </x:c>
      <x:c r="C59" s="145" t="str">
        <x:v>General and administrative</x:v>
      </x:c>
      <x:c r="D59" s="145" t="str">
        <x:v>FY2022</x:v>
      </x:c>
      <x:c r="E59" s="146" t="n">
        <x:v>189.981</x:v>
      </x:c>
      <x:c r="F59" s="145" t="str">
        <x:v>https://www.purestorage.com/content/dam/pdf/en/legal/2023-form-10-k.pdf</x:v>
      </x:c>
      <x:c r="G59" s="145" t="n">
        <x:v>59</x:v>
      </x:c>
      <x:c r="H59" s="145" t="str">
        <x:v>Official 2023 Form 10-K used to complete FY2021 and FY2022 history.</x:v>
      </x:c>
      <x:c r="I59" s="119"/>
      <x:c r="J59" s="119"/>
      <x:c r="K59" s="119"/>
      <x:c r="L59" s="5"/>
    </x:row>
    <x:row r="60">
      <x:c r="A60" s="145" t="str">
        <x:v>H.IS.GA.FY2023</x:v>
      </x:c>
      <x:c r="B60" s="145" t="str">
        <x:v>IS</x:v>
      </x:c>
      <x:c r="C60" s="145" t="str">
        <x:v>General and administrative</x:v>
      </x:c>
      <x:c r="D60" s="145" t="str">
        <x:v>FY2023</x:v>
      </x:c>
      <x:c r="E60" s="146" t="n">
        <x:v>237.996</x:v>
      </x:c>
      <x:c r="F60" s="145" t="str">
        <x:v>https://www.purestorage.com/content/dam/pdf/en/legal/2023-form-10-k.pdf</x:v>
      </x:c>
      <x:c r="G60" s="145" t="n">
        <x:v>59</x:v>
      </x:c>
      <x:c r="H60" s="145" t="str">
        <x:v>Official 2023 Form 10-K used to complete FY2021 and FY2022 history.</x:v>
      </x:c>
      <x:c r="I60" s="119"/>
      <x:c r="J60" s="119"/>
      <x:c r="K60" s="119"/>
      <x:c r="L60" s="5"/>
    </x:row>
    <x:row r="61">
      <x:c r="A61" s="145" t="str">
        <x:v>H.IS.GA.FY2024</x:v>
      </x:c>
      <x:c r="B61" s="145" t="str">
        <x:v>IS</x:v>
      </x:c>
      <x:c r="C61" s="145" t="str">
        <x:v>General and administrative</x:v>
      </x:c>
      <x:c r="D61" s="145" t="str">
        <x:v>FY2024</x:v>
      </x:c>
      <x:c r="E61" s="146" t="n">
        <x:v>252.243</x:v>
      </x:c>
      <x:c r="F61" s="145" t="str">
        <x:v>ed7936ac-e0cd-408a-ae7f-063381fdf3a1.pdf</x:v>
      </x:c>
      <x:c r="G61" s="145" t="n">
        <x:v>60</x:v>
      </x:c>
      <x:c r="H61" s="145" t="str">
        <x:v>Provided 2024 Form 10-K.  Company named Pure Storage in this filing.</x:v>
      </x:c>
      <x:c r="I61" s="119"/>
      <x:c r="J61" s="119"/>
      <x:c r="K61" s="119"/>
      <x:c r="L61" s="5"/>
    </x:row>
    <x:row r="62">
      <x:c r="A62" s="145" t="str">
        <x:v>H.IS.GA.FY2025</x:v>
      </x:c>
      <x:c r="B62" s="145" t="str">
        <x:v>IS</x:v>
      </x:c>
      <x:c r="C62" s="145" t="str">
        <x:v>General and administrative</x:v>
      </x:c>
      <x:c r="D62" s="145" t="str">
        <x:v>FY2025</x:v>
      </x:c>
      <x:c r="E62" s="146" t="n">
        <x:v>286.231</x:v>
      </x:c>
      <x:c r="F62" s="145" t="str">
        <x:v>8c023447-ebc8-42c3-86e5-21558f3d7224.pdf</x:v>
      </x:c>
      <x:c r="G62" s="145" t="n">
        <x:v>58</x:v>
      </x:c>
      <x:c r="H62" s="145" t="str">
        <x:v>Provided 2025 Form 10-K.  Company named Pure Storage in this filing.</x:v>
      </x:c>
      <x:c r="I62" s="119"/>
      <x:c r="J62" s="119"/>
      <x:c r="K62" s="119"/>
      <x:c r="L62" s="5"/>
    </x:row>
    <x:row r="63">
      <x:c r="A63" s="145" t="str">
        <x:v>H.IS.GA.FY2026</x:v>
      </x:c>
      <x:c r="B63" s="145" t="str">
        <x:v>IS</x:v>
      </x:c>
      <x:c r="C63" s="145" t="str">
        <x:v>General and administrative</x:v>
      </x:c>
      <x:c r="D63" s="145" t="str">
        <x:v>FY2026</x:v>
      </x:c>
      <x:c r="E63" s="146" t="n">
        <x:v>318.358</x:v>
      </x:c>
      <x:c r="F63" s="145" t="str">
        <x:v>2e1ef280-4c52-445c-b593-a6c3a1fbfec6.pdf</x:v>
      </x:c>
      <x:c r="G63" s="145" t="n">
        <x:v>60</x:v>
      </x:c>
      <x:c r="H63" s="145" t="str">
        <x:v>Provided 2026 Form 10-K.  Company named Everpure in this filing.</x:v>
      </x:c>
      <x:c r="I63" s="119"/>
      <x:c r="J63" s="119"/>
      <x:c r="K63" s="119"/>
      <x:c r="L63" s="5"/>
    </x:row>
    <x:row r="64">
      <x:c r="A64" s="145" t="str">
        <x:v>H.IS.RESTRUCTURING.FY2021</x:v>
      </x:c>
      <x:c r="B64" s="145" t="str">
        <x:v>IS</x:v>
      </x:c>
      <x:c r="C64" s="145" t="str">
        <x:v>Restructuring / impairment / other</x:v>
      </x:c>
      <x:c r="D64" s="145" t="str">
        <x:v>FY2021</x:v>
      </x:c>
      <x:c r="E64" s="146" t="n">
        <x:v>30.999</x:v>
      </x:c>
      <x:c r="F64" s="145" t="str">
        <x:v>https://www.purestorage.com/content/dam/pdf/en/legal/2023-form-10-k.pdf</x:v>
      </x:c>
      <x:c r="G64" s="145" t="n">
        <x:v>59</x:v>
      </x:c>
      <x:c r="H64" s="145" t="str">
        <x:v>Official 2023 Form 10-K used to complete FY2021 and FY2022 history.</x:v>
      </x:c>
      <x:c r="I64" s="119"/>
      <x:c r="J64" s="119"/>
      <x:c r="K64" s="119"/>
      <x:c r="L64" s="5"/>
    </x:row>
    <x:row r="65">
      <x:c r="A65" s="145" t="str">
        <x:v>H.IS.RESTRUCTURING.FY2022</x:v>
      </x:c>
      <x:c r="B65" s="145" t="str">
        <x:v>IS</x:v>
      </x:c>
      <x:c r="C65" s="145" t="str">
        <x:v>Restructuring / impairment / other</x:v>
      </x:c>
      <x:c r="D65" s="145" t="str">
        <x:v>FY2022</x:v>
      </x:c>
      <x:c r="E65" s="146" t="n">
        <x:v>0</x:v>
      </x:c>
      <x:c r="F65" s="145" t="str">
        <x:v>https://www.purestorage.com/content/dam/pdf/en/legal/2023-form-10-k.pdf</x:v>
      </x:c>
      <x:c r="G65" s="145" t="n">
        <x:v>59</x:v>
      </x:c>
      <x:c r="H65" s="145" t="str">
        <x:v>Official 2023 Form 10-K used to complete FY2021 and FY2022 history.</x:v>
      </x:c>
      <x:c r="I65" s="119"/>
      <x:c r="J65" s="119"/>
      <x:c r="K65" s="119"/>
      <x:c r="L65" s="5"/>
    </x:row>
    <x:row r="66">
      <x:c r="A66" s="145" t="str">
        <x:v>H.IS.RESTRUCTURING.FY2023</x:v>
      </x:c>
      <x:c r="B66" s="145" t="str">
        <x:v>IS</x:v>
      </x:c>
      <x:c r="C66" s="145" t="str">
        <x:v>Restructuring / impairment / other</x:v>
      </x:c>
      <x:c r="D66" s="145" t="str">
        <x:v>FY2023</x:v>
      </x:c>
      <x:c r="E66" s="146" t="n">
        <x:v>0</x:v>
      </x:c>
      <x:c r="F66" s="145" t="str">
        <x:v>https://www.purestorage.com/content/dam/pdf/en/legal/2023-form-10-k.pdf</x:v>
      </x:c>
      <x:c r="G66" s="145" t="n">
        <x:v>59</x:v>
      </x:c>
      <x:c r="H66" s="145" t="str">
        <x:v>Official 2023 Form 10-K used to complete FY2021 and FY2022 history.</x:v>
      </x:c>
      <x:c r="I66" s="119"/>
      <x:c r="J66" s="119"/>
      <x:c r="K66" s="119"/>
      <x:c r="L66" s="5"/>
    </x:row>
    <x:row r="67">
      <x:c r="A67" s="145" t="str">
        <x:v>H.IS.RESTRUCTURING.FY2024</x:v>
      </x:c>
      <x:c r="B67" s="145" t="str">
        <x:v>IS</x:v>
      </x:c>
      <x:c r="C67" s="145" t="str">
        <x:v>Restructuring / impairment / other</x:v>
      </x:c>
      <x:c r="D67" s="145" t="str">
        <x:v>FY2024</x:v>
      </x:c>
      <x:c r="E67" s="146" t="n">
        <x:v>33.612</x:v>
      </x:c>
      <x:c r="F67" s="145" t="str">
        <x:v>ed7936ac-e0cd-408a-ae7f-063381fdf3a1.pdf</x:v>
      </x:c>
      <x:c r="G67" s="145" t="n">
        <x:v>60</x:v>
      </x:c>
      <x:c r="H67" s="145" t="str">
        <x:v>Provided 2024 Form 10-K.  Company named Pure Storage in this filing.</x:v>
      </x:c>
      <x:c r="I67" s="119"/>
      <x:c r="J67" s="119"/>
      <x:c r="K67" s="119"/>
      <x:c r="L67" s="5"/>
    </x:row>
    <x:row r="68">
      <x:c r="A68" s="145" t="str">
        <x:v>H.IS.RESTRUCTURING.FY2025</x:v>
      </x:c>
      <x:c r="B68" s="145" t="str">
        <x:v>IS</x:v>
      </x:c>
      <x:c r="C68" s="145" t="str">
        <x:v>Restructuring / impairment / other</x:v>
      </x:c>
      <x:c r="D68" s="145" t="str">
        <x:v>FY2025</x:v>
      </x:c>
      <x:c r="E68" s="146" t="n">
        <x:v>15.901</x:v>
      </x:c>
      <x:c r="F68" s="145" t="str">
        <x:v>8c023447-ebc8-42c3-86e5-21558f3d7224.pdf</x:v>
      </x:c>
      <x:c r="G68" s="145" t="n">
        <x:v>58</x:v>
      </x:c>
      <x:c r="H68" s="145" t="str">
        <x:v>Provided 2025 Form 10-K.  Company named Pure Storage in this filing.</x:v>
      </x:c>
      <x:c r="I68" s="119"/>
      <x:c r="J68" s="119"/>
      <x:c r="K68" s="119"/>
      <x:c r="L68" s="5"/>
    </x:row>
    <x:row r="69">
      <x:c r="A69" s="145" t="str">
        <x:v>H.IS.RESTRUCTURING.FY2026</x:v>
      </x:c>
      <x:c r="B69" s="145" t="str">
        <x:v>IS</x:v>
      </x:c>
      <x:c r="C69" s="145" t="str">
        <x:v>Restructuring / impairment / other</x:v>
      </x:c>
      <x:c r="D69" s="145" t="str">
        <x:v>FY2026</x:v>
      </x:c>
      <x:c r="E69" s="146" t="n">
        <x:v>0</x:v>
      </x:c>
      <x:c r="F69" s="145" t="str">
        <x:v>2e1ef280-4c52-445c-b593-a6c3a1fbfec6.pdf</x:v>
      </x:c>
      <x:c r="G69" s="145" t="n">
        <x:v>60</x:v>
      </x:c>
      <x:c r="H69" s="145" t="str">
        <x:v>Provided 2026 Form 10-K.  Company named Everpure in this filing.</x:v>
      </x:c>
      <x:c r="I69" s="119"/>
      <x:c r="J69" s="119"/>
      <x:c r="K69" s="119"/>
      <x:c r="L69" s="5"/>
    </x:row>
    <x:row r="70">
      <x:c r="A70" s="145" t="str">
        <x:v>H.IS.TOTAL_OPEX.FY2021</x:v>
      </x:c>
      <x:c r="B70" s="145" t="str">
        <x:v>IS</x:v>
      </x:c>
      <x:c r="C70" s="145" t="str">
        <x:v>Total operating expenses</x:v>
      </x:c>
      <x:c r="D70" s="145" t="str">
        <x:v>FY2021</x:v>
      </x:c>
      <x:c r="E70" s="146" t="n">
        <x:v>1409.957</x:v>
      </x:c>
      <x:c r="F70" s="145" t="str">
        <x:v>https://www.purestorage.com/content/dam/pdf/en/legal/2023-form-10-k.pdf</x:v>
      </x:c>
      <x:c r="G70" s="145" t="n">
        <x:v>59</x:v>
      </x:c>
      <x:c r="H70" s="145" t="str">
        <x:v>Official 2023 Form 10-K used to complete FY2021 and FY2022 history.</x:v>
      </x:c>
      <x:c r="I70" s="119"/>
      <x:c r="J70" s="119"/>
      <x:c r="K70" s="119"/>
      <x:c r="L70" s="5"/>
    </x:row>
    <x:row r="71">
      <x:c r="A71" s="145" t="str">
        <x:v>H.IS.TOTAL_OPEX.FY2022</x:v>
      </x:c>
      <x:c r="B71" s="145" t="str">
        <x:v>IS</x:v>
      </x:c>
      <x:c r="C71" s="145" t="str">
        <x:v>Total operating expenses</x:v>
      </x:c>
      <x:c r="D71" s="145" t="str">
        <x:v>FY2022</x:v>
      </x:c>
      <x:c r="E71" s="146" t="n">
        <x:v>1570.917</x:v>
      </x:c>
      <x:c r="F71" s="145" t="str">
        <x:v>https://www.purestorage.com/content/dam/pdf/en/legal/2023-form-10-k.pdf</x:v>
      </x:c>
      <x:c r="G71" s="145" t="n">
        <x:v>59</x:v>
      </x:c>
      <x:c r="H71" s="145" t="str">
        <x:v>Official 2023 Form 10-K used to complete FY2021 and FY2022 history.</x:v>
      </x:c>
      <x:c r="I71" s="119"/>
      <x:c r="J71" s="119"/>
      <x:c r="K71" s="119"/>
      <x:c r="L71" s="5"/>
    </x:row>
    <x:row r="72">
      <x:c r="A72" s="145" t="str">
        <x:v>H.IS.TOTAL_OPEX.FY2023</x:v>
      </x:c>
      <x:c r="B72" s="145" t="str">
        <x:v>IS</x:v>
      </x:c>
      <x:c r="C72" s="145" t="str">
        <x:v>Total operating expenses</x:v>
      </x:c>
      <x:c r="D72" s="145" t="str">
        <x:v>FY2023</x:v>
      </x:c>
      <x:c r="E72" s="146" t="n">
        <x:v>1814.133</x:v>
      </x:c>
      <x:c r="F72" s="145" t="str">
        <x:v>https://www.purestorage.com/content/dam/pdf/en/legal/2023-form-10-k.pdf</x:v>
      </x:c>
      <x:c r="G72" s="145" t="n">
        <x:v>59</x:v>
      </x:c>
      <x:c r="H72" s="145" t="str">
        <x:v>Official 2023 Form 10-K used to complete FY2021 and FY2022 history.</x:v>
      </x:c>
      <x:c r="I72" s="119"/>
      <x:c r="J72" s="119"/>
      <x:c r="K72" s="119"/>
      <x:c r="L72" s="5"/>
    </x:row>
    <x:row r="73">
      <x:c r="A73" s="145" t="str">
        <x:v>H.IS.TOTAL_OPEX.FY2024</x:v>
      </x:c>
      <x:c r="B73" s="145" t="str">
        <x:v>IS</x:v>
      </x:c>
      <x:c r="C73" s="145" t="str">
        <x:v>Total operating expenses</x:v>
      </x:c>
      <x:c r="D73" s="145" t="str">
        <x:v>FY2024</x:v>
      </x:c>
      <x:c r="E73" s="146" t="n">
        <x:v>1967.64</x:v>
      </x:c>
      <x:c r="F73" s="145" t="str">
        <x:v>ed7936ac-e0cd-408a-ae7f-063381fdf3a1.pdf</x:v>
      </x:c>
      <x:c r="G73" s="145" t="n">
        <x:v>60</x:v>
      </x:c>
      <x:c r="H73" s="145" t="str">
        <x:v>Provided 2024 Form 10-K.  Company named Pure Storage in this filing.</x:v>
      </x:c>
      <x:c r="I73" s="119"/>
      <x:c r="J73" s="119"/>
      <x:c r="K73" s="119"/>
      <x:c r="L73" s="5"/>
    </x:row>
    <x:row r="74">
      <x:c r="A74" s="145" t="str">
        <x:v>H.IS.TOTAL_OPEX.FY2025</x:v>
      </x:c>
      <x:c r="B74" s="145" t="str">
        <x:v>IS</x:v>
      </x:c>
      <x:c r="C74" s="145" t="str">
        <x:v>Total operating expenses</x:v>
      </x:c>
      <x:c r="D74" s="145" t="str">
        <x:v>FY2025</x:v>
      </x:c>
      <x:c r="E74" s="146" t="n">
        <x:v>2127.451</x:v>
      </x:c>
      <x:c r="F74" s="145" t="str">
        <x:v>8c023447-ebc8-42c3-86e5-21558f3d7224.pdf</x:v>
      </x:c>
      <x:c r="G74" s="145" t="n">
        <x:v>58</x:v>
      </x:c>
      <x:c r="H74" s="145" t="str">
        <x:v>Provided 2025 Form 10-K.  Company named Pure Storage in this filing.</x:v>
      </x:c>
      <x:c r="I74" s="119"/>
      <x:c r="J74" s="119"/>
      <x:c r="K74" s="119"/>
      <x:c r="L74" s="5"/>
    </x:row>
    <x:row r="75">
      <x:c r="A75" s="145" t="str">
        <x:v>H.IS.TOTAL_OPEX.FY2026</x:v>
      </x:c>
      <x:c r="B75" s="145" t="str">
        <x:v>IS</x:v>
      </x:c>
      <x:c r="C75" s="145" t="str">
        <x:v>Total operating expenses</x:v>
      </x:c>
      <x:c r="D75" s="145" t="str">
        <x:v>FY2026</x:v>
      </x:c>
      <x:c r="E75" s="146" t="n">
        <x:v>2463.137</x:v>
      </x:c>
      <x:c r="F75" s="145" t="str">
        <x:v>2e1ef280-4c52-445c-b593-a6c3a1fbfec6.pdf</x:v>
      </x:c>
      <x:c r="G75" s="145" t="n">
        <x:v>60</x:v>
      </x:c>
      <x:c r="H75" s="145" t="str">
        <x:v>Provided 2026 Form 10-K.  Company named Everpure in this filing.</x:v>
      </x:c>
      <x:c r="I75" s="119"/>
      <x:c r="J75" s="119"/>
      <x:c r="K75" s="119"/>
      <x:c r="L75" s="5"/>
    </x:row>
    <x:row r="76">
      <x:c r="A76" s="145" t="str">
        <x:v>H.IS.OPERATING_INCOME.FY2021</x:v>
      </x:c>
      <x:c r="B76" s="145" t="str">
        <x:v>IS</x:v>
      </x:c>
      <x:c r="C76" s="145" t="str">
        <x:v>Operating income</x:v>
      </x:c>
      <x:c r="D76" s="145" t="str">
        <x:v>FY2021</x:v>
      </x:c>
      <x:c r="E76" s="146" t="n">
        <x:v>-261.033</x:v>
      </x:c>
      <x:c r="F76" s="145" t="str">
        <x:v>https://www.purestorage.com/content/dam/pdf/en/legal/2023-form-10-k.pdf</x:v>
      </x:c>
      <x:c r="G76" s="145" t="n">
        <x:v>59</x:v>
      </x:c>
      <x:c r="H76" s="145" t="str">
        <x:v>Official 2023 Form 10-K used to complete FY2021 and FY2022 history.</x:v>
      </x:c>
      <x:c r="I76" s="119"/>
      <x:c r="J76" s="119"/>
      <x:c r="K76" s="119"/>
      <x:c r="L76" s="5"/>
    </x:row>
    <x:row r="77">
      <x:c r="A77" s="145" t="str">
        <x:v>H.IS.OPERATING_INCOME.FY2022</x:v>
      </x:c>
      <x:c r="B77" s="145" t="str">
        <x:v>IS</x:v>
      </x:c>
      <x:c r="C77" s="145" t="str">
        <x:v>Operating income</x:v>
      </x:c>
      <x:c r="D77" s="145" t="str">
        <x:v>FY2022</x:v>
      </x:c>
      <x:c r="E77" s="146" t="n">
        <x:v>-98.398</x:v>
      </x:c>
      <x:c r="F77" s="145" t="str">
        <x:v>https://www.purestorage.com/content/dam/pdf/en/legal/2023-form-10-k.pdf</x:v>
      </x:c>
      <x:c r="G77" s="145" t="n">
        <x:v>59</x:v>
      </x:c>
      <x:c r="H77" s="145" t="str">
        <x:v>Official 2023 Form 10-K used to complete FY2021 and FY2022 history.</x:v>
      </x:c>
      <x:c r="I77" s="119"/>
      <x:c r="J77" s="119"/>
      <x:c r="K77" s="119"/>
      <x:c r="L77" s="5"/>
    </x:row>
    <x:row r="78">
      <x:c r="A78" s="145" t="str">
        <x:v>H.IS.OPERATING_INCOME.FY2023</x:v>
      </x:c>
      <x:c r="B78" s="145" t="str">
        <x:v>IS</x:v>
      </x:c>
      <x:c r="C78" s="145" t="str">
        <x:v>Operating income</x:v>
      </x:c>
      <x:c r="D78" s="145" t="str">
        <x:v>FY2023</x:v>
      </x:c>
      <x:c r="E78" s="146" t="n">
        <x:v>83.513</x:v>
      </x:c>
      <x:c r="F78" s="145" t="str">
        <x:v>https://www.purestorage.com/content/dam/pdf/en/legal/2023-form-10-k.pdf</x:v>
      </x:c>
      <x:c r="G78" s="145" t="n">
        <x:v>59</x:v>
      </x:c>
      <x:c r="H78" s="145" t="str">
        <x:v>Official 2023 Form 10-K used to complete FY2021 and FY2022 history.</x:v>
      </x:c>
      <x:c r="I78" s="119"/>
      <x:c r="J78" s="119"/>
      <x:c r="K78" s="119"/>
      <x:c r="L78" s="5"/>
    </x:row>
    <x:row r="79">
      <x:c r="A79" s="145" t="str">
        <x:v>H.IS.OPERATING_INCOME.FY2024</x:v>
      </x:c>
      <x:c r="B79" s="145" t="str">
        <x:v>IS</x:v>
      </x:c>
      <x:c r="C79" s="145" t="str">
        <x:v>Operating income</x:v>
      </x:c>
      <x:c r="D79" s="145" t="str">
        <x:v>FY2024</x:v>
      </x:c>
      <x:c r="E79" s="146" t="n">
        <x:v>53.551</x:v>
      </x:c>
      <x:c r="F79" s="145" t="str">
        <x:v>ed7936ac-e0cd-408a-ae7f-063381fdf3a1.pdf</x:v>
      </x:c>
      <x:c r="G79" s="145" t="n">
        <x:v>60</x:v>
      </x:c>
      <x:c r="H79" s="145" t="str">
        <x:v>Provided 2024 Form 10-K.  Company named Pure Storage in this filing.</x:v>
      </x:c>
      <x:c r="I79" s="119"/>
      <x:c r="J79" s="119"/>
      <x:c r="K79" s="119"/>
      <x:c r="L79" s="5"/>
    </x:row>
    <x:row r="80">
      <x:c r="A80" s="145" t="str">
        <x:v>H.IS.OPERATING_INCOME.FY2025</x:v>
      </x:c>
      <x:c r="B80" s="145" t="str">
        <x:v>IS</x:v>
      </x:c>
      <x:c r="C80" s="145" t="str">
        <x:v>Operating income</x:v>
      </x:c>
      <x:c r="D80" s="145" t="str">
        <x:v>FY2025</x:v>
      </x:c>
      <x:c r="E80" s="146" t="n">
        <x:v>85.258</x:v>
      </x:c>
      <x:c r="F80" s="145" t="str">
        <x:v>8c023447-ebc8-42c3-86e5-21558f3d7224.pdf</x:v>
      </x:c>
      <x:c r="G80" s="145" t="n">
        <x:v>58</x:v>
      </x:c>
      <x:c r="H80" s="145" t="str">
        <x:v>Provided 2025 Form 10-K.  Company named Pure Storage in this filing.</x:v>
      </x:c>
      <x:c r="I80" s="119"/>
      <x:c r="J80" s="119"/>
      <x:c r="K80" s="119"/>
      <x:c r="L80" s="5"/>
    </x:row>
    <x:row r="81">
      <x:c r="A81" s="36" t="str">
        <x:v>H.IS.OPERATING_INCOME.FY2026</x:v>
      </x:c>
      <x:c r="B81" s="36" t="str">
        <x:v>IS</x:v>
      </x:c>
      <x:c r="C81" s="36" t="str">
        <x:v>Operating income</x:v>
      </x:c>
      <x:c r="D81" s="36" t="str">
        <x:v>FY2026</x:v>
      </x:c>
      <x:c r="E81" s="37" t="n">
        <x:v>114.816</x:v>
      </x:c>
      <x:c r="F81" s="36" t="str">
        <x:v>2e1ef280-4c52-445c-b593-a6c3a1fbfec6.pdf</x:v>
      </x:c>
      <x:c r="G81" s="36" t="n">
        <x:v>60</x:v>
      </x:c>
      <x:c r="H81" s="36" t="str">
        <x:v>Provided 2026 Form 10-K.  Company named Everpure in this filing.</x:v>
      </x:c>
    </x:row>
    <x:row r="82">
      <x:c r="A82" s="36" t="str">
        <x:v>H.IS.INTEREST_INCOME.FY2021</x:v>
      </x:c>
      <x:c r="B82" s="36" t="str">
        <x:v>IS</x:v>
      </x:c>
      <x:c r="C82" s="36" t="str">
        <x:v>Interest income</x:v>
      </x:c>
      <x:c r="D82" s="36" t="str">
        <x:v>FY2021</x:v>
      </x:c>
      <x:c r="E82" s="37" t="n">
        <x:v>0</x:v>
      </x:c>
      <x:c r="F82" s="36" t="str">
        <x:v>https://www.purestorage.com/content/dam/pdf/en/legal/2023-form-10-k.pdf</x:v>
      </x:c>
      <x:c r="G82" s="36" t="n">
        <x:v>59</x:v>
      </x:c>
      <x:c r="H82" s="36" t="str">
        <x:v>Official 2023 Form 10-K used to complete FY2021 and FY2022 history.</x:v>
      </x:c>
    </x:row>
    <x:row r="83">
      <x:c r="A83" s="36" t="str">
        <x:v>H.IS.INTEREST_INCOME.FY2022</x:v>
      </x:c>
      <x:c r="B83" s="36" t="str">
        <x:v>IS</x:v>
      </x:c>
      <x:c r="C83" s="36" t="str">
        <x:v>Interest income</x:v>
      </x:c>
      <x:c r="D83" s="36" t="str">
        <x:v>FY2022</x:v>
      </x:c>
      <x:c r="E83" s="37" t="n">
        <x:v>0</x:v>
      </x:c>
      <x:c r="F83" s="36" t="str">
        <x:v>https://www.purestorage.com/content/dam/pdf/en/legal/2023-form-10-k.pdf</x:v>
      </x:c>
      <x:c r="G83" s="36" t="n">
        <x:v>59</x:v>
      </x:c>
      <x:c r="H83" s="36" t="str">
        <x:v>Official 2023 Form 10-K used to complete FY2021 and FY2022 history.</x:v>
      </x:c>
    </x:row>
    <x:row r="84">
      <x:c r="A84" s="36" t="str">
        <x:v>H.IS.INTEREST_INCOME.FY2023</x:v>
      </x:c>
      <x:c r="B84" s="36" t="str">
        <x:v>IS</x:v>
      </x:c>
      <x:c r="C84" s="36" t="str">
        <x:v>Interest income</x:v>
      </x:c>
      <x:c r="D84" s="36" t="str">
        <x:v>FY2023</x:v>
      </x:c>
      <x:c r="E84" s="37" t="n">
        <x:v>0</x:v>
      </x:c>
      <x:c r="F84" s="36" t="str">
        <x:v>https://www.purestorage.com/content/dam/pdf/en/legal/2023-form-10-k.pdf</x:v>
      </x:c>
      <x:c r="G84" s="36" t="n">
        <x:v>59</x:v>
      </x:c>
      <x:c r="H84" s="36" t="str">
        <x:v>Official 2023 Form 10-K used to complete FY2021 and FY2022 history.</x:v>
      </x:c>
    </x:row>
    <x:row r="85">
      <x:c r="A85" s="36" t="str">
        <x:v>H.IS.INTEREST_INCOME.FY2024</x:v>
      </x:c>
      <x:c r="B85" s="36" t="str">
        <x:v>IS</x:v>
      </x:c>
      <x:c r="C85" s="36" t="str">
        <x:v>Interest income</x:v>
      </x:c>
      <x:c r="D85" s="36" t="str">
        <x:v>FY2024</x:v>
      </x:c>
      <x:c r="E85" s="37" t="n">
        <x:v>0</x:v>
      </x:c>
      <x:c r="F85" s="36" t="str">
        <x:v>ed7936ac-e0cd-408a-ae7f-063381fdf3a1.pdf</x:v>
      </x:c>
      <x:c r="G85" s="36" t="n">
        <x:v>60</x:v>
      </x:c>
      <x:c r="H85" s="36" t="str">
        <x:v>Provided 2024 Form 10-K.  Company named Pure Storage in this filing.</x:v>
      </x:c>
    </x:row>
    <x:row r="86">
      <x:c r="A86" s="36" t="str">
        <x:v>H.IS.INTEREST_INCOME.FY2025</x:v>
      </x:c>
      <x:c r="B86" s="36" t="str">
        <x:v>IS</x:v>
      </x:c>
      <x:c r="C86" s="36" t="str">
        <x:v>Interest income</x:v>
      </x:c>
      <x:c r="D86" s="36" t="str">
        <x:v>FY2025</x:v>
      </x:c>
      <x:c r="E86" s="37" t="n">
        <x:v>0</x:v>
      </x:c>
      <x:c r="F86" s="36" t="str">
        <x:v>8c023447-ebc8-42c3-86e5-21558f3d7224.pdf</x:v>
      </x:c>
      <x:c r="G86" s="36" t="n">
        <x:v>58</x:v>
      </x:c>
      <x:c r="H86" s="36" t="str">
        <x:v>Provided 2025 Form 10-K.  Company named Pure Storage in this filing.</x:v>
      </x:c>
    </x:row>
    <x:row r="87">
      <x:c r="A87" s="36" t="str">
        <x:v>H.IS.INTEREST_INCOME.FY2026</x:v>
      </x:c>
      <x:c r="B87" s="36" t="str">
        <x:v>IS</x:v>
      </x:c>
      <x:c r="C87" s="36" t="str">
        <x:v>Interest income</x:v>
      </x:c>
      <x:c r="D87" s="36" t="str">
        <x:v>FY2026</x:v>
      </x:c>
      <x:c r="E87" s="37" t="n">
        <x:v>0</x:v>
      </x:c>
      <x:c r="F87" s="36" t="str">
        <x:v>2e1ef280-4c52-445c-b593-a6c3a1fbfec6.pdf</x:v>
      </x:c>
      <x:c r="G87" s="36" t="n">
        <x:v>60</x:v>
      </x:c>
      <x:c r="H87" s="36" t="str">
        <x:v>Provided 2026 Form 10-K.  Company named Everpure in this filing.</x:v>
      </x:c>
    </x:row>
    <x:row r="88">
      <x:c r="A88" s="36" t="str">
        <x:v>H.IS.INTEREST_EXPENSE.FY2021</x:v>
      </x:c>
      <x:c r="B88" s="36" t="str">
        <x:v>IS</x:v>
      </x:c>
      <x:c r="C88" s="36" t="str">
        <x:v>Interest expense</x:v>
      </x:c>
      <x:c r="D88" s="36" t="str">
        <x:v>FY2021</x:v>
      </x:c>
      <x:c r="E88" s="37" t="n">
        <x:v>0</x:v>
      </x:c>
      <x:c r="F88" s="36" t="str">
        <x:v>https://www.purestorage.com/content/dam/pdf/en/legal/2023-form-10-k.pdf</x:v>
      </x:c>
      <x:c r="G88" s="36" t="n">
        <x:v>59</x:v>
      </x:c>
      <x:c r="H88" s="36" t="str">
        <x:v>Official 2023 Form 10-K used to complete FY2021 and FY2022 history.</x:v>
      </x:c>
    </x:row>
    <x:row r="89">
      <x:c r="A89" s="36" t="str">
        <x:v>H.IS.INTEREST_EXPENSE.FY2022</x:v>
      </x:c>
      <x:c r="B89" s="36" t="str">
        <x:v>IS</x:v>
      </x:c>
      <x:c r="C89" s="36" t="str">
        <x:v>Interest expense</x:v>
      </x:c>
      <x:c r="D89" s="36" t="str">
        <x:v>FY2022</x:v>
      </x:c>
      <x:c r="E89" s="37" t="n">
        <x:v>0</x:v>
      </x:c>
      <x:c r="F89" s="36" t="str">
        <x:v>https://www.purestorage.com/content/dam/pdf/en/legal/2023-form-10-k.pdf</x:v>
      </x:c>
      <x:c r="G89" s="36" t="n">
        <x:v>59</x:v>
      </x:c>
      <x:c r="H89" s="36" t="str">
        <x:v>Official 2023 Form 10-K used to complete FY2021 and FY2022 history.</x:v>
      </x:c>
    </x:row>
    <x:row r="90">
      <x:c r="A90" s="36" t="str">
        <x:v>H.IS.INTEREST_EXPENSE.FY2023</x:v>
      </x:c>
      <x:c r="B90" s="36" t="str">
        <x:v>IS</x:v>
      </x:c>
      <x:c r="C90" s="36" t="str">
        <x:v>Interest expense</x:v>
      </x:c>
      <x:c r="D90" s="36" t="str">
        <x:v>FY2023</x:v>
      </x:c>
      <x:c r="E90" s="37" t="n">
        <x:v>0</x:v>
      </x:c>
      <x:c r="F90" s="36" t="str">
        <x:v>https://www.purestorage.com/content/dam/pdf/en/legal/2023-form-10-k.pdf</x:v>
      </x:c>
      <x:c r="G90" s="36" t="n">
        <x:v>59</x:v>
      </x:c>
      <x:c r="H90" s="36" t="str">
        <x:v>Official 2023 Form 10-K used to complete FY2021 and FY2022 history.</x:v>
      </x:c>
    </x:row>
    <x:row r="91">
      <x:c r="A91" s="36" t="str">
        <x:v>H.IS.INTEREST_EXPENSE.FY2024</x:v>
      </x:c>
      <x:c r="B91" s="36" t="str">
        <x:v>IS</x:v>
      </x:c>
      <x:c r="C91" s="36" t="str">
        <x:v>Interest expense</x:v>
      </x:c>
      <x:c r="D91" s="36" t="str">
        <x:v>FY2024</x:v>
      </x:c>
      <x:c r="E91" s="37" t="n">
        <x:v>0</x:v>
      </x:c>
      <x:c r="F91" s="36" t="str">
        <x:v>ed7936ac-e0cd-408a-ae7f-063381fdf3a1.pdf</x:v>
      </x:c>
      <x:c r="G91" s="36" t="n">
        <x:v>60</x:v>
      </x:c>
      <x:c r="H91" s="36" t="str">
        <x:v>Provided 2024 Form 10-K.  Company named Pure Storage in this filing.</x:v>
      </x:c>
    </x:row>
    <x:row r="92">
      <x:c r="A92" s="36" t="str">
        <x:v>H.IS.INTEREST_EXPENSE.FY2025</x:v>
      </x:c>
      <x:c r="B92" s="36" t="str">
        <x:v>IS</x:v>
      </x:c>
      <x:c r="C92" s="36" t="str">
        <x:v>Interest expense</x:v>
      </x:c>
      <x:c r="D92" s="36" t="str">
        <x:v>FY2025</x:v>
      </x:c>
      <x:c r="E92" s="37" t="n">
        <x:v>0</x:v>
      </x:c>
      <x:c r="F92" s="36" t="str">
        <x:v>8c023447-ebc8-42c3-86e5-21558f3d7224.pdf</x:v>
      </x:c>
      <x:c r="G92" s="36" t="n">
        <x:v>58</x:v>
      </x:c>
      <x:c r="H92" s="36" t="str">
        <x:v>Provided 2025 Form 10-K.  Company named Pure Storage in this filing.</x:v>
      </x:c>
    </x:row>
    <x:row r="93">
      <x:c r="A93" s="36" t="str">
        <x:v>H.IS.INTEREST_EXPENSE.FY2026</x:v>
      </x:c>
      <x:c r="B93" s="36" t="str">
        <x:v>IS</x:v>
      </x:c>
      <x:c r="C93" s="36" t="str">
        <x:v>Interest expense</x:v>
      </x:c>
      <x:c r="D93" s="36" t="str">
        <x:v>FY2026</x:v>
      </x:c>
      <x:c r="E93" s="37" t="n">
        <x:v>0</x:v>
      </x:c>
      <x:c r="F93" s="36" t="str">
        <x:v>2e1ef280-4c52-445c-b593-a6c3a1fbfec6.pdf</x:v>
      </x:c>
      <x:c r="G93" s="36" t="n">
        <x:v>60</x:v>
      </x:c>
      <x:c r="H93" s="36" t="str">
        <x:v>Provided 2026 Form 10-K.  Company named Everpure in this filing.</x:v>
      </x:c>
    </x:row>
    <x:row r="94">
      <x:c r="A94" s="36" t="str">
        <x:v>H.IS.OTHER_INCOME_EXPENSE.FY2021</x:v>
      </x:c>
      <x:c r="B94" s="36" t="str">
        <x:v>IS</x:v>
      </x:c>
      <x:c r="C94" s="36" t="str">
        <x:v>Other income / expense, net</x:v>
      </x:c>
      <x:c r="D94" s="36" t="str">
        <x:v>FY2021</x:v>
      </x:c>
      <x:c r="E94" s="37" t="n">
        <x:v>-9.127</x:v>
      </x:c>
      <x:c r="F94" s="36" t="str">
        <x:v>https://www.purestorage.com/content/dam/pdf/en/legal/2023-form-10-k.pdf</x:v>
      </x:c>
      <x:c r="G94" s="36" t="n">
        <x:v>59</x:v>
      </x:c>
      <x:c r="H94" s="36" t="str">
        <x:v>Official 2023 Form 10-K used to complete FY2021 and FY2022 history.</x:v>
      </x:c>
    </x:row>
    <x:row r="95">
      <x:c r="A95" s="36" t="str">
        <x:v>H.IS.OTHER_INCOME_EXPENSE.FY2022</x:v>
      </x:c>
      <x:c r="B95" s="36" t="str">
        <x:v>IS</x:v>
      </x:c>
      <x:c r="C95" s="36" t="str">
        <x:v>Other income / expense, net</x:v>
      </x:c>
      <x:c r="D95" s="36" t="str">
        <x:v>FY2022</x:v>
      </x:c>
      <x:c r="E95" s="37" t="n">
        <x:v>-30.098</x:v>
      </x:c>
      <x:c r="F95" s="36" t="str">
        <x:v>https://www.purestorage.com/content/dam/pdf/en/legal/2023-form-10-k.pdf</x:v>
      </x:c>
      <x:c r="G95" s="36" t="n">
        <x:v>59</x:v>
      </x:c>
      <x:c r="H95" s="36" t="str">
        <x:v>Official 2023 Form 10-K used to complete FY2021 and FY2022 history.</x:v>
      </x:c>
    </x:row>
    <x:row r="96">
      <x:c r="A96" s="36" t="str">
        <x:v>H.IS.OTHER_INCOME_EXPENSE.FY2023</x:v>
      </x:c>
      <x:c r="B96" s="36" t="str">
        <x:v>IS</x:v>
      </x:c>
      <x:c r="C96" s="36" t="str">
        <x:v>Other income / expense, net</x:v>
      </x:c>
      <x:c r="D96" s="36" t="str">
        <x:v>FY2023</x:v>
      </x:c>
      <x:c r="E96" s="37" t="n">
        <x:v>8.295</x:v>
      </x:c>
      <x:c r="F96" s="36" t="str">
        <x:v>https://www.purestorage.com/content/dam/pdf/en/legal/2023-form-10-k.pdf</x:v>
      </x:c>
      <x:c r="G96" s="36" t="n">
        <x:v>59</x:v>
      </x:c>
      <x:c r="H96" s="36" t="str">
        <x:v>Official 2023 Form 10-K used to complete FY2021 and FY2022 history.</x:v>
      </x:c>
    </x:row>
    <x:row r="97">
      <x:c r="A97" s="36" t="str">
        <x:v>H.IS.OTHER_INCOME_EXPENSE.FY2024</x:v>
      </x:c>
      <x:c r="B97" s="36" t="str">
        <x:v>IS</x:v>
      </x:c>
      <x:c r="C97" s="36" t="str">
        <x:v>Other income / expense, net</x:v>
      </x:c>
      <x:c r="D97" s="36" t="str">
        <x:v>FY2024</x:v>
      </x:c>
      <x:c r="E97" s="37" t="n">
        <x:v>37.035</x:v>
      </x:c>
      <x:c r="F97" s="36" t="str">
        <x:v>ed7936ac-e0cd-408a-ae7f-063381fdf3a1.pdf</x:v>
      </x:c>
      <x:c r="G97" s="36" t="n">
        <x:v>60</x:v>
      </x:c>
      <x:c r="H97" s="36" t="str">
        <x:v>Provided 2024 Form 10-K.  Company named Pure Storage in this filing.</x:v>
      </x:c>
    </x:row>
    <x:row r="98">
      <x:c r="A98" s="36" t="str">
        <x:v>H.IS.OTHER_INCOME_EXPENSE.FY2025</x:v>
      </x:c>
      <x:c r="B98" s="36" t="str">
        <x:v>IS</x:v>
      </x:c>
      <x:c r="C98" s="36" t="str">
        <x:v>Other income / expense, net</x:v>
      </x:c>
      <x:c r="D98" s="36" t="str">
        <x:v>FY2025</x:v>
      </x:c>
      <x:c r="E98" s="37" t="n">
        <x:v>62.576</x:v>
      </x:c>
      <x:c r="F98" s="36" t="str">
        <x:v>8c023447-ebc8-42c3-86e5-21558f3d7224.pdf</x:v>
      </x:c>
      <x:c r="G98" s="36" t="n">
        <x:v>58</x:v>
      </x:c>
      <x:c r="H98" s="36" t="str">
        <x:v>Provided 2025 Form 10-K.  Company named Pure Storage in this filing.</x:v>
      </x:c>
    </x:row>
    <x:row r="99">
      <x:c r="A99" s="36" t="str">
        <x:v>H.IS.OTHER_INCOME_EXPENSE.FY2026</x:v>
      </x:c>
      <x:c r="B99" s="36" t="str">
        <x:v>IS</x:v>
      </x:c>
      <x:c r="C99" s="36" t="str">
        <x:v>Other income / expense, net</x:v>
      </x:c>
      <x:c r="D99" s="36" t="str">
        <x:v>FY2026</x:v>
      </x:c>
      <x:c r="E99" s="37" t="n">
        <x:v>109.468</x:v>
      </x:c>
      <x:c r="F99" s="36" t="str">
        <x:v>2e1ef280-4c52-445c-b593-a6c3a1fbfec6.pdf</x:v>
      </x:c>
      <x:c r="G99" s="36" t="n">
        <x:v>60</x:v>
      </x:c>
      <x:c r="H99" s="36" t="str">
        <x:v>Provided 2026 Form 10-K.  Company named Everpure in this filing.</x:v>
      </x:c>
    </x:row>
    <x:row r="100">
      <x:c r="A100" s="36" t="str">
        <x:v>H.IS.PRETAX_INCOME.FY2021</x:v>
      </x:c>
      <x:c r="B100" s="36" t="str">
        <x:v>IS</x:v>
      </x:c>
      <x:c r="C100" s="36" t="str">
        <x:v>Pretax income</x:v>
      </x:c>
      <x:c r="D100" s="36" t="str">
        <x:v>FY2021</x:v>
      </x:c>
      <x:c r="E100" s="37" t="n">
        <x:v>-270.16</x:v>
      </x:c>
      <x:c r="F100" s="36" t="str">
        <x:v>https://www.purestorage.com/content/dam/pdf/en/legal/2023-form-10-k.pdf</x:v>
      </x:c>
      <x:c r="G100" s="36" t="n">
        <x:v>59</x:v>
      </x:c>
      <x:c r="H100" s="36" t="str">
        <x:v>Official 2023 Form 10-K used to complete FY2021 and FY2022 history.</x:v>
      </x:c>
    </x:row>
    <x:row r="101">
      <x:c r="A101" s="36" t="str">
        <x:v>H.IS.PRETAX_INCOME.FY2022</x:v>
      </x:c>
      <x:c r="B101" s="36" t="str">
        <x:v>IS</x:v>
      </x:c>
      <x:c r="C101" s="36" t="str">
        <x:v>Pretax income</x:v>
      </x:c>
      <x:c r="D101" s="36" t="str">
        <x:v>FY2022</x:v>
      </x:c>
      <x:c r="E101" s="37" t="n">
        <x:v>-128.496</x:v>
      </x:c>
      <x:c r="F101" s="36" t="str">
        <x:v>https://www.purestorage.com/content/dam/pdf/en/legal/2023-form-10-k.pdf</x:v>
      </x:c>
      <x:c r="G101" s="36" t="n">
        <x:v>59</x:v>
      </x:c>
      <x:c r="H101" s="36" t="str">
        <x:v>Official 2023 Form 10-K used to complete FY2021 and FY2022 history.</x:v>
      </x:c>
    </x:row>
    <x:row r="102">
      <x:c r="A102" s="36" t="str">
        <x:v>H.IS.PRETAX_INCOME.FY2023</x:v>
      </x:c>
      <x:c r="B102" s="36" t="str">
        <x:v>IS</x:v>
      </x:c>
      <x:c r="C102" s="36" t="str">
        <x:v>Pretax income</x:v>
      </x:c>
      <x:c r="D102" s="36" t="str">
        <x:v>FY2023</x:v>
      </x:c>
      <x:c r="E102" s="37" t="n">
        <x:v>91.808</x:v>
      </x:c>
      <x:c r="F102" s="36" t="str">
        <x:v>https://www.purestorage.com/content/dam/pdf/en/legal/2023-form-10-k.pdf</x:v>
      </x:c>
      <x:c r="G102" s="36" t="n">
        <x:v>59</x:v>
      </x:c>
      <x:c r="H102" s="36" t="str">
        <x:v>Official 2023 Form 10-K used to complete FY2021 and FY2022 history.</x:v>
      </x:c>
    </x:row>
    <x:row r="103">
      <x:c r="A103" s="36" t="str">
        <x:v>H.IS.PRETAX_INCOME.FY2024</x:v>
      </x:c>
      <x:c r="B103" s="36" t="str">
        <x:v>IS</x:v>
      </x:c>
      <x:c r="C103" s="36" t="str">
        <x:v>Pretax income</x:v>
      </x:c>
      <x:c r="D103" s="36" t="str">
        <x:v>FY2024</x:v>
      </x:c>
      <x:c r="E103" s="37" t="n">
        <x:v>90.586</x:v>
      </x:c>
      <x:c r="F103" s="36" t="str">
        <x:v>ed7936ac-e0cd-408a-ae7f-063381fdf3a1.pdf</x:v>
      </x:c>
      <x:c r="G103" s="36" t="n">
        <x:v>60</x:v>
      </x:c>
      <x:c r="H103" s="36" t="str">
        <x:v>Provided 2024 Form 10-K.  Company named Pure Storage in this filing.</x:v>
      </x:c>
    </x:row>
    <x:row r="104">
      <x:c r="A104" s="36" t="str">
        <x:v>H.IS.PRETAX_INCOME.FY2025</x:v>
      </x:c>
      <x:c r="B104" s="36" t="str">
        <x:v>IS</x:v>
      </x:c>
      <x:c r="C104" s="36" t="str">
        <x:v>Pretax income</x:v>
      </x:c>
      <x:c r="D104" s="36" t="str">
        <x:v>FY2025</x:v>
      </x:c>
      <x:c r="E104" s="37" t="n">
        <x:v>147.834</x:v>
      </x:c>
      <x:c r="F104" s="36" t="str">
        <x:v>8c023447-ebc8-42c3-86e5-21558f3d7224.pdf</x:v>
      </x:c>
      <x:c r="G104" s="36" t="n">
        <x:v>58</x:v>
      </x:c>
      <x:c r="H104" s="36" t="str">
        <x:v>Provided 2025 Form 10-K.  Company named Pure Storage in this filing.</x:v>
      </x:c>
    </x:row>
    <x:row r="105">
      <x:c r="A105" s="36" t="str">
        <x:v>H.IS.PRETAX_INCOME.FY2026</x:v>
      </x:c>
      <x:c r="B105" s="36" t="str">
        <x:v>IS</x:v>
      </x:c>
      <x:c r="C105" s="36" t="str">
        <x:v>Pretax income</x:v>
      </x:c>
      <x:c r="D105" s="36" t="str">
        <x:v>FY2026</x:v>
      </x:c>
      <x:c r="E105" s="37" t="n">
        <x:v>224.284</x:v>
      </x:c>
      <x:c r="F105" s="36" t="str">
        <x:v>2e1ef280-4c52-445c-b593-a6c3a1fbfec6.pdf</x:v>
      </x:c>
      <x:c r="G105" s="36" t="n">
        <x:v>60</x:v>
      </x:c>
      <x:c r="H105" s="36" t="str">
        <x:v>Provided 2026 Form 10-K.  Company named Everpure in this filing.</x:v>
      </x:c>
    </x:row>
    <x:row r="106">
      <x:c r="A106" s="36" t="str">
        <x:v>H.IS.TAX_EXPENSE.FY2021</x:v>
      </x:c>
      <x:c r="B106" s="36" t="str">
        <x:v>IS</x:v>
      </x:c>
      <x:c r="C106" s="36" t="str">
        <x:v>Income tax expense</x:v>
      </x:c>
      <x:c r="D106" s="36" t="str">
        <x:v>FY2021</x:v>
      </x:c>
      <x:c r="E106" s="37" t="n">
        <x:v>11.916</x:v>
      </x:c>
      <x:c r="F106" s="36" t="str">
        <x:v>https://www.purestorage.com/content/dam/pdf/en/legal/2023-form-10-k.pdf</x:v>
      </x:c>
      <x:c r="G106" s="36" t="n">
        <x:v>59</x:v>
      </x:c>
      <x:c r="H106" s="36" t="str">
        <x:v>Official 2023 Form 10-K used to complete FY2021 and FY2022 history.</x:v>
      </x:c>
    </x:row>
    <x:row r="107">
      <x:c r="A107" s="36" t="str">
        <x:v>H.IS.TAX_EXPENSE.FY2022</x:v>
      </x:c>
      <x:c r="B107" s="36" t="str">
        <x:v>IS</x:v>
      </x:c>
      <x:c r="C107" s="36" t="str">
        <x:v>Income tax expense</x:v>
      </x:c>
      <x:c r="D107" s="36" t="str">
        <x:v>FY2022</x:v>
      </x:c>
      <x:c r="E107" s="37" t="n">
        <x:v>14.763</x:v>
      </x:c>
      <x:c r="F107" s="36" t="str">
        <x:v>https://www.purestorage.com/content/dam/pdf/en/legal/2023-form-10-k.pdf</x:v>
      </x:c>
      <x:c r="G107" s="36" t="n">
        <x:v>59</x:v>
      </x:c>
      <x:c r="H107" s="36" t="str">
        <x:v>Official 2023 Form 10-K used to complete FY2021 and FY2022 history.</x:v>
      </x:c>
    </x:row>
    <x:row r="108">
      <x:c r="A108" s="36" t="str">
        <x:v>H.IS.TAX_EXPENSE.FY2023</x:v>
      </x:c>
      <x:c r="B108" s="36" t="str">
        <x:v>IS</x:v>
      </x:c>
      <x:c r="C108" s="36" t="str">
        <x:v>Income tax expense</x:v>
      </x:c>
      <x:c r="D108" s="36" t="str">
        <x:v>FY2023</x:v>
      </x:c>
      <x:c r="E108" s="37" t="n">
        <x:v>18.737</x:v>
      </x:c>
      <x:c r="F108" s="36" t="str">
        <x:v>https://www.purestorage.com/content/dam/pdf/en/legal/2023-form-10-k.pdf</x:v>
      </x:c>
      <x:c r="G108" s="36" t="n">
        <x:v>59</x:v>
      </x:c>
      <x:c r="H108" s="36" t="str">
        <x:v>Official 2023 Form 10-K used to complete FY2021 and FY2022 history.</x:v>
      </x:c>
    </x:row>
    <x:row r="109">
      <x:c r="A109" s="36" t="str">
        <x:v>H.IS.TAX_EXPENSE.FY2024</x:v>
      </x:c>
      <x:c r="B109" s="36" t="str">
        <x:v>IS</x:v>
      </x:c>
      <x:c r="C109" s="36" t="str">
        <x:v>Income tax expense</x:v>
      </x:c>
      <x:c r="D109" s="36" t="str">
        <x:v>FY2024</x:v>
      </x:c>
      <x:c r="E109" s="37" t="n">
        <x:v>29.275</x:v>
      </x:c>
      <x:c r="F109" s="36" t="str">
        <x:v>ed7936ac-e0cd-408a-ae7f-063381fdf3a1.pdf</x:v>
      </x:c>
      <x:c r="G109" s="36" t="n">
        <x:v>60</x:v>
      </x:c>
      <x:c r="H109" s="36" t="str">
        <x:v>Provided 2024 Form 10-K.  Company named Pure Storage in this filing.</x:v>
      </x:c>
    </x:row>
    <x:row r="110">
      <x:c r="A110" s="36" t="str">
        <x:v>H.IS.TAX_EXPENSE.FY2025</x:v>
      </x:c>
      <x:c r="B110" s="36" t="str">
        <x:v>IS</x:v>
      </x:c>
      <x:c r="C110" s="36" t="str">
        <x:v>Income tax expense</x:v>
      </x:c>
      <x:c r="D110" s="36" t="str">
        <x:v>FY2025</x:v>
      </x:c>
      <x:c r="E110" s="37" t="n">
        <x:v>41.095</x:v>
      </x:c>
      <x:c r="F110" s="36" t="str">
        <x:v>8c023447-ebc8-42c3-86e5-21558f3d7224.pdf</x:v>
      </x:c>
      <x:c r="G110" s="36" t="n">
        <x:v>58</x:v>
      </x:c>
      <x:c r="H110" s="36" t="str">
        <x:v>Provided 2025 Form 10-K.  Company named Pure Storage in this filing.</x:v>
      </x:c>
    </x:row>
    <x:row r="111">
      <x:c r="A111" s="36" t="str">
        <x:v>H.IS.TAX_EXPENSE.FY2026</x:v>
      </x:c>
      <x:c r="B111" s="36" t="str">
        <x:v>IS</x:v>
      </x:c>
      <x:c r="C111" s="36" t="str">
        <x:v>Income tax expense</x:v>
      </x:c>
      <x:c r="D111" s="36" t="str">
        <x:v>FY2026</x:v>
      </x:c>
      <x:c r="E111" s="37" t="n">
        <x:v>36.103</x:v>
      </x:c>
      <x:c r="F111" s="36" t="str">
        <x:v>2e1ef280-4c52-445c-b593-a6c3a1fbfec6.pdf</x:v>
      </x:c>
      <x:c r="G111" s="36" t="n">
        <x:v>60</x:v>
      </x:c>
      <x:c r="H111" s="36" t="str">
        <x:v>Provided 2026 Form 10-K.  Company named Everpure in this filing.</x:v>
      </x:c>
    </x:row>
    <x:row r="112">
      <x:c r="A112" s="36" t="str">
        <x:v>H.IS.NET_INCOME.FY2021</x:v>
      </x:c>
      <x:c r="B112" s="36" t="str">
        <x:v>IS</x:v>
      </x:c>
      <x:c r="C112" s="36" t="str">
        <x:v>Net income</x:v>
      </x:c>
      <x:c r="D112" s="36" t="str">
        <x:v>FY2021</x:v>
      </x:c>
      <x:c r="E112" s="37" t="n">
        <x:v>-282.076</x:v>
      </x:c>
      <x:c r="F112" s="36" t="str">
        <x:v>https://www.purestorage.com/content/dam/pdf/en/legal/2023-form-10-k.pdf</x:v>
      </x:c>
      <x:c r="G112" s="36" t="n">
        <x:v>59</x:v>
      </x:c>
      <x:c r="H112" s="36" t="str">
        <x:v>Official 2023 Form 10-K used to complete FY2021 and FY2022 history.</x:v>
      </x:c>
    </x:row>
    <x:row r="113">
      <x:c r="A113" s="36" t="str">
        <x:v>H.IS.NET_INCOME.FY2022</x:v>
      </x:c>
      <x:c r="B113" s="36" t="str">
        <x:v>IS</x:v>
      </x:c>
      <x:c r="C113" s="36" t="str">
        <x:v>Net income</x:v>
      </x:c>
      <x:c r="D113" s="36" t="str">
        <x:v>FY2022</x:v>
      </x:c>
      <x:c r="E113" s="37" t="n">
        <x:v>-143.259</x:v>
      </x:c>
      <x:c r="F113" s="36" t="str">
        <x:v>https://www.purestorage.com/content/dam/pdf/en/legal/2023-form-10-k.pdf</x:v>
      </x:c>
      <x:c r="G113" s="36" t="n">
        <x:v>59</x:v>
      </x:c>
      <x:c r="H113" s="36" t="str">
        <x:v>Official 2023 Form 10-K used to complete FY2021 and FY2022 history.</x:v>
      </x:c>
    </x:row>
    <x:row r="114">
      <x:c r="A114" s="36" t="str">
        <x:v>H.IS.NET_INCOME.FY2023</x:v>
      </x:c>
      <x:c r="B114" s="36" t="str">
        <x:v>IS</x:v>
      </x:c>
      <x:c r="C114" s="36" t="str">
        <x:v>Net income</x:v>
      </x:c>
      <x:c r="D114" s="36" t="str">
        <x:v>FY2023</x:v>
      </x:c>
      <x:c r="E114" s="37" t="n">
        <x:v>73.071</x:v>
      </x:c>
      <x:c r="F114" s="36" t="str">
        <x:v>https://www.purestorage.com/content/dam/pdf/en/legal/2023-form-10-k.pdf</x:v>
      </x:c>
      <x:c r="G114" s="36" t="n">
        <x:v>59</x:v>
      </x:c>
      <x:c r="H114" s="36" t="str">
        <x:v>Official 2023 Form 10-K used to complete FY2021 and FY2022 history.</x:v>
      </x:c>
    </x:row>
    <x:row r="115">
      <x:c r="A115" s="36" t="str">
        <x:v>H.IS.NET_INCOME.FY2024</x:v>
      </x:c>
      <x:c r="B115" s="36" t="str">
        <x:v>IS</x:v>
      </x:c>
      <x:c r="C115" s="36" t="str">
        <x:v>Net income</x:v>
      </x:c>
      <x:c r="D115" s="36" t="str">
        <x:v>FY2024</x:v>
      </x:c>
      <x:c r="E115" s="37" t="n">
        <x:v>61.311</x:v>
      </x:c>
      <x:c r="F115" s="36" t="str">
        <x:v>ed7936ac-e0cd-408a-ae7f-063381fdf3a1.pdf</x:v>
      </x:c>
      <x:c r="G115" s="36" t="n">
        <x:v>60</x:v>
      </x:c>
      <x:c r="H115" s="36" t="str">
        <x:v>Provided 2024 Form 10-K.  Company named Pure Storage in this filing.</x:v>
      </x:c>
    </x:row>
    <x:row r="116">
      <x:c r="A116" s="36" t="str">
        <x:v>H.IS.NET_INCOME.FY2025</x:v>
      </x:c>
      <x:c r="B116" s="36" t="str">
        <x:v>IS</x:v>
      </x:c>
      <x:c r="C116" s="36" t="str">
        <x:v>Net income</x:v>
      </x:c>
      <x:c r="D116" s="36" t="str">
        <x:v>FY2025</x:v>
      </x:c>
      <x:c r="E116" s="37" t="n">
        <x:v>106.739</x:v>
      </x:c>
      <x:c r="F116" s="36" t="str">
        <x:v>8c023447-ebc8-42c3-86e5-21558f3d7224.pdf</x:v>
      </x:c>
      <x:c r="G116" s="36" t="n">
        <x:v>58</x:v>
      </x:c>
      <x:c r="H116" s="36" t="str">
        <x:v>Provided 2025 Form 10-K.  Company named Pure Storage in this filing.</x:v>
      </x:c>
    </x:row>
    <x:row r="117">
      <x:c r="A117" s="36" t="str">
        <x:v>H.IS.NET_INCOME.FY2026</x:v>
      </x:c>
      <x:c r="B117" s="36" t="str">
        <x:v>IS</x:v>
      </x:c>
      <x:c r="C117" s="36" t="str">
        <x:v>Net income</x:v>
      </x:c>
      <x:c r="D117" s="36" t="str">
        <x:v>FY2026</x:v>
      </x:c>
      <x:c r="E117" s="37" t="n">
        <x:v>188.181</x:v>
      </x:c>
      <x:c r="F117" s="36" t="str">
        <x:v>2e1ef280-4c52-445c-b593-a6c3a1fbfec6.pdf</x:v>
      </x:c>
      <x:c r="G117" s="36" t="n">
        <x:v>60</x:v>
      </x:c>
      <x:c r="H117" s="36" t="str">
        <x:v>Provided 2026 Form 10-K.  Company named Everpure in this filing.</x:v>
      </x:c>
    </x:row>
    <x:row r="118">
      <x:c r="A118" s="36" t="str">
        <x:v>H.IS.DILUTED_SHARES.FY2021</x:v>
      </x:c>
      <x:c r="B118" s="36" t="str">
        <x:v>IS</x:v>
      </x:c>
      <x:c r="C118" s="36" t="str">
        <x:v>Diluted weighted average shares</x:v>
      </x:c>
      <x:c r="D118" s="36" t="str">
        <x:v>FY2021</x:v>
      </x:c>
      <x:c r="E118" s="37" t="n">
        <x:v>267.824</x:v>
      </x:c>
      <x:c r="F118" s="36" t="str">
        <x:v>https://www.purestorage.com/content/dam/pdf/en/legal/2023-form-10-k.pdf</x:v>
      </x:c>
      <x:c r="G118" s="36" t="n">
        <x:v>59</x:v>
      </x:c>
      <x:c r="H118" s="36" t="str">
        <x:v>Official 2023 Form 10-K used to complete FY2021 and FY2022 history.</x:v>
      </x:c>
    </x:row>
    <x:row r="119">
      <x:c r="A119" s="36" t="str">
        <x:v>H.IS.DILUTED_SHARES.FY2022</x:v>
      </x:c>
      <x:c r="B119" s="36" t="str">
        <x:v>IS</x:v>
      </x:c>
      <x:c r="C119" s="36" t="str">
        <x:v>Diluted weighted average shares</x:v>
      </x:c>
      <x:c r="D119" s="36" t="str">
        <x:v>FY2022</x:v>
      </x:c>
      <x:c r="E119" s="37" t="n">
        <x:v>285.882</x:v>
      </x:c>
      <x:c r="F119" s="36" t="str">
        <x:v>https://www.purestorage.com/content/dam/pdf/en/legal/2023-form-10-k.pdf</x:v>
      </x:c>
      <x:c r="G119" s="36" t="n">
        <x:v>59</x:v>
      </x:c>
      <x:c r="H119" s="36" t="str">
        <x:v>Official 2023 Form 10-K used to complete FY2021 and FY2022 history.</x:v>
      </x:c>
    </x:row>
    <x:row r="120">
      <x:c r="A120" s="36" t="str">
        <x:v>H.IS.DILUTED_SHARES.FY2023</x:v>
      </x:c>
      <x:c r="B120" s="36" t="str">
        <x:v>IS</x:v>
      </x:c>
      <x:c r="C120" s="36" t="str">
        <x:v>Diluted weighted average shares</x:v>
      </x:c>
      <x:c r="D120" s="36" t="str">
        <x:v>FY2023</x:v>
      </x:c>
      <x:c r="E120" s="37" t="n">
        <x:v>339.184</x:v>
      </x:c>
      <x:c r="F120" s="36" t="str">
        <x:v>https://www.purestorage.com/content/dam/pdf/en/legal/2023-form-10-k.pdf</x:v>
      </x:c>
      <x:c r="G120" s="36" t="n">
        <x:v>59</x:v>
      </x:c>
      <x:c r="H120" s="36" t="str">
        <x:v>Official 2023 Form 10-K used to complete FY2021 and FY2022 history.</x:v>
      </x:c>
    </x:row>
    <x:row r="121">
      <x:c r="A121" s="36" t="str">
        <x:v>H.IS.DILUTED_SHARES.FY2024</x:v>
      </x:c>
      <x:c r="B121" s="36" t="str">
        <x:v>IS</x:v>
      </x:c>
      <x:c r="C121" s="36" t="str">
        <x:v>Diluted weighted average shares</x:v>
      </x:c>
      <x:c r="D121" s="36" t="str">
        <x:v>FY2024</x:v>
      </x:c>
      <x:c r="E121" s="37" t="n">
        <x:v>332.568</x:v>
      </x:c>
      <x:c r="F121" s="36" t="str">
        <x:v>ed7936ac-e0cd-408a-ae7f-063381fdf3a1.pdf</x:v>
      </x:c>
      <x:c r="G121" s="36" t="n">
        <x:v>60</x:v>
      </x:c>
      <x:c r="H121" s="36" t="str">
        <x:v>Provided 2024 Form 10-K.  Company named Pure Storage in this filing.</x:v>
      </x:c>
    </x:row>
    <x:row r="122">
      <x:c r="A122" s="36" t="str">
        <x:v>H.IS.DILUTED_SHARES.FY2025</x:v>
      </x:c>
      <x:c r="B122" s="36" t="str">
        <x:v>IS</x:v>
      </x:c>
      <x:c r="C122" s="36" t="str">
        <x:v>Diluted weighted average shares</x:v>
      </x:c>
      <x:c r="D122" s="36" t="str">
        <x:v>FY2025</x:v>
      </x:c>
      <x:c r="E122" s="37" t="n">
        <x:v>342.704</x:v>
      </x:c>
      <x:c r="F122" s="36" t="str">
        <x:v>8c023447-ebc8-42c3-86e5-21558f3d7224.pdf</x:v>
      </x:c>
      <x:c r="G122" s="36" t="n">
        <x:v>58</x:v>
      </x:c>
      <x:c r="H122" s="36" t="str">
        <x:v>Provided 2025 Form 10-K.  Company named Pure Storage in this filing.</x:v>
      </x:c>
    </x:row>
    <x:row r="123">
      <x:c r="A123" s="36" t="str">
        <x:v>H.IS.DILUTED_SHARES.FY2026</x:v>
      </x:c>
      <x:c r="B123" s="36" t="str">
        <x:v>IS</x:v>
      </x:c>
      <x:c r="C123" s="36" t="str">
        <x:v>Diluted weighted average shares</x:v>
      </x:c>
      <x:c r="D123" s="36" t="str">
        <x:v>FY2026</x:v>
      </x:c>
      <x:c r="E123" s="37" t="n">
        <x:v>342.992</x:v>
      </x:c>
      <x:c r="F123" s="36" t="str">
        <x:v>2e1ef280-4c52-445c-b593-a6c3a1fbfec6.pdf</x:v>
      </x:c>
      <x:c r="G123" s="36" t="n">
        <x:v>60</x:v>
      </x:c>
      <x:c r="H123" s="36" t="str">
        <x:v>Provided 2026 Form 10-K.  Company named Everpure in this filing.</x:v>
      </x:c>
    </x:row>
    <x:row r="124">
      <x:c r="A124" s="36" t="str">
        <x:v>H.IS.DILUTED_EPS.FY2021</x:v>
      </x:c>
      <x:c r="B124" s="36" t="str">
        <x:v>IS</x:v>
      </x:c>
      <x:c r="C124" s="36" t="str">
        <x:v>Diluted EPS</x:v>
      </x:c>
      <x:c r="D124" s="36" t="str">
        <x:v>FY2021</x:v>
      </x:c>
      <x:c r="E124" s="37" t="n">
        <x:v>-1.05</x:v>
      </x:c>
      <x:c r="F124" s="36" t="str">
        <x:v>https://www.purestorage.com/content/dam/pdf/en/legal/2023-form-10-k.pdf</x:v>
      </x:c>
      <x:c r="G124" s="36" t="n">
        <x:v>59</x:v>
      </x:c>
      <x:c r="H124" s="36" t="str">
        <x:v>Official 2023 Form 10-K used to complete FY2021 and FY2022 history.</x:v>
      </x:c>
    </x:row>
    <x:row r="125">
      <x:c r="A125" s="36" t="str">
        <x:v>H.IS.DILUTED_EPS.FY2022</x:v>
      </x:c>
      <x:c r="B125" s="36" t="str">
        <x:v>IS</x:v>
      </x:c>
      <x:c r="C125" s="36" t="str">
        <x:v>Diluted EPS</x:v>
      </x:c>
      <x:c r="D125" s="36" t="str">
        <x:v>FY2022</x:v>
      </x:c>
      <x:c r="E125" s="37" t="n">
        <x:v>-0.5</x:v>
      </x:c>
      <x:c r="F125" s="36" t="str">
        <x:v>https://www.purestorage.com/content/dam/pdf/en/legal/2023-form-10-k.pdf</x:v>
      </x:c>
      <x:c r="G125" s="36" t="n">
        <x:v>59</x:v>
      </x:c>
      <x:c r="H125" s="36" t="str">
        <x:v>Official 2023 Form 10-K used to complete FY2021 and FY2022 history.</x:v>
      </x:c>
    </x:row>
    <x:row r="126">
      <x:c r="A126" s="36" t="str">
        <x:v>H.IS.DILUTED_EPS.FY2023</x:v>
      </x:c>
      <x:c r="B126" s="36" t="str">
        <x:v>IS</x:v>
      </x:c>
      <x:c r="C126" s="36" t="str">
        <x:v>Diluted EPS</x:v>
      </x:c>
      <x:c r="D126" s="36" t="str">
        <x:v>FY2023</x:v>
      </x:c>
      <x:c r="E126" s="37" t="n">
        <x:v>0.23</x:v>
      </x:c>
      <x:c r="F126" s="36" t="str">
        <x:v>https://www.purestorage.com/content/dam/pdf/en/legal/2023-form-10-k.pdf</x:v>
      </x:c>
      <x:c r="G126" s="36" t="n">
        <x:v>59</x:v>
      </x:c>
      <x:c r="H126" s="36" t="str">
        <x:v>Official 2023 Form 10-K used to complete FY2021 and FY2022 history.</x:v>
      </x:c>
    </x:row>
    <x:row r="127">
      <x:c r="A127" s="36" t="str">
        <x:v>H.IS.DILUTED_EPS.FY2024</x:v>
      </x:c>
      <x:c r="B127" s="36" t="str">
        <x:v>IS</x:v>
      </x:c>
      <x:c r="C127" s="36" t="str">
        <x:v>Diluted EPS</x:v>
      </x:c>
      <x:c r="D127" s="36" t="str">
        <x:v>FY2024</x:v>
      </x:c>
      <x:c r="E127" s="37" t="n">
        <x:v>0.19</x:v>
      </x:c>
      <x:c r="F127" s="36" t="str">
        <x:v>ed7936ac-e0cd-408a-ae7f-063381fdf3a1.pdf</x:v>
      </x:c>
      <x:c r="G127" s="36" t="n">
        <x:v>60</x:v>
      </x:c>
      <x:c r="H127" s="36" t="str">
        <x:v>Provided 2024 Form 10-K.  Company named Pure Storage in this filing.</x:v>
      </x:c>
    </x:row>
    <x:row r="128">
      <x:c r="A128" s="36" t="str">
        <x:v>H.IS.DILUTED_EPS.FY2025</x:v>
      </x:c>
      <x:c r="B128" s="36" t="str">
        <x:v>IS</x:v>
      </x:c>
      <x:c r="C128" s="36" t="str">
        <x:v>Diluted EPS</x:v>
      </x:c>
      <x:c r="D128" s="36" t="str">
        <x:v>FY2025</x:v>
      </x:c>
      <x:c r="E128" s="37" t="n">
        <x:v>0.31</x:v>
      </x:c>
      <x:c r="F128" s="36" t="str">
        <x:v>8c023447-ebc8-42c3-86e5-21558f3d7224.pdf</x:v>
      </x:c>
      <x:c r="G128" s="36" t="n">
        <x:v>58</x:v>
      </x:c>
      <x:c r="H128" s="36" t="str">
        <x:v>Provided 2025 Form 10-K.  Company named Pure Storage in this filing.</x:v>
      </x:c>
    </x:row>
    <x:row r="129">
      <x:c r="A129" s="36" t="str">
        <x:v>H.IS.DILUTED_EPS.FY2026</x:v>
      </x:c>
      <x:c r="B129" s="36" t="str">
        <x:v>IS</x:v>
      </x:c>
      <x:c r="C129" s="36" t="str">
        <x:v>Diluted EPS</x:v>
      </x:c>
      <x:c r="D129" s="36" t="str">
        <x:v>FY2026</x:v>
      </x:c>
      <x:c r="E129" s="37" t="n">
        <x:v>0.55</x:v>
      </x:c>
      <x:c r="F129" s="36" t="str">
        <x:v>2e1ef280-4c52-445c-b593-a6c3a1fbfec6.pdf</x:v>
      </x:c>
      <x:c r="G129" s="36" t="n">
        <x:v>60</x:v>
      </x:c>
      <x:c r="H129" s="36" t="str">
        <x:v>Provided 2026 Form 10-K.  Company named Everpure in this filing.</x:v>
      </x:c>
    </x:row>
    <x:row r="130">
      <x:c r="A130" s="36" t="str">
        <x:v>H.BS.CASH.FY2021</x:v>
      </x:c>
      <x:c r="B130" s="36" t="str">
        <x:v>BS</x:v>
      </x:c>
      <x:c r="C130" s="36" t="str">
        <x:v>Cash and equivalents</x:v>
      </x:c>
      <x:c r="D130" s="36" t="str">
        <x:v>FY2021</x:v>
      </x:c>
      <x:c r="E130" s="37" t="n">
        <x:v>337.147</x:v>
      </x:c>
      <x:c r="F130" s="36" t="str">
        <x:v>https://www.purestorage.com/content/dam/pdf/en/legal/2023-form-10-k.pdf</x:v>
      </x:c>
      <x:c r="G130" s="36" t="n">
        <x:v>58</x:v>
      </x:c>
      <x:c r="H130" s="36" t="str">
        <x:v>Official 2023 Form 10-K used to complete FY2021 and FY2022 history.</x:v>
      </x:c>
    </x:row>
    <x:row r="131">
      <x:c r="A131" s="36" t="str">
        <x:v>H.BS.CASH.FY2022</x:v>
      </x:c>
      <x:c r="B131" s="36" t="str">
        <x:v>BS</x:v>
      </x:c>
      <x:c r="C131" s="36" t="str">
        <x:v>Cash and equivalents</x:v>
      </x:c>
      <x:c r="D131" s="36" t="str">
        <x:v>FY2022</x:v>
      </x:c>
      <x:c r="E131" s="37" t="n">
        <x:v>466.199</x:v>
      </x:c>
      <x:c r="F131" s="36" t="str">
        <x:v>https://www.purestorage.com/content/dam/pdf/en/legal/2023-form-10-k.pdf</x:v>
      </x:c>
      <x:c r="G131" s="36" t="n">
        <x:v>58</x:v>
      </x:c>
      <x:c r="H131" s="36" t="str">
        <x:v>Official 2023 Form 10-K used to complete FY2021 and FY2022 history.</x:v>
      </x:c>
    </x:row>
    <x:row r="132">
      <x:c r="A132" s="36" t="str">
        <x:v>H.BS.CASH.FY2023</x:v>
      </x:c>
      <x:c r="B132" s="36" t="str">
        <x:v>BS</x:v>
      </x:c>
      <x:c r="C132" s="36" t="str">
        <x:v>Cash and equivalents</x:v>
      </x:c>
      <x:c r="D132" s="36" t="str">
        <x:v>FY2023</x:v>
      </x:c>
      <x:c r="E132" s="37" t="n">
        <x:v>580.854</x:v>
      </x:c>
      <x:c r="F132" s="36" t="str">
        <x:v>https://www.purestorage.com/content/dam/pdf/en/legal/2023-form-10-k.pdf</x:v>
      </x:c>
      <x:c r="G132" s="36" t="n">
        <x:v>58</x:v>
      </x:c>
      <x:c r="H132" s="36" t="str">
        <x:v>Official 2023 Form 10-K used to complete FY2021 and FY2022 history.</x:v>
      </x:c>
    </x:row>
    <x:row r="133">
      <x:c r="A133" s="36" t="str">
        <x:v>H.BS.CASH.FY2024</x:v>
      </x:c>
      <x:c r="B133" s="36" t="str">
        <x:v>BS</x:v>
      </x:c>
      <x:c r="C133" s="36" t="str">
        <x:v>Cash and equivalents</x:v>
      </x:c>
      <x:c r="D133" s="36" t="str">
        <x:v>FY2024</x:v>
      </x:c>
      <x:c r="E133" s="37" t="n">
        <x:v>702.536</x:v>
      </x:c>
      <x:c r="F133" s="36" t="str">
        <x:v>ed7936ac-e0cd-408a-ae7f-063381fdf3a1.pdf</x:v>
      </x:c>
      <x:c r="G133" s="36" t="n">
        <x:v>54</x:v>
      </x:c>
      <x:c r="H133" s="36" t="str">
        <x:v>Provided 2024 Form 10-K.  Company named Pure Storage in this filing.</x:v>
      </x:c>
    </x:row>
    <x:row r="134">
      <x:c r="A134" s="36" t="str">
        <x:v>H.BS.CASH.FY2025</x:v>
      </x:c>
      <x:c r="B134" s="36" t="str">
        <x:v>BS</x:v>
      </x:c>
      <x:c r="C134" s="36" t="str">
        <x:v>Cash and equivalents</x:v>
      </x:c>
      <x:c r="D134" s="36" t="str">
        <x:v>FY2025</x:v>
      </x:c>
      <x:c r="E134" s="37" t="n">
        <x:v>723.583</x:v>
      </x:c>
      <x:c r="F134" s="36" t="str">
        <x:v>8c023447-ebc8-42c3-86e5-21558f3d7224.pdf</x:v>
      </x:c>
      <x:c r="G134" s="36" t="n">
        <x:v>57</x:v>
      </x:c>
      <x:c r="H134" s="36" t="str">
        <x:v>Provided 2025 Form 10-K.  Company named Pure Storage in this filing.</x:v>
      </x:c>
    </x:row>
    <x:row r="135">
      <x:c r="A135" s="36" t="str">
        <x:v>H.BS.CASH.FY2026</x:v>
      </x:c>
      <x:c r="B135" s="36" t="str">
        <x:v>BS</x:v>
      </x:c>
      <x:c r="C135" s="36" t="str">
        <x:v>Cash and equivalents</x:v>
      </x:c>
      <x:c r="D135" s="36" t="str">
        <x:v>FY2026</x:v>
      </x:c>
      <x:c r="E135" s="37" t="n">
        <x:v>854.873</x:v>
      </x:c>
      <x:c r="F135" s="36" t="str">
        <x:v>2e1ef280-4c52-445c-b593-a6c3a1fbfec6.pdf</x:v>
      </x:c>
      <x:c r="G135" s="36" t="n">
        <x:v>59</x:v>
      </x:c>
      <x:c r="H135" s="36" t="str">
        <x:v>Provided 2026 Form 10-K.  Company named Everpure in this filing.</x:v>
      </x:c>
    </x:row>
    <x:row r="136">
      <x:c r="A136" s="36" t="str">
        <x:v>H.BS.SHORT_TERM_INVESTMENTS.FY2021</x:v>
      </x:c>
      <x:c r="B136" s="36" t="str">
        <x:v>BS</x:v>
      </x:c>
      <x:c r="C136" s="36" t="str">
        <x:v>Short-term investments</x:v>
      </x:c>
      <x:c r="D136" s="36" t="str">
        <x:v>FY2021</x:v>
      </x:c>
      <x:c r="E136" s="37" t="n">
        <x:v>916.388</x:v>
      </x:c>
      <x:c r="F136" s="36" t="str">
        <x:v>https://www.purestorage.com/content/dam/pdf/en/legal/2023-form-10-k.pdf</x:v>
      </x:c>
      <x:c r="G136" s="36" t="n">
        <x:v>58</x:v>
      </x:c>
      <x:c r="H136" s="36" t="str">
        <x:v>Official 2023 Form 10-K used to complete FY2021 and FY2022 history.</x:v>
      </x:c>
    </x:row>
    <x:row r="137">
      <x:c r="A137" s="36" t="str">
        <x:v>H.BS.SHORT_TERM_INVESTMENTS.FY2022</x:v>
      </x:c>
      <x:c r="B137" s="36" t="str">
        <x:v>BS</x:v>
      </x:c>
      <x:c r="C137" s="36" t="str">
        <x:v>Short-term investments</x:v>
      </x:c>
      <x:c r="D137" s="36" t="str">
        <x:v>FY2022</x:v>
      </x:c>
      <x:c r="E137" s="37" t="n">
        <x:v>947.073</x:v>
      </x:c>
      <x:c r="F137" s="36" t="str">
        <x:v>https://www.purestorage.com/content/dam/pdf/en/legal/2023-form-10-k.pdf</x:v>
      </x:c>
      <x:c r="G137" s="36" t="n">
        <x:v>58</x:v>
      </x:c>
      <x:c r="H137" s="36" t="str">
        <x:v>Official 2023 Form 10-K used to complete FY2021 and FY2022 history.</x:v>
      </x:c>
    </x:row>
    <x:row r="138">
      <x:c r="A138" s="36" t="str">
        <x:v>H.BS.SHORT_TERM_INVESTMENTS.FY2023</x:v>
      </x:c>
      <x:c r="B138" s="36" t="str">
        <x:v>BS</x:v>
      </x:c>
      <x:c r="C138" s="36" t="str">
        <x:v>Short-term investments</x:v>
      </x:c>
      <x:c r="D138" s="36" t="str">
        <x:v>FY2023</x:v>
      </x:c>
      <x:c r="E138" s="37" t="n">
        <x:v>1001.352</x:v>
      </x:c>
      <x:c r="F138" s="36" t="str">
        <x:v>https://www.purestorage.com/content/dam/pdf/en/legal/2023-form-10-k.pdf</x:v>
      </x:c>
      <x:c r="G138" s="36" t="n">
        <x:v>58</x:v>
      </x:c>
      <x:c r="H138" s="36" t="str">
        <x:v>Official 2023 Form 10-K used to complete FY2021 and FY2022 history.</x:v>
      </x:c>
    </x:row>
    <x:row r="139">
      <x:c r="A139" s="36" t="str">
        <x:v>H.BS.SHORT_TERM_INVESTMENTS.FY2024</x:v>
      </x:c>
      <x:c r="B139" s="36" t="str">
        <x:v>BS</x:v>
      </x:c>
      <x:c r="C139" s="36" t="str">
        <x:v>Short-term investments</x:v>
      </x:c>
      <x:c r="D139" s="36" t="str">
        <x:v>FY2024</x:v>
      </x:c>
      <x:c r="E139" s="37" t="n">
        <x:v>828.557</x:v>
      </x:c>
      <x:c r="F139" s="36" t="str">
        <x:v>ed7936ac-e0cd-408a-ae7f-063381fdf3a1.pdf</x:v>
      </x:c>
      <x:c r="G139" s="36" t="n">
        <x:v>54</x:v>
      </x:c>
      <x:c r="H139" s="36" t="str">
        <x:v>Provided 2024 Form 10-K.  Company named Pure Storage in this filing.</x:v>
      </x:c>
    </x:row>
    <x:row r="140">
      <x:c r="A140" s="36" t="str">
        <x:v>H.BS.SHORT_TERM_INVESTMENTS.FY2025</x:v>
      </x:c>
      <x:c r="B140" s="36" t="str">
        <x:v>BS</x:v>
      </x:c>
      <x:c r="C140" s="36" t="str">
        <x:v>Short-term investments</x:v>
      </x:c>
      <x:c r="D140" s="36" t="str">
        <x:v>FY2025</x:v>
      </x:c>
      <x:c r="E140" s="37" t="n">
        <x:v>798.237</x:v>
      </x:c>
      <x:c r="F140" s="36" t="str">
        <x:v>8c023447-ebc8-42c3-86e5-21558f3d7224.pdf</x:v>
      </x:c>
      <x:c r="G140" s="36" t="n">
        <x:v>57</x:v>
      </x:c>
      <x:c r="H140" s="36" t="str">
        <x:v>Provided 2025 Form 10-K.  Company named Pure Storage in this filing.</x:v>
      </x:c>
    </x:row>
    <x:row r="141">
      <x:c r="A141" s="36" t="str">
        <x:v>H.BS.SHORT_TERM_INVESTMENTS.FY2026</x:v>
      </x:c>
      <x:c r="B141" s="36" t="str">
        <x:v>BS</x:v>
      </x:c>
      <x:c r="C141" s="36" t="str">
        <x:v>Short-term investments</x:v>
      </x:c>
      <x:c r="D141" s="36" t="str">
        <x:v>FY2026</x:v>
      </x:c>
      <x:c r="E141" s="37" t="n">
        <x:v>692.446</x:v>
      </x:c>
      <x:c r="F141" s="36" t="str">
        <x:v>2e1ef280-4c52-445c-b593-a6c3a1fbfec6.pdf</x:v>
      </x:c>
      <x:c r="G141" s="36" t="n">
        <x:v>59</x:v>
      </x:c>
      <x:c r="H141" s="36" t="str">
        <x:v>Provided 2026 Form 10-K.  Company named Everpure in this filing.</x:v>
      </x:c>
    </x:row>
    <x:row r="142">
      <x:c r="A142" s="36" t="str">
        <x:v>H.BS.ACCOUNTS_RECEIVABLE.FY2021</x:v>
      </x:c>
      <x:c r="B142" s="36" t="str">
        <x:v>BS</x:v>
      </x:c>
      <x:c r="C142" s="36" t="str">
        <x:v>Accounts receivable, net</x:v>
      </x:c>
      <x:c r="D142" s="36" t="str">
        <x:v>FY2021</x:v>
      </x:c>
      <x:c r="E142" s="37" t="n">
        <x:v>460.879</x:v>
      </x:c>
      <x:c r="F142" s="36" t="str">
        <x:v>https://www.purestorage.com/content/dam/pdf/en/legal/2023-form-10-k.pdf</x:v>
      </x:c>
      <x:c r="G142" s="36" t="n">
        <x:v>58</x:v>
      </x:c>
      <x:c r="H142" s="36" t="str">
        <x:v>Official 2023 Form 10-K used to complete FY2021 and FY2022 history.</x:v>
      </x:c>
    </x:row>
    <x:row r="143">
      <x:c r="A143" s="36" t="str">
        <x:v>H.BS.ACCOUNTS_RECEIVABLE.FY2022</x:v>
      </x:c>
      <x:c r="B143" s="36" t="str">
        <x:v>BS</x:v>
      </x:c>
      <x:c r="C143" s="36" t="str">
        <x:v>Accounts receivable, net</x:v>
      </x:c>
      <x:c r="D143" s="36" t="str">
        <x:v>FY2022</x:v>
      </x:c>
      <x:c r="E143" s="37" t="n">
        <x:v>542.144</x:v>
      </x:c>
      <x:c r="F143" s="36" t="str">
        <x:v>https://www.purestorage.com/content/dam/pdf/en/legal/2023-form-10-k.pdf</x:v>
      </x:c>
      <x:c r="G143" s="36" t="n">
        <x:v>58</x:v>
      </x:c>
      <x:c r="H143" s="36" t="str">
        <x:v>Official 2023 Form 10-K used to complete FY2021 and FY2022 history.</x:v>
      </x:c>
    </x:row>
    <x:row r="144">
      <x:c r="A144" s="36" t="str">
        <x:v>H.BS.ACCOUNTS_RECEIVABLE.FY2023</x:v>
      </x:c>
      <x:c r="B144" s="36" t="str">
        <x:v>BS</x:v>
      </x:c>
      <x:c r="C144" s="36" t="str">
        <x:v>Accounts receivable, net</x:v>
      </x:c>
      <x:c r="D144" s="36" t="str">
        <x:v>FY2023</x:v>
      </x:c>
      <x:c r="E144" s="37" t="n">
        <x:v>612.491</x:v>
      </x:c>
      <x:c r="F144" s="36" t="str">
        <x:v>https://www.purestorage.com/content/dam/pdf/en/legal/2023-form-10-k.pdf</x:v>
      </x:c>
      <x:c r="G144" s="36" t="n">
        <x:v>58</x:v>
      </x:c>
      <x:c r="H144" s="36" t="str">
        <x:v>Official 2023 Form 10-K used to complete FY2021 and FY2022 history.</x:v>
      </x:c>
    </x:row>
    <x:row r="145">
      <x:c r="A145" s="36" t="str">
        <x:v>H.BS.ACCOUNTS_RECEIVABLE.FY2024</x:v>
      </x:c>
      <x:c r="B145" s="36" t="str">
        <x:v>BS</x:v>
      </x:c>
      <x:c r="C145" s="36" t="str">
        <x:v>Accounts receivable, net</x:v>
      </x:c>
      <x:c r="D145" s="36" t="str">
        <x:v>FY2024</x:v>
      </x:c>
      <x:c r="E145" s="37" t="n">
        <x:v>662.179</x:v>
      </x:c>
      <x:c r="F145" s="36" t="str">
        <x:v>ed7936ac-e0cd-408a-ae7f-063381fdf3a1.pdf</x:v>
      </x:c>
      <x:c r="G145" s="36" t="n">
        <x:v>54</x:v>
      </x:c>
      <x:c r="H145" s="36" t="str">
        <x:v>Provided 2024 Form 10-K.  Company named Pure Storage in this filing.</x:v>
      </x:c>
    </x:row>
    <x:row r="146">
      <x:c r="A146" s="36" t="str">
        <x:v>H.BS.ACCOUNTS_RECEIVABLE.FY2025</x:v>
      </x:c>
      <x:c r="B146" s="36" t="str">
        <x:v>BS</x:v>
      </x:c>
      <x:c r="C146" s="36" t="str">
        <x:v>Accounts receivable, net</x:v>
      </x:c>
      <x:c r="D146" s="36" t="str">
        <x:v>FY2025</x:v>
      </x:c>
      <x:c r="E146" s="37" t="n">
        <x:v>680.862</x:v>
      </x:c>
      <x:c r="F146" s="36" t="str">
        <x:v>8c023447-ebc8-42c3-86e5-21558f3d7224.pdf</x:v>
      </x:c>
      <x:c r="G146" s="36" t="n">
        <x:v>57</x:v>
      </x:c>
      <x:c r="H146" s="36" t="str">
        <x:v>Provided 2025 Form 10-K.  Company named Pure Storage in this filing.</x:v>
      </x:c>
    </x:row>
    <x:row r="147">
      <x:c r="A147" s="36" t="str">
        <x:v>H.BS.ACCOUNTS_RECEIVABLE.FY2026</x:v>
      </x:c>
      <x:c r="B147" s="36" t="str">
        <x:v>BS</x:v>
      </x:c>
      <x:c r="C147" s="36" t="str">
        <x:v>Accounts receivable, net</x:v>
      </x:c>
      <x:c r="D147" s="36" t="str">
        <x:v>FY2026</x:v>
      </x:c>
      <x:c r="E147" s="37" t="n">
        <x:v>944.844</x:v>
      </x:c>
      <x:c r="F147" s="36" t="str">
        <x:v>2e1ef280-4c52-445c-b593-a6c3a1fbfec6.pdf</x:v>
      </x:c>
      <x:c r="G147" s="36" t="n">
        <x:v>59</x:v>
      </x:c>
      <x:c r="H147" s="36" t="str">
        <x:v>Provided 2026 Form 10-K.  Company named Everpure in this filing.</x:v>
      </x:c>
    </x:row>
    <x:row r="148">
      <x:c r="A148" s="36" t="str">
        <x:v>H.BS.INVENTORY.FY2021</x:v>
      </x:c>
      <x:c r="B148" s="36" t="str">
        <x:v>BS</x:v>
      </x:c>
      <x:c r="C148" s="36" t="str">
        <x:v>Inventory</x:v>
      </x:c>
      <x:c r="D148" s="36" t="str">
        <x:v>FY2021</x:v>
      </x:c>
      <x:c r="E148" s="37" t="n">
        <x:v>46.733</x:v>
      </x:c>
      <x:c r="F148" s="36" t="str">
        <x:v>https://www.purestorage.com/content/dam/pdf/en/legal/2023-form-10-k.pdf</x:v>
      </x:c>
      <x:c r="G148" s="36" t="n">
        <x:v>58</x:v>
      </x:c>
      <x:c r="H148" s="36" t="str">
        <x:v>Official 2023 Form 10-K used to complete FY2021 and FY2022 history.</x:v>
      </x:c>
    </x:row>
    <x:row r="149">
      <x:c r="A149" s="36" t="str">
        <x:v>H.BS.INVENTORY.FY2022</x:v>
      </x:c>
      <x:c r="B149" s="36" t="str">
        <x:v>BS</x:v>
      </x:c>
      <x:c r="C149" s="36" t="str">
        <x:v>Inventory</x:v>
      </x:c>
      <x:c r="D149" s="36" t="str">
        <x:v>FY2022</x:v>
      </x:c>
      <x:c r="E149" s="37" t="n">
        <x:v>38.942</x:v>
      </x:c>
      <x:c r="F149" s="36" t="str">
        <x:v>https://www.purestorage.com/content/dam/pdf/en/legal/2023-form-10-k.pdf</x:v>
      </x:c>
      <x:c r="G149" s="36" t="n">
        <x:v>58</x:v>
      </x:c>
      <x:c r="H149" s="36" t="str">
        <x:v>Official 2023 Form 10-K used to complete FY2021 and FY2022 history.</x:v>
      </x:c>
    </x:row>
    <x:row r="150">
      <x:c r="A150" s="36" t="str">
        <x:v>H.BS.INVENTORY.FY2023</x:v>
      </x:c>
      <x:c r="B150" s="36" t="str">
        <x:v>BS</x:v>
      </x:c>
      <x:c r="C150" s="36" t="str">
        <x:v>Inventory</x:v>
      </x:c>
      <x:c r="D150" s="36" t="str">
        <x:v>FY2023</x:v>
      </x:c>
      <x:c r="E150" s="37" t="n">
        <x:v>50.152</x:v>
      </x:c>
      <x:c r="F150" s="36" t="str">
        <x:v>https://www.purestorage.com/content/dam/pdf/en/legal/2023-form-10-k.pdf</x:v>
      </x:c>
      <x:c r="G150" s="36" t="n">
        <x:v>58</x:v>
      </x:c>
      <x:c r="H150" s="36" t="str">
        <x:v>Official 2023 Form 10-K used to complete FY2021 and FY2022 history.</x:v>
      </x:c>
    </x:row>
    <x:row r="151">
      <x:c r="A151" s="36" t="str">
        <x:v>H.BS.INVENTORY.FY2024</x:v>
      </x:c>
      <x:c r="B151" s="36" t="str">
        <x:v>BS</x:v>
      </x:c>
      <x:c r="C151" s="36" t="str">
        <x:v>Inventory</x:v>
      </x:c>
      <x:c r="D151" s="36" t="str">
        <x:v>FY2024</x:v>
      </x:c>
      <x:c r="E151" s="37" t="n">
        <x:v>42.663</x:v>
      </x:c>
      <x:c r="F151" s="36" t="str">
        <x:v>ed7936ac-e0cd-408a-ae7f-063381fdf3a1.pdf</x:v>
      </x:c>
      <x:c r="G151" s="36" t="n">
        <x:v>54</x:v>
      </x:c>
      <x:c r="H151" s="36" t="str">
        <x:v>Provided 2024 Form 10-K.  Company named Pure Storage in this filing.</x:v>
      </x:c>
    </x:row>
    <x:row r="152">
      <x:c r="A152" s="36" t="str">
        <x:v>H.BS.INVENTORY.FY2025</x:v>
      </x:c>
      <x:c r="B152" s="36" t="str">
        <x:v>BS</x:v>
      </x:c>
      <x:c r="C152" s="36" t="str">
        <x:v>Inventory</x:v>
      </x:c>
      <x:c r="D152" s="36" t="str">
        <x:v>FY2025</x:v>
      </x:c>
      <x:c r="E152" s="37" t="n">
        <x:v>42.81</x:v>
      </x:c>
      <x:c r="F152" s="36" t="str">
        <x:v>8c023447-ebc8-42c3-86e5-21558f3d7224.pdf</x:v>
      </x:c>
      <x:c r="G152" s="36" t="n">
        <x:v>57</x:v>
      </x:c>
      <x:c r="H152" s="36" t="str">
        <x:v>Provided 2025 Form 10-K.  Company named Pure Storage in this filing.</x:v>
      </x:c>
    </x:row>
    <x:row r="153">
      <x:c r="A153" s="36" t="str">
        <x:v>H.BS.INVENTORY.FY2026</x:v>
      </x:c>
      <x:c r="B153" s="36" t="str">
        <x:v>BS</x:v>
      </x:c>
      <x:c r="C153" s="36" t="str">
        <x:v>Inventory</x:v>
      </x:c>
      <x:c r="D153" s="36" t="str">
        <x:v>FY2026</x:v>
      </x:c>
      <x:c r="E153" s="37" t="n">
        <x:v>75.935</x:v>
      </x:c>
      <x:c r="F153" s="36" t="str">
        <x:v>2e1ef280-4c52-445c-b593-a6c3a1fbfec6.pdf</x:v>
      </x:c>
      <x:c r="G153" s="36" t="n">
        <x:v>59</x:v>
      </x:c>
      <x:c r="H153" s="36" t="str">
        <x:v>Provided 2026 Form 10-K.  Company named Everpure in this filing.</x:v>
      </x:c>
    </x:row>
    <x:row r="154">
      <x:c r="A154" s="36" t="str">
        <x:v>H.BS.DEFERRED_COMMISSIONS_CURRENT.FY2021</x:v>
      </x:c>
      <x:c r="B154" s="36" t="str">
        <x:v>BS</x:v>
      </x:c>
      <x:c r="C154" s="36" t="str">
        <x:v>Deferred commissions, current</x:v>
      </x:c>
      <x:c r="D154" s="36" t="str">
        <x:v>FY2021</x:v>
      </x:c>
      <x:c r="E154" s="37" t="n">
        <x:v>57.183</x:v>
      </x:c>
      <x:c r="F154" s="36" t="str">
        <x:v>https://www.purestorage.com/content/dam/pdf/en/legal/2023-form-10-k.pdf</x:v>
      </x:c>
      <x:c r="G154" s="36" t="n">
        <x:v>58</x:v>
      </x:c>
      <x:c r="H154" s="36" t="str">
        <x:v>Official 2023 Form 10-K used to complete FY2021 and FY2022 history.</x:v>
      </x:c>
    </x:row>
    <x:row r="155">
      <x:c r="A155" s="36" t="str">
        <x:v>H.BS.DEFERRED_COMMISSIONS_CURRENT.FY2022</x:v>
      </x:c>
      <x:c r="B155" s="36" t="str">
        <x:v>BS</x:v>
      </x:c>
      <x:c r="C155" s="36" t="str">
        <x:v>Deferred commissions, current</x:v>
      </x:c>
      <x:c r="D155" s="36" t="str">
        <x:v>FY2022</x:v>
      </x:c>
      <x:c r="E155" s="37" t="n">
        <x:v>81.589</x:v>
      </x:c>
      <x:c r="F155" s="36" t="str">
        <x:v>https://www.purestorage.com/content/dam/pdf/en/legal/2023-form-10-k.pdf</x:v>
      </x:c>
      <x:c r="G155" s="36" t="n">
        <x:v>58</x:v>
      </x:c>
      <x:c r="H155" s="36" t="str">
        <x:v>Official 2023 Form 10-K used to complete FY2021 and FY2022 history.</x:v>
      </x:c>
    </x:row>
    <x:row r="156">
      <x:c r="A156" s="36" t="str">
        <x:v>H.BS.DEFERRED_COMMISSIONS_CURRENT.FY2023</x:v>
      </x:c>
      <x:c r="B156" s="36" t="str">
        <x:v>BS</x:v>
      </x:c>
      <x:c r="C156" s="36" t="str">
        <x:v>Deferred commissions, current</x:v>
      </x:c>
      <x:c r="D156" s="36" t="str">
        <x:v>FY2023</x:v>
      </x:c>
      <x:c r="E156" s="37" t="n">
        <x:v>68.617</x:v>
      </x:c>
      <x:c r="F156" s="36" t="str">
        <x:v>https://www.purestorage.com/content/dam/pdf/en/legal/2023-form-10-k.pdf</x:v>
      </x:c>
      <x:c r="G156" s="36" t="n">
        <x:v>58</x:v>
      </x:c>
      <x:c r="H156" s="36" t="str">
        <x:v>Official 2023 Form 10-K used to complete FY2021 and FY2022 history.</x:v>
      </x:c>
    </x:row>
    <x:row r="157">
      <x:c r="A157" s="36" t="str">
        <x:v>H.BS.DEFERRED_COMMISSIONS_CURRENT.FY2024</x:v>
      </x:c>
      <x:c r="B157" s="36" t="str">
        <x:v>BS</x:v>
      </x:c>
      <x:c r="C157" s="36" t="str">
        <x:v>Deferred commissions, current</x:v>
      </x:c>
      <x:c r="D157" s="36" t="str">
        <x:v>FY2024</x:v>
      </x:c>
      <x:c r="E157" s="37" t="n">
        <x:v>88.712</x:v>
      </x:c>
      <x:c r="F157" s="36" t="str">
        <x:v>ed7936ac-e0cd-408a-ae7f-063381fdf3a1.pdf</x:v>
      </x:c>
      <x:c r="G157" s="36" t="n">
        <x:v>54</x:v>
      </x:c>
      <x:c r="H157" s="36" t="str">
        <x:v>Provided 2024 Form 10-K.  Company named Pure Storage in this filing.</x:v>
      </x:c>
    </x:row>
    <x:row r="158">
      <x:c r="A158" s="36" t="str">
        <x:v>H.BS.DEFERRED_COMMISSIONS_CURRENT.FY2025</x:v>
      </x:c>
      <x:c r="B158" s="36" t="str">
        <x:v>BS</x:v>
      </x:c>
      <x:c r="C158" s="36" t="str">
        <x:v>Deferred commissions, current</x:v>
      </x:c>
      <x:c r="D158" s="36" t="str">
        <x:v>FY2025</x:v>
      </x:c>
      <x:c r="E158" s="37" t="n">
        <x:v>99.286</x:v>
      </x:c>
      <x:c r="F158" s="36" t="str">
        <x:v>8c023447-ebc8-42c3-86e5-21558f3d7224.pdf</x:v>
      </x:c>
      <x:c r="G158" s="36" t="n">
        <x:v>57</x:v>
      </x:c>
      <x:c r="H158" s="36" t="str">
        <x:v>Provided 2025 Form 10-K.  Company named Pure Storage in this filing.</x:v>
      </x:c>
    </x:row>
    <x:row r="159">
      <x:c r="A159" s="36" t="str">
        <x:v>H.BS.DEFERRED_COMMISSIONS_CURRENT.FY2026</x:v>
      </x:c>
      <x:c r="B159" s="36" t="str">
        <x:v>BS</x:v>
      </x:c>
      <x:c r="C159" s="36" t="str">
        <x:v>Deferred commissions, current</x:v>
      </x:c>
      <x:c r="D159" s="36" t="str">
        <x:v>FY2026</x:v>
      </x:c>
      <x:c r="E159" s="37" t="n">
        <x:v>139.379</x:v>
      </x:c>
      <x:c r="F159" s="36" t="str">
        <x:v>2e1ef280-4c52-445c-b593-a6c3a1fbfec6.pdf</x:v>
      </x:c>
      <x:c r="G159" s="36" t="n">
        <x:v>59</x:v>
      </x:c>
      <x:c r="H159" s="36" t="str">
        <x:v>Provided 2026 Form 10-K.  Company named Everpure in this filing.</x:v>
      </x:c>
    </x:row>
    <x:row r="160">
      <x:c r="A160" s="36" t="str">
        <x:v>H.BS.PREPAID_CURRENT.FY2021</x:v>
      </x:c>
      <x:c r="B160" s="36" t="str">
        <x:v>BS</x:v>
      </x:c>
      <x:c r="C160" s="36" t="str">
        <x:v>Prepaid expenses and other current assets</x:v>
      </x:c>
      <x:c r="D160" s="36" t="str">
        <x:v>FY2021</x:v>
      </x:c>
      <x:c r="E160" s="37" t="n">
        <x:v>89.836</x:v>
      </x:c>
      <x:c r="F160" s="36" t="str">
        <x:v>https://www.purestorage.com/content/dam/pdf/en/legal/2023-form-10-k.pdf</x:v>
      </x:c>
      <x:c r="G160" s="36" t="n">
        <x:v>58</x:v>
      </x:c>
      <x:c r="H160" s="36" t="str">
        <x:v>Official 2023 Form 10-K used to complete FY2021 and FY2022 history.</x:v>
      </x:c>
    </x:row>
    <x:row r="161">
      <x:c r="A161" s="36" t="str">
        <x:v>H.BS.PREPAID_CURRENT.FY2022</x:v>
      </x:c>
      <x:c r="B161" s="36" t="str">
        <x:v>BS</x:v>
      </x:c>
      <x:c r="C161" s="36" t="str">
        <x:v>Prepaid expenses and other current assets</x:v>
      </x:c>
      <x:c r="D161" s="36" t="str">
        <x:v>FY2022</x:v>
      </x:c>
      <x:c r="E161" s="37" t="n">
        <x:v>116.232</x:v>
      </x:c>
      <x:c r="F161" s="36" t="str">
        <x:v>https://www.purestorage.com/content/dam/pdf/en/legal/2023-form-10-k.pdf</x:v>
      </x:c>
      <x:c r="G161" s="36" t="n">
        <x:v>58</x:v>
      </x:c>
      <x:c r="H161" s="36" t="str">
        <x:v>Official 2023 Form 10-K used to complete FY2021 and FY2022 history.</x:v>
      </x:c>
    </x:row>
    <x:row r="162">
      <x:c r="A162" s="36" t="str">
        <x:v>H.BS.PREPAID_CURRENT.FY2023</x:v>
      </x:c>
      <x:c r="B162" s="36" t="str">
        <x:v>BS</x:v>
      </x:c>
      <x:c r="C162" s="36" t="str">
        <x:v>Prepaid expenses and other current assets</x:v>
      </x:c>
      <x:c r="D162" s="36" t="str">
        <x:v>FY2023</x:v>
      </x:c>
      <x:c r="E162" s="37" t="n">
        <x:v>161.391</x:v>
      </x:c>
      <x:c r="F162" s="36" t="str">
        <x:v>https://www.purestorage.com/content/dam/pdf/en/legal/2023-form-10-k.pdf</x:v>
      </x:c>
      <x:c r="G162" s="36" t="n">
        <x:v>58</x:v>
      </x:c>
      <x:c r="H162" s="36" t="str">
        <x:v>Official 2023 Form 10-K used to complete FY2021 and FY2022 history.</x:v>
      </x:c>
    </x:row>
    <x:row r="163">
      <x:c r="A163" s="36" t="str">
        <x:v>H.BS.PREPAID_CURRENT.FY2024</x:v>
      </x:c>
      <x:c r="B163" s="36" t="str">
        <x:v>BS</x:v>
      </x:c>
      <x:c r="C163" s="36" t="str">
        <x:v>Prepaid expenses and other current assets</x:v>
      </x:c>
      <x:c r="D163" s="36" t="str">
        <x:v>FY2024</x:v>
      </x:c>
      <x:c r="E163" s="37" t="n">
        <x:v>173.407</x:v>
      </x:c>
      <x:c r="F163" s="36" t="str">
        <x:v>ed7936ac-e0cd-408a-ae7f-063381fdf3a1.pdf</x:v>
      </x:c>
      <x:c r="G163" s="36" t="n">
        <x:v>54</x:v>
      </x:c>
      <x:c r="H163" s="36" t="str">
        <x:v>Provided 2024 Form 10-K.  Company named Pure Storage in this filing.</x:v>
      </x:c>
    </x:row>
    <x:row r="164">
      <x:c r="A164" s="36" t="str">
        <x:v>H.BS.PREPAID_CURRENT.FY2025</x:v>
      </x:c>
      <x:c r="B164" s="36" t="str">
        <x:v>BS</x:v>
      </x:c>
      <x:c r="C164" s="36" t="str">
        <x:v>Prepaid expenses and other current assets</x:v>
      </x:c>
      <x:c r="D164" s="36" t="str">
        <x:v>FY2025</x:v>
      </x:c>
      <x:c r="E164" s="37" t="n">
        <x:v>222.501</x:v>
      </x:c>
      <x:c r="F164" s="36" t="str">
        <x:v>8c023447-ebc8-42c3-86e5-21558f3d7224.pdf</x:v>
      </x:c>
      <x:c r="G164" s="36" t="n">
        <x:v>57</x:v>
      </x:c>
      <x:c r="H164" s="36" t="str">
        <x:v>Provided 2025 Form 10-K.  Company named Pure Storage in this filing.</x:v>
      </x:c>
    </x:row>
    <x:row r="165">
      <x:c r="A165" s="36" t="str">
        <x:v>H.BS.PREPAID_CURRENT.FY2026</x:v>
      </x:c>
      <x:c r="B165" s="36" t="str">
        <x:v>BS</x:v>
      </x:c>
      <x:c r="C165" s="36" t="str">
        <x:v>Prepaid expenses and other current assets</x:v>
      </x:c>
      <x:c r="D165" s="36" t="str">
        <x:v>FY2026</x:v>
      </x:c>
      <x:c r="E165" s="37" t="n">
        <x:v>356.015</x:v>
      </x:c>
      <x:c r="F165" s="36" t="str">
        <x:v>2e1ef280-4c52-445c-b593-a6c3a1fbfec6.pdf</x:v>
      </x:c>
      <x:c r="G165" s="36" t="n">
        <x:v>59</x:v>
      </x:c>
      <x:c r="H165" s="36" t="str">
        <x:v>Provided 2026 Form 10-K.  Company named Everpure in this filing.</x:v>
      </x:c>
    </x:row>
    <x:row r="166">
      <x:c r="A166" s="36" t="str">
        <x:v>H.BS.TOTAL_CURRENT_ASSETS.FY2021</x:v>
      </x:c>
      <x:c r="B166" s="36" t="str">
        <x:v>BS</x:v>
      </x:c>
      <x:c r="C166" s="36" t="str">
        <x:v>Total current assets</x:v>
      </x:c>
      <x:c r="D166" s="36" t="str">
        <x:v>FY2021</x:v>
      </x:c>
      <x:c r="E166" s="37" t="n">
        <x:v>1908.166</x:v>
      </x:c>
      <x:c r="F166" s="36" t="str">
        <x:v>https://www.purestorage.com/content/dam/pdf/en/legal/2023-form-10-k.pdf</x:v>
      </x:c>
      <x:c r="G166" s="36" t="n">
        <x:v>58</x:v>
      </x:c>
      <x:c r="H166" s="36" t="str">
        <x:v>Official 2023 Form 10-K used to complete FY2021 and FY2022 history.</x:v>
      </x:c>
    </x:row>
    <x:row r="167">
      <x:c r="A167" s="36" t="str">
        <x:v>H.BS.TOTAL_CURRENT_ASSETS.FY2022</x:v>
      </x:c>
      <x:c r="B167" s="36" t="str">
        <x:v>BS</x:v>
      </x:c>
      <x:c r="C167" s="36" t="str">
        <x:v>Total current assets</x:v>
      </x:c>
      <x:c r="D167" s="36" t="str">
        <x:v>FY2022</x:v>
      </x:c>
      <x:c r="E167" s="37" t="n">
        <x:v>2192.179</x:v>
      </x:c>
      <x:c r="F167" s="36" t="str">
        <x:v>https://www.purestorage.com/content/dam/pdf/en/legal/2023-form-10-k.pdf</x:v>
      </x:c>
      <x:c r="G167" s="36" t="n">
        <x:v>58</x:v>
      </x:c>
      <x:c r="H167" s="36" t="str">
        <x:v>Official 2023 Form 10-K used to complete FY2021 and FY2022 history.</x:v>
      </x:c>
    </x:row>
    <x:row r="168">
      <x:c r="A168" s="36" t="str">
        <x:v>H.BS.TOTAL_CURRENT_ASSETS.FY2023</x:v>
      </x:c>
      <x:c r="B168" s="36" t="str">
        <x:v>BS</x:v>
      </x:c>
      <x:c r="C168" s="36" t="str">
        <x:v>Total current assets</x:v>
      </x:c>
      <x:c r="D168" s="36" t="str">
        <x:v>FY2023</x:v>
      </x:c>
      <x:c r="E168" s="37" t="n">
        <x:v>2474.857</x:v>
      </x:c>
      <x:c r="F168" s="36" t="str">
        <x:v>https://www.purestorage.com/content/dam/pdf/en/legal/2023-form-10-k.pdf</x:v>
      </x:c>
      <x:c r="G168" s="36" t="n">
        <x:v>58</x:v>
      </x:c>
      <x:c r="H168" s="36" t="str">
        <x:v>Official 2023 Form 10-K used to complete FY2021 and FY2022 history.</x:v>
      </x:c>
    </x:row>
    <x:row r="169">
      <x:c r="A169" s="36" t="str">
        <x:v>H.BS.TOTAL_CURRENT_ASSETS.FY2024</x:v>
      </x:c>
      <x:c r="B169" s="36" t="str">
        <x:v>BS</x:v>
      </x:c>
      <x:c r="C169" s="36" t="str">
        <x:v>Total current assets</x:v>
      </x:c>
      <x:c r="D169" s="36" t="str">
        <x:v>FY2024</x:v>
      </x:c>
      <x:c r="E169" s="37" t="n">
        <x:v>2498.054</x:v>
      </x:c>
      <x:c r="F169" s="36" t="str">
        <x:v>ed7936ac-e0cd-408a-ae7f-063381fdf3a1.pdf</x:v>
      </x:c>
      <x:c r="G169" s="36" t="n">
        <x:v>54</x:v>
      </x:c>
      <x:c r="H169" s="36" t="str">
        <x:v>Provided 2024 Form 10-K.  Company named Pure Storage in this filing.</x:v>
      </x:c>
    </x:row>
    <x:row r="170">
      <x:c r="A170" s="36" t="str">
        <x:v>H.BS.TOTAL_CURRENT_ASSETS.FY2025</x:v>
      </x:c>
      <x:c r="B170" s="36" t="str">
        <x:v>BS</x:v>
      </x:c>
      <x:c r="C170" s="36" t="str">
        <x:v>Total current assets</x:v>
      </x:c>
      <x:c r="D170" s="36" t="str">
        <x:v>FY2025</x:v>
      </x:c>
      <x:c r="E170" s="37" t="n">
        <x:v>2567.279</x:v>
      </x:c>
      <x:c r="F170" s="36" t="str">
        <x:v>8c023447-ebc8-42c3-86e5-21558f3d7224.pdf</x:v>
      </x:c>
      <x:c r="G170" s="36" t="n">
        <x:v>57</x:v>
      </x:c>
      <x:c r="H170" s="36" t="str">
        <x:v>Provided 2025 Form 10-K.  Company named Pure Storage in this filing.</x:v>
      </x:c>
    </x:row>
    <x:row r="171">
      <x:c r="A171" s="36" t="str">
        <x:v>H.BS.TOTAL_CURRENT_ASSETS.FY2026</x:v>
      </x:c>
      <x:c r="B171" s="36" t="str">
        <x:v>BS</x:v>
      </x:c>
      <x:c r="C171" s="36" t="str">
        <x:v>Total current assets</x:v>
      </x:c>
      <x:c r="D171" s="36" t="str">
        <x:v>FY2026</x:v>
      </x:c>
      <x:c r="E171" s="37" t="n">
        <x:v>3063.492</x:v>
      </x:c>
      <x:c r="F171" s="36" t="str">
        <x:v>2e1ef280-4c52-445c-b593-a6c3a1fbfec6.pdf</x:v>
      </x:c>
      <x:c r="G171" s="36" t="n">
        <x:v>59</x:v>
      </x:c>
      <x:c r="H171" s="36" t="str">
        <x:v>Provided 2026 Form 10-K.  Company named Everpure in this filing.</x:v>
      </x:c>
    </x:row>
    <x:row r="172">
      <x:c r="A172" s="36" t="str">
        <x:v>H.BS.PPE_NET.FY2021</x:v>
      </x:c>
      <x:c r="B172" s="36" t="str">
        <x:v>BS</x:v>
      </x:c>
      <x:c r="C172" s="36" t="str">
        <x:v>PP&amp;E, net</x:v>
      </x:c>
      <x:c r="D172" s="36" t="str">
        <x:v>FY2021</x:v>
      </x:c>
      <x:c r="E172" s="37" t="n">
        <x:v>163.041</x:v>
      </x:c>
      <x:c r="F172" s="36" t="str">
        <x:v>https://www.purestorage.com/content/dam/pdf/en/legal/2023-form-10-k.pdf</x:v>
      </x:c>
      <x:c r="G172" s="36" t="n">
        <x:v>58</x:v>
      </x:c>
      <x:c r="H172" s="36" t="str">
        <x:v>Official 2023 Form 10-K used to complete FY2021 and FY2022 history.</x:v>
      </x:c>
    </x:row>
    <x:row r="173">
      <x:c r="A173" s="36" t="str">
        <x:v>H.BS.PPE_NET.FY2022</x:v>
      </x:c>
      <x:c r="B173" s="36" t="str">
        <x:v>BS</x:v>
      </x:c>
      <x:c r="C173" s="36" t="str">
        <x:v>PP&amp;E, net</x:v>
      </x:c>
      <x:c r="D173" s="36" t="str">
        <x:v>FY2022</x:v>
      </x:c>
      <x:c r="E173" s="37" t="n">
        <x:v>195.282</x:v>
      </x:c>
      <x:c r="F173" s="36" t="str">
        <x:v>https://www.purestorage.com/content/dam/pdf/en/legal/2023-form-10-k.pdf</x:v>
      </x:c>
      <x:c r="G173" s="36" t="n">
        <x:v>58</x:v>
      </x:c>
      <x:c r="H173" s="36" t="str">
        <x:v>Official 2023 Form 10-K used to complete FY2021 and FY2022 history.</x:v>
      </x:c>
    </x:row>
    <x:row r="174">
      <x:c r="A174" s="36" t="str">
        <x:v>H.BS.PPE_NET.FY2023</x:v>
      </x:c>
      <x:c r="B174" s="36" t="str">
        <x:v>BS</x:v>
      </x:c>
      <x:c r="C174" s="36" t="str">
        <x:v>PP&amp;E, net</x:v>
      </x:c>
      <x:c r="D174" s="36" t="str">
        <x:v>FY2023</x:v>
      </x:c>
      <x:c r="E174" s="37" t="n">
        <x:v>272.445</x:v>
      </x:c>
      <x:c r="F174" s="36" t="str">
        <x:v>https://www.purestorage.com/content/dam/pdf/en/legal/2023-form-10-k.pdf</x:v>
      </x:c>
      <x:c r="G174" s="36" t="n">
        <x:v>58</x:v>
      </x:c>
      <x:c r="H174" s="36" t="str">
        <x:v>Official 2023 Form 10-K used to complete FY2021 and FY2022 history.</x:v>
      </x:c>
    </x:row>
    <x:row r="175">
      <x:c r="A175" s="36" t="str">
        <x:v>H.BS.PPE_NET.FY2024</x:v>
      </x:c>
      <x:c r="B175" s="36" t="str">
        <x:v>BS</x:v>
      </x:c>
      <x:c r="C175" s="36" t="str">
        <x:v>PP&amp;E, net</x:v>
      </x:c>
      <x:c r="D175" s="36" t="str">
        <x:v>FY2024</x:v>
      </x:c>
      <x:c r="E175" s="37" t="n">
        <x:v>352.604</x:v>
      </x:c>
      <x:c r="F175" s="36" t="str">
        <x:v>ed7936ac-e0cd-408a-ae7f-063381fdf3a1.pdf</x:v>
      </x:c>
      <x:c r="G175" s="36" t="n">
        <x:v>54</x:v>
      </x:c>
      <x:c r="H175" s="36" t="str">
        <x:v>Provided 2024 Form 10-K.  Company named Pure Storage in this filing.</x:v>
      </x:c>
    </x:row>
    <x:row r="176">
      <x:c r="A176" s="36" t="str">
        <x:v>H.BS.PPE_NET.FY2025</x:v>
      </x:c>
      <x:c r="B176" s="36" t="str">
        <x:v>BS</x:v>
      </x:c>
      <x:c r="C176" s="36" t="str">
        <x:v>PP&amp;E, net</x:v>
      </x:c>
      <x:c r="D176" s="36" t="str">
        <x:v>FY2025</x:v>
      </x:c>
      <x:c r="E176" s="37" t="n">
        <x:v>461.731</x:v>
      </x:c>
      <x:c r="F176" s="36" t="str">
        <x:v>8c023447-ebc8-42c3-86e5-21558f3d7224.pdf</x:v>
      </x:c>
      <x:c r="G176" s="36" t="n">
        <x:v>57</x:v>
      </x:c>
      <x:c r="H176" s="36" t="str">
        <x:v>Provided 2025 Form 10-K.  Company named Pure Storage in this filing.</x:v>
      </x:c>
    </x:row>
    <x:row r="177">
      <x:c r="A177" s="36" t="str">
        <x:v>H.BS.PPE_NET.FY2026</x:v>
      </x:c>
      <x:c r="B177" s="36" t="str">
        <x:v>BS</x:v>
      </x:c>
      <x:c r="C177" s="36" t="str">
        <x:v>PP&amp;E, net</x:v>
      </x:c>
      <x:c r="D177" s="36" t="str">
        <x:v>FY2026</x:v>
      </x:c>
      <x:c r="E177" s="37" t="n">
        <x:v>587.022</x:v>
      </x:c>
      <x:c r="F177" s="36" t="str">
        <x:v>2e1ef280-4c52-445c-b593-a6c3a1fbfec6.pdf</x:v>
      </x:c>
      <x:c r="G177" s="36" t="n">
        <x:v>59</x:v>
      </x:c>
      <x:c r="H177" s="36" t="str">
        <x:v>Provided 2026 Form 10-K.  Company named Everpure in this filing.</x:v>
      </x:c>
    </x:row>
    <x:row r="178">
      <x:c r="A178" s="36" t="str">
        <x:v>H.BS.ROU_ASSETS.FY2021</x:v>
      </x:c>
      <x:c r="B178" s="36" t="str">
        <x:v>BS</x:v>
      </x:c>
      <x:c r="C178" s="36" t="str">
        <x:v>Operating lease ROU assets</x:v>
      </x:c>
      <x:c r="D178" s="36" t="str">
        <x:v>FY2021</x:v>
      </x:c>
      <x:c r="E178" s="37" t="n">
        <x:v>134.668</x:v>
      </x:c>
      <x:c r="F178" s="36" t="str">
        <x:v>https://www.purestorage.com/content/dam/pdf/en/legal/2023-form-10-k.pdf</x:v>
      </x:c>
      <x:c r="G178" s="36" t="n">
        <x:v>58</x:v>
      </x:c>
      <x:c r="H178" s="36" t="str">
        <x:v>Official 2023 Form 10-K used to complete FY2021 and FY2022 history.</x:v>
      </x:c>
    </x:row>
    <x:row r="179">
      <x:c r="A179" s="36" t="str">
        <x:v>H.BS.ROU_ASSETS.FY2022</x:v>
      </x:c>
      <x:c r="B179" s="36" t="str">
        <x:v>BS</x:v>
      </x:c>
      <x:c r="C179" s="36" t="str">
        <x:v>Operating lease ROU assets</x:v>
      </x:c>
      <x:c r="D179" s="36" t="str">
        <x:v>FY2022</x:v>
      </x:c>
      <x:c r="E179" s="37" t="n">
        <x:v>111.763</x:v>
      </x:c>
      <x:c r="F179" s="36" t="str">
        <x:v>https://www.purestorage.com/content/dam/pdf/en/legal/2023-form-10-k.pdf</x:v>
      </x:c>
      <x:c r="G179" s="36" t="n">
        <x:v>58</x:v>
      </x:c>
      <x:c r="H179" s="36" t="str">
        <x:v>Official 2023 Form 10-K used to complete FY2021 and FY2022 history.</x:v>
      </x:c>
    </x:row>
    <x:row r="180">
      <x:c r="A180" s="36" t="str">
        <x:v>H.BS.ROU_ASSETS.FY2023</x:v>
      </x:c>
      <x:c r="B180" s="36" t="str">
        <x:v>BS</x:v>
      </x:c>
      <x:c r="C180" s="36" t="str">
        <x:v>Operating lease ROU assets</x:v>
      </x:c>
      <x:c r="D180" s="36" t="str">
        <x:v>FY2023</x:v>
      </x:c>
      <x:c r="E180" s="37" t="n">
        <x:v>158.912</x:v>
      </x:c>
      <x:c r="F180" s="36" t="str">
        <x:v>https://www.purestorage.com/content/dam/pdf/en/legal/2023-form-10-k.pdf</x:v>
      </x:c>
      <x:c r="G180" s="36" t="n">
        <x:v>58</x:v>
      </x:c>
      <x:c r="H180" s="36" t="str">
        <x:v>Official 2023 Form 10-K used to complete FY2021 and FY2022 history.</x:v>
      </x:c>
    </x:row>
    <x:row r="181">
      <x:c r="A181" s="36" t="str">
        <x:v>H.BS.ROU_ASSETS.FY2024</x:v>
      </x:c>
      <x:c r="B181" s="36" t="str">
        <x:v>BS</x:v>
      </x:c>
      <x:c r="C181" s="36" t="str">
        <x:v>Operating lease ROU assets</x:v>
      </x:c>
      <x:c r="D181" s="36" t="str">
        <x:v>FY2024</x:v>
      </x:c>
      <x:c r="E181" s="37" t="n">
        <x:v>129.942</x:v>
      </x:c>
      <x:c r="F181" s="36" t="str">
        <x:v>ed7936ac-e0cd-408a-ae7f-063381fdf3a1.pdf</x:v>
      </x:c>
      <x:c r="G181" s="36" t="n">
        <x:v>54</x:v>
      </x:c>
      <x:c r="H181" s="36" t="str">
        <x:v>Provided 2024 Form 10-K.  Company named Pure Storage in this filing.</x:v>
      </x:c>
    </x:row>
    <x:row r="182">
      <x:c r="A182" s="36" t="str">
        <x:v>H.BS.ROU_ASSETS.FY2025</x:v>
      </x:c>
      <x:c r="B182" s="36" t="str">
        <x:v>BS</x:v>
      </x:c>
      <x:c r="C182" s="36" t="str">
        <x:v>Operating lease ROU assets</x:v>
      </x:c>
      <x:c r="D182" s="36" t="str">
        <x:v>FY2025</x:v>
      </x:c>
      <x:c r="E182" s="37" t="n">
        <x:v>146.655</x:v>
      </x:c>
      <x:c r="F182" s="36" t="str">
        <x:v>8c023447-ebc8-42c3-86e5-21558f3d7224.pdf</x:v>
      </x:c>
      <x:c r="G182" s="36" t="n">
        <x:v>57</x:v>
      </x:c>
      <x:c r="H182" s="36" t="str">
        <x:v>Provided 2025 Form 10-K.  Company named Pure Storage in this filing.</x:v>
      </x:c>
    </x:row>
    <x:row r="183">
      <x:c r="A183" s="36" t="str">
        <x:v>H.BS.ROU_ASSETS.FY2026</x:v>
      </x:c>
      <x:c r="B183" s="36" t="str">
        <x:v>BS</x:v>
      </x:c>
      <x:c r="C183" s="36" t="str">
        <x:v>Operating lease ROU assets</x:v>
      </x:c>
      <x:c r="D183" s="36" t="str">
        <x:v>FY2026</x:v>
      </x:c>
      <x:c r="E183" s="37" t="n">
        <x:v>185.975</x:v>
      </x:c>
      <x:c r="F183" s="36" t="str">
        <x:v>2e1ef280-4c52-445c-b593-a6c3a1fbfec6.pdf</x:v>
      </x:c>
      <x:c r="G183" s="36" t="n">
        <x:v>59</x:v>
      </x:c>
      <x:c r="H183" s="36" t="str">
        <x:v>Provided 2026 Form 10-K.  Company named Everpure in this filing.</x:v>
      </x:c>
    </x:row>
    <x:row r="184">
      <x:c r="A184" s="36" t="str">
        <x:v>H.BS.DEFERRED_COMMISSIONS_NONCURRENT.FY2021</x:v>
      </x:c>
      <x:c r="B184" s="36" t="str">
        <x:v>BS</x:v>
      </x:c>
      <x:c r="C184" s="36" t="str">
        <x:v>Deferred commissions, non-current</x:v>
      </x:c>
      <x:c r="D184" s="36" t="str">
        <x:v>FY2021</x:v>
      </x:c>
      <x:c r="E184" s="37" t="n">
        <x:v>130.741</x:v>
      </x:c>
      <x:c r="F184" s="36" t="str">
        <x:v>https://www.purestorage.com/content/dam/pdf/en/legal/2023-form-10-k.pdf</x:v>
      </x:c>
      <x:c r="G184" s="36" t="n">
        <x:v>58</x:v>
      </x:c>
      <x:c r="H184" s="36" t="str">
        <x:v>Official 2023 Form 10-K used to complete FY2021 and FY2022 history.</x:v>
      </x:c>
    </x:row>
    <x:row r="185">
      <x:c r="A185" s="36" t="str">
        <x:v>H.BS.DEFERRED_COMMISSIONS_NONCURRENT.FY2022</x:v>
      </x:c>
      <x:c r="B185" s="36" t="str">
        <x:v>BS</x:v>
      </x:c>
      <x:c r="C185" s="36" t="str">
        <x:v>Deferred commissions, non-current</x:v>
      </x:c>
      <x:c r="D185" s="36" t="str">
        <x:v>FY2022</x:v>
      </x:c>
      <x:c r="E185" s="37" t="n">
        <x:v>164.718</x:v>
      </x:c>
      <x:c r="F185" s="36" t="str">
        <x:v>https://www.purestorage.com/content/dam/pdf/en/legal/2023-form-10-k.pdf</x:v>
      </x:c>
      <x:c r="G185" s="36" t="n">
        <x:v>58</x:v>
      </x:c>
      <x:c r="H185" s="36" t="str">
        <x:v>Official 2023 Form 10-K used to complete FY2021 and FY2022 history.</x:v>
      </x:c>
    </x:row>
    <x:row r="186">
      <x:c r="A186" s="36" t="str">
        <x:v>H.BS.DEFERRED_COMMISSIONS_NONCURRENT.FY2023</x:v>
      </x:c>
      <x:c r="B186" s="36" t="str">
        <x:v>BS</x:v>
      </x:c>
      <x:c r="C186" s="36" t="str">
        <x:v>Deferred commissions, non-current</x:v>
      </x:c>
      <x:c r="D186" s="36" t="str">
        <x:v>FY2023</x:v>
      </x:c>
      <x:c r="E186" s="37" t="n">
        <x:v>177.239</x:v>
      </x:c>
      <x:c r="F186" s="36" t="str">
        <x:v>https://www.purestorage.com/content/dam/pdf/en/legal/2023-form-10-k.pdf</x:v>
      </x:c>
      <x:c r="G186" s="36" t="n">
        <x:v>58</x:v>
      </x:c>
      <x:c r="H186" s="36" t="str">
        <x:v>Official 2023 Form 10-K used to complete FY2021 and FY2022 history.</x:v>
      </x:c>
    </x:row>
    <x:row r="187">
      <x:c r="A187" s="36" t="str">
        <x:v>H.BS.DEFERRED_COMMISSIONS_NONCURRENT.FY2024</x:v>
      </x:c>
      <x:c r="B187" s="36" t="str">
        <x:v>BS</x:v>
      </x:c>
      <x:c r="C187" s="36" t="str">
        <x:v>Deferred commissions, non-current</x:v>
      </x:c>
      <x:c r="D187" s="36" t="str">
        <x:v>FY2024</x:v>
      </x:c>
      <x:c r="E187" s="37" t="n">
        <x:v>215.62</x:v>
      </x:c>
      <x:c r="F187" s="36" t="str">
        <x:v>ed7936ac-e0cd-408a-ae7f-063381fdf3a1.pdf</x:v>
      </x:c>
      <x:c r="G187" s="36" t="n">
        <x:v>54</x:v>
      </x:c>
      <x:c r="H187" s="36" t="str">
        <x:v>Provided 2024 Form 10-K.  Company named Pure Storage in this filing.</x:v>
      </x:c>
    </x:row>
    <x:row r="188">
      <x:c r="A188" s="36" t="str">
        <x:v>H.BS.DEFERRED_COMMISSIONS_NONCURRENT.FY2025</x:v>
      </x:c>
      <x:c r="B188" s="36" t="str">
        <x:v>BS</x:v>
      </x:c>
      <x:c r="C188" s="36" t="str">
        <x:v>Deferred commissions, non-current</x:v>
      </x:c>
      <x:c r="D188" s="36" t="str">
        <x:v>FY2025</x:v>
      </x:c>
      <x:c r="E188" s="37" t="n">
        <x:v>229.334</x:v>
      </x:c>
      <x:c r="F188" s="36" t="str">
        <x:v>8c023447-ebc8-42c3-86e5-21558f3d7224.pdf</x:v>
      </x:c>
      <x:c r="G188" s="36" t="n">
        <x:v>57</x:v>
      </x:c>
      <x:c r="H188" s="36" t="str">
        <x:v>Provided 2025 Form 10-K.  Company named Pure Storage in this filing.</x:v>
      </x:c>
    </x:row>
    <x:row r="189">
      <x:c r="A189" s="36" t="str">
        <x:v>H.BS.DEFERRED_COMMISSIONS_NONCURRENT.FY2026</x:v>
      </x:c>
      <x:c r="B189" s="36" t="str">
        <x:v>BS</x:v>
      </x:c>
      <x:c r="C189" s="36" t="str">
        <x:v>Deferred commissions, non-current</x:v>
      </x:c>
      <x:c r="D189" s="36" t="str">
        <x:v>FY2026</x:v>
      </x:c>
      <x:c r="E189" s="37" t="n">
        <x:v>280.19</x:v>
      </x:c>
      <x:c r="F189" s="36" t="str">
        <x:v>2e1ef280-4c52-445c-b593-a6c3a1fbfec6.pdf</x:v>
      </x:c>
      <x:c r="G189" s="36" t="n">
        <x:v>59</x:v>
      </x:c>
      <x:c r="H189" s="36" t="str">
        <x:v>Provided 2026 Form 10-K.  Company named Everpure in this filing.</x:v>
      </x:c>
    </x:row>
    <x:row r="190">
      <x:c r="A190" s="36" t="str">
        <x:v>H.BS.GOODWILL.FY2021</x:v>
      </x:c>
      <x:c r="B190" s="36" t="str">
        <x:v>BS</x:v>
      </x:c>
      <x:c r="C190" s="36" t="str">
        <x:v>Goodwill</x:v>
      </x:c>
      <x:c r="D190" s="36" t="str">
        <x:v>FY2021</x:v>
      </x:c>
      <x:c r="E190" s="37" t="n">
        <x:v>358.736</x:v>
      </x:c>
      <x:c r="F190" s="36" t="str">
        <x:v>https://www.purestorage.com/content/dam/pdf/en/legal/2023-form-10-k.pdf</x:v>
      </x:c>
      <x:c r="G190" s="36" t="n">
        <x:v>58</x:v>
      </x:c>
      <x:c r="H190" s="36" t="str">
        <x:v>Official 2023 Form 10-K used to complete FY2021 and FY2022 history.</x:v>
      </x:c>
    </x:row>
    <x:row r="191">
      <x:c r="A191" s="36" t="str">
        <x:v>H.BS.GOODWILL.FY2022</x:v>
      </x:c>
      <x:c r="B191" s="36" t="str">
        <x:v>BS</x:v>
      </x:c>
      <x:c r="C191" s="36" t="str">
        <x:v>Goodwill</x:v>
      </x:c>
      <x:c r="D191" s="36" t="str">
        <x:v>FY2022</x:v>
      </x:c>
      <x:c r="E191" s="37" t="n">
        <x:v>358.736</x:v>
      </x:c>
      <x:c r="F191" s="36" t="str">
        <x:v>https://www.purestorage.com/content/dam/pdf/en/legal/2023-form-10-k.pdf</x:v>
      </x:c>
      <x:c r="G191" s="36" t="n">
        <x:v>58</x:v>
      </x:c>
      <x:c r="H191" s="36" t="str">
        <x:v>Official 2023 Form 10-K used to complete FY2021 and FY2022 history.</x:v>
      </x:c>
    </x:row>
    <x:row r="192">
      <x:c r="A192" s="36" t="str">
        <x:v>H.BS.GOODWILL.FY2023</x:v>
      </x:c>
      <x:c r="B192" s="36" t="str">
        <x:v>BS</x:v>
      </x:c>
      <x:c r="C192" s="36" t="str">
        <x:v>Goodwill</x:v>
      </x:c>
      <x:c r="D192" s="36" t="str">
        <x:v>FY2023</x:v>
      </x:c>
      <x:c r="E192" s="37" t="n">
        <x:v>361.427</x:v>
      </x:c>
      <x:c r="F192" s="36" t="str">
        <x:v>https://www.purestorage.com/content/dam/pdf/en/legal/2023-form-10-k.pdf</x:v>
      </x:c>
      <x:c r="G192" s="36" t="n">
        <x:v>58</x:v>
      </x:c>
      <x:c r="H192" s="36" t="str">
        <x:v>Official 2023 Form 10-K used to complete FY2021 and FY2022 history.</x:v>
      </x:c>
    </x:row>
    <x:row r="193">
      <x:c r="A193" s="36" t="str">
        <x:v>H.BS.GOODWILL.FY2024</x:v>
      </x:c>
      <x:c r="B193" s="36" t="str">
        <x:v>BS</x:v>
      </x:c>
      <x:c r="C193" s="36" t="str">
        <x:v>Goodwill</x:v>
      </x:c>
      <x:c r="D193" s="36" t="str">
        <x:v>FY2024</x:v>
      </x:c>
      <x:c r="E193" s="37" t="n">
        <x:v>361.427</x:v>
      </x:c>
      <x:c r="F193" s="36" t="str">
        <x:v>ed7936ac-e0cd-408a-ae7f-063381fdf3a1.pdf</x:v>
      </x:c>
      <x:c r="G193" s="36" t="n">
        <x:v>54</x:v>
      </x:c>
      <x:c r="H193" s="36" t="str">
        <x:v>Provided 2024 Form 10-K.  Company named Pure Storage in this filing.</x:v>
      </x:c>
    </x:row>
    <x:row r="194">
      <x:c r="A194" s="36" t="str">
        <x:v>H.BS.GOODWILL.FY2025</x:v>
      </x:c>
      <x:c r="B194" s="36" t="str">
        <x:v>BS</x:v>
      </x:c>
      <x:c r="C194" s="36" t="str">
        <x:v>Goodwill</x:v>
      </x:c>
      <x:c r="D194" s="36" t="str">
        <x:v>FY2025</x:v>
      </x:c>
      <x:c r="E194" s="37" t="n">
        <x:v>361.427</x:v>
      </x:c>
      <x:c r="F194" s="36" t="str">
        <x:v>8c023447-ebc8-42c3-86e5-21558f3d7224.pdf</x:v>
      </x:c>
      <x:c r="G194" s="36" t="n">
        <x:v>57</x:v>
      </x:c>
      <x:c r="H194" s="36" t="str">
        <x:v>Provided 2025 Form 10-K.  Company named Pure Storage in this filing.</x:v>
      </x:c>
    </x:row>
    <x:row r="195">
      <x:c r="A195" s="36" t="str">
        <x:v>H.BS.GOODWILL.FY2026</x:v>
      </x:c>
      <x:c r="B195" s="36" t="str">
        <x:v>BS</x:v>
      </x:c>
      <x:c r="C195" s="36" t="str">
        <x:v>Goodwill</x:v>
      </x:c>
      <x:c r="D195" s="36" t="str">
        <x:v>FY2026</x:v>
      </x:c>
      <x:c r="E195" s="37" t="n">
        <x:v>365.075</x:v>
      </x:c>
      <x:c r="F195" s="36" t="str">
        <x:v>2e1ef280-4c52-445c-b593-a6c3a1fbfec6.pdf</x:v>
      </x:c>
      <x:c r="G195" s="36" t="n">
        <x:v>59</x:v>
      </x:c>
      <x:c r="H195" s="36" t="str">
        <x:v>Provided 2026 Form 10-K.  Company named Everpure in this filing.</x:v>
      </x:c>
    </x:row>
    <x:row r="196">
      <x:c r="A196" s="36" t="str">
        <x:v>H.BS.INTANGIBLES.FY2021</x:v>
      </x:c>
      <x:c r="B196" s="36" t="str">
        <x:v>BS</x:v>
      </x:c>
      <x:c r="C196" s="36" t="str">
        <x:v>Intangible assets, net</x:v>
      </x:c>
      <x:c r="D196" s="36" t="str">
        <x:v>FY2021</x:v>
      </x:c>
      <x:c r="E196" s="37" t="n">
        <x:v>76.648</x:v>
      </x:c>
      <x:c r="F196" s="36" t="str">
        <x:v>https://www.purestorage.com/content/dam/pdf/en/legal/2023-form-10-k.pdf</x:v>
      </x:c>
      <x:c r="G196" s="36" t="n">
        <x:v>58</x:v>
      </x:c>
      <x:c r="H196" s="36" t="str">
        <x:v>Official 2023 Form 10-K used to complete FY2021 and FY2022 history.</x:v>
      </x:c>
    </x:row>
    <x:row r="197">
      <x:c r="A197" s="36" t="str">
        <x:v>H.BS.INTANGIBLES.FY2022</x:v>
      </x:c>
      <x:c r="B197" s="36" t="str">
        <x:v>BS</x:v>
      </x:c>
      <x:c r="C197" s="36" t="str">
        <x:v>Intangible assets, net</x:v>
      </x:c>
      <x:c r="D197" s="36" t="str">
        <x:v>FY2022</x:v>
      </x:c>
      <x:c r="E197" s="37" t="n">
        <x:v>62.646</x:v>
      </x:c>
      <x:c r="F197" s="36" t="str">
        <x:v>https://www.purestorage.com/content/dam/pdf/en/legal/2023-form-10-k.pdf</x:v>
      </x:c>
      <x:c r="G197" s="36" t="n">
        <x:v>58</x:v>
      </x:c>
      <x:c r="H197" s="36" t="str">
        <x:v>Official 2023 Form 10-K used to complete FY2021 and FY2022 history.</x:v>
      </x:c>
    </x:row>
    <x:row r="198">
      <x:c r="A198" s="36" t="str">
        <x:v>H.BS.INTANGIBLES.FY2023</x:v>
      </x:c>
      <x:c r="B198" s="36" t="str">
        <x:v>BS</x:v>
      </x:c>
      <x:c r="C198" s="36" t="str">
        <x:v>Intangible assets, net</x:v>
      </x:c>
      <x:c r="D198" s="36" t="str">
        <x:v>FY2023</x:v>
      </x:c>
      <x:c r="E198" s="37" t="n">
        <x:v>49.222</x:v>
      </x:c>
      <x:c r="F198" s="36" t="str">
        <x:v>https://www.purestorage.com/content/dam/pdf/en/legal/2023-form-10-k.pdf</x:v>
      </x:c>
      <x:c r="G198" s="36" t="n">
        <x:v>58</x:v>
      </x:c>
      <x:c r="H198" s="36" t="str">
        <x:v>Official 2023 Form 10-K used to complete FY2021 and FY2022 history.</x:v>
      </x:c>
    </x:row>
    <x:row r="199">
      <x:c r="A199" s="36" t="str">
        <x:v>H.BS.INTANGIBLES.FY2024</x:v>
      </x:c>
      <x:c r="B199" s="36" t="str">
        <x:v>BS</x:v>
      </x:c>
      <x:c r="C199" s="36" t="str">
        <x:v>Intangible assets, net</x:v>
      </x:c>
      <x:c r="D199" s="36" t="str">
        <x:v>FY2024</x:v>
      </x:c>
      <x:c r="E199" s="37" t="n">
        <x:v>33.012</x:v>
      </x:c>
      <x:c r="F199" s="36" t="str">
        <x:v>ed7936ac-e0cd-408a-ae7f-063381fdf3a1.pdf</x:v>
      </x:c>
      <x:c r="G199" s="36" t="n">
        <x:v>54</x:v>
      </x:c>
      <x:c r="H199" s="36" t="str">
        <x:v>Provided 2024 Form 10-K.  Company named Pure Storage in this filing.</x:v>
      </x:c>
    </x:row>
    <x:row r="200">
      <x:c r="A200" s="36" t="str">
        <x:v>H.BS.INTANGIBLES.FY2025</x:v>
      </x:c>
      <x:c r="B200" s="36" t="str">
        <x:v>BS</x:v>
      </x:c>
      <x:c r="C200" s="36" t="str">
        <x:v>Intangible assets, net</x:v>
      </x:c>
      <x:c r="D200" s="36" t="str">
        <x:v>FY2025</x:v>
      </x:c>
      <x:c r="E200" s="37" t="n">
        <x:v>19.074</x:v>
      </x:c>
      <x:c r="F200" s="36" t="str">
        <x:v>8c023447-ebc8-42c3-86e5-21558f3d7224.pdf</x:v>
      </x:c>
      <x:c r="G200" s="36" t="n">
        <x:v>57</x:v>
      </x:c>
      <x:c r="H200" s="36" t="str">
        <x:v>Provided 2025 Form 10-K.  Company named Pure Storage in this filing.</x:v>
      </x:c>
    </x:row>
    <x:row r="201">
      <x:c r="A201" s="36" t="str">
        <x:v>H.BS.INTANGIBLES.FY2026</x:v>
      </x:c>
      <x:c r="B201" s="36" t="str">
        <x:v>BS</x:v>
      </x:c>
      <x:c r="C201" s="36" t="str">
        <x:v>Intangible assets, net</x:v>
      </x:c>
      <x:c r="D201" s="36" t="str">
        <x:v>FY2026</x:v>
      </x:c>
      <x:c r="E201" s="37" t="n">
        <x:v>7.346</x:v>
      </x:c>
      <x:c r="F201" s="36" t="str">
        <x:v>2e1ef280-4c52-445c-b593-a6c3a1fbfec6.pdf</x:v>
      </x:c>
      <x:c r="G201" s="36" t="n">
        <x:v>59</x:v>
      </x:c>
      <x:c r="H201" s="36" t="str">
        <x:v>Provided 2026 Form 10-K.  Company named Everpure in this filing.</x:v>
      </x:c>
    </x:row>
    <x:row r="202">
      <x:c r="A202" s="36" t="str">
        <x:v>H.BS.RESTRICTED_CASH.FY2021</x:v>
      </x:c>
      <x:c r="B202" s="36" t="str">
        <x:v>BS</x:v>
      </x:c>
      <x:c r="C202" s="36" t="str">
        <x:v>Restricted cash</x:v>
      </x:c>
      <x:c r="D202" s="36" t="str">
        <x:v>FY2021</x:v>
      </x:c>
      <x:c r="E202" s="37" t="n">
        <x:v>10.544</x:v>
      </x:c>
      <x:c r="F202" s="36" t="str">
        <x:v>https://www.purestorage.com/content/dam/pdf/en/legal/2023-form-10-k.pdf</x:v>
      </x:c>
      <x:c r="G202" s="36" t="n">
        <x:v>58</x:v>
      </x:c>
      <x:c r="H202" s="36" t="str">
        <x:v>Official 2023 Form 10-K used to complete FY2021 and FY2022 history.</x:v>
      </x:c>
    </x:row>
    <x:row r="203">
      <x:c r="A203" s="36" t="str">
        <x:v>H.BS.RESTRICTED_CASH.FY2022</x:v>
      </x:c>
      <x:c r="B203" s="36" t="str">
        <x:v>BS</x:v>
      </x:c>
      <x:c r="C203" s="36" t="str">
        <x:v>Restricted cash</x:v>
      </x:c>
      <x:c r="D203" s="36" t="str">
        <x:v>FY2022</x:v>
      </x:c>
      <x:c r="E203" s="37" t="n">
        <x:v>10.544</x:v>
      </x:c>
      <x:c r="F203" s="36" t="str">
        <x:v>https://www.purestorage.com/content/dam/pdf/en/legal/2023-form-10-k.pdf</x:v>
      </x:c>
      <x:c r="G203" s="36" t="n">
        <x:v>58</x:v>
      </x:c>
      <x:c r="H203" s="36" t="str">
        <x:v>Official 2023 Form 10-K used to complete FY2021 and FY2022 history.</x:v>
      </x:c>
    </x:row>
    <x:row r="204">
      <x:c r="A204" s="36" t="str">
        <x:v>H.BS.RESTRICTED_CASH.FY2023</x:v>
      </x:c>
      <x:c r="B204" s="36" t="str">
        <x:v>BS</x:v>
      </x:c>
      <x:c r="C204" s="36" t="str">
        <x:v>Restricted cash</x:v>
      </x:c>
      <x:c r="D204" s="36" t="str">
        <x:v>FY2023</x:v>
      </x:c>
      <x:c r="E204" s="37" t="n">
        <x:v>10.544</x:v>
      </x:c>
      <x:c r="F204" s="36" t="str">
        <x:v>https://www.purestorage.com/content/dam/pdf/en/legal/2023-form-10-k.pdf</x:v>
      </x:c>
      <x:c r="G204" s="36" t="n">
        <x:v>58</x:v>
      </x:c>
      <x:c r="H204" s="36" t="str">
        <x:v>Official 2023 Form 10-K used to complete FY2021 and FY2022 history.</x:v>
      </x:c>
    </x:row>
    <x:row r="205">
      <x:c r="A205" s="36" t="str">
        <x:v>H.BS.RESTRICTED_CASH.FY2024</x:v>
      </x:c>
      <x:c r="B205" s="36" t="str">
        <x:v>BS</x:v>
      </x:c>
      <x:c r="C205" s="36" t="str">
        <x:v>Restricted cash</x:v>
      </x:c>
      <x:c r="D205" s="36" t="str">
        <x:v>FY2024</x:v>
      </x:c>
      <x:c r="E205" s="37" t="n">
        <x:v>9.595</x:v>
      </x:c>
      <x:c r="F205" s="36" t="str">
        <x:v>ed7936ac-e0cd-408a-ae7f-063381fdf3a1.pdf</x:v>
      </x:c>
      <x:c r="G205" s="36" t="n">
        <x:v>54</x:v>
      </x:c>
      <x:c r="H205" s="36" t="str">
        <x:v>Provided 2024 Form 10-K.  Company named Pure Storage in this filing.</x:v>
      </x:c>
    </x:row>
    <x:row r="206">
      <x:c r="A206" s="36" t="str">
        <x:v>H.BS.RESTRICTED_CASH.FY2025</x:v>
      </x:c>
      <x:c r="B206" s="36" t="str">
        <x:v>BS</x:v>
      </x:c>
      <x:c r="C206" s="36" t="str">
        <x:v>Restricted cash</x:v>
      </x:c>
      <x:c r="D206" s="36" t="str">
        <x:v>FY2025</x:v>
      </x:c>
      <x:c r="E206" s="37" t="n">
        <x:v>12.553</x:v>
      </x:c>
      <x:c r="F206" s="36" t="str">
        <x:v>8c023447-ebc8-42c3-86e5-21558f3d7224.pdf</x:v>
      </x:c>
      <x:c r="G206" s="36" t="n">
        <x:v>57</x:v>
      </x:c>
      <x:c r="H206" s="36" t="str">
        <x:v>Provided 2025 Form 10-K.  Company named Pure Storage in this filing.</x:v>
      </x:c>
    </x:row>
    <x:row r="207">
      <x:c r="A207" s="36" t="str">
        <x:v>H.BS.RESTRICTED_CASH.FY2026</x:v>
      </x:c>
      <x:c r="B207" s="36" t="str">
        <x:v>BS</x:v>
      </x:c>
      <x:c r="C207" s="36" t="str">
        <x:v>Restricted cash</x:v>
      </x:c>
      <x:c r="D207" s="36" t="str">
        <x:v>FY2026</x:v>
      </x:c>
      <x:c r="E207" s="37" t="n">
        <x:v>7.687</x:v>
      </x:c>
      <x:c r="F207" s="36" t="str">
        <x:v>2e1ef280-4c52-445c-b593-a6c3a1fbfec6.pdf</x:v>
      </x:c>
      <x:c r="G207" s="36" t="n">
        <x:v>59</x:v>
      </x:c>
      <x:c r="H207" s="36" t="str">
        <x:v>Provided 2026 Form 10-K.  Company named Everpure in this filing.</x:v>
      </x:c>
    </x:row>
    <x:row r="208">
      <x:c r="A208" s="36" t="str">
        <x:v>H.BS.OTHER_NONCURRENT_ASSETS.FY2021</x:v>
      </x:c>
      <x:c r="B208" s="36" t="str">
        <x:v>BS</x:v>
      </x:c>
      <x:c r="C208" s="36" t="str">
        <x:v>Other non-current assets</x:v>
      </x:c>
      <x:c r="D208" s="36" t="str">
        <x:v>FY2021</x:v>
      </x:c>
      <x:c r="E208" s="37" t="n">
        <x:v>36.896</x:v>
      </x:c>
      <x:c r="F208" s="36" t="str">
        <x:v>https://www.purestorage.com/content/dam/pdf/en/legal/2023-form-10-k.pdf</x:v>
      </x:c>
      <x:c r="G208" s="36" t="n">
        <x:v>58</x:v>
      </x:c>
      <x:c r="H208" s="36" t="str">
        <x:v>Official 2023 Form 10-K used to complete FY2021 and FY2022 history.</x:v>
      </x:c>
    </x:row>
    <x:row r="209">
      <x:c r="A209" s="36" t="str">
        <x:v>H.BS.OTHER_NONCURRENT_ASSETS.FY2022</x:v>
      </x:c>
      <x:c r="B209" s="36" t="str">
        <x:v>BS</x:v>
      </x:c>
      <x:c r="C209" s="36" t="str">
        <x:v>Other non-current assets</x:v>
      </x:c>
      <x:c r="D209" s="36" t="str">
        <x:v>FY2022</x:v>
      </x:c>
      <x:c r="E209" s="37" t="n">
        <x:v>39.447</x:v>
      </x:c>
      <x:c r="F209" s="36" t="str">
        <x:v>https://www.purestorage.com/content/dam/pdf/en/legal/2023-form-10-k.pdf</x:v>
      </x:c>
      <x:c r="G209" s="36" t="n">
        <x:v>58</x:v>
      </x:c>
      <x:c r="H209" s="36" t="str">
        <x:v>Official 2023 Form 10-K used to complete FY2021 and FY2022 history.</x:v>
      </x:c>
    </x:row>
    <x:row r="210">
      <x:c r="A210" s="36" t="str">
        <x:v>H.BS.OTHER_NONCURRENT_ASSETS.FY2023</x:v>
      </x:c>
      <x:c r="B210" s="36" t="str">
        <x:v>BS</x:v>
      </x:c>
      <x:c r="C210" s="36" t="str">
        <x:v>Other non-current assets</x:v>
      </x:c>
      <x:c r="D210" s="36" t="str">
        <x:v>FY2023</x:v>
      </x:c>
      <x:c r="E210" s="37" t="n">
        <x:v>38.814</x:v>
      </x:c>
      <x:c r="F210" s="36" t="str">
        <x:v>https://www.purestorage.com/content/dam/pdf/en/legal/2023-form-10-k.pdf</x:v>
      </x:c>
      <x:c r="G210" s="36" t="n">
        <x:v>58</x:v>
      </x:c>
      <x:c r="H210" s="36" t="str">
        <x:v>Official 2023 Form 10-K used to complete FY2021 and FY2022 history.</x:v>
      </x:c>
    </x:row>
    <x:row r="211">
      <x:c r="A211" s="36" t="str">
        <x:v>H.BS.OTHER_NONCURRENT_ASSETS.FY2024</x:v>
      </x:c>
      <x:c r="B211" s="36" t="str">
        <x:v>BS</x:v>
      </x:c>
      <x:c r="C211" s="36" t="str">
        <x:v>Other non-current assets</x:v>
      </x:c>
      <x:c r="D211" s="36" t="str">
        <x:v>FY2024</x:v>
      </x:c>
      <x:c r="E211" s="37" t="n">
        <x:v>55.506</x:v>
      </x:c>
      <x:c r="F211" s="36" t="str">
        <x:v>ed7936ac-e0cd-408a-ae7f-063381fdf3a1.pdf</x:v>
      </x:c>
      <x:c r="G211" s="36" t="n">
        <x:v>54</x:v>
      </x:c>
      <x:c r="H211" s="36" t="str">
        <x:v>Provided 2024 Form 10-K.  Company named Pure Storage in this filing.</x:v>
      </x:c>
    </x:row>
    <x:row r="212">
      <x:c r="A212" s="36" t="str">
        <x:v>H.BS.OTHER_NONCURRENT_ASSETS.FY2025</x:v>
      </x:c>
      <x:c r="B212" s="36" t="str">
        <x:v>BS</x:v>
      </x:c>
      <x:c r="C212" s="36" t="str">
        <x:v>Other non-current assets</x:v>
      </x:c>
      <x:c r="D212" s="36" t="str">
        <x:v>FY2025</x:v>
      </x:c>
      <x:c r="E212" s="37" t="n">
        <x:v>165.889</x:v>
      </x:c>
      <x:c r="F212" s="36" t="str">
        <x:v>8c023447-ebc8-42c3-86e5-21558f3d7224.pdf</x:v>
      </x:c>
      <x:c r="G212" s="36" t="n">
        <x:v>57</x:v>
      </x:c>
      <x:c r="H212" s="36" t="str">
        <x:v>Provided 2025 Form 10-K.  Company named Pure Storage in this filing.</x:v>
      </x:c>
    </x:row>
    <x:row r="213">
      <x:c r="A213" s="36" t="str">
        <x:v>H.BS.OTHER_NONCURRENT_ASSETS.FY2026</x:v>
      </x:c>
      <x:c r="B213" s="36" t="str">
        <x:v>BS</x:v>
      </x:c>
      <x:c r="C213" s="36" t="str">
        <x:v>Other non-current assets</x:v>
      </x:c>
      <x:c r="D213" s="36" t="str">
        <x:v>FY2026</x:v>
      </x:c>
      <x:c r="E213" s="37" t="n">
        <x:v>177.472</x:v>
      </x:c>
      <x:c r="F213" s="36" t="str">
        <x:v>2e1ef280-4c52-445c-b593-a6c3a1fbfec6.pdf</x:v>
      </x:c>
      <x:c r="G213" s="36" t="n">
        <x:v>59</x:v>
      </x:c>
      <x:c r="H213" s="36" t="str">
        <x:v>Provided 2026 Form 10-K.  Company named Everpure in this filing.</x:v>
      </x:c>
    </x:row>
    <x:row r="214">
      <x:c r="A214" s="36" t="str">
        <x:v>H.BS.TOTAL_ASSETS.FY2021</x:v>
      </x:c>
      <x:c r="B214" s="36" t="str">
        <x:v>BS</x:v>
      </x:c>
      <x:c r="C214" s="36" t="str">
        <x:v>Total assets</x:v>
      </x:c>
      <x:c r="D214" s="36" t="str">
        <x:v>FY2021</x:v>
      </x:c>
      <x:c r="E214" s="37" t="n">
        <x:v>2819.44</x:v>
      </x:c>
      <x:c r="F214" s="36" t="str">
        <x:v>https://www.purestorage.com/content/dam/pdf/en/legal/2023-form-10-k.pdf</x:v>
      </x:c>
      <x:c r="G214" s="36" t="n">
        <x:v>58</x:v>
      </x:c>
      <x:c r="H214" s="36" t="str">
        <x:v>Official 2023 Form 10-K used to complete FY2021 and FY2022 history.</x:v>
      </x:c>
    </x:row>
    <x:row r="215">
      <x:c r="A215" s="36" t="str">
        <x:v>H.BS.TOTAL_ASSETS.FY2022</x:v>
      </x:c>
      <x:c r="B215" s="36" t="str">
        <x:v>BS</x:v>
      </x:c>
      <x:c r="C215" s="36" t="str">
        <x:v>Total assets</x:v>
      </x:c>
      <x:c r="D215" s="36" t="str">
        <x:v>FY2022</x:v>
      </x:c>
      <x:c r="E215" s="37" t="n">
        <x:v>3135.315</x:v>
      </x:c>
      <x:c r="F215" s="36" t="str">
        <x:v>https://www.purestorage.com/content/dam/pdf/en/legal/2023-form-10-k.pdf</x:v>
      </x:c>
      <x:c r="G215" s="36" t="n">
        <x:v>58</x:v>
      </x:c>
      <x:c r="H215" s="36" t="str">
        <x:v>Official 2023 Form 10-K used to complete FY2021 and FY2022 history.</x:v>
      </x:c>
    </x:row>
    <x:row r="216">
      <x:c r="A216" s="36" t="str">
        <x:v>H.BS.TOTAL_ASSETS.FY2023</x:v>
      </x:c>
      <x:c r="B216" s="36" t="str">
        <x:v>BS</x:v>
      </x:c>
      <x:c r="C216" s="36" t="str">
        <x:v>Total assets</x:v>
      </x:c>
      <x:c r="D216" s="36" t="str">
        <x:v>FY2023</x:v>
      </x:c>
      <x:c r="E216" s="37" t="n">
        <x:v>3543.46</x:v>
      </x:c>
      <x:c r="F216" s="36" t="str">
        <x:v>https://www.purestorage.com/content/dam/pdf/en/legal/2023-form-10-k.pdf</x:v>
      </x:c>
      <x:c r="G216" s="36" t="n">
        <x:v>58</x:v>
      </x:c>
      <x:c r="H216" s="36" t="str">
        <x:v>Official 2023 Form 10-K used to complete FY2021 and FY2022 history.</x:v>
      </x:c>
    </x:row>
    <x:row r="217">
      <x:c r="A217" s="36" t="str">
        <x:v>H.BS.TOTAL_ASSETS.FY2024</x:v>
      </x:c>
      <x:c r="B217" s="36" t="str">
        <x:v>BS</x:v>
      </x:c>
      <x:c r="C217" s="36" t="str">
        <x:v>Total assets</x:v>
      </x:c>
      <x:c r="D217" s="36" t="str">
        <x:v>FY2024</x:v>
      </x:c>
      <x:c r="E217" s="37" t="n">
        <x:v>3655.76</x:v>
      </x:c>
      <x:c r="F217" s="36" t="str">
        <x:v>ed7936ac-e0cd-408a-ae7f-063381fdf3a1.pdf</x:v>
      </x:c>
      <x:c r="G217" s="36" t="n">
        <x:v>54</x:v>
      </x:c>
      <x:c r="H217" s="36" t="str">
        <x:v>Provided 2024 Form 10-K.  Company named Pure Storage in this filing.</x:v>
      </x:c>
    </x:row>
    <x:row r="218">
      <x:c r="A218" s="36" t="str">
        <x:v>H.BS.TOTAL_ASSETS.FY2025</x:v>
      </x:c>
      <x:c r="B218" s="36" t="str">
        <x:v>BS</x:v>
      </x:c>
      <x:c r="C218" s="36" t="str">
        <x:v>Total assets</x:v>
      </x:c>
      <x:c r="D218" s="36" t="str">
        <x:v>FY2025</x:v>
      </x:c>
      <x:c r="E218" s="37" t="n">
        <x:v>3963.942</x:v>
      </x:c>
      <x:c r="F218" s="36" t="str">
        <x:v>8c023447-ebc8-42c3-86e5-21558f3d7224.pdf</x:v>
      </x:c>
      <x:c r="G218" s="36" t="n">
        <x:v>57</x:v>
      </x:c>
      <x:c r="H218" s="36" t="str">
        <x:v>Provided 2025 Form 10-K.  Company named Pure Storage in this filing.</x:v>
      </x:c>
    </x:row>
    <x:row r="219">
      <x:c r="A219" s="36" t="str">
        <x:v>H.BS.TOTAL_ASSETS.FY2026</x:v>
      </x:c>
      <x:c r="B219" s="36" t="str">
        <x:v>BS</x:v>
      </x:c>
      <x:c r="C219" s="36" t="str">
        <x:v>Total assets</x:v>
      </x:c>
      <x:c r="D219" s="36" t="str">
        <x:v>FY2026</x:v>
      </x:c>
      <x:c r="E219" s="37" t="n">
        <x:v>4674.259</x:v>
      </x:c>
      <x:c r="F219" s="36" t="str">
        <x:v>2e1ef280-4c52-445c-b593-a6c3a1fbfec6.pdf</x:v>
      </x:c>
      <x:c r="G219" s="36" t="n">
        <x:v>59</x:v>
      </x:c>
      <x:c r="H219" s="36" t="str">
        <x:v>Provided 2026 Form 10-K.  Company named Everpure in this filing.</x:v>
      </x:c>
    </x:row>
    <x:row r="220">
      <x:c r="A220" s="36" t="str">
        <x:v>H.BS.ACCOUNTS_PAYABLE.FY2021</x:v>
      </x:c>
      <x:c r="B220" s="36" t="str">
        <x:v>BS</x:v>
      </x:c>
      <x:c r="C220" s="36" t="str">
        <x:v>Accounts payable</x:v>
      </x:c>
      <x:c r="D220" s="36" t="str">
        <x:v>FY2021</x:v>
      </x:c>
      <x:c r="E220" s="37" t="n">
        <x:v>67.53</x:v>
      </x:c>
      <x:c r="F220" s="36" t="str">
        <x:v>https://www.purestorage.com/content/dam/pdf/en/legal/2023-form-10-k.pdf</x:v>
      </x:c>
      <x:c r="G220" s="36" t="n">
        <x:v>58</x:v>
      </x:c>
      <x:c r="H220" s="36" t="str">
        <x:v>Official 2023 Form 10-K used to complete FY2021 and FY2022 history.</x:v>
      </x:c>
    </x:row>
    <x:row r="221">
      <x:c r="A221" s="36" t="str">
        <x:v>H.BS.ACCOUNTS_PAYABLE.FY2022</x:v>
      </x:c>
      <x:c r="B221" s="36" t="str">
        <x:v>BS</x:v>
      </x:c>
      <x:c r="C221" s="36" t="str">
        <x:v>Accounts payable</x:v>
      </x:c>
      <x:c r="D221" s="36" t="str">
        <x:v>FY2022</x:v>
      </x:c>
      <x:c r="E221" s="37" t="n">
        <x:v>70.704</x:v>
      </x:c>
      <x:c r="F221" s="36" t="str">
        <x:v>https://www.purestorage.com/content/dam/pdf/en/legal/2023-form-10-k.pdf</x:v>
      </x:c>
      <x:c r="G221" s="36" t="n">
        <x:v>58</x:v>
      </x:c>
      <x:c r="H221" s="36" t="str">
        <x:v>Official 2023 Form 10-K used to complete FY2021 and FY2022 history.</x:v>
      </x:c>
    </x:row>
    <x:row r="222">
      <x:c r="A222" s="36" t="str">
        <x:v>H.BS.ACCOUNTS_PAYABLE.FY2023</x:v>
      </x:c>
      <x:c r="B222" s="36" t="str">
        <x:v>BS</x:v>
      </x:c>
      <x:c r="C222" s="36" t="str">
        <x:v>Accounts payable</x:v>
      </x:c>
      <x:c r="D222" s="36" t="str">
        <x:v>FY2023</x:v>
      </x:c>
      <x:c r="E222" s="37" t="n">
        <x:v>67.121</x:v>
      </x:c>
      <x:c r="F222" s="36" t="str">
        <x:v>https://www.purestorage.com/content/dam/pdf/en/legal/2023-form-10-k.pdf</x:v>
      </x:c>
      <x:c r="G222" s="36" t="n">
        <x:v>58</x:v>
      </x:c>
      <x:c r="H222" s="36" t="str">
        <x:v>Official 2023 Form 10-K used to complete FY2021 and FY2022 history.</x:v>
      </x:c>
    </x:row>
    <x:row r="223">
      <x:c r="A223" s="36" t="str">
        <x:v>H.BS.ACCOUNTS_PAYABLE.FY2024</x:v>
      </x:c>
      <x:c r="B223" s="36" t="str">
        <x:v>BS</x:v>
      </x:c>
      <x:c r="C223" s="36" t="str">
        <x:v>Accounts payable</x:v>
      </x:c>
      <x:c r="D223" s="36" t="str">
        <x:v>FY2024</x:v>
      </x:c>
      <x:c r="E223" s="37" t="n">
        <x:v>82.757</x:v>
      </x:c>
      <x:c r="F223" s="36" t="str">
        <x:v>ed7936ac-e0cd-408a-ae7f-063381fdf3a1.pdf</x:v>
      </x:c>
      <x:c r="G223" s="36" t="n">
        <x:v>54</x:v>
      </x:c>
      <x:c r="H223" s="36" t="str">
        <x:v>Provided 2024 Form 10-K.  Company named Pure Storage in this filing.</x:v>
      </x:c>
    </x:row>
    <x:row r="224">
      <x:c r="A224" s="36" t="str">
        <x:v>H.BS.ACCOUNTS_PAYABLE.FY2025</x:v>
      </x:c>
      <x:c r="B224" s="36" t="str">
        <x:v>BS</x:v>
      </x:c>
      <x:c r="C224" s="36" t="str">
        <x:v>Accounts payable</x:v>
      </x:c>
      <x:c r="D224" s="36" t="str">
        <x:v>FY2025</x:v>
      </x:c>
      <x:c r="E224" s="37" t="n">
        <x:v>112.385</x:v>
      </x:c>
      <x:c r="F224" s="36" t="str">
        <x:v>8c023447-ebc8-42c3-86e5-21558f3d7224.pdf</x:v>
      </x:c>
      <x:c r="G224" s="36" t="n">
        <x:v>57</x:v>
      </x:c>
      <x:c r="H224" s="36" t="str">
        <x:v>Provided 2025 Form 10-K.  Company named Pure Storage in this filing.</x:v>
      </x:c>
    </x:row>
    <x:row r="225">
      <x:c r="A225" s="36" t="str">
        <x:v>H.BS.ACCOUNTS_PAYABLE.FY2026</x:v>
      </x:c>
      <x:c r="B225" s="36" t="str">
        <x:v>BS</x:v>
      </x:c>
      <x:c r="C225" s="36" t="str">
        <x:v>Accounts payable</x:v>
      </x:c>
      <x:c r="D225" s="36" t="str">
        <x:v>FY2026</x:v>
      </x:c>
      <x:c r="E225" s="37" t="n">
        <x:v>153.312</x:v>
      </x:c>
      <x:c r="F225" s="36" t="str">
        <x:v>2e1ef280-4c52-445c-b593-a6c3a1fbfec6.pdf</x:v>
      </x:c>
      <x:c r="G225" s="36" t="n">
        <x:v>59</x:v>
      </x:c>
      <x:c r="H225" s="36" t="str">
        <x:v>Provided 2026 Form 10-K.  Company named Everpure in this filing.</x:v>
      </x:c>
    </x:row>
    <x:row r="226">
      <x:c r="A226" s="36" t="str">
        <x:v>H.BS.ACCRUED_COMP.FY2021</x:v>
      </x:c>
      <x:c r="B226" s="36" t="str">
        <x:v>BS</x:v>
      </x:c>
      <x:c r="C226" s="36" t="str">
        <x:v>Accrued compensation and benefits</x:v>
      </x:c>
      <x:c r="D226" s="36" t="str">
        <x:v>FY2021</x:v>
      </x:c>
      <x:c r="E226" s="37" t="n">
        <x:v>160.817</x:v>
      </x:c>
      <x:c r="F226" s="36" t="str">
        <x:v>https://www.purestorage.com/content/dam/pdf/en/legal/2023-form-10-k.pdf</x:v>
      </x:c>
      <x:c r="G226" s="36" t="n">
        <x:v>58</x:v>
      </x:c>
      <x:c r="H226" s="36" t="str">
        <x:v>Official 2023 Form 10-K used to complete FY2021 and FY2022 history.</x:v>
      </x:c>
    </x:row>
    <x:row r="227">
      <x:c r="A227" s="36" t="str">
        <x:v>H.BS.ACCRUED_COMP.FY2022</x:v>
      </x:c>
      <x:c r="B227" s="36" t="str">
        <x:v>BS</x:v>
      </x:c>
      <x:c r="C227" s="36" t="str">
        <x:v>Accrued compensation and benefits</x:v>
      </x:c>
      <x:c r="D227" s="36" t="str">
        <x:v>FY2022</x:v>
      </x:c>
      <x:c r="E227" s="37" t="n">
        <x:v>205.431</x:v>
      </x:c>
      <x:c r="F227" s="36" t="str">
        <x:v>https://www.purestorage.com/content/dam/pdf/en/legal/2023-form-10-k.pdf</x:v>
      </x:c>
      <x:c r="G227" s="36" t="n">
        <x:v>58</x:v>
      </x:c>
      <x:c r="H227" s="36" t="str">
        <x:v>Official 2023 Form 10-K used to complete FY2021 and FY2022 history.</x:v>
      </x:c>
    </x:row>
    <x:row r="228">
      <x:c r="A228" s="36" t="str">
        <x:v>H.BS.ACCRUED_COMP.FY2023</x:v>
      </x:c>
      <x:c r="B228" s="36" t="str">
        <x:v>BS</x:v>
      </x:c>
      <x:c r="C228" s="36" t="str">
        <x:v>Accrued compensation and benefits</x:v>
      </x:c>
      <x:c r="D228" s="36" t="str">
        <x:v>FY2023</x:v>
      </x:c>
      <x:c r="E228" s="37" t="n">
        <x:v>232.636</x:v>
      </x:c>
      <x:c r="F228" s="36" t="str">
        <x:v>https://www.purestorage.com/content/dam/pdf/en/legal/2023-form-10-k.pdf</x:v>
      </x:c>
      <x:c r="G228" s="36" t="n">
        <x:v>58</x:v>
      </x:c>
      <x:c r="H228" s="36" t="str">
        <x:v>Official 2023 Form 10-K used to complete FY2021 and FY2022 history.</x:v>
      </x:c>
    </x:row>
    <x:row r="229">
      <x:c r="A229" s="36" t="str">
        <x:v>H.BS.ACCRUED_COMP.FY2024</x:v>
      </x:c>
      <x:c r="B229" s="36" t="str">
        <x:v>BS</x:v>
      </x:c>
      <x:c r="C229" s="36" t="str">
        <x:v>Accrued compensation and benefits</x:v>
      </x:c>
      <x:c r="D229" s="36" t="str">
        <x:v>FY2024</x:v>
      </x:c>
      <x:c r="E229" s="37" t="n">
        <x:v>250.257</x:v>
      </x:c>
      <x:c r="F229" s="36" t="str">
        <x:v>ed7936ac-e0cd-408a-ae7f-063381fdf3a1.pdf</x:v>
      </x:c>
      <x:c r="G229" s="36" t="n">
        <x:v>54</x:v>
      </x:c>
      <x:c r="H229" s="36" t="str">
        <x:v>Provided 2024 Form 10-K.  Company named Pure Storage in this filing.</x:v>
      </x:c>
    </x:row>
    <x:row r="230">
      <x:c r="A230" s="36" t="str">
        <x:v>H.BS.ACCRUED_COMP.FY2025</x:v>
      </x:c>
      <x:c r="B230" s="36" t="str">
        <x:v>BS</x:v>
      </x:c>
      <x:c r="C230" s="36" t="str">
        <x:v>Accrued compensation and benefits</x:v>
      </x:c>
      <x:c r="D230" s="36" t="str">
        <x:v>FY2025</x:v>
      </x:c>
      <x:c r="E230" s="37" t="n">
        <x:v>230.04</x:v>
      </x:c>
      <x:c r="F230" s="36" t="str">
        <x:v>8c023447-ebc8-42c3-86e5-21558f3d7224.pdf</x:v>
      </x:c>
      <x:c r="G230" s="36" t="n">
        <x:v>57</x:v>
      </x:c>
      <x:c r="H230" s="36" t="str">
        <x:v>Provided 2025 Form 10-K.  Company named Pure Storage in this filing.</x:v>
      </x:c>
    </x:row>
    <x:row r="231">
      <x:c r="A231" s="36" t="str">
        <x:v>H.BS.ACCRUED_COMP.FY2026</x:v>
      </x:c>
      <x:c r="B231" s="36" t="str">
        <x:v>BS</x:v>
      </x:c>
      <x:c r="C231" s="36" t="str">
        <x:v>Accrued compensation and benefits</x:v>
      </x:c>
      <x:c r="D231" s="36" t="str">
        <x:v>FY2026</x:v>
      </x:c>
      <x:c r="E231" s="37" t="n">
        <x:v>347.205</x:v>
      </x:c>
      <x:c r="F231" s="36" t="str">
        <x:v>2e1ef280-4c52-445c-b593-a6c3a1fbfec6.pdf</x:v>
      </x:c>
      <x:c r="G231" s="36" t="n">
        <x:v>59</x:v>
      </x:c>
      <x:c r="H231" s="36" t="str">
        <x:v>Provided 2026 Form 10-K.  Company named Everpure in this filing.</x:v>
      </x:c>
    </x:row>
    <x:row r="232">
      <x:c r="A232" s="36" t="str">
        <x:v>H.BS.ACCRUED_OTHER.FY2021</x:v>
      </x:c>
      <x:c r="B232" s="36" t="str">
        <x:v>BS</x:v>
      </x:c>
      <x:c r="C232" s="36" t="str">
        <x:v>Accrued expenses and other liabilities</x:v>
      </x:c>
      <x:c r="D232" s="36" t="str">
        <x:v>FY2021</x:v>
      </x:c>
      <x:c r="E232" s="37" t="n">
        <x:v>61.754</x:v>
      </x:c>
      <x:c r="F232" s="36" t="str">
        <x:v>https://www.purestorage.com/content/dam/pdf/en/legal/2023-form-10-k.pdf</x:v>
      </x:c>
      <x:c r="G232" s="36" t="n">
        <x:v>58</x:v>
      </x:c>
      <x:c r="H232" s="36" t="str">
        <x:v>Official 2023 Form 10-K used to complete FY2021 and FY2022 history.</x:v>
      </x:c>
    </x:row>
    <x:row r="233">
      <x:c r="A233" s="36" t="str">
        <x:v>H.BS.ACCRUED_OTHER.FY2022</x:v>
      </x:c>
      <x:c r="B233" s="36" t="str">
        <x:v>BS</x:v>
      </x:c>
      <x:c r="C233" s="36" t="str">
        <x:v>Accrued expenses and other liabilities</x:v>
      </x:c>
      <x:c r="D233" s="36" t="str">
        <x:v>FY2022</x:v>
      </x:c>
      <x:c r="E233" s="37" t="n">
        <x:v>78.511</x:v>
      </x:c>
      <x:c r="F233" s="36" t="str">
        <x:v>https://www.purestorage.com/content/dam/pdf/en/legal/2023-form-10-k.pdf</x:v>
      </x:c>
      <x:c r="G233" s="36" t="n">
        <x:v>58</x:v>
      </x:c>
      <x:c r="H233" s="36" t="str">
        <x:v>Official 2023 Form 10-K used to complete FY2021 and FY2022 history.</x:v>
      </x:c>
    </x:row>
    <x:row r="234">
      <x:c r="A234" s="36" t="str">
        <x:v>H.BS.ACCRUED_OTHER.FY2023</x:v>
      </x:c>
      <x:c r="B234" s="36" t="str">
        <x:v>BS</x:v>
      </x:c>
      <x:c r="C234" s="36" t="str">
        <x:v>Accrued expenses and other liabilities</x:v>
      </x:c>
      <x:c r="D234" s="36" t="str">
        <x:v>FY2023</x:v>
      </x:c>
      <x:c r="E234" s="37" t="n">
        <x:v>123.749</x:v>
      </x:c>
      <x:c r="F234" s="36" t="str">
        <x:v>https://www.purestorage.com/content/dam/pdf/en/legal/2023-form-10-k.pdf</x:v>
      </x:c>
      <x:c r="G234" s="36" t="n">
        <x:v>58</x:v>
      </x:c>
      <x:c r="H234" s="36" t="str">
        <x:v>Official 2023 Form 10-K used to complete FY2021 and FY2022 history.</x:v>
      </x:c>
    </x:row>
    <x:row r="235">
      <x:c r="A235" s="36" t="str">
        <x:v>H.BS.ACCRUED_OTHER.FY2024</x:v>
      </x:c>
      <x:c r="B235" s="36" t="str">
        <x:v>BS</x:v>
      </x:c>
      <x:c r="C235" s="36" t="str">
        <x:v>Accrued expenses and other liabilities</x:v>
      </x:c>
      <x:c r="D235" s="36" t="str">
        <x:v>FY2024</x:v>
      </x:c>
      <x:c r="E235" s="37" t="n">
        <x:v>135.755</x:v>
      </x:c>
      <x:c r="F235" s="36" t="str">
        <x:v>ed7936ac-e0cd-408a-ae7f-063381fdf3a1.pdf</x:v>
      </x:c>
      <x:c r="G235" s="36" t="n">
        <x:v>54</x:v>
      </x:c>
      <x:c r="H235" s="36" t="str">
        <x:v>Provided 2024 Form 10-K.  Company named Pure Storage in this filing.</x:v>
      </x:c>
    </x:row>
    <x:row r="236">
      <x:c r="A236" s="36" t="str">
        <x:v>H.BS.ACCRUED_OTHER.FY2025</x:v>
      </x:c>
      <x:c r="B236" s="36" t="str">
        <x:v>BS</x:v>
      </x:c>
      <x:c r="C236" s="36" t="str">
        <x:v>Accrued expenses and other liabilities</x:v>
      </x:c>
      <x:c r="D236" s="36" t="str">
        <x:v>FY2025</x:v>
      </x:c>
      <x:c r="E236" s="37" t="n">
        <x:v>156.791</x:v>
      </x:c>
      <x:c r="F236" s="36" t="str">
        <x:v>8c023447-ebc8-42c3-86e5-21558f3d7224.pdf</x:v>
      </x:c>
      <x:c r="G236" s="36" t="n">
        <x:v>57</x:v>
      </x:c>
      <x:c r="H236" s="36" t="str">
        <x:v>Provided 2025 Form 10-K.  Company named Pure Storage in this filing.</x:v>
      </x:c>
    </x:row>
    <x:row r="237">
      <x:c r="A237" s="36" t="str">
        <x:v>H.BS.ACCRUED_OTHER.FY2026</x:v>
      </x:c>
      <x:c r="B237" s="36" t="str">
        <x:v>BS</x:v>
      </x:c>
      <x:c r="C237" s="36" t="str">
        <x:v>Accrued expenses and other liabilities</x:v>
      </x:c>
      <x:c r="D237" s="36" t="str">
        <x:v>FY2026</x:v>
      </x:c>
      <x:c r="E237" s="37" t="n">
        <x:v>184.338</x:v>
      </x:c>
      <x:c r="F237" s="36" t="str">
        <x:v>2e1ef280-4c52-445c-b593-a6c3a1fbfec6.pdf</x:v>
      </x:c>
      <x:c r="G237" s="36" t="n">
        <x:v>59</x:v>
      </x:c>
      <x:c r="H237" s="36" t="str">
        <x:v>Provided 2026 Form 10-K.  Company named Everpure in this filing.</x:v>
      </x:c>
    </x:row>
    <x:row r="238">
      <x:c r="A238" s="36" t="str">
        <x:v>H.BS.DEFERRED_REVENUE_CURRENT.FY2021</x:v>
      </x:c>
      <x:c r="B238" s="36" t="str">
        <x:v>BS</x:v>
      </x:c>
      <x:c r="C238" s="36" t="str">
        <x:v>Deferred revenue, current</x:v>
      </x:c>
      <x:c r="D238" s="36" t="str">
        <x:v>FY2021</x:v>
      </x:c>
      <x:c r="E238" s="37" t="n">
        <x:v>438.321</x:v>
      </x:c>
      <x:c r="F238" s="36" t="str">
        <x:v>https://www.purestorage.com/content/dam/pdf/en/legal/2023-form-10-k.pdf</x:v>
      </x:c>
      <x:c r="G238" s="36" t="n">
        <x:v>58</x:v>
      </x:c>
      <x:c r="H238" s="36" t="str">
        <x:v>Official 2023 Form 10-K used to complete FY2021 and FY2022 history.</x:v>
      </x:c>
    </x:row>
    <x:row r="239">
      <x:c r="A239" s="36" t="str">
        <x:v>H.BS.DEFERRED_REVENUE_CURRENT.FY2022</x:v>
      </x:c>
      <x:c r="B239" s="36" t="str">
        <x:v>BS</x:v>
      </x:c>
      <x:c r="C239" s="36" t="str">
        <x:v>Deferred revenue, current</x:v>
      </x:c>
      <x:c r="D239" s="36" t="str">
        <x:v>FY2022</x:v>
      </x:c>
      <x:c r="E239" s="37" t="n">
        <x:v>562.576</x:v>
      </x:c>
      <x:c r="F239" s="36" t="str">
        <x:v>https://www.purestorage.com/content/dam/pdf/en/legal/2023-form-10-k.pdf</x:v>
      </x:c>
      <x:c r="G239" s="36" t="n">
        <x:v>58</x:v>
      </x:c>
      <x:c r="H239" s="36" t="str">
        <x:v>Official 2023 Form 10-K used to complete FY2021 and FY2022 history.</x:v>
      </x:c>
    </x:row>
    <x:row r="240">
      <x:c r="A240" s="36" t="str">
        <x:v>H.BS.DEFERRED_REVENUE_CURRENT.FY2023</x:v>
      </x:c>
      <x:c r="B240" s="36" t="str">
        <x:v>BS</x:v>
      </x:c>
      <x:c r="C240" s="36" t="str">
        <x:v>Deferred revenue, current</x:v>
      </x:c>
      <x:c r="D240" s="36" t="str">
        <x:v>FY2023</x:v>
      </x:c>
      <x:c r="E240" s="37" t="n">
        <x:v>718.149</x:v>
      </x:c>
      <x:c r="F240" s="36" t="str">
        <x:v>https://www.purestorage.com/content/dam/pdf/en/legal/2023-form-10-k.pdf</x:v>
      </x:c>
      <x:c r="G240" s="36" t="n">
        <x:v>58</x:v>
      </x:c>
      <x:c r="H240" s="36" t="str">
        <x:v>Official 2023 Form 10-K used to complete FY2021 and FY2022 history.</x:v>
      </x:c>
    </x:row>
    <x:row r="241">
      <x:c r="A241" s="36" t="str">
        <x:v>H.BS.DEFERRED_REVENUE_CURRENT.FY2024</x:v>
      </x:c>
      <x:c r="B241" s="36" t="str">
        <x:v>BS</x:v>
      </x:c>
      <x:c r="C241" s="36" t="str">
        <x:v>Deferred revenue, current</x:v>
      </x:c>
      <x:c r="D241" s="36" t="str">
        <x:v>FY2024</x:v>
      </x:c>
      <x:c r="E241" s="37" t="n">
        <x:v>852.247</x:v>
      </x:c>
      <x:c r="F241" s="36" t="str">
        <x:v>ed7936ac-e0cd-408a-ae7f-063381fdf3a1.pdf</x:v>
      </x:c>
      <x:c r="G241" s="36" t="n">
        <x:v>54</x:v>
      </x:c>
      <x:c r="H241" s="36" t="str">
        <x:v>Provided 2024 Form 10-K.  Company named Pure Storage in this filing.</x:v>
      </x:c>
    </x:row>
    <x:row r="242">
      <x:c r="A242" s="36" t="str">
        <x:v>H.BS.DEFERRED_REVENUE_CURRENT.FY2025</x:v>
      </x:c>
      <x:c r="B242" s="36" t="str">
        <x:v>BS</x:v>
      </x:c>
      <x:c r="C242" s="36" t="str">
        <x:v>Deferred revenue, current</x:v>
      </x:c>
      <x:c r="D242" s="36" t="str">
        <x:v>FY2025</x:v>
      </x:c>
      <x:c r="E242" s="37" t="n">
        <x:v>953.836</x:v>
      </x:c>
      <x:c r="F242" s="36" t="str">
        <x:v>8c023447-ebc8-42c3-86e5-21558f3d7224.pdf</x:v>
      </x:c>
      <x:c r="G242" s="36" t="n">
        <x:v>57</x:v>
      </x:c>
      <x:c r="H242" s="36" t="str">
        <x:v>Provided 2025 Form 10-K.  Company named Pure Storage in this filing.</x:v>
      </x:c>
    </x:row>
    <x:row r="243">
      <x:c r="A243" s="36" t="str">
        <x:v>H.BS.DEFERRED_REVENUE_CURRENT.FY2026</x:v>
      </x:c>
      <x:c r="B243" s="36" t="str">
        <x:v>BS</x:v>
      </x:c>
      <x:c r="C243" s="36" t="str">
        <x:v>Deferred revenue, current</x:v>
      </x:c>
      <x:c r="D243" s="36" t="str">
        <x:v>FY2026</x:v>
      </x:c>
      <x:c r="E243" s="37" t="n">
        <x:v>1181.055</x:v>
      </x:c>
      <x:c r="F243" s="36" t="str">
        <x:v>2e1ef280-4c52-445c-b593-a6c3a1fbfec6.pdf</x:v>
      </x:c>
      <x:c r="G243" s="36" t="n">
        <x:v>59</x:v>
      </x:c>
      <x:c r="H243" s="36" t="str">
        <x:v>Provided 2026 Form 10-K.  Company named Everpure in this filing.</x:v>
      </x:c>
    </x:row>
    <x:row r="244">
      <x:c r="A244" s="36" t="str">
        <x:v>H.BS.LEASE_LIABILITIES_CURRENT.FY2021</x:v>
      </x:c>
      <x:c r="B244" s="36" t="str">
        <x:v>BS</x:v>
      </x:c>
      <x:c r="C244" s="36" t="str">
        <x:v>Operating lease liabilities, current</x:v>
      </x:c>
      <x:c r="D244" s="36" t="str">
        <x:v>FY2021</x:v>
      </x:c>
      <x:c r="E244" s="37" t="n">
        <x:v>32.231</x:v>
      </x:c>
      <x:c r="F244" s="36" t="str">
        <x:v>https://www.purestorage.com/content/dam/pdf/en/legal/2023-form-10-k.pdf</x:v>
      </x:c>
      <x:c r="G244" s="36" t="n">
        <x:v>58</x:v>
      </x:c>
      <x:c r="H244" s="36" t="str">
        <x:v>Official 2023 Form 10-K used to complete FY2021 and FY2022 history.</x:v>
      </x:c>
    </x:row>
    <x:row r="245">
      <x:c r="A245" s="36" t="str">
        <x:v>H.BS.LEASE_LIABILITIES_CURRENT.FY2022</x:v>
      </x:c>
      <x:c r="B245" s="36" t="str">
        <x:v>BS</x:v>
      </x:c>
      <x:c r="C245" s="36" t="str">
        <x:v>Operating lease liabilities, current</x:v>
      </x:c>
      <x:c r="D245" s="36" t="str">
        <x:v>FY2022</x:v>
      </x:c>
      <x:c r="E245" s="37" t="n">
        <x:v>35.098</x:v>
      </x:c>
      <x:c r="F245" s="36" t="str">
        <x:v>https://www.purestorage.com/content/dam/pdf/en/legal/2023-form-10-k.pdf</x:v>
      </x:c>
      <x:c r="G245" s="36" t="n">
        <x:v>58</x:v>
      </x:c>
      <x:c r="H245" s="36" t="str">
        <x:v>Official 2023 Form 10-K used to complete FY2021 and FY2022 history.</x:v>
      </x:c>
    </x:row>
    <x:row r="246">
      <x:c r="A246" s="36" t="str">
        <x:v>H.BS.LEASE_LIABILITIES_CURRENT.FY2023</x:v>
      </x:c>
      <x:c r="B246" s="36" t="str">
        <x:v>BS</x:v>
      </x:c>
      <x:c r="C246" s="36" t="str">
        <x:v>Operating lease liabilities, current</x:v>
      </x:c>
      <x:c r="D246" s="36" t="str">
        <x:v>FY2023</x:v>
      </x:c>
      <x:c r="E246" s="37" t="n">
        <x:v>33.707</x:v>
      </x:c>
      <x:c r="F246" s="36" t="str">
        <x:v>https://www.purestorage.com/content/dam/pdf/en/legal/2023-form-10-k.pdf</x:v>
      </x:c>
      <x:c r="G246" s="36" t="n">
        <x:v>58</x:v>
      </x:c>
      <x:c r="H246" s="36" t="str">
        <x:v>Official 2023 Form 10-K used to complete FY2021 and FY2022 history.</x:v>
      </x:c>
    </x:row>
    <x:row r="247">
      <x:c r="A247" s="36" t="str">
        <x:v>H.BS.LEASE_LIABILITIES_CURRENT.FY2024</x:v>
      </x:c>
      <x:c r="B247" s="36" t="str">
        <x:v>BS</x:v>
      </x:c>
      <x:c r="C247" s="36" t="str">
        <x:v>Operating lease liabilities, current</x:v>
      </x:c>
      <x:c r="D247" s="36" t="str">
        <x:v>FY2024</x:v>
      </x:c>
      <x:c r="E247" s="37" t="n">
        <x:v>44.668</x:v>
      </x:c>
      <x:c r="F247" s="36" t="str">
        <x:v>ed7936ac-e0cd-408a-ae7f-063381fdf3a1.pdf</x:v>
      </x:c>
      <x:c r="G247" s="36" t="n">
        <x:v>54</x:v>
      </x:c>
      <x:c r="H247" s="36" t="str">
        <x:v>Provided 2024 Form 10-K.  Company named Pure Storage in this filing.</x:v>
      </x:c>
    </x:row>
    <x:row r="248">
      <x:c r="A248" s="36" t="str">
        <x:v>H.BS.LEASE_LIABILITIES_CURRENT.FY2025</x:v>
      </x:c>
      <x:c r="B248" s="36" t="str">
        <x:v>BS</x:v>
      </x:c>
      <x:c r="C248" s="36" t="str">
        <x:v>Operating lease liabilities, current</x:v>
      </x:c>
      <x:c r="D248" s="36" t="str">
        <x:v>FY2025</x:v>
      </x:c>
      <x:c r="E248" s="37" t="n">
        <x:v>43.489</x:v>
      </x:c>
      <x:c r="F248" s="36" t="str">
        <x:v>8c023447-ebc8-42c3-86e5-21558f3d7224.pdf</x:v>
      </x:c>
      <x:c r="G248" s="36" t="n">
        <x:v>57</x:v>
      </x:c>
      <x:c r="H248" s="36" t="str">
        <x:v>Provided 2025 Form 10-K.  Company named Pure Storage in this filing.</x:v>
      </x:c>
    </x:row>
    <x:row r="249">
      <x:c r="A249" s="36" t="str">
        <x:v>H.BS.LEASE_LIABILITIES_CURRENT.FY2026</x:v>
      </x:c>
      <x:c r="B249" s="36" t="str">
        <x:v>BS</x:v>
      </x:c>
      <x:c r="C249" s="36" t="str">
        <x:v>Operating lease liabilities, current</x:v>
      </x:c>
      <x:c r="D249" s="36" t="str">
        <x:v>FY2026</x:v>
      </x:c>
      <x:c r="E249" s="37" t="n">
        <x:v>44.08</x:v>
      </x:c>
      <x:c r="F249" s="36" t="str">
        <x:v>2e1ef280-4c52-445c-b593-a6c3a1fbfec6.pdf</x:v>
      </x:c>
      <x:c r="G249" s="36" t="n">
        <x:v>59</x:v>
      </x:c>
      <x:c r="H249" s="36" t="str">
        <x:v>Provided 2026 Form 10-K.  Company named Everpure in this filing.</x:v>
      </x:c>
    </x:row>
    <x:row r="250">
      <x:c r="A250" s="36" t="str">
        <x:v>H.BS.DEBT_CURRENT.FY2021</x:v>
      </x:c>
      <x:c r="B250" s="36" t="str">
        <x:v>BS</x:v>
      </x:c>
      <x:c r="C250" s="36" t="str">
        <x:v>Short-term debt / current portion of LTD</x:v>
      </x:c>
      <x:c r="D250" s="36" t="str">
        <x:v>FY2021</x:v>
      </x:c>
      <x:c r="E250" s="37" t="n">
        <x:v>0</x:v>
      </x:c>
      <x:c r="F250" s="36" t="str">
        <x:v>https://www.purestorage.com/content/dam/pdf/en/legal/2023-form-10-k.pdf</x:v>
      </x:c>
      <x:c r="G250" s="36" t="n">
        <x:v>58</x:v>
      </x:c>
      <x:c r="H250" s="36" t="str">
        <x:v>Official 2023 Form 10-K used to complete FY2021 and FY2022 history.</x:v>
      </x:c>
    </x:row>
    <x:row r="251">
      <x:c r="A251" s="36" t="str">
        <x:v>H.BS.DEBT_CURRENT.FY2022</x:v>
      </x:c>
      <x:c r="B251" s="36" t="str">
        <x:v>BS</x:v>
      </x:c>
      <x:c r="C251" s="36" t="str">
        <x:v>Short-term debt / current portion of LTD</x:v>
      </x:c>
      <x:c r="D251" s="36" t="str">
        <x:v>FY2022</x:v>
      </x:c>
      <x:c r="E251" s="37" t="n">
        <x:v>0</x:v>
      </x:c>
      <x:c r="F251" s="36" t="str">
        <x:v>https://www.purestorage.com/content/dam/pdf/en/legal/2023-form-10-k.pdf</x:v>
      </x:c>
      <x:c r="G251" s="36" t="n">
        <x:v>58</x:v>
      </x:c>
      <x:c r="H251" s="36" t="str">
        <x:v>Official 2023 Form 10-K used to complete FY2021 and FY2022 history.</x:v>
      </x:c>
    </x:row>
    <x:row r="252">
      <x:c r="A252" s="36" t="str">
        <x:v>H.BS.DEBT_CURRENT.FY2023</x:v>
      </x:c>
      <x:c r="B252" s="36" t="str">
        <x:v>BS</x:v>
      </x:c>
      <x:c r="C252" s="36" t="str">
        <x:v>Short-term debt / current portion of LTD</x:v>
      </x:c>
      <x:c r="D252" s="36" t="str">
        <x:v>FY2023</x:v>
      </x:c>
      <x:c r="E252" s="37" t="n">
        <x:v>574.506</x:v>
      </x:c>
      <x:c r="F252" s="36" t="str">
        <x:v>https://www.purestorage.com/content/dam/pdf/en/legal/2023-form-10-k.pdf</x:v>
      </x:c>
      <x:c r="G252" s="36" t="n">
        <x:v>58</x:v>
      </x:c>
      <x:c r="H252" s="36" t="str">
        <x:v>Official 2023 Form 10-K used to complete FY2021 and FY2022 history.</x:v>
      </x:c>
    </x:row>
    <x:row r="253">
      <x:c r="A253" s="36" t="str">
        <x:v>H.BS.DEBT_CURRENT.FY2024</x:v>
      </x:c>
      <x:c r="B253" s="36" t="str">
        <x:v>BS</x:v>
      </x:c>
      <x:c r="C253" s="36" t="str">
        <x:v>Short-term debt / current portion of LTD</x:v>
      </x:c>
      <x:c r="D253" s="36" t="str">
        <x:v>FY2024</x:v>
      </x:c>
      <x:c r="E253" s="37" t="n">
        <x:v>0</x:v>
      </x:c>
      <x:c r="F253" s="36" t="str">
        <x:v>ed7936ac-e0cd-408a-ae7f-063381fdf3a1.pdf</x:v>
      </x:c>
      <x:c r="G253" s="36" t="n">
        <x:v>54</x:v>
      </x:c>
      <x:c r="H253" s="36" t="str">
        <x:v>Provided 2024 Form 10-K.  Company named Pure Storage in this filing.</x:v>
      </x:c>
    </x:row>
    <x:row r="254">
      <x:c r="A254" s="36" t="str">
        <x:v>H.BS.DEBT_CURRENT.FY2025</x:v>
      </x:c>
      <x:c r="B254" s="36" t="str">
        <x:v>BS</x:v>
      </x:c>
      <x:c r="C254" s="36" t="str">
        <x:v>Short-term debt / current portion of LTD</x:v>
      </x:c>
      <x:c r="D254" s="36" t="str">
        <x:v>FY2025</x:v>
      </x:c>
      <x:c r="E254" s="37" t="n">
        <x:v>100</x:v>
      </x:c>
      <x:c r="F254" s="36" t="str">
        <x:v>8c023447-ebc8-42c3-86e5-21558f3d7224.pdf</x:v>
      </x:c>
      <x:c r="G254" s="36" t="n">
        <x:v>57</x:v>
      </x:c>
      <x:c r="H254" s="36" t="str">
        <x:v>Provided 2025 Form 10-K.  Company named Pure Storage in this filing.</x:v>
      </x:c>
    </x:row>
    <x:row r="255">
      <x:c r="A255" s="36" t="str">
        <x:v>H.BS.DEBT_CURRENT.FY2026</x:v>
      </x:c>
      <x:c r="B255" s="36" t="str">
        <x:v>BS</x:v>
      </x:c>
      <x:c r="C255" s="36" t="str">
        <x:v>Short-term debt / current portion of LTD</x:v>
      </x:c>
      <x:c r="D255" s="36" t="str">
        <x:v>FY2026</x:v>
      </x:c>
      <x:c r="E255" s="37" t="n">
        <x:v>0</x:v>
      </x:c>
      <x:c r="F255" s="36" t="str">
        <x:v>2e1ef280-4c52-445c-b593-a6c3a1fbfec6.pdf</x:v>
      </x:c>
      <x:c r="G255" s="36" t="n">
        <x:v>59</x:v>
      </x:c>
      <x:c r="H255" s="36" t="str">
        <x:v>Provided 2026 Form 10-K.  Company named Everpure in this filing.</x:v>
      </x:c>
    </x:row>
    <x:row r="256">
      <x:c r="A256" s="36" t="str">
        <x:v>H.BS.TOTAL_CURRENT_LIABILITIES.FY2021</x:v>
      </x:c>
      <x:c r="B256" s="36" t="str">
        <x:v>BS</x:v>
      </x:c>
      <x:c r="C256" s="36" t="str">
        <x:v>Total current liabilities</x:v>
      </x:c>
      <x:c r="D256" s="36" t="str">
        <x:v>FY2021</x:v>
      </x:c>
      <x:c r="E256" s="37" t="n">
        <x:v>760.653</x:v>
      </x:c>
      <x:c r="F256" s="36" t="str">
        <x:v>https://www.purestorage.com/content/dam/pdf/en/legal/2023-form-10-k.pdf</x:v>
      </x:c>
      <x:c r="G256" s="36" t="n">
        <x:v>58</x:v>
      </x:c>
      <x:c r="H256" s="36" t="str">
        <x:v>Official 2023 Form 10-K used to complete FY2021 and FY2022 history.</x:v>
      </x:c>
    </x:row>
    <x:row r="257">
      <x:c r="A257" s="36" t="str">
        <x:v>H.BS.TOTAL_CURRENT_LIABILITIES.FY2022</x:v>
      </x:c>
      <x:c r="B257" s="36" t="str">
        <x:v>BS</x:v>
      </x:c>
      <x:c r="C257" s="36" t="str">
        <x:v>Total current liabilities</x:v>
      </x:c>
      <x:c r="D257" s="36" t="str">
        <x:v>FY2022</x:v>
      </x:c>
      <x:c r="E257" s="37" t="n">
        <x:v>952.32</x:v>
      </x:c>
      <x:c r="F257" s="36" t="str">
        <x:v>https://www.purestorage.com/content/dam/pdf/en/legal/2023-form-10-k.pdf</x:v>
      </x:c>
      <x:c r="G257" s="36" t="n">
        <x:v>58</x:v>
      </x:c>
      <x:c r="H257" s="36" t="str">
        <x:v>Official 2023 Form 10-K used to complete FY2021 and FY2022 history.</x:v>
      </x:c>
    </x:row>
    <x:row r="258">
      <x:c r="A258" s="36" t="str">
        <x:v>H.BS.TOTAL_CURRENT_LIABILITIES.FY2023</x:v>
      </x:c>
      <x:c r="B258" s="36" t="str">
        <x:v>BS</x:v>
      </x:c>
      <x:c r="C258" s="36" t="str">
        <x:v>Total current liabilities</x:v>
      </x:c>
      <x:c r="D258" s="36" t="str">
        <x:v>FY2023</x:v>
      </x:c>
      <x:c r="E258" s="37" t="n">
        <x:v>1749.868</x:v>
      </x:c>
      <x:c r="F258" s="36" t="str">
        <x:v>https://www.purestorage.com/content/dam/pdf/en/legal/2023-form-10-k.pdf</x:v>
      </x:c>
      <x:c r="G258" s="36" t="n">
        <x:v>58</x:v>
      </x:c>
      <x:c r="H258" s="36" t="str">
        <x:v>Official 2023 Form 10-K used to complete FY2021 and FY2022 history.</x:v>
      </x:c>
    </x:row>
    <x:row r="259">
      <x:c r="A259" s="36" t="str">
        <x:v>H.BS.TOTAL_CURRENT_LIABILITIES.FY2024</x:v>
      </x:c>
      <x:c r="B259" s="36" t="str">
        <x:v>BS</x:v>
      </x:c>
      <x:c r="C259" s="36" t="str">
        <x:v>Total current liabilities</x:v>
      </x:c>
      <x:c r="D259" s="36" t="str">
        <x:v>FY2024</x:v>
      </x:c>
      <x:c r="E259" s="37" t="n">
        <x:v>1365.684</x:v>
      </x:c>
      <x:c r="F259" s="36" t="str">
        <x:v>ed7936ac-e0cd-408a-ae7f-063381fdf3a1.pdf</x:v>
      </x:c>
      <x:c r="G259" s="36" t="n">
        <x:v>54</x:v>
      </x:c>
      <x:c r="H259" s="36" t="str">
        <x:v>Provided 2024 Form 10-K.  Company named Pure Storage in this filing.</x:v>
      </x:c>
    </x:row>
    <x:row r="260">
      <x:c r="A260" s="36" t="str">
        <x:v>H.BS.TOTAL_CURRENT_LIABILITIES.FY2025</x:v>
      </x:c>
      <x:c r="B260" s="36" t="str">
        <x:v>BS</x:v>
      </x:c>
      <x:c r="C260" s="36" t="str">
        <x:v>Total current liabilities</x:v>
      </x:c>
      <x:c r="D260" s="36" t="str">
        <x:v>FY2025</x:v>
      </x:c>
      <x:c r="E260" s="37" t="n">
        <x:v>1596.541</x:v>
      </x:c>
      <x:c r="F260" s="36" t="str">
        <x:v>8c023447-ebc8-42c3-86e5-21558f3d7224.pdf</x:v>
      </x:c>
      <x:c r="G260" s="36" t="n">
        <x:v>57</x:v>
      </x:c>
      <x:c r="H260" s="36" t="str">
        <x:v>Provided 2025 Form 10-K.  Company named Pure Storage in this filing.</x:v>
      </x:c>
    </x:row>
    <x:row r="261">
      <x:c r="A261" s="36" t="str">
        <x:v>H.BS.TOTAL_CURRENT_LIABILITIES.FY2026</x:v>
      </x:c>
      <x:c r="B261" s="36" t="str">
        <x:v>BS</x:v>
      </x:c>
      <x:c r="C261" s="36" t="str">
        <x:v>Total current liabilities</x:v>
      </x:c>
      <x:c r="D261" s="36" t="str">
        <x:v>FY2026</x:v>
      </x:c>
      <x:c r="E261" s="37" t="n">
        <x:v>1909.99</x:v>
      </x:c>
      <x:c r="F261" s="36" t="str">
        <x:v>2e1ef280-4c52-445c-b593-a6c3a1fbfec6.pdf</x:v>
      </x:c>
      <x:c r="G261" s="36" t="n">
        <x:v>59</x:v>
      </x:c>
      <x:c r="H261" s="36" t="str">
        <x:v>Provided 2026 Form 10-K.  Company named Everpure in this filing.</x:v>
      </x:c>
    </x:row>
    <x:row r="262">
      <x:c r="A262" s="36" t="str">
        <x:v>H.BS.LONG_TERM_DEBT.FY2021</x:v>
      </x:c>
      <x:c r="B262" s="36" t="str">
        <x:v>BS</x:v>
      </x:c>
      <x:c r="C262" s="36" t="str">
        <x:v>Long-term debt</x:v>
      </x:c>
      <x:c r="D262" s="36" t="str">
        <x:v>FY2021</x:v>
      </x:c>
      <x:c r="E262" s="37" t="n">
        <x:v>755.814</x:v>
      </x:c>
      <x:c r="F262" s="36" t="str">
        <x:v>https://www.purestorage.com/content/dam/pdf/en/legal/2023-form-10-k.pdf</x:v>
      </x:c>
      <x:c r="G262" s="36" t="n">
        <x:v>58</x:v>
      </x:c>
      <x:c r="H262" s="36" t="str">
        <x:v>Official 2023 Form 10-K used to complete FY2021 and FY2022 history.</x:v>
      </x:c>
    </x:row>
    <x:row r="263">
      <x:c r="A263" s="36" t="str">
        <x:v>H.BS.LONG_TERM_DEBT.FY2022</x:v>
      </x:c>
      <x:c r="B263" s="36" t="str">
        <x:v>BS</x:v>
      </x:c>
      <x:c r="C263" s="36" t="str">
        <x:v>Long-term debt</x:v>
      </x:c>
      <x:c r="D263" s="36" t="str">
        <x:v>FY2022</x:v>
      </x:c>
      <x:c r="E263" s="37" t="n">
        <x:v>786.779</x:v>
      </x:c>
      <x:c r="F263" s="36" t="str">
        <x:v>https://www.purestorage.com/content/dam/pdf/en/legal/2023-form-10-k.pdf</x:v>
      </x:c>
      <x:c r="G263" s="36" t="n">
        <x:v>58</x:v>
      </x:c>
      <x:c r="H263" s="36" t="str">
        <x:v>Official 2023 Form 10-K used to complete FY2021 and FY2022 history.</x:v>
      </x:c>
    </x:row>
    <x:row r="264">
      <x:c r="A264" s="36" t="str">
        <x:v>H.BS.LONG_TERM_DEBT.FY2023</x:v>
      </x:c>
      <x:c r="B264" s="36" t="str">
        <x:v>BS</x:v>
      </x:c>
      <x:c r="C264" s="36" t="str">
        <x:v>Long-term debt</x:v>
      </x:c>
      <x:c r="D264" s="36" t="str">
        <x:v>FY2023</x:v>
      </x:c>
      <x:c r="E264" s="37" t="n">
        <x:v>0</x:v>
      </x:c>
      <x:c r="F264" s="36" t="str">
        <x:v>https://www.purestorage.com/content/dam/pdf/en/legal/2023-form-10-k.pdf</x:v>
      </x:c>
      <x:c r="G264" s="36" t="n">
        <x:v>58</x:v>
      </x:c>
      <x:c r="H264" s="36" t="str">
        <x:v>Official 2023 Form 10-K used to complete FY2021 and FY2022 history.</x:v>
      </x:c>
    </x:row>
    <x:row r="265">
      <x:c r="A265" s="36" t="str">
        <x:v>H.BS.LONG_TERM_DEBT.FY2024</x:v>
      </x:c>
      <x:c r="B265" s="36" t="str">
        <x:v>BS</x:v>
      </x:c>
      <x:c r="C265" s="36" t="str">
        <x:v>Long-term debt</x:v>
      </x:c>
      <x:c r="D265" s="36" t="str">
        <x:v>FY2024</x:v>
      </x:c>
      <x:c r="E265" s="37" t="n">
        <x:v>100</x:v>
      </x:c>
      <x:c r="F265" s="36" t="str">
        <x:v>ed7936ac-e0cd-408a-ae7f-063381fdf3a1.pdf</x:v>
      </x:c>
      <x:c r="G265" s="36" t="n">
        <x:v>54</x:v>
      </x:c>
      <x:c r="H265" s="36" t="str">
        <x:v>Provided 2024 Form 10-K.  Company named Pure Storage in this filing.</x:v>
      </x:c>
    </x:row>
    <x:row r="266">
      <x:c r="A266" s="36" t="str">
        <x:v>H.BS.LONG_TERM_DEBT.FY2025</x:v>
      </x:c>
      <x:c r="B266" s="36" t="str">
        <x:v>BS</x:v>
      </x:c>
      <x:c r="C266" s="36" t="str">
        <x:v>Long-term debt</x:v>
      </x:c>
      <x:c r="D266" s="36" t="str">
        <x:v>FY2025</x:v>
      </x:c>
      <x:c r="E266" s="37" t="n">
        <x:v>0</x:v>
      </x:c>
      <x:c r="F266" s="36" t="str">
        <x:v>8c023447-ebc8-42c3-86e5-21558f3d7224.pdf</x:v>
      </x:c>
      <x:c r="G266" s="36" t="n">
        <x:v>57</x:v>
      </x:c>
      <x:c r="H266" s="36" t="str">
        <x:v>Provided 2025 Form 10-K.  Company named Pure Storage in this filing.</x:v>
      </x:c>
    </x:row>
    <x:row r="267">
      <x:c r="A267" s="36" t="str">
        <x:v>H.BS.LONG_TERM_DEBT.FY2026</x:v>
      </x:c>
      <x:c r="B267" s="36" t="str">
        <x:v>BS</x:v>
      </x:c>
      <x:c r="C267" s="36" t="str">
        <x:v>Long-term debt</x:v>
      </x:c>
      <x:c r="D267" s="36" t="str">
        <x:v>FY2026</x:v>
      </x:c>
      <x:c r="E267" s="37" t="n">
        <x:v>0</x:v>
      </x:c>
      <x:c r="F267" s="36" t="str">
        <x:v>2e1ef280-4c52-445c-b593-a6c3a1fbfec6.pdf</x:v>
      </x:c>
      <x:c r="G267" s="36" t="n">
        <x:v>59</x:v>
      </x:c>
      <x:c r="H267" s="36" t="str">
        <x:v>Provided 2026 Form 10-K.  Company named Everpure in this filing.</x:v>
      </x:c>
    </x:row>
    <x:row r="268">
      <x:c r="A268" s="36" t="str">
        <x:v>H.BS.LEASE_LIABILITIES_NONCURRENT.FY2021</x:v>
      </x:c>
      <x:c r="B268" s="36" t="str">
        <x:v>BS</x:v>
      </x:c>
      <x:c r="C268" s="36" t="str">
        <x:v>Operating lease liabilities, non-current</x:v>
      </x:c>
      <x:c r="D268" s="36" t="str">
        <x:v>FY2021</x:v>
      </x:c>
      <x:c r="E268" s="37" t="n">
        <x:v>120.361</x:v>
      </x:c>
      <x:c r="F268" s="36" t="str">
        <x:v>https://www.purestorage.com/content/dam/pdf/en/legal/2023-form-10-k.pdf</x:v>
      </x:c>
      <x:c r="G268" s="36" t="n">
        <x:v>58</x:v>
      </x:c>
      <x:c r="H268" s="36" t="str">
        <x:v>Official 2023 Form 10-K used to complete FY2021 and FY2022 history.</x:v>
      </x:c>
    </x:row>
    <x:row r="269">
      <x:c r="A269" s="36" t="str">
        <x:v>H.BS.LEASE_LIABILITIES_NONCURRENT.FY2022</x:v>
      </x:c>
      <x:c r="B269" s="36" t="str">
        <x:v>BS</x:v>
      </x:c>
      <x:c r="C269" s="36" t="str">
        <x:v>Operating lease liabilities, non-current</x:v>
      </x:c>
      <x:c r="D269" s="36" t="str">
        <x:v>FY2022</x:v>
      </x:c>
      <x:c r="E269" s="37" t="n">
        <x:v>93.479</x:v>
      </x:c>
      <x:c r="F269" s="36" t="str">
        <x:v>https://www.purestorage.com/content/dam/pdf/en/legal/2023-form-10-k.pdf</x:v>
      </x:c>
      <x:c r="G269" s="36" t="n">
        <x:v>58</x:v>
      </x:c>
      <x:c r="H269" s="36" t="str">
        <x:v>Official 2023 Form 10-K used to complete FY2021 and FY2022 history.</x:v>
      </x:c>
    </x:row>
    <x:row r="270">
      <x:c r="A270" s="36" t="str">
        <x:v>H.BS.LEASE_LIABILITIES_NONCURRENT.FY2023</x:v>
      </x:c>
      <x:c r="B270" s="36" t="str">
        <x:v>BS</x:v>
      </x:c>
      <x:c r="C270" s="36" t="str">
        <x:v>Operating lease liabilities, non-current</x:v>
      </x:c>
      <x:c r="D270" s="36" t="str">
        <x:v>FY2023</x:v>
      </x:c>
      <x:c r="E270" s="37" t="n">
        <x:v>142.473</x:v>
      </x:c>
      <x:c r="F270" s="36" t="str">
        <x:v>https://www.purestorage.com/content/dam/pdf/en/legal/2023-form-10-k.pdf</x:v>
      </x:c>
      <x:c r="G270" s="36" t="n">
        <x:v>58</x:v>
      </x:c>
      <x:c r="H270" s="36" t="str">
        <x:v>Official 2023 Form 10-K used to complete FY2021 and FY2022 history.</x:v>
      </x:c>
    </x:row>
    <x:row r="271">
      <x:c r="A271" s="36" t="str">
        <x:v>H.BS.LEASE_LIABILITIES_NONCURRENT.FY2024</x:v>
      </x:c>
      <x:c r="B271" s="36" t="str">
        <x:v>BS</x:v>
      </x:c>
      <x:c r="C271" s="36" t="str">
        <x:v>Operating lease liabilities, non-current</x:v>
      </x:c>
      <x:c r="D271" s="36" t="str">
        <x:v>FY2024</x:v>
      </x:c>
      <x:c r="E271" s="37" t="n">
        <x:v>123.201</x:v>
      </x:c>
      <x:c r="F271" s="36" t="str">
        <x:v>ed7936ac-e0cd-408a-ae7f-063381fdf3a1.pdf</x:v>
      </x:c>
      <x:c r="G271" s="36" t="n">
        <x:v>54</x:v>
      </x:c>
      <x:c r="H271" s="36" t="str">
        <x:v>Provided 2024 Form 10-K.  Company named Pure Storage in this filing.</x:v>
      </x:c>
    </x:row>
    <x:row r="272">
      <x:c r="A272" s="36" t="str">
        <x:v>H.BS.LEASE_LIABILITIES_NONCURRENT.FY2025</x:v>
      </x:c>
      <x:c r="B272" s="36" t="str">
        <x:v>BS</x:v>
      </x:c>
      <x:c r="C272" s="36" t="str">
        <x:v>Operating lease liabilities, non-current</x:v>
      </x:c>
      <x:c r="D272" s="36" t="str">
        <x:v>FY2025</x:v>
      </x:c>
      <x:c r="E272" s="37" t="n">
        <x:v>137.277</x:v>
      </x:c>
      <x:c r="F272" s="36" t="str">
        <x:v>8c023447-ebc8-42c3-86e5-21558f3d7224.pdf</x:v>
      </x:c>
      <x:c r="G272" s="36" t="n">
        <x:v>57</x:v>
      </x:c>
      <x:c r="H272" s="36" t="str">
        <x:v>Provided 2025 Form 10-K.  Company named Pure Storage in this filing.</x:v>
      </x:c>
    </x:row>
    <x:row r="273">
      <x:c r="A273" s="36" t="str">
        <x:v>H.BS.LEASE_LIABILITIES_NONCURRENT.FY2026</x:v>
      </x:c>
      <x:c r="B273" s="36" t="str">
        <x:v>BS</x:v>
      </x:c>
      <x:c r="C273" s="36" t="str">
        <x:v>Operating lease liabilities, non-current</x:v>
      </x:c>
      <x:c r="D273" s="36" t="str">
        <x:v>FY2026</x:v>
      </x:c>
      <x:c r="E273" s="37" t="n">
        <x:v>172.063</x:v>
      </x:c>
      <x:c r="F273" s="36" t="str">
        <x:v>2e1ef280-4c52-445c-b593-a6c3a1fbfec6.pdf</x:v>
      </x:c>
      <x:c r="G273" s="36" t="n">
        <x:v>59</x:v>
      </x:c>
      <x:c r="H273" s="36" t="str">
        <x:v>Provided 2026 Form 10-K.  Company named Everpure in this filing.</x:v>
      </x:c>
    </x:row>
    <x:row r="274">
      <x:c r="A274" s="36" t="str">
        <x:v>H.BS.DEFERRED_REVENUE_NONCURRENT.FY2021</x:v>
      </x:c>
      <x:c r="B274" s="36" t="str">
        <x:v>BS</x:v>
      </x:c>
      <x:c r="C274" s="36" t="str">
        <x:v>Deferred revenue, non-current</x:v>
      </x:c>
      <x:c r="D274" s="36" t="str">
        <x:v>FY2021</x:v>
      </x:c>
      <x:c r="E274" s="37" t="n">
        <x:v>405.376</x:v>
      </x:c>
      <x:c r="F274" s="36" t="str">
        <x:v>https://www.purestorage.com/content/dam/pdf/en/legal/2023-form-10-k.pdf</x:v>
      </x:c>
      <x:c r="G274" s="36" t="n">
        <x:v>58</x:v>
      </x:c>
      <x:c r="H274" s="36" t="str">
        <x:v>Official 2023 Form 10-K used to complete FY2021 and FY2022 history.</x:v>
      </x:c>
    </x:row>
    <x:row r="275">
      <x:c r="A275" s="36" t="str">
        <x:v>H.BS.DEFERRED_REVENUE_NONCURRENT.FY2022</x:v>
      </x:c>
      <x:c r="B275" s="36" t="str">
        <x:v>BS</x:v>
      </x:c>
      <x:c r="C275" s="36" t="str">
        <x:v>Deferred revenue, non-current</x:v>
      </x:c>
      <x:c r="D275" s="36" t="str">
        <x:v>FY2022</x:v>
      </x:c>
      <x:c r="E275" s="37" t="n">
        <x:v>517.296</x:v>
      </x:c>
      <x:c r="F275" s="36" t="str">
        <x:v>https://www.purestorage.com/content/dam/pdf/en/legal/2023-form-10-k.pdf</x:v>
      </x:c>
      <x:c r="G275" s="36" t="n">
        <x:v>58</x:v>
      </x:c>
      <x:c r="H275" s="36" t="str">
        <x:v>Official 2023 Form 10-K used to complete FY2021 and FY2022 history.</x:v>
      </x:c>
    </x:row>
    <x:row r="276">
      <x:c r="A276" s="36" t="str">
        <x:v>H.BS.DEFERRED_REVENUE_NONCURRENT.FY2023</x:v>
      </x:c>
      <x:c r="B276" s="36" t="str">
        <x:v>BS</x:v>
      </x:c>
      <x:c r="C276" s="36" t="str">
        <x:v>Deferred revenue, non-current</x:v>
      </x:c>
      <x:c r="D276" s="36" t="str">
        <x:v>FY2023</x:v>
      </x:c>
      <x:c r="E276" s="37" t="n">
        <x:v>667.501</x:v>
      </x:c>
      <x:c r="F276" s="36" t="str">
        <x:v>https://www.purestorage.com/content/dam/pdf/en/legal/2023-form-10-k.pdf</x:v>
      </x:c>
      <x:c r="G276" s="36" t="n">
        <x:v>58</x:v>
      </x:c>
      <x:c r="H276" s="36" t="str">
        <x:v>Official 2023 Form 10-K used to complete FY2021 and FY2022 history.</x:v>
      </x:c>
    </x:row>
    <x:row r="277">
      <x:c r="A277" s="36" t="str">
        <x:v>H.BS.DEFERRED_REVENUE_NONCURRENT.FY2024</x:v>
      </x:c>
      <x:c r="B277" s="36" t="str">
        <x:v>BS</x:v>
      </x:c>
      <x:c r="C277" s="36" t="str">
        <x:v>Deferred revenue, non-current</x:v>
      </x:c>
      <x:c r="D277" s="36" t="str">
        <x:v>FY2024</x:v>
      </x:c>
      <x:c r="E277" s="37" t="n">
        <x:v>742.275</x:v>
      </x:c>
      <x:c r="F277" s="36" t="str">
        <x:v>ed7936ac-e0cd-408a-ae7f-063381fdf3a1.pdf</x:v>
      </x:c>
      <x:c r="G277" s="36" t="n">
        <x:v>54</x:v>
      </x:c>
      <x:c r="H277" s="36" t="str">
        <x:v>Provided 2024 Form 10-K.  Company named Pure Storage in this filing.</x:v>
      </x:c>
    </x:row>
    <x:row r="278">
      <x:c r="A278" s="36" t="str">
        <x:v>H.BS.DEFERRED_REVENUE_NONCURRENT.FY2025</x:v>
      </x:c>
      <x:c r="B278" s="36" t="str">
        <x:v>BS</x:v>
      </x:c>
      <x:c r="C278" s="36" t="str">
        <x:v>Deferred revenue, non-current</x:v>
      </x:c>
      <x:c r="D278" s="36" t="str">
        <x:v>FY2025</x:v>
      </x:c>
      <x:c r="E278" s="37" t="n">
        <x:v>841.467</x:v>
      </x:c>
      <x:c r="F278" s="36" t="str">
        <x:v>8c023447-ebc8-42c3-86e5-21558f3d7224.pdf</x:v>
      </x:c>
      <x:c r="G278" s="36" t="n">
        <x:v>57</x:v>
      </x:c>
      <x:c r="H278" s="36" t="str">
        <x:v>Provided 2025 Form 10-K.  Company named Pure Storage in this filing.</x:v>
      </x:c>
    </x:row>
    <x:row r="279">
      <x:c r="A279" s="36" t="str">
        <x:v>H.BS.DEFERRED_REVENUE_NONCURRENT.FY2026</x:v>
      </x:c>
      <x:c r="B279" s="36" t="str">
        <x:v>BS</x:v>
      </x:c>
      <x:c r="C279" s="36" t="str">
        <x:v>Deferred revenue, non-current</x:v>
      </x:c>
      <x:c r="D279" s="36" t="str">
        <x:v>FY2026</x:v>
      </x:c>
      <x:c r="E279" s="37" t="n">
        <x:v>1046.442</x:v>
      </x:c>
      <x:c r="F279" s="36" t="str">
        <x:v>2e1ef280-4c52-445c-b593-a6c3a1fbfec6.pdf</x:v>
      </x:c>
      <x:c r="G279" s="36" t="n">
        <x:v>59</x:v>
      </x:c>
      <x:c r="H279" s="36" t="str">
        <x:v>Provided 2026 Form 10-K.  Company named Everpure in this filing.</x:v>
      </x:c>
    </x:row>
    <x:row r="280">
      <x:c r="A280" s="36" t="str">
        <x:v>H.BS.OTHER_NONCURRENT_LIABILITIES.FY2021</x:v>
      </x:c>
      <x:c r="B280" s="36" t="str">
        <x:v>BS</x:v>
      </x:c>
      <x:c r="C280" s="36" t="str">
        <x:v>Other non-current liabilities</x:v>
      </x:c>
      <x:c r="D280" s="36" t="str">
        <x:v>FY2021</x:v>
      </x:c>
      <x:c r="E280" s="37" t="n">
        <x:v>27.23</x:v>
      </x:c>
      <x:c r="F280" s="36" t="str">
        <x:v>https://www.purestorage.com/content/dam/pdf/en/legal/2023-form-10-k.pdf</x:v>
      </x:c>
      <x:c r="G280" s="36" t="n">
        <x:v>58</x:v>
      </x:c>
      <x:c r="H280" s="36" t="str">
        <x:v>Official 2023 Form 10-K used to complete FY2021 and FY2022 history.</x:v>
      </x:c>
    </x:row>
    <x:row r="281">
      <x:c r="A281" s="36" t="str">
        <x:v>H.BS.OTHER_NONCURRENT_LIABILITIES.FY2022</x:v>
      </x:c>
      <x:c r="B281" s="36" t="str">
        <x:v>BS</x:v>
      </x:c>
      <x:c r="C281" s="36" t="str">
        <x:v>Other non-current liabilities</x:v>
      </x:c>
      <x:c r="D281" s="36" t="str">
        <x:v>FY2022</x:v>
      </x:c>
      <x:c r="E281" s="37" t="n">
        <x:v>31.105</x:v>
      </x:c>
      <x:c r="F281" s="36" t="str">
        <x:v>https://www.purestorage.com/content/dam/pdf/en/legal/2023-form-10-k.pdf</x:v>
      </x:c>
      <x:c r="G281" s="36" t="n">
        <x:v>58</x:v>
      </x:c>
      <x:c r="H281" s="36" t="str">
        <x:v>Official 2023 Form 10-K used to complete FY2021 and FY2022 history.</x:v>
      </x:c>
    </x:row>
    <x:row r="282">
      <x:c r="A282" s="36" t="str">
        <x:v>H.BS.OTHER_NONCURRENT_LIABILITIES.FY2023</x:v>
      </x:c>
      <x:c r="B282" s="36" t="str">
        <x:v>BS</x:v>
      </x:c>
      <x:c r="C282" s="36" t="str">
        <x:v>Other non-current liabilities</x:v>
      </x:c>
      <x:c r="D282" s="36" t="str">
        <x:v>FY2023</x:v>
      </x:c>
      <x:c r="E282" s="37" t="n">
        <x:v>42.385</x:v>
      </x:c>
      <x:c r="F282" s="36" t="str">
        <x:v>https://www.purestorage.com/content/dam/pdf/en/legal/2023-form-10-k.pdf</x:v>
      </x:c>
      <x:c r="G282" s="36" t="n">
        <x:v>58</x:v>
      </x:c>
      <x:c r="H282" s="36" t="str">
        <x:v>Official 2023 Form 10-K used to complete FY2021 and FY2022 history.</x:v>
      </x:c>
    </x:row>
    <x:row r="283">
      <x:c r="A283" s="36" t="str">
        <x:v>H.BS.OTHER_NONCURRENT_LIABILITIES.FY2024</x:v>
      </x:c>
      <x:c r="B283" s="36" t="str">
        <x:v>BS</x:v>
      </x:c>
      <x:c r="C283" s="36" t="str">
        <x:v>Other non-current liabilities</x:v>
      </x:c>
      <x:c r="D283" s="36" t="str">
        <x:v>FY2024</x:v>
      </x:c>
      <x:c r="E283" s="37" t="n">
        <x:v>54.506</x:v>
      </x:c>
      <x:c r="F283" s="36" t="str">
        <x:v>ed7936ac-e0cd-408a-ae7f-063381fdf3a1.pdf</x:v>
      </x:c>
      <x:c r="G283" s="36" t="n">
        <x:v>54</x:v>
      </x:c>
      <x:c r="H283" s="36" t="str">
        <x:v>Provided 2024 Form 10-K.  Company named Pure Storage in this filing.</x:v>
      </x:c>
    </x:row>
    <x:row r="284">
      <x:c r="A284" s="36" t="str">
        <x:v>H.BS.OTHER_NONCURRENT_LIABILITIES.FY2025</x:v>
      </x:c>
      <x:c r="B284" s="36" t="str">
        <x:v>BS</x:v>
      </x:c>
      <x:c r="C284" s="36" t="str">
        <x:v>Other non-current liabilities</x:v>
      </x:c>
      <x:c r="D284" s="36" t="str">
        <x:v>FY2025</x:v>
      </x:c>
      <x:c r="E284" s="37" t="n">
        <x:v>82.182</x:v>
      </x:c>
      <x:c r="F284" s="36" t="str">
        <x:v>8c023447-ebc8-42c3-86e5-21558f3d7224.pdf</x:v>
      </x:c>
      <x:c r="G284" s="36" t="n">
        <x:v>57</x:v>
      </x:c>
      <x:c r="H284" s="36" t="str">
        <x:v>Provided 2025 Form 10-K.  Company named Pure Storage in this filing.</x:v>
      </x:c>
    </x:row>
    <x:row r="285">
      <x:c r="A285" s="36" t="str">
        <x:v>H.BS.OTHER_NONCURRENT_LIABILITIES.FY2026</x:v>
      </x:c>
      <x:c r="B285" s="36" t="str">
        <x:v>BS</x:v>
      </x:c>
      <x:c r="C285" s="36" t="str">
        <x:v>Other non-current liabilities</x:v>
      </x:c>
      <x:c r="D285" s="36" t="str">
        <x:v>FY2026</x:v>
      </x:c>
      <x:c r="E285" s="37" t="n">
        <x:v>100.096</x:v>
      </x:c>
      <x:c r="F285" s="36" t="str">
        <x:v>2e1ef280-4c52-445c-b593-a6c3a1fbfec6.pdf</x:v>
      </x:c>
      <x:c r="G285" s="36" t="n">
        <x:v>59</x:v>
      </x:c>
      <x:c r="H285" s="36" t="str">
        <x:v>Provided 2026 Form 10-K.  Company named Everpure in this filing.</x:v>
      </x:c>
    </x:row>
    <x:row r="286">
      <x:c r="A286" s="36" t="str">
        <x:v>H.BS.TOTAL_LIABILITIES.FY2021</x:v>
      </x:c>
      <x:c r="B286" s="36" t="str">
        <x:v>BS</x:v>
      </x:c>
      <x:c r="C286" s="36" t="str">
        <x:v>Total liabilities</x:v>
      </x:c>
      <x:c r="D286" s="36" t="str">
        <x:v>FY2021</x:v>
      </x:c>
      <x:c r="E286" s="37" t="n">
        <x:v>2069.434</x:v>
      </x:c>
      <x:c r="F286" s="36" t="str">
        <x:v>https://www.purestorage.com/content/dam/pdf/en/legal/2023-form-10-k.pdf</x:v>
      </x:c>
      <x:c r="G286" s="36" t="n">
        <x:v>58</x:v>
      </x:c>
      <x:c r="H286" s="36" t="str">
        <x:v>Official 2023 Form 10-K used to complete FY2021 and FY2022 history.</x:v>
      </x:c>
    </x:row>
    <x:row r="287">
      <x:c r="A287" s="36" t="str">
        <x:v>H.BS.TOTAL_LIABILITIES.FY2022</x:v>
      </x:c>
      <x:c r="B287" s="36" t="str">
        <x:v>BS</x:v>
      </x:c>
      <x:c r="C287" s="36" t="str">
        <x:v>Total liabilities</x:v>
      </x:c>
      <x:c r="D287" s="36" t="str">
        <x:v>FY2022</x:v>
      </x:c>
      <x:c r="E287" s="37" t="n">
        <x:v>2380.979</x:v>
      </x:c>
      <x:c r="F287" s="36" t="str">
        <x:v>https://www.purestorage.com/content/dam/pdf/en/legal/2023-form-10-k.pdf</x:v>
      </x:c>
      <x:c r="G287" s="36" t="n">
        <x:v>58</x:v>
      </x:c>
      <x:c r="H287" s="36" t="str">
        <x:v>Official 2023 Form 10-K used to complete FY2021 and FY2022 history.</x:v>
      </x:c>
    </x:row>
    <x:row r="288">
      <x:c r="A288" s="36" t="str">
        <x:v>H.BS.TOTAL_LIABILITIES.FY2023</x:v>
      </x:c>
      <x:c r="B288" s="36" t="str">
        <x:v>BS</x:v>
      </x:c>
      <x:c r="C288" s="36" t="str">
        <x:v>Total liabilities</x:v>
      </x:c>
      <x:c r="D288" s="36" t="str">
        <x:v>FY2023</x:v>
      </x:c>
      <x:c r="E288" s="37" t="n">
        <x:v>2602.227</x:v>
      </x:c>
      <x:c r="F288" s="36" t="str">
        <x:v>https://www.purestorage.com/content/dam/pdf/en/legal/2023-form-10-k.pdf</x:v>
      </x:c>
      <x:c r="G288" s="36" t="n">
        <x:v>58</x:v>
      </x:c>
      <x:c r="H288" s="36" t="str">
        <x:v>Official 2023 Form 10-K used to complete FY2021 and FY2022 history.</x:v>
      </x:c>
    </x:row>
    <x:row r="289">
      <x:c r="A289" s="36" t="str">
        <x:v>H.BS.TOTAL_LIABILITIES.FY2024</x:v>
      </x:c>
      <x:c r="B289" s="36" t="str">
        <x:v>BS</x:v>
      </x:c>
      <x:c r="C289" s="36" t="str">
        <x:v>Total liabilities</x:v>
      </x:c>
      <x:c r="D289" s="36" t="str">
        <x:v>FY2024</x:v>
      </x:c>
      <x:c r="E289" s="37" t="n">
        <x:v>2385.666</x:v>
      </x:c>
      <x:c r="F289" s="36" t="str">
        <x:v>ed7936ac-e0cd-408a-ae7f-063381fdf3a1.pdf</x:v>
      </x:c>
      <x:c r="G289" s="36" t="n">
        <x:v>54</x:v>
      </x:c>
      <x:c r="H289" s="36" t="str">
        <x:v>Provided 2024 Form 10-K.  Company named Pure Storage in this filing.</x:v>
      </x:c>
    </x:row>
    <x:row r="290">
      <x:c r="A290" s="36" t="str">
        <x:v>H.BS.TOTAL_LIABILITIES.FY2025</x:v>
      </x:c>
      <x:c r="B290" s="36" t="str">
        <x:v>BS</x:v>
      </x:c>
      <x:c r="C290" s="36" t="str">
        <x:v>Total liabilities</x:v>
      </x:c>
      <x:c r="D290" s="36" t="str">
        <x:v>FY2025</x:v>
      </x:c>
      <x:c r="E290" s="37" t="n">
        <x:v>2657.467</x:v>
      </x:c>
      <x:c r="F290" s="36" t="str">
        <x:v>8c023447-ebc8-42c3-86e5-21558f3d7224.pdf</x:v>
      </x:c>
      <x:c r="G290" s="36" t="n">
        <x:v>57</x:v>
      </x:c>
      <x:c r="H290" s="36" t="str">
        <x:v>Provided 2025 Form 10-K.  Company named Pure Storage in this filing.</x:v>
      </x:c>
    </x:row>
    <x:row r="291">
      <x:c r="A291" s="36" t="str">
        <x:v>H.BS.TOTAL_LIABILITIES.FY2026</x:v>
      </x:c>
      <x:c r="B291" s="36" t="str">
        <x:v>BS</x:v>
      </x:c>
      <x:c r="C291" s="36" t="str">
        <x:v>Total liabilities</x:v>
      </x:c>
      <x:c r="D291" s="36" t="str">
        <x:v>FY2026</x:v>
      </x:c>
      <x:c r="E291" s="37" t="n">
        <x:v>3228.591</x:v>
      </x:c>
      <x:c r="F291" s="36" t="str">
        <x:v>2e1ef280-4c52-445c-b593-a6c3a1fbfec6.pdf</x:v>
      </x:c>
      <x:c r="G291" s="36" t="n">
        <x:v>59</x:v>
      </x:c>
      <x:c r="H291" s="36" t="str">
        <x:v>Provided 2026 Form 10-K.  Company named Everpure in this filing.</x:v>
      </x:c>
    </x:row>
    <x:row r="292">
      <x:c r="A292" s="36" t="str">
        <x:v>H.BS.COMMON_APIC.FY2021</x:v>
      </x:c>
      <x:c r="B292" s="36" t="str">
        <x:v>BS</x:v>
      </x:c>
      <x:c r="C292" s="36" t="str">
        <x:v>Common stock and APIC</x:v>
      </x:c>
      <x:c r="D292" s="36" t="str">
        <x:v>FY2021</x:v>
      </x:c>
      <x:c r="E292" s="37" t="n">
        <x:v>2307.608</x:v>
      </x:c>
      <x:c r="F292" s="36" t="str">
        <x:v>https://www.purestorage.com/content/dam/pdf/en/legal/2023-form-10-k.pdf</x:v>
      </x:c>
      <x:c r="G292" s="36" t="n">
        <x:v>58</x:v>
      </x:c>
      <x:c r="H292" s="36" t="str">
        <x:v>Official 2023 Form 10-K used to complete FY2021 and FY2022 history.</x:v>
      </x:c>
    </x:row>
    <x:row r="293">
      <x:c r="A293" s="36" t="str">
        <x:v>H.BS.COMMON_APIC.FY2022</x:v>
      </x:c>
      <x:c r="B293" s="36" t="str">
        <x:v>BS</x:v>
      </x:c>
      <x:c r="C293" s="36" t="str">
        <x:v>Common stock and APIC</x:v>
      </x:c>
      <x:c r="D293" s="36" t="str">
        <x:v>FY2022</x:v>
      </x:c>
      <x:c r="E293" s="37" t="n">
        <x:v>2470.972</x:v>
      </x:c>
      <x:c r="F293" s="36" t="str">
        <x:v>https://www.purestorage.com/content/dam/pdf/en/legal/2023-form-10-k.pdf</x:v>
      </x:c>
      <x:c r="G293" s="36" t="n">
        <x:v>58</x:v>
      </x:c>
      <x:c r="H293" s="36" t="str">
        <x:v>Official 2023 Form 10-K used to complete FY2021 and FY2022 history.</x:v>
      </x:c>
    </x:row>
    <x:row r="294">
      <x:c r="A294" s="36" t="str">
        <x:v>H.BS.COMMON_APIC.FY2023</x:v>
      </x:c>
      <x:c r="B294" s="36" t="str">
        <x:v>BS</x:v>
      </x:c>
      <x:c r="C294" s="36" t="str">
        <x:v>Common stock and APIC</x:v>
      </x:c>
      <x:c r="D294" s="36" t="str">
        <x:v>FY2023</x:v>
      </x:c>
      <x:c r="E294" s="37" t="n">
        <x:v>2493.799</x:v>
      </x:c>
      <x:c r="F294" s="36" t="str">
        <x:v>https://www.purestorage.com/content/dam/pdf/en/legal/2023-form-10-k.pdf</x:v>
      </x:c>
      <x:c r="G294" s="36" t="n">
        <x:v>58</x:v>
      </x:c>
      <x:c r="H294" s="36" t="str">
        <x:v>Official 2023 Form 10-K used to complete FY2021 and FY2022 history.</x:v>
      </x:c>
    </x:row>
    <x:row r="295">
      <x:c r="A295" s="36" t="str">
        <x:v>H.BS.COMMON_APIC.FY2024</x:v>
      </x:c>
      <x:c r="B295" s="36" t="str">
        <x:v>BS</x:v>
      </x:c>
      <x:c r="C295" s="36" t="str">
        <x:v>Common stock and APIC</x:v>
      </x:c>
      <x:c r="D295" s="36" t="str">
        <x:v>FY2024</x:v>
      </x:c>
      <x:c r="E295" s="37" t="n">
        <x:v>2749.627</x:v>
      </x:c>
      <x:c r="F295" s="36" t="str">
        <x:v>ed7936ac-e0cd-408a-ae7f-063381fdf3a1.pdf</x:v>
      </x:c>
      <x:c r="G295" s="36" t="n">
        <x:v>54</x:v>
      </x:c>
      <x:c r="H295" s="36" t="str">
        <x:v>Provided 2024 Form 10-K.  Company named Pure Storage in this filing.</x:v>
      </x:c>
    </x:row>
    <x:row r="296">
      <x:c r="A296" s="36" t="str">
        <x:v>H.BS.COMMON_APIC.FY2025</x:v>
      </x:c>
      <x:c r="B296" s="36" t="str">
        <x:v>BS</x:v>
      </x:c>
      <x:c r="C296" s="36" t="str">
        <x:v>Common stock and APIC</x:v>
      </x:c>
      <x:c r="D296" s="36" t="str">
        <x:v>FY2025</x:v>
      </x:c>
      <x:c r="E296" s="37" t="n">
        <x:v>2674.533</x:v>
      </x:c>
      <x:c r="F296" s="36" t="str">
        <x:v>8c023447-ebc8-42c3-86e5-21558f3d7224.pdf</x:v>
      </x:c>
      <x:c r="G296" s="36" t="n">
        <x:v>57</x:v>
      </x:c>
      <x:c r="H296" s="36" t="str">
        <x:v>Provided 2025 Form 10-K.  Company named Pure Storage in this filing.</x:v>
      </x:c>
    </x:row>
    <x:row r="297">
      <x:c r="A297" s="36" t="str">
        <x:v>H.BS.COMMON_APIC.FY2026</x:v>
      </x:c>
      <x:c r="B297" s="36" t="str">
        <x:v>BS</x:v>
      </x:c>
      <x:c r="C297" s="36" t="str">
        <x:v>Common stock and APIC</x:v>
      </x:c>
      <x:c r="D297" s="36" t="str">
        <x:v>FY2026</x:v>
      </x:c>
      <x:c r="E297" s="37" t="n">
        <x:v>2624.79</x:v>
      </x:c>
      <x:c r="F297" s="36" t="str">
        <x:v>2e1ef280-4c52-445c-b593-a6c3a1fbfec6.pdf</x:v>
      </x:c>
      <x:c r="G297" s="36" t="n">
        <x:v>59</x:v>
      </x:c>
      <x:c r="H297" s="36" t="str">
        <x:v>Provided 2026 Form 10-K.  Company named Everpure in this filing.</x:v>
      </x:c>
    </x:row>
    <x:row r="298">
      <x:c r="A298" s="36" t="str">
        <x:v>H.BS.RETAINED_EARNINGS.FY2021</x:v>
      </x:c>
      <x:c r="B298" s="36" t="str">
        <x:v>BS</x:v>
      </x:c>
      <x:c r="C298" s="36" t="str">
        <x:v>Retained earnings / accumulated deficit</x:v>
      </x:c>
      <x:c r="D298" s="36" t="str">
        <x:v>FY2021</x:v>
      </x:c>
      <x:c r="E298" s="37" t="n">
        <x:v>-1565.012</x:v>
      </x:c>
      <x:c r="F298" s="36" t="str">
        <x:v>https://www.purestorage.com/content/dam/pdf/en/legal/2023-form-10-k.pdf</x:v>
      </x:c>
      <x:c r="G298" s="36" t="n">
        <x:v>58</x:v>
      </x:c>
      <x:c r="H298" s="36" t="str">
        <x:v>Official 2023 Form 10-K used to complete FY2021 and FY2022 history.</x:v>
      </x:c>
    </x:row>
    <x:row r="299">
      <x:c r="A299" s="36" t="str">
        <x:v>H.BS.RETAINED_EARNINGS.FY2022</x:v>
      </x:c>
      <x:c r="B299" s="36" t="str">
        <x:v>BS</x:v>
      </x:c>
      <x:c r="C299" s="36" t="str">
        <x:v>Retained earnings / accumulated deficit</x:v>
      </x:c>
      <x:c r="D299" s="36" t="str">
        <x:v>FY2022</x:v>
      </x:c>
      <x:c r="E299" s="37" t="n">
        <x:v>-1708.271</x:v>
      </x:c>
      <x:c r="F299" s="36" t="str">
        <x:v>https://www.purestorage.com/content/dam/pdf/en/legal/2023-form-10-k.pdf</x:v>
      </x:c>
      <x:c r="G299" s="36" t="n">
        <x:v>58</x:v>
      </x:c>
      <x:c r="H299" s="36" t="str">
        <x:v>Official 2023 Form 10-K used to complete FY2021 and FY2022 history.</x:v>
      </x:c>
    </x:row>
    <x:row r="300">
      <x:c r="A300" s="36" t="str">
        <x:v>H.BS.RETAINED_EARNINGS.FY2023</x:v>
      </x:c>
      <x:c r="B300" s="36" t="str">
        <x:v>BS</x:v>
      </x:c>
      <x:c r="C300" s="36" t="str">
        <x:v>Retained earnings / accumulated deficit</x:v>
      </x:c>
      <x:c r="D300" s="36" t="str">
        <x:v>FY2023</x:v>
      </x:c>
      <x:c r="E300" s="37" t="n">
        <x:v>-1537.062</x:v>
      </x:c>
      <x:c r="F300" s="36" t="str">
        <x:v>https://www.purestorage.com/content/dam/pdf/en/legal/2023-form-10-k.pdf</x:v>
      </x:c>
      <x:c r="G300" s="36" t="n">
        <x:v>58</x:v>
      </x:c>
      <x:c r="H300" s="36" t="str">
        <x:v>Official 2023 Form 10-K used to complete FY2021 and FY2022 history.</x:v>
      </x:c>
    </x:row>
    <x:row r="301">
      <x:c r="A301" s="36" t="str">
        <x:v>H.BS.RETAINED_EARNINGS.FY2024</x:v>
      </x:c>
      <x:c r="B301" s="36" t="str">
        <x:v>BS</x:v>
      </x:c>
      <x:c r="C301" s="36" t="str">
        <x:v>Retained earnings / accumulated deficit</x:v>
      </x:c>
      <x:c r="D301" s="36" t="str">
        <x:v>FY2024</x:v>
      </x:c>
      <x:c r="E301" s="37" t="n">
        <x:v>-1475.751</x:v>
      </x:c>
      <x:c r="F301" s="36" t="str">
        <x:v>ed7936ac-e0cd-408a-ae7f-063381fdf3a1.pdf</x:v>
      </x:c>
      <x:c r="G301" s="36" t="n">
        <x:v>54</x:v>
      </x:c>
      <x:c r="H301" s="36" t="str">
        <x:v>Provided 2024 Form 10-K.  Company named Pure Storage in this filing.</x:v>
      </x:c>
    </x:row>
    <x:row r="302">
      <x:c r="A302" s="36" t="str">
        <x:v>H.BS.RETAINED_EARNINGS.FY2025</x:v>
      </x:c>
      <x:c r="B302" s="36" t="str">
        <x:v>BS</x:v>
      </x:c>
      <x:c r="C302" s="36" t="str">
        <x:v>Retained earnings / accumulated deficit</x:v>
      </x:c>
      <x:c r="D302" s="36" t="str">
        <x:v>FY2025</x:v>
      </x:c>
      <x:c r="E302" s="37" t="n">
        <x:v>-1369.012</x:v>
      </x:c>
      <x:c r="F302" s="36" t="str">
        <x:v>8c023447-ebc8-42c3-86e5-21558f3d7224.pdf</x:v>
      </x:c>
      <x:c r="G302" s="36" t="n">
        <x:v>57</x:v>
      </x:c>
      <x:c r="H302" s="36" t="str">
        <x:v>Provided 2025 Form 10-K.  Company named Pure Storage in this filing.</x:v>
      </x:c>
    </x:row>
    <x:row r="303">
      <x:c r="A303" s="36" t="str">
        <x:v>H.BS.RETAINED_EARNINGS.FY2026</x:v>
      </x:c>
      <x:c r="B303" s="36" t="str">
        <x:v>BS</x:v>
      </x:c>
      <x:c r="C303" s="36" t="str">
        <x:v>Retained earnings / accumulated deficit</x:v>
      </x:c>
      <x:c r="D303" s="36" t="str">
        <x:v>FY2026</x:v>
      </x:c>
      <x:c r="E303" s="37" t="n">
        <x:v>-1180.831</x:v>
      </x:c>
      <x:c r="F303" s="36" t="str">
        <x:v>2e1ef280-4c52-445c-b593-a6c3a1fbfec6.pdf</x:v>
      </x:c>
      <x:c r="G303" s="36" t="n">
        <x:v>59</x:v>
      </x:c>
      <x:c r="H303" s="36" t="str">
        <x:v>Provided 2026 Form 10-K.  Company named Everpure in this filing.</x:v>
      </x:c>
    </x:row>
    <x:row r="304">
      <x:c r="A304" s="36" t="str">
        <x:v>H.BS.AOCI.FY2021</x:v>
      </x:c>
      <x:c r="B304" s="36" t="str">
        <x:v>BS</x:v>
      </x:c>
      <x:c r="C304" s="36" t="str">
        <x:v>Accumulated OCI</x:v>
      </x:c>
      <x:c r="D304" s="36" t="str">
        <x:v>FY2021</x:v>
      </x:c>
      <x:c r="E304" s="37" t="n">
        <x:v>7.41</x:v>
      </x:c>
      <x:c r="F304" s="36" t="str">
        <x:v>https://www.purestorage.com/content/dam/pdf/en/legal/2023-form-10-k.pdf</x:v>
      </x:c>
      <x:c r="G304" s="36" t="n">
        <x:v>58</x:v>
      </x:c>
      <x:c r="H304" s="36" t="str">
        <x:v>Official 2023 Form 10-K used to complete FY2021 and FY2022 history.</x:v>
      </x:c>
    </x:row>
    <x:row r="305">
      <x:c r="A305" s="36" t="str">
        <x:v>H.BS.AOCI.FY2022</x:v>
      </x:c>
      <x:c r="B305" s="36" t="str">
        <x:v>BS</x:v>
      </x:c>
      <x:c r="C305" s="36" t="str">
        <x:v>Accumulated OCI</x:v>
      </x:c>
      <x:c r="D305" s="36" t="str">
        <x:v>FY2022</x:v>
      </x:c>
      <x:c r="E305" s="37" t="n">
        <x:v>-8.365</x:v>
      </x:c>
      <x:c r="F305" s="36" t="str">
        <x:v>https://www.purestorage.com/content/dam/pdf/en/legal/2023-form-10-k.pdf</x:v>
      </x:c>
      <x:c r="G305" s="36" t="n">
        <x:v>58</x:v>
      </x:c>
      <x:c r="H305" s="36" t="str">
        <x:v>Official 2023 Form 10-K used to complete FY2021 and FY2022 history.</x:v>
      </x:c>
    </x:row>
    <x:row r="306">
      <x:c r="A306" s="36" t="str">
        <x:v>H.BS.AOCI.FY2023</x:v>
      </x:c>
      <x:c r="B306" s="36" t="str">
        <x:v>BS</x:v>
      </x:c>
      <x:c r="C306" s="36" t="str">
        <x:v>Accumulated OCI</x:v>
      </x:c>
      <x:c r="D306" s="36" t="str">
        <x:v>FY2023</x:v>
      </x:c>
      <x:c r="E306" s="37" t="n">
        <x:v>-15.504</x:v>
      </x:c>
      <x:c r="F306" s="36" t="str">
        <x:v>https://www.purestorage.com/content/dam/pdf/en/legal/2023-form-10-k.pdf</x:v>
      </x:c>
      <x:c r="G306" s="36" t="n">
        <x:v>58</x:v>
      </x:c>
      <x:c r="H306" s="36" t="str">
        <x:v>Official 2023 Form 10-K used to complete FY2021 and FY2022 history.</x:v>
      </x:c>
    </x:row>
    <x:row r="307">
      <x:c r="A307" s="36" t="str">
        <x:v>H.BS.AOCI.FY2024</x:v>
      </x:c>
      <x:c r="B307" s="36" t="str">
        <x:v>BS</x:v>
      </x:c>
      <x:c r="C307" s="36" t="str">
        <x:v>Accumulated OCI</x:v>
      </x:c>
      <x:c r="D307" s="36" t="str">
        <x:v>FY2024</x:v>
      </x:c>
      <x:c r="E307" s="37" t="n">
        <x:v>-3.782</x:v>
      </x:c>
      <x:c r="F307" s="36" t="str">
        <x:v>ed7936ac-e0cd-408a-ae7f-063381fdf3a1.pdf</x:v>
      </x:c>
      <x:c r="G307" s="36" t="n">
        <x:v>54</x:v>
      </x:c>
      <x:c r="H307" s="36" t="str">
        <x:v>Provided 2024 Form 10-K.  Company named Pure Storage in this filing.</x:v>
      </x:c>
    </x:row>
    <x:row r="308">
      <x:c r="A308" s="36" t="str">
        <x:v>H.BS.AOCI.FY2025</x:v>
      </x:c>
      <x:c r="B308" s="36" t="str">
        <x:v>BS</x:v>
      </x:c>
      <x:c r="C308" s="36" t="str">
        <x:v>Accumulated OCI</x:v>
      </x:c>
      <x:c r="D308" s="36" t="str">
        <x:v>FY2025</x:v>
      </x:c>
      <x:c r="E308" s="37" t="n">
        <x:v>0.954</x:v>
      </x:c>
      <x:c r="F308" s="36" t="str">
        <x:v>8c023447-ebc8-42c3-86e5-21558f3d7224.pdf</x:v>
      </x:c>
      <x:c r="G308" s="36" t="n">
        <x:v>57</x:v>
      </x:c>
      <x:c r="H308" s="36" t="str">
        <x:v>Provided 2025 Form 10-K.  Company named Pure Storage in this filing.</x:v>
      </x:c>
    </x:row>
    <x:row r="309">
      <x:c r="A309" s="36" t="str">
        <x:v>H.BS.AOCI.FY2026</x:v>
      </x:c>
      <x:c r="B309" s="36" t="str">
        <x:v>BS</x:v>
      </x:c>
      <x:c r="C309" s="36" t="str">
        <x:v>Accumulated OCI</x:v>
      </x:c>
      <x:c r="D309" s="36" t="str">
        <x:v>FY2026</x:v>
      </x:c>
      <x:c r="E309" s="37" t="n">
        <x:v>1.709</x:v>
      </x:c>
      <x:c r="F309" s="36" t="str">
        <x:v>2e1ef280-4c52-445c-b593-a6c3a1fbfec6.pdf</x:v>
      </x:c>
      <x:c r="G309" s="36" t="n">
        <x:v>59</x:v>
      </x:c>
      <x:c r="H309" s="36" t="str">
        <x:v>Provided 2026 Form 10-K.  Company named Everpure in this filing.</x:v>
      </x:c>
    </x:row>
    <x:row r="310">
      <x:c r="A310" s="36" t="str">
        <x:v>H.BS.TREASURY_STOCK.FY2021</x:v>
      </x:c>
      <x:c r="B310" s="36" t="str">
        <x:v>BS</x:v>
      </x:c>
      <x:c r="C310" s="36" t="str">
        <x:v>Treasury stock</x:v>
      </x:c>
      <x:c r="D310" s="36" t="str">
        <x:v>FY2021</x:v>
      </x:c>
      <x:c r="E310" s="37" t="n">
        <x:v>0</x:v>
      </x:c>
      <x:c r="F310" s="36" t="str">
        <x:v>https://www.purestorage.com/content/dam/pdf/en/legal/2023-form-10-k.pdf</x:v>
      </x:c>
      <x:c r="G310" s="36" t="n">
        <x:v>58</x:v>
      </x:c>
      <x:c r="H310" s="36" t="str">
        <x:v>Official 2023 Form 10-K used to complete FY2021 and FY2022 history.</x:v>
      </x:c>
    </x:row>
    <x:row r="311">
      <x:c r="A311" s="36" t="str">
        <x:v>H.BS.TREASURY_STOCK.FY2022</x:v>
      </x:c>
      <x:c r="B311" s="36" t="str">
        <x:v>BS</x:v>
      </x:c>
      <x:c r="C311" s="36" t="str">
        <x:v>Treasury stock</x:v>
      </x:c>
      <x:c r="D311" s="36" t="str">
        <x:v>FY2022</x:v>
      </x:c>
      <x:c r="E311" s="37" t="n">
        <x:v>0</x:v>
      </x:c>
      <x:c r="F311" s="36" t="str">
        <x:v>https://www.purestorage.com/content/dam/pdf/en/legal/2023-form-10-k.pdf</x:v>
      </x:c>
      <x:c r="G311" s="36" t="n">
        <x:v>58</x:v>
      </x:c>
      <x:c r="H311" s="36" t="str">
        <x:v>Official 2023 Form 10-K used to complete FY2021 and FY2022 history.</x:v>
      </x:c>
    </x:row>
    <x:row r="312">
      <x:c r="A312" s="36" t="str">
        <x:v>H.BS.TREASURY_STOCK.FY2023</x:v>
      </x:c>
      <x:c r="B312" s="36" t="str">
        <x:v>BS</x:v>
      </x:c>
      <x:c r="C312" s="36" t="str">
        <x:v>Treasury stock</x:v>
      </x:c>
      <x:c r="D312" s="36" t="str">
        <x:v>FY2023</x:v>
      </x:c>
      <x:c r="E312" s="37" t="n">
        <x:v>0</x:v>
      </x:c>
      <x:c r="F312" s="36" t="str">
        <x:v>https://www.purestorage.com/content/dam/pdf/en/legal/2023-form-10-k.pdf</x:v>
      </x:c>
      <x:c r="G312" s="36" t="n">
        <x:v>58</x:v>
      </x:c>
      <x:c r="H312" s="36" t="str">
        <x:v>Official 2023 Form 10-K used to complete FY2021 and FY2022 history.</x:v>
      </x:c>
    </x:row>
    <x:row r="313">
      <x:c r="A313" s="36" t="str">
        <x:v>H.BS.TREASURY_STOCK.FY2024</x:v>
      </x:c>
      <x:c r="B313" s="36" t="str">
        <x:v>BS</x:v>
      </x:c>
      <x:c r="C313" s="36" t="str">
        <x:v>Treasury stock</x:v>
      </x:c>
      <x:c r="D313" s="36" t="str">
        <x:v>FY2024</x:v>
      </x:c>
      <x:c r="E313" s="37" t="n">
        <x:v>0</x:v>
      </x:c>
      <x:c r="F313" s="36" t="str">
        <x:v>ed7936ac-e0cd-408a-ae7f-063381fdf3a1.pdf</x:v>
      </x:c>
      <x:c r="G313" s="36" t="n">
        <x:v>54</x:v>
      </x:c>
      <x:c r="H313" s="36" t="str">
        <x:v>Provided 2024 Form 10-K.  Company named Pure Storage in this filing.</x:v>
      </x:c>
    </x:row>
    <x:row r="314">
      <x:c r="A314" s="36" t="str">
        <x:v>H.BS.TREASURY_STOCK.FY2025</x:v>
      </x:c>
      <x:c r="B314" s="36" t="str">
        <x:v>BS</x:v>
      </x:c>
      <x:c r="C314" s="36" t="str">
        <x:v>Treasury stock</x:v>
      </x:c>
      <x:c r="D314" s="36" t="str">
        <x:v>FY2025</x:v>
      </x:c>
      <x:c r="E314" s="37" t="n">
        <x:v>0</x:v>
      </x:c>
      <x:c r="F314" s="36" t="str">
        <x:v>8c023447-ebc8-42c3-86e5-21558f3d7224.pdf</x:v>
      </x:c>
      <x:c r="G314" s="36" t="n">
        <x:v>57</x:v>
      </x:c>
      <x:c r="H314" s="36" t="str">
        <x:v>Provided 2025 Form 10-K.  Company named Pure Storage in this filing.</x:v>
      </x:c>
    </x:row>
    <x:row r="315">
      <x:c r="A315" s="36" t="str">
        <x:v>H.BS.TREASURY_STOCK.FY2026</x:v>
      </x:c>
      <x:c r="B315" s="36" t="str">
        <x:v>BS</x:v>
      </x:c>
      <x:c r="C315" s="36" t="str">
        <x:v>Treasury stock</x:v>
      </x:c>
      <x:c r="D315" s="36" t="str">
        <x:v>FY2026</x:v>
      </x:c>
      <x:c r="E315" s="37" t="n">
        <x:v>0</x:v>
      </x:c>
      <x:c r="F315" s="36" t="str">
        <x:v>2e1ef280-4c52-445c-b593-a6c3a1fbfec6.pdf</x:v>
      </x:c>
      <x:c r="G315" s="36" t="n">
        <x:v>59</x:v>
      </x:c>
      <x:c r="H315" s="36" t="str">
        <x:v>Provided 2026 Form 10-K.  Company named Everpure in this filing.</x:v>
      </x:c>
    </x:row>
    <x:row r="316">
      <x:c r="A316" s="36" t="str">
        <x:v>H.BS.TOTAL_EQUITY.FY2021</x:v>
      </x:c>
      <x:c r="B316" s="36" t="str">
        <x:v>BS</x:v>
      </x:c>
      <x:c r="C316" s="36" t="str">
        <x:v>Total stockholders' equity</x:v>
      </x:c>
      <x:c r="D316" s="36" t="str">
        <x:v>FY2021</x:v>
      </x:c>
      <x:c r="E316" s="37" t="n">
        <x:v>750.006</x:v>
      </x:c>
      <x:c r="F316" s="36" t="str">
        <x:v>https://www.purestorage.com/content/dam/pdf/en/legal/2023-form-10-k.pdf</x:v>
      </x:c>
      <x:c r="G316" s="36" t="n">
        <x:v>58</x:v>
      </x:c>
      <x:c r="H316" s="36" t="str">
        <x:v>Official 2023 Form 10-K used to complete FY2021 and FY2022 history.</x:v>
      </x:c>
    </x:row>
    <x:row r="317">
      <x:c r="A317" s="36" t="str">
        <x:v>H.BS.TOTAL_EQUITY.FY2022</x:v>
      </x:c>
      <x:c r="B317" s="36" t="str">
        <x:v>BS</x:v>
      </x:c>
      <x:c r="C317" s="36" t="str">
        <x:v>Total stockholders' equity</x:v>
      </x:c>
      <x:c r="D317" s="36" t="str">
        <x:v>FY2022</x:v>
      </x:c>
      <x:c r="E317" s="37" t="n">
        <x:v>754.336</x:v>
      </x:c>
      <x:c r="F317" s="36" t="str">
        <x:v>https://www.purestorage.com/content/dam/pdf/en/legal/2023-form-10-k.pdf</x:v>
      </x:c>
      <x:c r="G317" s="36" t="n">
        <x:v>58</x:v>
      </x:c>
      <x:c r="H317" s="36" t="str">
        <x:v>Official 2023 Form 10-K used to complete FY2021 and FY2022 history.</x:v>
      </x:c>
    </x:row>
    <x:row r="318">
      <x:c r="A318" s="36" t="str">
        <x:v>H.BS.TOTAL_EQUITY.FY2023</x:v>
      </x:c>
      <x:c r="B318" s="36" t="str">
        <x:v>BS</x:v>
      </x:c>
      <x:c r="C318" s="36" t="str">
        <x:v>Total stockholders' equity</x:v>
      </x:c>
      <x:c r="D318" s="36" t="str">
        <x:v>FY2023</x:v>
      </x:c>
      <x:c r="E318" s="37" t="n">
        <x:v>941.233</x:v>
      </x:c>
      <x:c r="F318" s="36" t="str">
        <x:v>https://www.purestorage.com/content/dam/pdf/en/legal/2023-form-10-k.pdf</x:v>
      </x:c>
      <x:c r="G318" s="36" t="n">
        <x:v>58</x:v>
      </x:c>
      <x:c r="H318" s="36" t="str">
        <x:v>Official 2023 Form 10-K used to complete FY2021 and FY2022 history.</x:v>
      </x:c>
    </x:row>
    <x:row r="319">
      <x:c r="A319" s="36" t="str">
        <x:v>H.BS.TOTAL_EQUITY.FY2024</x:v>
      </x:c>
      <x:c r="B319" s="36" t="str">
        <x:v>BS</x:v>
      </x:c>
      <x:c r="C319" s="36" t="str">
        <x:v>Total stockholders' equity</x:v>
      </x:c>
      <x:c r="D319" s="36" t="str">
        <x:v>FY2024</x:v>
      </x:c>
      <x:c r="E319" s="37" t="n">
        <x:v>1270.094</x:v>
      </x:c>
      <x:c r="F319" s="36" t="str">
        <x:v>ed7936ac-e0cd-408a-ae7f-063381fdf3a1.pdf</x:v>
      </x:c>
      <x:c r="G319" s="36" t="n">
        <x:v>54</x:v>
      </x:c>
      <x:c r="H319" s="36" t="str">
        <x:v>Provided 2024 Form 10-K.  Company named Pure Storage in this filing.</x:v>
      </x:c>
    </x:row>
    <x:row r="320">
      <x:c r="A320" s="36" t="str">
        <x:v>H.BS.TOTAL_EQUITY.FY2025</x:v>
      </x:c>
      <x:c r="B320" s="36" t="str">
        <x:v>BS</x:v>
      </x:c>
      <x:c r="C320" s="36" t="str">
        <x:v>Total stockholders' equity</x:v>
      </x:c>
      <x:c r="D320" s="36" t="str">
        <x:v>FY2025</x:v>
      </x:c>
      <x:c r="E320" s="37" t="n">
        <x:v>1306.475</x:v>
      </x:c>
      <x:c r="F320" s="36" t="str">
        <x:v>8c023447-ebc8-42c3-86e5-21558f3d7224.pdf</x:v>
      </x:c>
      <x:c r="G320" s="36" t="n">
        <x:v>57</x:v>
      </x:c>
      <x:c r="H320" s="36" t="str">
        <x:v>Provided 2025 Form 10-K.  Company named Pure Storage in this filing.</x:v>
      </x:c>
    </x:row>
    <x:row r="321">
      <x:c r="A321" s="36" t="str">
        <x:v>H.BS.TOTAL_EQUITY.FY2026</x:v>
      </x:c>
      <x:c r="B321" s="36" t="str">
        <x:v>BS</x:v>
      </x:c>
      <x:c r="C321" s="36" t="str">
        <x:v>Total stockholders' equity</x:v>
      </x:c>
      <x:c r="D321" s="36" t="str">
        <x:v>FY2026</x:v>
      </x:c>
      <x:c r="E321" s="37" t="n">
        <x:v>1445.668</x:v>
      </x:c>
      <x:c r="F321" s="36" t="str">
        <x:v>2e1ef280-4c52-445c-b593-a6c3a1fbfec6.pdf</x:v>
      </x:c>
      <x:c r="G321" s="36" t="n">
        <x:v>59</x:v>
      </x:c>
      <x:c r="H321" s="36" t="str">
        <x:v>Provided 2026 Form 10-K.  Company named Everpure in this filing.</x:v>
      </x:c>
    </x:row>
    <x:row r="322">
      <x:c r="A322" s="36" t="str">
        <x:v>H.BS.TOTAL_LIABILITIES_EQUITY.FY2021</x:v>
      </x:c>
      <x:c r="B322" s="36" t="str">
        <x:v>BS</x:v>
      </x:c>
      <x:c r="C322" s="36" t="str">
        <x:v>Total liabilities and stockholders' equity</x:v>
      </x:c>
      <x:c r="D322" s="36" t="str">
        <x:v>FY2021</x:v>
      </x:c>
      <x:c r="E322" s="37" t="n">
        <x:v>2819.44</x:v>
      </x:c>
      <x:c r="F322" s="36" t="str">
        <x:v>https://www.purestorage.com/content/dam/pdf/en/legal/2023-form-10-k.pdf</x:v>
      </x:c>
      <x:c r="G322" s="36" t="n">
        <x:v>58</x:v>
      </x:c>
      <x:c r="H322" s="36" t="str">
        <x:v>Official 2023 Form 10-K used to complete FY2021 and FY2022 history.</x:v>
      </x:c>
    </x:row>
    <x:row r="323">
      <x:c r="A323" s="36" t="str">
        <x:v>H.BS.TOTAL_LIABILITIES_EQUITY.FY2022</x:v>
      </x:c>
      <x:c r="B323" s="36" t="str">
        <x:v>BS</x:v>
      </x:c>
      <x:c r="C323" s="36" t="str">
        <x:v>Total liabilities and stockholders' equity</x:v>
      </x:c>
      <x:c r="D323" s="36" t="str">
        <x:v>FY2022</x:v>
      </x:c>
      <x:c r="E323" s="37" t="n">
        <x:v>3135.315</x:v>
      </x:c>
      <x:c r="F323" s="36" t="str">
        <x:v>https://www.purestorage.com/content/dam/pdf/en/legal/2023-form-10-k.pdf</x:v>
      </x:c>
      <x:c r="G323" s="36" t="n">
        <x:v>58</x:v>
      </x:c>
      <x:c r="H323" s="36" t="str">
        <x:v>Official 2023 Form 10-K used to complete FY2021 and FY2022 history.</x:v>
      </x:c>
    </x:row>
    <x:row r="324">
      <x:c r="A324" s="36" t="str">
        <x:v>H.BS.TOTAL_LIABILITIES_EQUITY.FY2023</x:v>
      </x:c>
      <x:c r="B324" s="36" t="str">
        <x:v>BS</x:v>
      </x:c>
      <x:c r="C324" s="36" t="str">
        <x:v>Total liabilities and stockholders' equity</x:v>
      </x:c>
      <x:c r="D324" s="36" t="str">
        <x:v>FY2023</x:v>
      </x:c>
      <x:c r="E324" s="37" t="n">
        <x:v>3543.46</x:v>
      </x:c>
      <x:c r="F324" s="36" t="str">
        <x:v>https://www.purestorage.com/content/dam/pdf/en/legal/2023-form-10-k.pdf</x:v>
      </x:c>
      <x:c r="G324" s="36" t="n">
        <x:v>58</x:v>
      </x:c>
      <x:c r="H324" s="36" t="str">
        <x:v>Official 2023 Form 10-K used to complete FY2021 and FY2022 history.</x:v>
      </x:c>
    </x:row>
    <x:row r="325">
      <x:c r="A325" s="36" t="str">
        <x:v>H.BS.TOTAL_LIABILITIES_EQUITY.FY2024</x:v>
      </x:c>
      <x:c r="B325" s="36" t="str">
        <x:v>BS</x:v>
      </x:c>
      <x:c r="C325" s="36" t="str">
        <x:v>Total liabilities and stockholders' equity</x:v>
      </x:c>
      <x:c r="D325" s="36" t="str">
        <x:v>FY2024</x:v>
      </x:c>
      <x:c r="E325" s="37" t="n">
        <x:v>3655.76</x:v>
      </x:c>
      <x:c r="F325" s="36" t="str">
        <x:v>ed7936ac-e0cd-408a-ae7f-063381fdf3a1.pdf</x:v>
      </x:c>
      <x:c r="G325" s="36" t="n">
        <x:v>54</x:v>
      </x:c>
      <x:c r="H325" s="36" t="str">
        <x:v>Provided 2024 Form 10-K.  Company named Pure Storage in this filing.</x:v>
      </x:c>
    </x:row>
    <x:row r="326">
      <x:c r="A326" s="36" t="str">
        <x:v>H.BS.TOTAL_LIABILITIES_EQUITY.FY2025</x:v>
      </x:c>
      <x:c r="B326" s="36" t="str">
        <x:v>BS</x:v>
      </x:c>
      <x:c r="C326" s="36" t="str">
        <x:v>Total liabilities and stockholders' equity</x:v>
      </x:c>
      <x:c r="D326" s="36" t="str">
        <x:v>FY2025</x:v>
      </x:c>
      <x:c r="E326" s="37" t="n">
        <x:v>3963.942</x:v>
      </x:c>
      <x:c r="F326" s="36" t="str">
        <x:v>8c023447-ebc8-42c3-86e5-21558f3d7224.pdf</x:v>
      </x:c>
      <x:c r="G326" s="36" t="n">
        <x:v>57</x:v>
      </x:c>
      <x:c r="H326" s="36" t="str">
        <x:v>Provided 2025 Form 10-K.  Company named Pure Storage in this filing.</x:v>
      </x:c>
    </x:row>
    <x:row r="327">
      <x:c r="A327" s="36" t="str">
        <x:v>H.BS.TOTAL_LIABILITIES_EQUITY.FY2026</x:v>
      </x:c>
      <x:c r="B327" s="36" t="str">
        <x:v>BS</x:v>
      </x:c>
      <x:c r="C327" s="36" t="str">
        <x:v>Total liabilities and stockholders' equity</x:v>
      </x:c>
      <x:c r="D327" s="36" t="str">
        <x:v>FY2026</x:v>
      </x:c>
      <x:c r="E327" s="37" t="n">
        <x:v>4674.259</x:v>
      </x:c>
      <x:c r="F327" s="36" t="str">
        <x:v>2e1ef280-4c52-445c-b593-a6c3a1fbfec6.pdf</x:v>
      </x:c>
      <x:c r="G327" s="36" t="n">
        <x:v>59</x:v>
      </x:c>
      <x:c r="H327" s="36" t="str">
        <x:v>Provided 2026 Form 10-K.  Company named Everpure in this filing.</x:v>
      </x:c>
    </x:row>
    <x:row r="328">
      <x:c r="A328" s="36" t="str">
        <x:v>H.CF.NET_INCOME.FY2021</x:v>
      </x:c>
      <x:c r="B328" s="36" t="str">
        <x:v>CF</x:v>
      </x:c>
      <x:c r="C328" s="36" t="str">
        <x:v>Net income</x:v>
      </x:c>
      <x:c r="D328" s="36" t="str">
        <x:v>FY2021</x:v>
      </x:c>
      <x:c r="E328" s="37" t="n">
        <x:v>-282.076</x:v>
      </x:c>
      <x:c r="F328" s="36" t="str">
        <x:v>https://www.purestorage.com/content/dam/pdf/en/legal/2023-form-10-k.pdf</x:v>
      </x:c>
      <x:c r="G328" s="36" t="n">
        <x:v>62</x:v>
      </x:c>
      <x:c r="H328" s="36" t="str">
        <x:v>Official 2023 Form 10-K used to complete FY2021 and FY2022 history.</x:v>
      </x:c>
    </x:row>
    <x:row r="329">
      <x:c r="A329" s="36" t="str">
        <x:v>H.CF.NET_INCOME.FY2022</x:v>
      </x:c>
      <x:c r="B329" s="36" t="str">
        <x:v>CF</x:v>
      </x:c>
      <x:c r="C329" s="36" t="str">
        <x:v>Net income</x:v>
      </x:c>
      <x:c r="D329" s="36" t="str">
        <x:v>FY2022</x:v>
      </x:c>
      <x:c r="E329" s="37" t="n">
        <x:v>-143.259</x:v>
      </x:c>
      <x:c r="F329" s="36" t="str">
        <x:v>https://www.purestorage.com/content/dam/pdf/en/legal/2023-form-10-k.pdf</x:v>
      </x:c>
      <x:c r="G329" s="36" t="n">
        <x:v>62</x:v>
      </x:c>
      <x:c r="H329" s="36" t="str">
        <x:v>Official 2023 Form 10-K used to complete FY2021 and FY2022 history.</x:v>
      </x:c>
    </x:row>
    <x:row r="330">
      <x:c r="A330" s="36" t="str">
        <x:v>H.CF.NET_INCOME.FY2023</x:v>
      </x:c>
      <x:c r="B330" s="36" t="str">
        <x:v>CF</x:v>
      </x:c>
      <x:c r="C330" s="36" t="str">
        <x:v>Net income</x:v>
      </x:c>
      <x:c r="D330" s="36" t="str">
        <x:v>FY2023</x:v>
      </x:c>
      <x:c r="E330" s="37" t="n">
        <x:v>73.071</x:v>
      </x:c>
      <x:c r="F330" s="36" t="str">
        <x:v>https://www.purestorage.com/content/dam/pdf/en/legal/2023-form-10-k.pdf</x:v>
      </x:c>
      <x:c r="G330" s="36" t="n">
        <x:v>62</x:v>
      </x:c>
      <x:c r="H330" s="36" t="str">
        <x:v>Official 2023 Form 10-K used to complete FY2021 and FY2022 history.</x:v>
      </x:c>
    </x:row>
    <x:row r="331">
      <x:c r="A331" s="36" t="str">
        <x:v>H.CF.NET_INCOME.FY2024</x:v>
      </x:c>
      <x:c r="B331" s="36" t="str">
        <x:v>CF</x:v>
      </x:c>
      <x:c r="C331" s="36" t="str">
        <x:v>Net income</x:v>
      </x:c>
      <x:c r="D331" s="36" t="str">
        <x:v>FY2024</x:v>
      </x:c>
      <x:c r="E331" s="37" t="n">
        <x:v>61.311</x:v>
      </x:c>
      <x:c r="F331" s="36" t="str">
        <x:v>ed7936ac-e0cd-408a-ae7f-063381fdf3a1.pdf</x:v>
      </x:c>
      <x:c r="G331" s="36" t="n">
        <x:v>58</x:v>
      </x:c>
      <x:c r="H331" s="36" t="str">
        <x:v>Provided 2024 Form 10-K.  Company named Pure Storage in this filing.</x:v>
      </x:c>
    </x:row>
    <x:row r="332">
      <x:c r="A332" s="36" t="str">
        <x:v>H.CF.NET_INCOME.FY2025</x:v>
      </x:c>
      <x:c r="B332" s="36" t="str">
        <x:v>CF</x:v>
      </x:c>
      <x:c r="C332" s="36" t="str">
        <x:v>Net income</x:v>
      </x:c>
      <x:c r="D332" s="36" t="str">
        <x:v>FY2025</x:v>
      </x:c>
      <x:c r="E332" s="37" t="n">
        <x:v>106.739</x:v>
      </x:c>
      <x:c r="F332" s="36" t="str">
        <x:v>8c023447-ebc8-42c3-86e5-21558f3d7224.pdf</x:v>
      </x:c>
      <x:c r="G332" s="36" t="n">
        <x:v>61</x:v>
      </x:c>
      <x:c r="H332" s="36" t="str">
        <x:v>Provided 2025 Form 10-K.  Company named Pure Storage in this filing.</x:v>
      </x:c>
    </x:row>
    <x:row r="333">
      <x:c r="A333" s="36" t="str">
        <x:v>H.CF.NET_INCOME.FY2026</x:v>
      </x:c>
      <x:c r="B333" s="36" t="str">
        <x:v>CF</x:v>
      </x:c>
      <x:c r="C333" s="36" t="str">
        <x:v>Net income</x:v>
      </x:c>
      <x:c r="D333" s="36" t="str">
        <x:v>FY2026</x:v>
      </x:c>
      <x:c r="E333" s="37" t="n">
        <x:v>188.181</x:v>
      </x:c>
      <x:c r="F333" s="36" t="str">
        <x:v>2e1ef280-4c52-445c-b593-a6c3a1fbfec6.pdf</x:v>
      </x:c>
      <x:c r="G333" s="36" t="n">
        <x:v>63</x:v>
      </x:c>
      <x:c r="H333" s="36" t="str">
        <x:v>Provided 2026 Form 10-K.  Company named Everpure in this filing.</x:v>
      </x:c>
    </x:row>
    <x:row r="334">
      <x:c r="A334" s="36" t="str">
        <x:v>H.CF.DA.FY2021</x:v>
      </x:c>
      <x:c r="B334" s="36" t="str">
        <x:v>CF</x:v>
      </x:c>
      <x:c r="C334" s="36" t="str">
        <x:v>D&amp;A</x:v>
      </x:c>
      <x:c r="D334" s="36" t="str">
        <x:v>FY2021</x:v>
      </x:c>
      <x:c r="E334" s="37" t="n">
        <x:v>70.042</x:v>
      </x:c>
      <x:c r="F334" s="36" t="str">
        <x:v>https://www.purestorage.com/content/dam/pdf/en/legal/2023-form-10-k.pdf</x:v>
      </x:c>
      <x:c r="G334" s="36" t="n">
        <x:v>62</x:v>
      </x:c>
      <x:c r="H334" s="36" t="str">
        <x:v>Official 2023 Form 10-K used to complete FY2021 and FY2022 history.</x:v>
      </x:c>
    </x:row>
    <x:row r="335">
      <x:c r="A335" s="36" t="str">
        <x:v>H.CF.DA.FY2022</x:v>
      </x:c>
      <x:c r="B335" s="36" t="str">
        <x:v>CF</x:v>
      </x:c>
      <x:c r="C335" s="36" t="str">
        <x:v>D&amp;A</x:v>
      </x:c>
      <x:c r="D335" s="36" t="str">
        <x:v>FY2022</x:v>
      </x:c>
      <x:c r="E335" s="37" t="n">
        <x:v>83.151</x:v>
      </x:c>
      <x:c r="F335" s="36" t="str">
        <x:v>https://www.purestorage.com/content/dam/pdf/en/legal/2023-form-10-k.pdf</x:v>
      </x:c>
      <x:c r="G335" s="36" t="n">
        <x:v>62</x:v>
      </x:c>
      <x:c r="H335" s="36" t="str">
        <x:v>Official 2023 Form 10-K used to complete FY2021 and FY2022 history.</x:v>
      </x:c>
    </x:row>
    <x:row r="336">
      <x:c r="A336" s="36" t="str">
        <x:v>H.CF.DA.FY2023</x:v>
      </x:c>
      <x:c r="B336" s="36" t="str">
        <x:v>CF</x:v>
      </x:c>
      <x:c r="C336" s="36" t="str">
        <x:v>D&amp;A</x:v>
      </x:c>
      <x:c r="D336" s="36" t="str">
        <x:v>FY2023</x:v>
      </x:c>
      <x:c r="E336" s="37" t="n">
        <x:v>100.432</x:v>
      </x:c>
      <x:c r="F336" s="36" t="str">
        <x:v>https://www.purestorage.com/content/dam/pdf/en/legal/2023-form-10-k.pdf</x:v>
      </x:c>
      <x:c r="G336" s="36" t="n">
        <x:v>62</x:v>
      </x:c>
      <x:c r="H336" s="36" t="str">
        <x:v>Official 2023 Form 10-K used to complete FY2021 and FY2022 history.</x:v>
      </x:c>
    </x:row>
    <x:row r="337">
      <x:c r="A337" s="36" t="str">
        <x:v>H.CF.DA.FY2024</x:v>
      </x:c>
      <x:c r="B337" s="36" t="str">
        <x:v>CF</x:v>
      </x:c>
      <x:c r="C337" s="36" t="str">
        <x:v>D&amp;A</x:v>
      </x:c>
      <x:c r="D337" s="36" t="str">
        <x:v>FY2024</x:v>
      </x:c>
      <x:c r="E337" s="37" t="n">
        <x:v>124.416</x:v>
      </x:c>
      <x:c r="F337" s="36" t="str">
        <x:v>ed7936ac-e0cd-408a-ae7f-063381fdf3a1.pdf</x:v>
      </x:c>
      <x:c r="G337" s="36" t="n">
        <x:v>58</x:v>
      </x:c>
      <x:c r="H337" s="36" t="str">
        <x:v>Provided 2024 Form 10-K.  Company named Pure Storage in this filing.</x:v>
      </x:c>
    </x:row>
    <x:row r="338">
      <x:c r="A338" s="36" t="str">
        <x:v>H.CF.DA.FY2025</x:v>
      </x:c>
      <x:c r="B338" s="36" t="str">
        <x:v>CF</x:v>
      </x:c>
      <x:c r="C338" s="36" t="str">
        <x:v>D&amp;A</x:v>
      </x:c>
      <x:c r="D338" s="36" t="str">
        <x:v>FY2025</x:v>
      </x:c>
      <x:c r="E338" s="37" t="n">
        <x:v>126.654</x:v>
      </x:c>
      <x:c r="F338" s="36" t="str">
        <x:v>8c023447-ebc8-42c3-86e5-21558f3d7224.pdf</x:v>
      </x:c>
      <x:c r="G338" s="36" t="n">
        <x:v>61</x:v>
      </x:c>
      <x:c r="H338" s="36" t="str">
        <x:v>Provided 2025 Form 10-K.  Company named Pure Storage in this filing.</x:v>
      </x:c>
    </x:row>
    <x:row r="339">
      <x:c r="A339" s="36" t="str">
        <x:v>H.CF.DA.FY2026</x:v>
      </x:c>
      <x:c r="B339" s="36" t="str">
        <x:v>CF</x:v>
      </x:c>
      <x:c r="C339" s="36" t="str">
        <x:v>D&amp;A</x:v>
      </x:c>
      <x:c r="D339" s="36" t="str">
        <x:v>FY2026</x:v>
      </x:c>
      <x:c r="E339" s="37" t="n">
        <x:v>147.815</x:v>
      </x:c>
      <x:c r="F339" s="36" t="str">
        <x:v>2e1ef280-4c52-445c-b593-a6c3a1fbfec6.pdf</x:v>
      </x:c>
      <x:c r="G339" s="36" t="n">
        <x:v>63</x:v>
      </x:c>
      <x:c r="H339" s="36" t="str">
        <x:v>Provided 2026 Form 10-K.  Company named Everpure in this filing.</x:v>
      </x:c>
    </x:row>
    <x:row r="340">
      <x:c r="A340" s="36" t="str">
        <x:v>H.CF.SBC.FY2021</x:v>
      </x:c>
      <x:c r="B340" s="36" t="str">
        <x:v>CF</x:v>
      </x:c>
      <x:c r="C340" s="36" t="str">
        <x:v>Stock-based compensation</x:v>
      </x:c>
      <x:c r="D340" s="36" t="str">
        <x:v>FY2021</x:v>
      </x:c>
      <x:c r="E340" s="37" t="n">
        <x:v>242.344</x:v>
      </x:c>
      <x:c r="F340" s="36" t="str">
        <x:v>https://www.purestorage.com/content/dam/pdf/en/legal/2023-form-10-k.pdf</x:v>
      </x:c>
      <x:c r="G340" s="36" t="n">
        <x:v>62</x:v>
      </x:c>
      <x:c r="H340" s="36" t="str">
        <x:v>Official 2023 Form 10-K used to complete FY2021 and FY2022 history.</x:v>
      </x:c>
    </x:row>
    <x:row r="341">
      <x:c r="A341" s="36" t="str">
        <x:v>H.CF.SBC.FY2022</x:v>
      </x:c>
      <x:c r="B341" s="36" t="str">
        <x:v>CF</x:v>
      </x:c>
      <x:c r="C341" s="36" t="str">
        <x:v>Stock-based compensation</x:v>
      </x:c>
      <x:c r="D341" s="36" t="str">
        <x:v>FY2022</x:v>
      </x:c>
      <x:c r="E341" s="37" t="n">
        <x:v>286.963</x:v>
      </x:c>
      <x:c r="F341" s="36" t="str">
        <x:v>https://www.purestorage.com/content/dam/pdf/en/legal/2023-form-10-k.pdf</x:v>
      </x:c>
      <x:c r="G341" s="36" t="n">
        <x:v>62</x:v>
      </x:c>
      <x:c r="H341" s="36" t="str">
        <x:v>Official 2023 Form 10-K used to complete FY2021 and FY2022 history.</x:v>
      </x:c>
    </x:row>
    <x:row r="342">
      <x:c r="A342" s="36" t="str">
        <x:v>H.CF.SBC.FY2023</x:v>
      </x:c>
      <x:c r="B342" s="36" t="str">
        <x:v>CF</x:v>
      </x:c>
      <x:c r="C342" s="36" t="str">
        <x:v>Stock-based compensation</x:v>
      </x:c>
      <x:c r="D342" s="36" t="str">
        <x:v>FY2023</x:v>
      </x:c>
      <x:c r="E342" s="37" t="n">
        <x:v>327.617</x:v>
      </x:c>
      <x:c r="F342" s="36" t="str">
        <x:v>https://www.purestorage.com/content/dam/pdf/en/legal/2023-form-10-k.pdf</x:v>
      </x:c>
      <x:c r="G342" s="36" t="n">
        <x:v>62</x:v>
      </x:c>
      <x:c r="H342" s="36" t="str">
        <x:v>Official 2023 Form 10-K used to complete FY2021 and FY2022 history.</x:v>
      </x:c>
    </x:row>
    <x:row r="343">
      <x:c r="A343" s="36" t="str">
        <x:v>H.CF.SBC.FY2024</x:v>
      </x:c>
      <x:c r="B343" s="36" t="str">
        <x:v>CF</x:v>
      </x:c>
      <x:c r="C343" s="36" t="str">
        <x:v>Stock-based compensation</x:v>
      </x:c>
      <x:c r="D343" s="36" t="str">
        <x:v>FY2024</x:v>
      </x:c>
      <x:c r="E343" s="37" t="n">
        <x:v>331.427</x:v>
      </x:c>
      <x:c r="F343" s="36" t="str">
        <x:v>ed7936ac-e0cd-408a-ae7f-063381fdf3a1.pdf</x:v>
      </x:c>
      <x:c r="G343" s="36" t="n">
        <x:v>58</x:v>
      </x:c>
      <x:c r="H343" s="36" t="str">
        <x:v>Provided 2024 Form 10-K.  Company named Pure Storage in this filing.</x:v>
      </x:c>
    </x:row>
    <x:row r="344">
      <x:c r="A344" s="36" t="str">
        <x:v>H.CF.SBC.FY2025</x:v>
      </x:c>
      <x:c r="B344" s="36" t="str">
        <x:v>CF</x:v>
      </x:c>
      <x:c r="C344" s="36" t="str">
        <x:v>Stock-based compensation</x:v>
      </x:c>
      <x:c r="D344" s="36" t="str">
        <x:v>FY2025</x:v>
      </x:c>
      <x:c r="E344" s="37" t="n">
        <x:v>421.306</x:v>
      </x:c>
      <x:c r="F344" s="36" t="str">
        <x:v>8c023447-ebc8-42c3-86e5-21558f3d7224.pdf</x:v>
      </x:c>
      <x:c r="G344" s="36" t="n">
        <x:v>61</x:v>
      </x:c>
      <x:c r="H344" s="36" t="str">
        <x:v>Provided 2025 Form 10-K.  Company named Pure Storage in this filing.</x:v>
      </x:c>
    </x:row>
    <x:row r="345">
      <x:c r="A345" s="36" t="str">
        <x:v>H.CF.SBC.FY2026</x:v>
      </x:c>
      <x:c r="B345" s="36" t="str">
        <x:v>CF</x:v>
      </x:c>
      <x:c r="C345" s="36" t="str">
        <x:v>Stock-based compensation</x:v>
      </x:c>
      <x:c r="D345" s="36" t="str">
        <x:v>FY2026</x:v>
      </x:c>
      <x:c r="E345" s="37" t="n">
        <x:v>481.652</x:v>
      </x:c>
      <x:c r="F345" s="36" t="str">
        <x:v>2e1ef280-4c52-445c-b593-a6c3a1fbfec6.pdf</x:v>
      </x:c>
      <x:c r="G345" s="36" t="n">
        <x:v>63</x:v>
      </x:c>
      <x:c r="H345" s="36" t="str">
        <x:v>Provided 2026 Form 10-K.  Company named Everpure in this filing.</x:v>
      </x:c>
    </x:row>
    <x:row r="346">
      <x:c r="A346" s="36" t="str">
        <x:v>H.CF.DEFERRED_TAXES.FY2021</x:v>
      </x:c>
      <x:c r="B346" s="36" t="str">
        <x:v>CF</x:v>
      </x:c>
      <x:c r="C346" s="36" t="str">
        <x:v>Deferred taxes</x:v>
      </x:c>
      <x:c r="D346" s="36" t="str">
        <x:v>FY2021</x:v>
      </x:c>
      <x:c r="E346" s="37" t="n">
        <x:v>0</x:v>
      </x:c>
      <x:c r="F346" s="36" t="str">
        <x:v>https://www.purestorage.com/content/dam/pdf/en/legal/2023-form-10-k.pdf</x:v>
      </x:c>
      <x:c r="G346" s="36" t="n">
        <x:v>62</x:v>
      </x:c>
      <x:c r="H346" s="36" t="str">
        <x:v>Official 2023 Form 10-K used to complete FY2021 and FY2022 history.</x:v>
      </x:c>
    </x:row>
    <x:row r="347">
      <x:c r="A347" s="36" t="str">
        <x:v>H.CF.DEFERRED_TAXES.FY2022</x:v>
      </x:c>
      <x:c r="B347" s="36" t="str">
        <x:v>CF</x:v>
      </x:c>
      <x:c r="C347" s="36" t="str">
        <x:v>Deferred taxes</x:v>
      </x:c>
      <x:c r="D347" s="36" t="str">
        <x:v>FY2022</x:v>
      </x:c>
      <x:c r="E347" s="37" t="n">
        <x:v>0</x:v>
      </x:c>
      <x:c r="F347" s="36" t="str">
        <x:v>https://www.purestorage.com/content/dam/pdf/en/legal/2023-form-10-k.pdf</x:v>
      </x:c>
      <x:c r="G347" s="36" t="n">
        <x:v>62</x:v>
      </x:c>
      <x:c r="H347" s="36" t="str">
        <x:v>Official 2023 Form 10-K used to complete FY2021 and FY2022 history.</x:v>
      </x:c>
    </x:row>
    <x:row r="348">
      <x:c r="A348" s="36" t="str">
        <x:v>H.CF.DEFERRED_TAXES.FY2023</x:v>
      </x:c>
      <x:c r="B348" s="36" t="str">
        <x:v>CF</x:v>
      </x:c>
      <x:c r="C348" s="36" t="str">
        <x:v>Deferred taxes</x:v>
      </x:c>
      <x:c r="D348" s="36" t="str">
        <x:v>FY2023</x:v>
      </x:c>
      <x:c r="E348" s="37" t="n">
        <x:v>0</x:v>
      </x:c>
      <x:c r="F348" s="36" t="str">
        <x:v>https://www.purestorage.com/content/dam/pdf/en/legal/2023-form-10-k.pdf</x:v>
      </x:c>
      <x:c r="G348" s="36" t="n">
        <x:v>62</x:v>
      </x:c>
      <x:c r="H348" s="36" t="str">
        <x:v>Official 2023 Form 10-K used to complete FY2021 and FY2022 history.</x:v>
      </x:c>
    </x:row>
    <x:row r="349">
      <x:c r="A349" s="36" t="str">
        <x:v>H.CF.DEFERRED_TAXES.FY2024</x:v>
      </x:c>
      <x:c r="B349" s="36" t="str">
        <x:v>CF</x:v>
      </x:c>
      <x:c r="C349" s="36" t="str">
        <x:v>Deferred taxes</x:v>
      </x:c>
      <x:c r="D349" s="36" t="str">
        <x:v>FY2024</x:v>
      </x:c>
      <x:c r="E349" s="37" t="n">
        <x:v>0</x:v>
      </x:c>
      <x:c r="F349" s="36" t="str">
        <x:v>ed7936ac-e0cd-408a-ae7f-063381fdf3a1.pdf</x:v>
      </x:c>
      <x:c r="G349" s="36" t="n">
        <x:v>58</x:v>
      </x:c>
      <x:c r="H349" s="36" t="str">
        <x:v>Provided 2024 Form 10-K.  Company named Pure Storage in this filing.</x:v>
      </x:c>
    </x:row>
    <x:row r="350">
      <x:c r="A350" s="36" t="str">
        <x:v>H.CF.DEFERRED_TAXES.FY2025</x:v>
      </x:c>
      <x:c r="B350" s="36" t="str">
        <x:v>CF</x:v>
      </x:c>
      <x:c r="C350" s="36" t="str">
        <x:v>Deferred taxes</x:v>
      </x:c>
      <x:c r="D350" s="36" t="str">
        <x:v>FY2025</x:v>
      </x:c>
      <x:c r="E350" s="37" t="n">
        <x:v>0</x:v>
      </x:c>
      <x:c r="F350" s="36" t="str">
        <x:v>8c023447-ebc8-42c3-86e5-21558f3d7224.pdf</x:v>
      </x:c>
      <x:c r="G350" s="36" t="n">
        <x:v>61</x:v>
      </x:c>
      <x:c r="H350" s="36" t="str">
        <x:v>Provided 2025 Form 10-K.  Company named Pure Storage in this filing.</x:v>
      </x:c>
    </x:row>
    <x:row r="351">
      <x:c r="A351" s="36" t="str">
        <x:v>H.CF.DEFERRED_TAXES.FY2026</x:v>
      </x:c>
      <x:c r="B351" s="36" t="str">
        <x:v>CF</x:v>
      </x:c>
      <x:c r="C351" s="36" t="str">
        <x:v>Deferred taxes</x:v>
      </x:c>
      <x:c r="D351" s="36" t="str">
        <x:v>FY2026</x:v>
      </x:c>
      <x:c r="E351" s="37" t="n">
        <x:v>0</x:v>
      </x:c>
      <x:c r="F351" s="36" t="str">
        <x:v>2e1ef280-4c52-445c-b593-a6c3a1fbfec6.pdf</x:v>
      </x:c>
      <x:c r="G351" s="36" t="n">
        <x:v>63</x:v>
      </x:c>
      <x:c r="H351" s="36" t="str">
        <x:v>Provided 2026 Form 10-K.  Company named Everpure in this filing.</x:v>
      </x:c>
    </x:row>
    <x:row r="352">
      <x:c r="A352" s="36" t="str">
        <x:v>H.CF.OTHER_NONCASH.FY2021</x:v>
      </x:c>
      <x:c r="B352" s="36" t="str">
        <x:v>CF</x:v>
      </x:c>
      <x:c r="C352" s="36" t="str">
        <x:v>Other non-cash items</x:v>
      </x:c>
      <x:c r="D352" s="36" t="str">
        <x:v>FY2021</x:v>
      </x:c>
      <x:c r="E352" s="37" t="n">
        <x:v>43.915</x:v>
      </x:c>
      <x:c r="F352" s="36" t="str">
        <x:v>https://www.purestorage.com/content/dam/pdf/en/legal/2023-form-10-k.pdf</x:v>
      </x:c>
      <x:c r="G352" s="36" t="n">
        <x:v>62</x:v>
      </x:c>
      <x:c r="H352" s="36" t="str">
        <x:v>Official 2023 Form 10-K used to complete FY2021 and FY2022 history.</x:v>
      </x:c>
    </x:row>
    <x:row r="353">
      <x:c r="A353" s="36" t="str">
        <x:v>H.CF.OTHER_NONCASH.FY2022</x:v>
      </x:c>
      <x:c r="B353" s="36" t="str">
        <x:v>CF</x:v>
      </x:c>
      <x:c r="C353" s="36" t="str">
        <x:v>Other non-cash items</x:v>
      </x:c>
      <x:c r="D353" s="36" t="str">
        <x:v>FY2022</x:v>
      </x:c>
      <x:c r="E353" s="37" t="n">
        <x:v>45.123</x:v>
      </x:c>
      <x:c r="F353" s="36" t="str">
        <x:v>https://www.purestorage.com/content/dam/pdf/en/legal/2023-form-10-k.pdf</x:v>
      </x:c>
      <x:c r="G353" s="36" t="n">
        <x:v>62</x:v>
      </x:c>
      <x:c r="H353" s="36" t="str">
        <x:v>Official 2023 Form 10-K used to complete FY2021 and FY2022 history.</x:v>
      </x:c>
    </x:row>
    <x:row r="354">
      <x:c r="A354" s="36" t="str">
        <x:v>H.CF.OTHER_NONCASH.FY2023</x:v>
      </x:c>
      <x:c r="B354" s="36" t="str">
        <x:v>CF</x:v>
      </x:c>
      <x:c r="C354" s="36" t="str">
        <x:v>Other non-cash items</x:v>
      </x:c>
      <x:c r="D354" s="36" t="str">
        <x:v>FY2023</x:v>
      </x:c>
      <x:c r="E354" s="37" t="n">
        <x:v>7.355</x:v>
      </x:c>
      <x:c r="F354" s="36" t="str">
        <x:v>https://www.purestorage.com/content/dam/pdf/en/legal/2023-form-10-k.pdf</x:v>
      </x:c>
      <x:c r="G354" s="36" t="n">
        <x:v>62</x:v>
      </x:c>
      <x:c r="H354" s="36" t="str">
        <x:v>Official 2023 Form 10-K used to complete FY2021 and FY2022 history.</x:v>
      </x:c>
    </x:row>
    <x:row r="355">
      <x:c r="A355" s="36" t="str">
        <x:v>H.CF.OTHER_NONCASH.FY2024</x:v>
      </x:c>
      <x:c r="B355" s="36" t="str">
        <x:v>CF</x:v>
      </x:c>
      <x:c r="C355" s="36" t="str">
        <x:v>Other non-cash items</x:v>
      </x:c>
      <x:c r="D355" s="36" t="str">
        <x:v>FY2024</x:v>
      </x:c>
      <x:c r="E355" s="37" t="n">
        <x:v>18.325</x:v>
      </x:c>
      <x:c r="F355" s="36" t="str">
        <x:v>ed7936ac-e0cd-408a-ae7f-063381fdf3a1.pdf</x:v>
      </x:c>
      <x:c r="G355" s="36" t="n">
        <x:v>58</x:v>
      </x:c>
      <x:c r="H355" s="36" t="str">
        <x:v>Provided 2024 Form 10-K.  Company named Pure Storage in this filing.</x:v>
      </x:c>
    </x:row>
    <x:row r="356">
      <x:c r="A356" s="36" t="str">
        <x:v>H.CF.OTHER_NONCASH.FY2025</x:v>
      </x:c>
      <x:c r="B356" s="36" t="str">
        <x:v>CF</x:v>
      </x:c>
      <x:c r="C356" s="36" t="str">
        <x:v>Other non-cash items</x:v>
      </x:c>
      <x:c r="D356" s="36" t="str">
        <x:v>FY2025</x:v>
      </x:c>
      <x:c r="E356" s="37" t="n">
        <x:v>12.798</x:v>
      </x:c>
      <x:c r="F356" s="36" t="str">
        <x:v>8c023447-ebc8-42c3-86e5-21558f3d7224.pdf</x:v>
      </x:c>
      <x:c r="G356" s="36" t="n">
        <x:v>61</x:v>
      </x:c>
      <x:c r="H356" s="36" t="str">
        <x:v>Provided 2025 Form 10-K.  Company named Pure Storage in this filing.</x:v>
      </x:c>
    </x:row>
    <x:row r="357">
      <x:c r="A357" s="36" t="str">
        <x:v>H.CF.OTHER_NONCASH.FY2026</x:v>
      </x:c>
      <x:c r="B357" s="36" t="str">
        <x:v>CF</x:v>
      </x:c>
      <x:c r="C357" s="36" t="str">
        <x:v>Other non-cash items</x:v>
      </x:c>
      <x:c r="D357" s="36" t="str">
        <x:v>FY2026</x:v>
      </x:c>
      <x:c r="E357" s="37" t="n">
        <x:v>-13.138</x:v>
      </x:c>
      <x:c r="F357" s="36" t="str">
        <x:v>2e1ef280-4c52-445c-b593-a6c3a1fbfec6.pdf</x:v>
      </x:c>
      <x:c r="G357" s="36" t="n">
        <x:v>63</x:v>
      </x:c>
      <x:c r="H357" s="36" t="str">
        <x:v>Provided 2026 Form 10-K.  Company named Everpure in this filing.</x:v>
      </x:c>
    </x:row>
    <x:row r="358">
      <x:c r="A358" s="36" t="str">
        <x:v>H.CF.CHANGE_AR.FY2021</x:v>
      </x:c>
      <x:c r="B358" s="36" t="str">
        <x:v>CF</x:v>
      </x:c>
      <x:c r="C358" s="36" t="str">
        <x:v>Change in AR</x:v>
      </x:c>
      <x:c r="D358" s="36" t="str">
        <x:v>FY2021</x:v>
      </x:c>
      <x:c r="E358" s="37" t="n">
        <x:v>0.41</x:v>
      </x:c>
      <x:c r="F358" s="36" t="str">
        <x:v>https://www.purestorage.com/content/dam/pdf/en/legal/2023-form-10-k.pdf</x:v>
      </x:c>
      <x:c r="G358" s="36" t="n">
        <x:v>62</x:v>
      </x:c>
      <x:c r="H358" s="36" t="str">
        <x:v>Official 2023 Form 10-K used to complete FY2021 and FY2022 history.</x:v>
      </x:c>
    </x:row>
    <x:row r="359">
      <x:c r="A359" s="36" t="str">
        <x:v>H.CF.CHANGE_AR.FY2022</x:v>
      </x:c>
      <x:c r="B359" s="36" t="str">
        <x:v>CF</x:v>
      </x:c>
      <x:c r="C359" s="36" t="str">
        <x:v>Change in AR</x:v>
      </x:c>
      <x:c r="D359" s="36" t="str">
        <x:v>FY2022</x:v>
      </x:c>
      <x:c r="E359" s="37" t="n">
        <x:v>-81.247</x:v>
      </x:c>
      <x:c r="F359" s="36" t="str">
        <x:v>https://www.purestorage.com/content/dam/pdf/en/legal/2023-form-10-k.pdf</x:v>
      </x:c>
      <x:c r="G359" s="36" t="n">
        <x:v>62</x:v>
      </x:c>
      <x:c r="H359" s="36" t="str">
        <x:v>Official 2023 Form 10-K used to complete FY2021 and FY2022 history.</x:v>
      </x:c>
    </x:row>
    <x:row r="360">
      <x:c r="A360" s="36" t="str">
        <x:v>H.CF.CHANGE_AR.FY2023</x:v>
      </x:c>
      <x:c r="B360" s="36" t="str">
        <x:v>CF</x:v>
      </x:c>
      <x:c r="C360" s="36" t="str">
        <x:v>Change in AR</x:v>
      </x:c>
      <x:c r="D360" s="36" t="str">
        <x:v>FY2023</x:v>
      </x:c>
      <x:c r="E360" s="37" t="n">
        <x:v>-70.724</x:v>
      </x:c>
      <x:c r="F360" s="36" t="str">
        <x:v>https://www.purestorage.com/content/dam/pdf/en/legal/2023-form-10-k.pdf</x:v>
      </x:c>
      <x:c r="G360" s="36" t="n">
        <x:v>62</x:v>
      </x:c>
      <x:c r="H360" s="36" t="str">
        <x:v>Official 2023 Form 10-K used to complete FY2021 and FY2022 history.</x:v>
      </x:c>
    </x:row>
    <x:row r="361">
      <x:c r="A361" s="36" t="str">
        <x:v>H.CF.CHANGE_AR.FY2024</x:v>
      </x:c>
      <x:c r="B361" s="36" t="str">
        <x:v>CF</x:v>
      </x:c>
      <x:c r="C361" s="36" t="str">
        <x:v>Change in AR</x:v>
      </x:c>
      <x:c r="D361" s="36" t="str">
        <x:v>FY2024</x:v>
      </x:c>
      <x:c r="E361" s="37" t="n">
        <x:v>-49.687</x:v>
      </x:c>
      <x:c r="F361" s="36" t="str">
        <x:v>ed7936ac-e0cd-408a-ae7f-063381fdf3a1.pdf</x:v>
      </x:c>
      <x:c r="G361" s="36" t="n">
        <x:v>58</x:v>
      </x:c>
      <x:c r="H361" s="36" t="str">
        <x:v>Provided 2024 Form 10-K.  Company named Pure Storage in this filing.</x:v>
      </x:c>
    </x:row>
    <x:row r="362">
      <x:c r="A362" s="36" t="str">
        <x:v>H.CF.CHANGE_AR.FY2025</x:v>
      </x:c>
      <x:c r="B362" s="36" t="str">
        <x:v>CF</x:v>
      </x:c>
      <x:c r="C362" s="36" t="str">
        <x:v>Change in AR</x:v>
      </x:c>
      <x:c r="D362" s="36" t="str">
        <x:v>FY2025</x:v>
      </x:c>
      <x:c r="E362" s="37" t="n">
        <x:v>-18.64</x:v>
      </x:c>
      <x:c r="F362" s="36" t="str">
        <x:v>8c023447-ebc8-42c3-86e5-21558f3d7224.pdf</x:v>
      </x:c>
      <x:c r="G362" s="36" t="n">
        <x:v>61</x:v>
      </x:c>
      <x:c r="H362" s="36" t="str">
        <x:v>Provided 2025 Form 10-K.  Company named Pure Storage in this filing.</x:v>
      </x:c>
    </x:row>
    <x:row r="363">
      <x:c r="A363" s="36" t="str">
        <x:v>H.CF.CHANGE_AR.FY2026</x:v>
      </x:c>
      <x:c r="B363" s="36" t="str">
        <x:v>CF</x:v>
      </x:c>
      <x:c r="C363" s="36" t="str">
        <x:v>Change in AR</x:v>
      </x:c>
      <x:c r="D363" s="36" t="str">
        <x:v>FY2026</x:v>
      </x:c>
      <x:c r="E363" s="37" t="n">
        <x:v>-264.051</x:v>
      </x:c>
      <x:c r="F363" s="36" t="str">
        <x:v>2e1ef280-4c52-445c-b593-a6c3a1fbfec6.pdf</x:v>
      </x:c>
      <x:c r="G363" s="36" t="n">
        <x:v>63</x:v>
      </x:c>
      <x:c r="H363" s="36" t="str">
        <x:v>Provided 2026 Form 10-K.  Company named Everpure in this filing.</x:v>
      </x:c>
    </x:row>
    <x:row r="364">
      <x:c r="A364" s="36" t="str">
        <x:v>H.CF.CHANGE_INVENTORY.FY2021</x:v>
      </x:c>
      <x:c r="B364" s="36" t="str">
        <x:v>CF</x:v>
      </x:c>
      <x:c r="C364" s="36" t="str">
        <x:v>Change in inventory</x:v>
      </x:c>
      <x:c r="D364" s="36" t="str">
        <x:v>FY2021</x:v>
      </x:c>
      <x:c r="E364" s="37" t="n">
        <x:v>-8.69</x:v>
      </x:c>
      <x:c r="F364" s="36" t="str">
        <x:v>https://www.purestorage.com/content/dam/pdf/en/legal/2023-form-10-k.pdf</x:v>
      </x:c>
      <x:c r="G364" s="36" t="n">
        <x:v>62</x:v>
      </x:c>
      <x:c r="H364" s="36" t="str">
        <x:v>Official 2023 Form 10-K used to complete FY2021 and FY2022 history.</x:v>
      </x:c>
    </x:row>
    <x:row r="365">
      <x:c r="A365" s="36" t="str">
        <x:v>H.CF.CHANGE_INVENTORY.FY2022</x:v>
      </x:c>
      <x:c r="B365" s="36" t="str">
        <x:v>CF</x:v>
      </x:c>
      <x:c r="C365" s="36" t="str">
        <x:v>Change in inventory</x:v>
      </x:c>
      <x:c r="D365" s="36" t="str">
        <x:v>FY2022</x:v>
      </x:c>
      <x:c r="E365" s="37" t="n">
        <x:v>4.118</x:v>
      </x:c>
      <x:c r="F365" s="36" t="str">
        <x:v>https://www.purestorage.com/content/dam/pdf/en/legal/2023-form-10-k.pdf</x:v>
      </x:c>
      <x:c r="G365" s="36" t="n">
        <x:v>62</x:v>
      </x:c>
      <x:c r="H365" s="36" t="str">
        <x:v>Official 2023 Form 10-K used to complete FY2021 and FY2022 history.</x:v>
      </x:c>
    </x:row>
    <x:row r="366">
      <x:c r="A366" s="36" t="str">
        <x:v>H.CF.CHANGE_INVENTORY.FY2023</x:v>
      </x:c>
      <x:c r="B366" s="36" t="str">
        <x:v>CF</x:v>
      </x:c>
      <x:c r="C366" s="36" t="str">
        <x:v>Change in inventory</x:v>
      </x:c>
      <x:c r="D366" s="36" t="str">
        <x:v>FY2023</x:v>
      </x:c>
      <x:c r="E366" s="37" t="n">
        <x:v>-10.619</x:v>
      </x:c>
      <x:c r="F366" s="36" t="str">
        <x:v>https://www.purestorage.com/content/dam/pdf/en/legal/2023-form-10-k.pdf</x:v>
      </x:c>
      <x:c r="G366" s="36" t="n">
        <x:v>62</x:v>
      </x:c>
      <x:c r="H366" s="36" t="str">
        <x:v>Official 2023 Form 10-K used to complete FY2021 and FY2022 history.</x:v>
      </x:c>
    </x:row>
    <x:row r="367">
      <x:c r="A367" s="36" t="str">
        <x:v>H.CF.CHANGE_INVENTORY.FY2024</x:v>
      </x:c>
      <x:c r="B367" s="36" t="str">
        <x:v>CF</x:v>
      </x:c>
      <x:c r="C367" s="36" t="str">
        <x:v>Change in inventory</x:v>
      </x:c>
      <x:c r="D367" s="36" t="str">
        <x:v>FY2024</x:v>
      </x:c>
      <x:c r="E367" s="37" t="n">
        <x:v>6.81</x:v>
      </x:c>
      <x:c r="F367" s="36" t="str">
        <x:v>ed7936ac-e0cd-408a-ae7f-063381fdf3a1.pdf</x:v>
      </x:c>
      <x:c r="G367" s="36" t="n">
        <x:v>58</x:v>
      </x:c>
      <x:c r="H367" s="36" t="str">
        <x:v>Provided 2024 Form 10-K.  Company named Pure Storage in this filing.</x:v>
      </x:c>
    </x:row>
    <x:row r="368">
      <x:c r="A368" s="36" t="str">
        <x:v>H.CF.CHANGE_INVENTORY.FY2025</x:v>
      </x:c>
      <x:c r="B368" s="36" t="str">
        <x:v>CF</x:v>
      </x:c>
      <x:c r="C368" s="36" t="str">
        <x:v>Change in inventory</x:v>
      </x:c>
      <x:c r="D368" s="36" t="str">
        <x:v>FY2025</x:v>
      </x:c>
      <x:c r="E368" s="37" t="n">
        <x:v>-1.039</x:v>
      </x:c>
      <x:c r="F368" s="36" t="str">
        <x:v>8c023447-ebc8-42c3-86e5-21558f3d7224.pdf</x:v>
      </x:c>
      <x:c r="G368" s="36" t="n">
        <x:v>61</x:v>
      </x:c>
      <x:c r="H368" s="36" t="str">
        <x:v>Provided 2025 Form 10-K.  Company named Pure Storage in this filing.</x:v>
      </x:c>
    </x:row>
    <x:row r="369">
      <x:c r="A369" s="36" t="str">
        <x:v>H.CF.CHANGE_INVENTORY.FY2026</x:v>
      </x:c>
      <x:c r="B369" s="36" t="str">
        <x:v>CF</x:v>
      </x:c>
      <x:c r="C369" s="36" t="str">
        <x:v>Change in inventory</x:v>
      </x:c>
      <x:c r="D369" s="36" t="str">
        <x:v>FY2026</x:v>
      </x:c>
      <x:c r="E369" s="37" t="n">
        <x:v>-35.807</x:v>
      </x:c>
      <x:c r="F369" s="36" t="str">
        <x:v>2e1ef280-4c52-445c-b593-a6c3a1fbfec6.pdf</x:v>
      </x:c>
      <x:c r="G369" s="36" t="n">
        <x:v>63</x:v>
      </x:c>
      <x:c r="H369" s="36" t="str">
        <x:v>Provided 2026 Form 10-K.  Company named Everpure in this filing.</x:v>
      </x:c>
    </x:row>
    <x:row r="370">
      <x:c r="A370" s="36" t="str">
        <x:v>H.CF.CHANGE_DEFERRED_COMMISSIONS.FY2021</x:v>
      </x:c>
      <x:c r="B370" s="36" t="str">
        <x:v>CF</x:v>
      </x:c>
      <x:c r="C370" s="36" t="str">
        <x:v>Change in deferred commissions</x:v>
      </x:c>
      <x:c r="D370" s="36" t="str">
        <x:v>FY2021</x:v>
      </x:c>
      <x:c r="E370" s="37" t="n">
        <x:v>-48.721</x:v>
      </x:c>
      <x:c r="F370" s="36" t="str">
        <x:v>https://www.purestorage.com/content/dam/pdf/en/legal/2023-form-10-k.pdf</x:v>
      </x:c>
      <x:c r="G370" s="36" t="n">
        <x:v>62</x:v>
      </x:c>
      <x:c r="H370" s="36" t="str">
        <x:v>Official 2023 Form 10-K used to complete FY2021 and FY2022 history.</x:v>
      </x:c>
    </x:row>
    <x:row r="371">
      <x:c r="A371" s="36" t="str">
        <x:v>H.CF.CHANGE_DEFERRED_COMMISSIONS.FY2022</x:v>
      </x:c>
      <x:c r="B371" s="36" t="str">
        <x:v>CF</x:v>
      </x:c>
      <x:c r="C371" s="36" t="str">
        <x:v>Change in deferred commissions</x:v>
      </x:c>
      <x:c r="D371" s="36" t="str">
        <x:v>FY2022</x:v>
      </x:c>
      <x:c r="E371" s="37" t="n">
        <x:v>-58.383</x:v>
      </x:c>
      <x:c r="F371" s="36" t="str">
        <x:v>https://www.purestorage.com/content/dam/pdf/en/legal/2023-form-10-k.pdf</x:v>
      </x:c>
      <x:c r="G371" s="36" t="n">
        <x:v>62</x:v>
      </x:c>
      <x:c r="H371" s="36" t="str">
        <x:v>Official 2023 Form 10-K used to complete FY2021 and FY2022 history.</x:v>
      </x:c>
    </x:row>
    <x:row r="372">
      <x:c r="A372" s="36" t="str">
        <x:v>H.CF.CHANGE_DEFERRED_COMMISSIONS.FY2023</x:v>
      </x:c>
      <x:c r="B372" s="36" t="str">
        <x:v>CF</x:v>
      </x:c>
      <x:c r="C372" s="36" t="str">
        <x:v>Change in deferred commissions</x:v>
      </x:c>
      <x:c r="D372" s="36" t="str">
        <x:v>FY2023</x:v>
      </x:c>
      <x:c r="E372" s="37" t="n">
        <x:v>0.451</x:v>
      </x:c>
      <x:c r="F372" s="36" t="str">
        <x:v>https://www.purestorage.com/content/dam/pdf/en/legal/2023-form-10-k.pdf</x:v>
      </x:c>
      <x:c r="G372" s="36" t="n">
        <x:v>62</x:v>
      </x:c>
      <x:c r="H372" s="36" t="str">
        <x:v>Official 2023 Form 10-K used to complete FY2021 and FY2022 history.</x:v>
      </x:c>
    </x:row>
    <x:row r="373">
      <x:c r="A373" s="36" t="str">
        <x:v>H.CF.CHANGE_DEFERRED_COMMISSIONS.FY2024</x:v>
      </x:c>
      <x:c r="B373" s="36" t="str">
        <x:v>CF</x:v>
      </x:c>
      <x:c r="C373" s="36" t="str">
        <x:v>Change in deferred commissions</x:v>
      </x:c>
      <x:c r="D373" s="36" t="str">
        <x:v>FY2024</x:v>
      </x:c>
      <x:c r="E373" s="37" t="n">
        <x:v>-58.476</x:v>
      </x:c>
      <x:c r="F373" s="36" t="str">
        <x:v>ed7936ac-e0cd-408a-ae7f-063381fdf3a1.pdf</x:v>
      </x:c>
      <x:c r="G373" s="36" t="n">
        <x:v>58</x:v>
      </x:c>
      <x:c r="H373" s="36" t="str">
        <x:v>Provided 2024 Form 10-K.  Company named Pure Storage in this filing.</x:v>
      </x:c>
    </x:row>
    <x:row r="374">
      <x:c r="A374" s="36" t="str">
        <x:v>H.CF.CHANGE_DEFERRED_COMMISSIONS.FY2025</x:v>
      </x:c>
      <x:c r="B374" s="36" t="str">
        <x:v>CF</x:v>
      </x:c>
      <x:c r="C374" s="36" t="str">
        <x:v>Change in deferred commissions</x:v>
      </x:c>
      <x:c r="D374" s="36" t="str">
        <x:v>FY2025</x:v>
      </x:c>
      <x:c r="E374" s="37" t="n">
        <x:v>-24.289</x:v>
      </x:c>
      <x:c r="F374" s="36" t="str">
        <x:v>8c023447-ebc8-42c3-86e5-21558f3d7224.pdf</x:v>
      </x:c>
      <x:c r="G374" s="36" t="n">
        <x:v>61</x:v>
      </x:c>
      <x:c r="H374" s="36" t="str">
        <x:v>Provided 2025 Form 10-K.  Company named Pure Storage in this filing.</x:v>
      </x:c>
    </x:row>
    <x:row r="375">
      <x:c r="A375" s="36" t="str">
        <x:v>H.CF.CHANGE_DEFERRED_COMMISSIONS.FY2026</x:v>
      </x:c>
      <x:c r="B375" s="36" t="str">
        <x:v>CF</x:v>
      </x:c>
      <x:c r="C375" s="36" t="str">
        <x:v>Change in deferred commissions</x:v>
      </x:c>
      <x:c r="D375" s="36" t="str">
        <x:v>FY2026</x:v>
      </x:c>
      <x:c r="E375" s="37" t="n">
        <x:v>-90.949</x:v>
      </x:c>
      <x:c r="F375" s="36" t="str">
        <x:v>2e1ef280-4c52-445c-b593-a6c3a1fbfec6.pdf</x:v>
      </x:c>
      <x:c r="G375" s="36" t="n">
        <x:v>63</x:v>
      </x:c>
      <x:c r="H375" s="36" t="str">
        <x:v>Provided 2026 Form 10-K.  Company named Everpure in this filing.</x:v>
      </x:c>
    </x:row>
    <x:row r="376">
      <x:c r="A376" s="36" t="str">
        <x:v>H.CF.CHANGE_PREPAIDS.FY2021</x:v>
      </x:c>
      <x:c r="B376" s="36" t="str">
        <x:v>CF</x:v>
      </x:c>
      <x:c r="C376" s="36" t="str">
        <x:v>Change in prepaids</x:v>
      </x:c>
      <x:c r="D376" s="36" t="str">
        <x:v>FY2021</x:v>
      </x:c>
      <x:c r="E376" s="37" t="n">
        <x:v>-33.982</x:v>
      </x:c>
      <x:c r="F376" s="36" t="str">
        <x:v>https://www.purestorage.com/content/dam/pdf/en/legal/2023-form-10-k.pdf</x:v>
      </x:c>
      <x:c r="G376" s="36" t="n">
        <x:v>62</x:v>
      </x:c>
      <x:c r="H376" s="36" t="str">
        <x:v>Official 2023 Form 10-K used to complete FY2021 and FY2022 history.</x:v>
      </x:c>
    </x:row>
    <x:row r="377">
      <x:c r="A377" s="36" t="str">
        <x:v>H.CF.CHANGE_PREPAIDS.FY2022</x:v>
      </x:c>
      <x:c r="B377" s="36" t="str">
        <x:v>CF</x:v>
      </x:c>
      <x:c r="C377" s="36" t="str">
        <x:v>Change in prepaids</x:v>
      </x:c>
      <x:c r="D377" s="36" t="str">
        <x:v>FY2022</x:v>
      </x:c>
      <x:c r="E377" s="37" t="n">
        <x:v>-25.788</x:v>
      </x:c>
      <x:c r="F377" s="36" t="str">
        <x:v>https://www.purestorage.com/content/dam/pdf/en/legal/2023-form-10-k.pdf</x:v>
      </x:c>
      <x:c r="G377" s="36" t="n">
        <x:v>62</x:v>
      </x:c>
      <x:c r="H377" s="36" t="str">
        <x:v>Official 2023 Form 10-K used to complete FY2021 and FY2022 history.</x:v>
      </x:c>
    </x:row>
    <x:row r="378">
      <x:c r="A378" s="36" t="str">
        <x:v>H.CF.CHANGE_PREPAIDS.FY2023</x:v>
      </x:c>
      <x:c r="B378" s="36" t="str">
        <x:v>CF</x:v>
      </x:c>
      <x:c r="C378" s="36" t="str">
        <x:v>Change in prepaids</x:v>
      </x:c>
      <x:c r="D378" s="36" t="str">
        <x:v>FY2023</x:v>
      </x:c>
      <x:c r="E378" s="37" t="n">
        <x:v>-31.58</x:v>
      </x:c>
      <x:c r="F378" s="36" t="str">
        <x:v>https://www.purestorage.com/content/dam/pdf/en/legal/2023-form-10-k.pdf</x:v>
      </x:c>
      <x:c r="G378" s="36" t="n">
        <x:v>62</x:v>
      </x:c>
      <x:c r="H378" s="36" t="str">
        <x:v>Official 2023 Form 10-K used to complete FY2021 and FY2022 history.</x:v>
      </x:c>
    </x:row>
    <x:row r="379">
      <x:c r="A379" s="36" t="str">
        <x:v>H.CF.CHANGE_PREPAIDS.FY2024</x:v>
      </x:c>
      <x:c r="B379" s="36" t="str">
        <x:v>CF</x:v>
      </x:c>
      <x:c r="C379" s="36" t="str">
        <x:v>Change in prepaids</x:v>
      </x:c>
      <x:c r="D379" s="36" t="str">
        <x:v>FY2024</x:v>
      </x:c>
      <x:c r="E379" s="37" t="n">
        <x:v>-25.669</x:v>
      </x:c>
      <x:c r="F379" s="36" t="str">
        <x:v>ed7936ac-e0cd-408a-ae7f-063381fdf3a1.pdf</x:v>
      </x:c>
      <x:c r="G379" s="36" t="n">
        <x:v>58</x:v>
      </x:c>
      <x:c r="H379" s="36" t="str">
        <x:v>Provided 2024 Form 10-K.  Company named Pure Storage in this filing.</x:v>
      </x:c>
    </x:row>
    <x:row r="380">
      <x:c r="A380" s="36" t="str">
        <x:v>H.CF.CHANGE_PREPAIDS.FY2025</x:v>
      </x:c>
      <x:c r="B380" s="36" t="str">
        <x:v>CF</x:v>
      </x:c>
      <x:c r="C380" s="36" t="str">
        <x:v>Change in prepaids</x:v>
      </x:c>
      <x:c r="D380" s="36" t="str">
        <x:v>FY2025</x:v>
      </x:c>
      <x:c r="E380" s="37" t="n">
        <x:v>-121.657</x:v>
      </x:c>
      <x:c r="F380" s="36" t="str">
        <x:v>8c023447-ebc8-42c3-86e5-21558f3d7224.pdf</x:v>
      </x:c>
      <x:c r="G380" s="36" t="n">
        <x:v>61</x:v>
      </x:c>
      <x:c r="H380" s="36" t="str">
        <x:v>Provided 2025 Form 10-K.  Company named Pure Storage in this filing.</x:v>
      </x:c>
    </x:row>
    <x:row r="381">
      <x:c r="A381" s="36" t="str">
        <x:v>H.CF.CHANGE_PREPAIDS.FY2026</x:v>
      </x:c>
      <x:c r="B381" s="36" t="str">
        <x:v>CF</x:v>
      </x:c>
      <x:c r="C381" s="36" t="str">
        <x:v>Change in prepaids</x:v>
      </x:c>
      <x:c r="D381" s="36" t="str">
        <x:v>FY2026</x:v>
      </x:c>
      <x:c r="E381" s="37" t="n">
        <x:v>-159.863</x:v>
      </x:c>
      <x:c r="F381" s="36" t="str">
        <x:v>2e1ef280-4c52-445c-b593-a6c3a1fbfec6.pdf</x:v>
      </x:c>
      <x:c r="G381" s="36" t="n">
        <x:v>63</x:v>
      </x:c>
      <x:c r="H381" s="36" t="str">
        <x:v>Provided 2026 Form 10-K.  Company named Everpure in this filing.</x:v>
      </x:c>
    </x:row>
    <x:row r="382">
      <x:c r="A382" s="36" t="str">
        <x:v>H.CF.CHANGE_ROU_ASSETS.FY2021</x:v>
      </x:c>
      <x:c r="B382" s="36" t="str">
        <x:v>CF</x:v>
      </x:c>
      <x:c r="C382" s="36" t="str">
        <x:v>Change in operating lease ROU assets</x:v>
      </x:c>
      <x:c r="D382" s="36" t="str">
        <x:v>FY2021</x:v>
      </x:c>
      <x:c r="E382" s="37" t="n">
        <x:v>28.804</x:v>
      </x:c>
      <x:c r="F382" s="36" t="str">
        <x:v>https://www.purestorage.com/content/dam/pdf/en/legal/2023-form-10-k.pdf</x:v>
      </x:c>
      <x:c r="G382" s="36" t="n">
        <x:v>62</x:v>
      </x:c>
      <x:c r="H382" s="36" t="str">
        <x:v>Official 2023 Form 10-K used to complete FY2021 and FY2022 history.</x:v>
      </x:c>
    </x:row>
    <x:row r="383">
      <x:c r="A383" s="36" t="str">
        <x:v>H.CF.CHANGE_ROU_ASSETS.FY2022</x:v>
      </x:c>
      <x:c r="B383" s="36" t="str">
        <x:v>CF</x:v>
      </x:c>
      <x:c r="C383" s="36" t="str">
        <x:v>Change in operating lease ROU assets</x:v>
      </x:c>
      <x:c r="D383" s="36" t="str">
        <x:v>FY2022</x:v>
      </x:c>
      <x:c r="E383" s="37" t="n">
        <x:v>29.952</x:v>
      </x:c>
      <x:c r="F383" s="36" t="str">
        <x:v>https://www.purestorage.com/content/dam/pdf/en/legal/2023-form-10-k.pdf</x:v>
      </x:c>
      <x:c r="G383" s="36" t="n">
        <x:v>62</x:v>
      </x:c>
      <x:c r="H383" s="36" t="str">
        <x:v>Official 2023 Form 10-K used to complete FY2021 and FY2022 history.</x:v>
      </x:c>
    </x:row>
    <x:row r="384">
      <x:c r="A384" s="36" t="str">
        <x:v>H.CF.CHANGE_ROU_ASSETS.FY2023</x:v>
      </x:c>
      <x:c r="B384" s="36" t="str">
        <x:v>CF</x:v>
      </x:c>
      <x:c r="C384" s="36" t="str">
        <x:v>Change in operating lease ROU assets</x:v>
      </x:c>
      <x:c r="D384" s="36" t="str">
        <x:v>FY2023</x:v>
      </x:c>
      <x:c r="E384" s="37" t="n">
        <x:v>33.813</x:v>
      </x:c>
      <x:c r="F384" s="36" t="str">
        <x:v>https://www.purestorage.com/content/dam/pdf/en/legal/2023-form-10-k.pdf</x:v>
      </x:c>
      <x:c r="G384" s="36" t="n">
        <x:v>62</x:v>
      </x:c>
      <x:c r="H384" s="36" t="str">
        <x:v>Official 2023 Form 10-K used to complete FY2021 and FY2022 history.</x:v>
      </x:c>
    </x:row>
    <x:row r="385">
      <x:c r="A385" s="36" t="str">
        <x:v>H.CF.CHANGE_ROU_ASSETS.FY2024</x:v>
      </x:c>
      <x:c r="B385" s="36" t="str">
        <x:v>CF</x:v>
      </x:c>
      <x:c r="C385" s="36" t="str">
        <x:v>Change in operating lease ROU assets</x:v>
      </x:c>
      <x:c r="D385" s="36" t="str">
        <x:v>FY2024</x:v>
      </x:c>
      <x:c r="E385" s="37" t="n">
        <x:v>35.499</x:v>
      </x:c>
      <x:c r="F385" s="36" t="str">
        <x:v>ed7936ac-e0cd-408a-ae7f-063381fdf3a1.pdf</x:v>
      </x:c>
      <x:c r="G385" s="36" t="n">
        <x:v>58</x:v>
      </x:c>
      <x:c r="H385" s="36" t="str">
        <x:v>Provided 2024 Form 10-K.  Company named Pure Storage in this filing.</x:v>
      </x:c>
    </x:row>
    <x:row r="386">
      <x:c r="A386" s="36" t="str">
        <x:v>H.CF.CHANGE_ROU_ASSETS.FY2025</x:v>
      </x:c>
      <x:c r="B386" s="36" t="str">
        <x:v>CF</x:v>
      </x:c>
      <x:c r="C386" s="36" t="str">
        <x:v>Change in operating lease ROU assets</x:v>
      </x:c>
      <x:c r="D386" s="36" t="str">
        <x:v>FY2025</x:v>
      </x:c>
      <x:c r="E386" s="37" t="n">
        <x:v>34.162</x:v>
      </x:c>
      <x:c r="F386" s="36" t="str">
        <x:v>8c023447-ebc8-42c3-86e5-21558f3d7224.pdf</x:v>
      </x:c>
      <x:c r="G386" s="36" t="n">
        <x:v>61</x:v>
      </x:c>
      <x:c r="H386" s="36" t="str">
        <x:v>Provided 2025 Form 10-K.  Company named Pure Storage in this filing.</x:v>
      </x:c>
    </x:row>
    <x:row r="387">
      <x:c r="A387" s="36" t="str">
        <x:v>H.CF.CHANGE_ROU_ASSETS.FY2026</x:v>
      </x:c>
      <x:c r="B387" s="36" t="str">
        <x:v>CF</x:v>
      </x:c>
      <x:c r="C387" s="36" t="str">
        <x:v>Change in operating lease ROU assets</x:v>
      </x:c>
      <x:c r="D387" s="36" t="str">
        <x:v>FY2026</x:v>
      </x:c>
      <x:c r="E387" s="37" t="n">
        <x:v>41.454</x:v>
      </x:c>
      <x:c r="F387" s="36" t="str">
        <x:v>2e1ef280-4c52-445c-b593-a6c3a1fbfec6.pdf</x:v>
      </x:c>
      <x:c r="G387" s="36" t="n">
        <x:v>63</x:v>
      </x:c>
      <x:c r="H387" s="36" t="str">
        <x:v>Provided 2026 Form 10-K.  Company named Everpure in this filing.</x:v>
      </x:c>
    </x:row>
    <x:row r="388">
      <x:c r="A388" s="36" t="str">
        <x:v>H.CF.CHANGE_AP.FY2021</x:v>
      </x:c>
      <x:c r="B388" s="36" t="str">
        <x:v>CF</x:v>
      </x:c>
      <x:c r="C388" s="36" t="str">
        <x:v>Change in AP</x:v>
      </x:c>
      <x:c r="D388" s="36" t="str">
        <x:v>FY2021</x:v>
      </x:c>
      <x:c r="E388" s="37" t="n">
        <x:v>-14.364</x:v>
      </x:c>
      <x:c r="F388" s="36" t="str">
        <x:v>https://www.purestorage.com/content/dam/pdf/en/legal/2023-form-10-k.pdf</x:v>
      </x:c>
      <x:c r="G388" s="36" t="n">
        <x:v>62</x:v>
      </x:c>
      <x:c r="H388" s="36" t="str">
        <x:v>Official 2023 Form 10-K used to complete FY2021 and FY2022 history.</x:v>
      </x:c>
    </x:row>
    <x:row r="389">
      <x:c r="A389" s="36" t="str">
        <x:v>H.CF.CHANGE_AP.FY2022</x:v>
      </x:c>
      <x:c r="B389" s="36" t="str">
        <x:v>CF</x:v>
      </x:c>
      <x:c r="C389" s="36" t="str">
        <x:v>Change in AP</x:v>
      </x:c>
      <x:c r="D389" s="36" t="str">
        <x:v>FY2022</x:v>
      </x:c>
      <x:c r="E389" s="37" t="n">
        <x:v>6.711</x:v>
      </x:c>
      <x:c r="F389" s="36" t="str">
        <x:v>https://www.purestorage.com/content/dam/pdf/en/legal/2023-form-10-k.pdf</x:v>
      </x:c>
      <x:c r="G389" s="36" t="n">
        <x:v>62</x:v>
      </x:c>
      <x:c r="H389" s="36" t="str">
        <x:v>Official 2023 Form 10-K used to complete FY2021 and FY2022 history.</x:v>
      </x:c>
    </x:row>
    <x:row r="390">
      <x:c r="A390" s="36" t="str">
        <x:v>H.CF.CHANGE_AP.FY2023</x:v>
      </x:c>
      <x:c r="B390" s="36" t="str">
        <x:v>CF</x:v>
      </x:c>
      <x:c r="C390" s="36" t="str">
        <x:v>Change in AP</x:v>
      </x:c>
      <x:c r="D390" s="36" t="str">
        <x:v>FY2023</x:v>
      </x:c>
      <x:c r="E390" s="37" t="n">
        <x:v>-7.075</x:v>
      </x:c>
      <x:c r="F390" s="36" t="str">
        <x:v>https://www.purestorage.com/content/dam/pdf/en/legal/2023-form-10-k.pdf</x:v>
      </x:c>
      <x:c r="G390" s="36" t="n">
        <x:v>62</x:v>
      </x:c>
      <x:c r="H390" s="36" t="str">
        <x:v>Official 2023 Form 10-K used to complete FY2021 and FY2022 history.</x:v>
      </x:c>
    </x:row>
    <x:row r="391">
      <x:c r="A391" s="36" t="str">
        <x:v>H.CF.CHANGE_AP.FY2024</x:v>
      </x:c>
      <x:c r="B391" s="36" t="str">
        <x:v>CF</x:v>
      </x:c>
      <x:c r="C391" s="36" t="str">
        <x:v>Change in AP</x:v>
      </x:c>
      <x:c r="D391" s="36" t="str">
        <x:v>FY2024</x:v>
      </x:c>
      <x:c r="E391" s="37" t="n">
        <x:v>13.468</x:v>
      </x:c>
      <x:c r="F391" s="36" t="str">
        <x:v>ed7936ac-e0cd-408a-ae7f-063381fdf3a1.pdf</x:v>
      </x:c>
      <x:c r="G391" s="36" t="n">
        <x:v>58</x:v>
      </x:c>
      <x:c r="H391" s="36" t="str">
        <x:v>Provided 2024 Form 10-K.  Company named Pure Storage in this filing.</x:v>
      </x:c>
    </x:row>
    <x:row r="392">
      <x:c r="A392" s="36" t="str">
        <x:v>H.CF.CHANGE_AP.FY2025</x:v>
      </x:c>
      <x:c r="B392" s="36" t="str">
        <x:v>CF</x:v>
      </x:c>
      <x:c r="C392" s="36" t="str">
        <x:v>Change in AP</x:v>
      </x:c>
      <x:c r="D392" s="36" t="str">
        <x:v>FY2025</x:v>
      </x:c>
      <x:c r="E392" s="37" t="n">
        <x:v>30.439</x:v>
      </x:c>
      <x:c r="F392" s="36" t="str">
        <x:v>8c023447-ebc8-42c3-86e5-21558f3d7224.pdf</x:v>
      </x:c>
      <x:c r="G392" s="36" t="n">
        <x:v>61</x:v>
      </x:c>
      <x:c r="H392" s="36" t="str">
        <x:v>Provided 2025 Form 10-K.  Company named Pure Storage in this filing.</x:v>
      </x:c>
    </x:row>
    <x:row r="393">
      <x:c r="A393" s="36" t="str">
        <x:v>H.CF.CHANGE_AP.FY2026</x:v>
      </x:c>
      <x:c r="B393" s="36" t="str">
        <x:v>CF</x:v>
      </x:c>
      <x:c r="C393" s="36" t="str">
        <x:v>Change in AP</x:v>
      </x:c>
      <x:c r="D393" s="36" t="str">
        <x:v>FY2026</x:v>
      </x:c>
      <x:c r="E393" s="37" t="n">
        <x:v>37.702</x:v>
      </x:c>
      <x:c r="F393" s="36" t="str">
        <x:v>2e1ef280-4c52-445c-b593-a6c3a1fbfec6.pdf</x:v>
      </x:c>
      <x:c r="G393" s="36" t="n">
        <x:v>63</x:v>
      </x:c>
      <x:c r="H393" s="36" t="str">
        <x:v>Provided 2026 Form 10-K.  Company named Everpure in this filing.</x:v>
      </x:c>
    </x:row>
    <x:row r="394">
      <x:c r="A394" s="36" t="str">
        <x:v>H.CF.CHANGE_ACCRUED.FY2021</x:v>
      </x:c>
      <x:c r="B394" s="36" t="str">
        <x:v>CF</x:v>
      </x:c>
      <x:c r="C394" s="36" t="str">
        <x:v>Change in accrued expenses</x:v>
      </x:c>
      <x:c r="D394" s="36" t="str">
        <x:v>FY2021</x:v>
      </x:c>
      <x:c r="E394" s="37" t="n">
        <x:v>76.972</x:v>
      </x:c>
      <x:c r="F394" s="36" t="str">
        <x:v>https://www.purestorage.com/content/dam/pdf/en/legal/2023-form-10-k.pdf</x:v>
      </x:c>
      <x:c r="G394" s="36" t="n">
        <x:v>62</x:v>
      </x:c>
      <x:c r="H394" s="36" t="str">
        <x:v>Official 2023 Form 10-K used to complete FY2021 and FY2022 history.</x:v>
      </x:c>
    </x:row>
    <x:row r="395">
      <x:c r="A395" s="36" t="str">
        <x:v>H.CF.CHANGE_ACCRUED.FY2022</x:v>
      </x:c>
      <x:c r="B395" s="36" t="str">
        <x:v>CF</x:v>
      </x:c>
      <x:c r="C395" s="36" t="str">
        <x:v>Change in accrued expenses</x:v>
      </x:c>
      <x:c r="D395" s="36" t="str">
        <x:v>FY2022</x:v>
      </x:c>
      <x:c r="E395" s="37" t="n">
        <x:v>58.961</x:v>
      </x:c>
      <x:c r="F395" s="36" t="str">
        <x:v>https://www.purestorage.com/content/dam/pdf/en/legal/2023-form-10-k.pdf</x:v>
      </x:c>
      <x:c r="G395" s="36" t="n">
        <x:v>62</x:v>
      </x:c>
      <x:c r="H395" s="36" t="str">
        <x:v>Official 2023 Form 10-K used to complete FY2021 and FY2022 history.</x:v>
      </x:c>
    </x:row>
    <x:row r="396">
      <x:c r="A396" s="36" t="str">
        <x:v>H.CF.CHANGE_ACCRUED.FY2023</x:v>
      </x:c>
      <x:c r="B396" s="36" t="str">
        <x:v>CF</x:v>
      </x:c>
      <x:c r="C396" s="36" t="str">
        <x:v>Change in accrued expenses</x:v>
      </x:c>
      <x:c r="D396" s="36" t="str">
        <x:v>FY2023</x:v>
      </x:c>
      <x:c r="E396" s="37" t="n">
        <x:v>72.084</x:v>
      </x:c>
      <x:c r="F396" s="36" t="str">
        <x:v>https://www.purestorage.com/content/dam/pdf/en/legal/2023-form-10-k.pdf</x:v>
      </x:c>
      <x:c r="G396" s="36" t="n">
        <x:v>62</x:v>
      </x:c>
      <x:c r="H396" s="36" t="str">
        <x:v>Official 2023 Form 10-K used to complete FY2021 and FY2022 history.</x:v>
      </x:c>
    </x:row>
    <x:row r="397">
      <x:c r="A397" s="36" t="str">
        <x:v>H.CF.CHANGE_ACCRUED.FY2024</x:v>
      </x:c>
      <x:c r="B397" s="36" t="str">
        <x:v>CF</x:v>
      </x:c>
      <x:c r="C397" s="36" t="str">
        <x:v>Change in accrued expenses</x:v>
      </x:c>
      <x:c r="D397" s="36" t="str">
        <x:v>FY2024</x:v>
      </x:c>
      <x:c r="E397" s="37" t="n">
        <x:v>43.317</x:v>
      </x:c>
      <x:c r="F397" s="36" t="str">
        <x:v>ed7936ac-e0cd-408a-ae7f-063381fdf3a1.pdf</x:v>
      </x:c>
      <x:c r="G397" s="36" t="n">
        <x:v>58</x:v>
      </x:c>
      <x:c r="H397" s="36" t="str">
        <x:v>Provided 2024 Form 10-K.  Company named Pure Storage in this filing.</x:v>
      </x:c>
    </x:row>
    <x:row r="398">
      <x:c r="A398" s="36" t="str">
        <x:v>H.CF.CHANGE_ACCRUED.FY2025</x:v>
      </x:c>
      <x:c r="B398" s="36" t="str">
        <x:v>CF</x:v>
      </x:c>
      <x:c r="C398" s="36" t="str">
        <x:v>Change in accrued expenses</x:v>
      </x:c>
      <x:c r="D398" s="36" t="str">
        <x:v>FY2025</x:v>
      </x:c>
      <x:c r="E398" s="37" t="n">
        <x:v>30.261</x:v>
      </x:c>
      <x:c r="F398" s="36" t="str">
        <x:v>8c023447-ebc8-42c3-86e5-21558f3d7224.pdf</x:v>
      </x:c>
      <x:c r="G398" s="36" t="n">
        <x:v>61</x:v>
      </x:c>
      <x:c r="H398" s="36" t="str">
        <x:v>Provided 2025 Form 10-K.  Company named Pure Storage in this filing.</x:v>
      </x:c>
    </x:row>
    <x:row r="399">
      <x:c r="A399" s="36" t="str">
        <x:v>H.CF.CHANGE_ACCRUED.FY2026</x:v>
      </x:c>
      <x:c r="B399" s="36" t="str">
        <x:v>CF</x:v>
      </x:c>
      <x:c r="C399" s="36" t="str">
        <x:v>Change in accrued expenses</x:v>
      </x:c>
      <x:c r="D399" s="36" t="str">
        <x:v>FY2026</x:v>
      </x:c>
      <x:c r="E399" s="37" t="n">
        <x:v>161.486</x:v>
      </x:c>
      <x:c r="F399" s="36" t="str">
        <x:v>2e1ef280-4c52-445c-b593-a6c3a1fbfec6.pdf</x:v>
      </x:c>
      <x:c r="G399" s="36" t="n">
        <x:v>63</x:v>
      </x:c>
      <x:c r="H399" s="36" t="str">
        <x:v>Provided 2026 Form 10-K.  Company named Everpure in this filing.</x:v>
      </x:c>
    </x:row>
    <x:row r="400">
      <x:c r="A400" s="36" t="str">
        <x:v>H.CF.CHANGE_LEASE_LIABILITIES.FY2021</x:v>
      </x:c>
      <x:c r="B400" s="36" t="str">
        <x:v>CF</x:v>
      </x:c>
      <x:c r="C400" s="36" t="str">
        <x:v>Change in operating lease liabilities</x:v>
      </x:c>
      <x:c r="D400" s="36" t="str">
        <x:v>FY2021</x:v>
      </x:c>
      <x:c r="E400" s="37" t="n">
        <x:v>-27.318</x:v>
      </x:c>
      <x:c r="F400" s="36" t="str">
        <x:v>https://www.purestorage.com/content/dam/pdf/en/legal/2023-form-10-k.pdf</x:v>
      </x:c>
      <x:c r="G400" s="36" t="n">
        <x:v>62</x:v>
      </x:c>
      <x:c r="H400" s="36" t="str">
        <x:v>Official 2023 Form 10-K used to complete FY2021 and FY2022 history.</x:v>
      </x:c>
    </x:row>
    <x:row r="401">
      <x:c r="A401" s="36" t="str">
        <x:v>H.CF.CHANGE_LEASE_LIABILITIES.FY2022</x:v>
      </x:c>
      <x:c r="B401" s="36" t="str">
        <x:v>CF</x:v>
      </x:c>
      <x:c r="C401" s="36" t="str">
        <x:v>Change in operating lease liabilities</x:v>
      </x:c>
      <x:c r="D401" s="36" t="str">
        <x:v>FY2022</x:v>
      </x:c>
      <x:c r="E401" s="37" t="n">
        <x:v>-32.351</x:v>
      </x:c>
      <x:c r="F401" s="36" t="str">
        <x:v>https://www.purestorage.com/content/dam/pdf/en/legal/2023-form-10-k.pdf</x:v>
      </x:c>
      <x:c r="G401" s="36" t="n">
        <x:v>62</x:v>
      </x:c>
      <x:c r="H401" s="36" t="str">
        <x:v>Official 2023 Form 10-K used to complete FY2021 and FY2022 history.</x:v>
      </x:c>
    </x:row>
    <x:row r="402">
      <x:c r="A402" s="36" t="str">
        <x:v>H.CF.CHANGE_LEASE_LIABILITIES.FY2023</x:v>
      </x:c>
      <x:c r="B402" s="36" t="str">
        <x:v>CF</x:v>
      </x:c>
      <x:c r="C402" s="36" t="str">
        <x:v>Change in operating lease liabilities</x:v>
      </x:c>
      <x:c r="D402" s="36" t="str">
        <x:v>FY2023</x:v>
      </x:c>
      <x:c r="E402" s="37" t="n">
        <x:v>-33.359</x:v>
      </x:c>
      <x:c r="F402" s="36" t="str">
        <x:v>https://www.purestorage.com/content/dam/pdf/en/legal/2023-form-10-k.pdf</x:v>
      </x:c>
      <x:c r="G402" s="36" t="n">
        <x:v>62</x:v>
      </x:c>
      <x:c r="H402" s="36" t="str">
        <x:v>Official 2023 Form 10-K used to complete FY2021 and FY2022 history.</x:v>
      </x:c>
    </x:row>
    <x:row r="403">
      <x:c r="A403" s="36" t="str">
        <x:v>H.CF.CHANGE_LEASE_LIABILITIES.FY2024</x:v>
      </x:c>
      <x:c r="B403" s="36" t="str">
        <x:v>CF</x:v>
      </x:c>
      <x:c r="C403" s="36" t="str">
        <x:v>Change in operating lease liabilities</x:v>
      </x:c>
      <x:c r="D403" s="36" t="str">
        <x:v>FY2024</x:v>
      </x:c>
      <x:c r="E403" s="37" t="n">
        <x:v>-31.891</x:v>
      </x:c>
      <x:c r="F403" s="36" t="str">
        <x:v>ed7936ac-e0cd-408a-ae7f-063381fdf3a1.pdf</x:v>
      </x:c>
      <x:c r="G403" s="36" t="n">
        <x:v>58</x:v>
      </x:c>
      <x:c r="H403" s="36" t="str">
        <x:v>Provided 2024 Form 10-K.  Company named Pure Storage in this filing.</x:v>
      </x:c>
    </x:row>
    <x:row r="404">
      <x:c r="A404" s="36" t="str">
        <x:v>H.CF.CHANGE_LEASE_LIABILITIES.FY2025</x:v>
      </x:c>
      <x:c r="B404" s="36" t="str">
        <x:v>CF</x:v>
      </x:c>
      <x:c r="C404" s="36" t="str">
        <x:v>Change in operating lease liabilities</x:v>
      </x:c>
      <x:c r="D404" s="36" t="str">
        <x:v>FY2025</x:v>
      </x:c>
      <x:c r="E404" s="37" t="n">
        <x:v>-43.917</x:v>
      </x:c>
      <x:c r="F404" s="36" t="str">
        <x:v>8c023447-ebc8-42c3-86e5-21558f3d7224.pdf</x:v>
      </x:c>
      <x:c r="G404" s="36" t="n">
        <x:v>61</x:v>
      </x:c>
      <x:c r="H404" s="36" t="str">
        <x:v>Provided 2025 Form 10-K.  Company named Pure Storage in this filing.</x:v>
      </x:c>
    </x:row>
    <x:row r="405">
      <x:c r="A405" s="36" t="str">
        <x:v>H.CF.CHANGE_LEASE_LIABILITIES.FY2026</x:v>
      </x:c>
      <x:c r="B405" s="36" t="str">
        <x:v>CF</x:v>
      </x:c>
      <x:c r="C405" s="36" t="str">
        <x:v>Change in operating lease liabilities</x:v>
      </x:c>
      <x:c r="D405" s="36" t="str">
        <x:v>FY2026</x:v>
      </x:c>
      <x:c r="E405" s="37" t="n">
        <x:v>-46.591</x:v>
      </x:c>
      <x:c r="F405" s="36" t="str">
        <x:v>2e1ef280-4c52-445c-b593-a6c3a1fbfec6.pdf</x:v>
      </x:c>
      <x:c r="G405" s="36" t="n">
        <x:v>63</x:v>
      </x:c>
      <x:c r="H405" s="36" t="str">
        <x:v>Provided 2026 Form 10-K.  Company named Everpure in this filing.</x:v>
      </x:c>
    </x:row>
    <x:row r="406">
      <x:c r="A406" s="36" t="str">
        <x:v>H.CF.CHANGE_DEFERRED_REVENUE.FY2021</x:v>
      </x:c>
      <x:c r="B406" s="36" t="str">
        <x:v>CF</x:v>
      </x:c>
      <x:c r="C406" s="36" t="str">
        <x:v>Change in deferred revenue</x:v>
      </x:c>
      <x:c r="D406" s="36" t="str">
        <x:v>FY2021</x:v>
      </x:c>
      <x:c r="E406" s="37" t="n">
        <x:v>140.305</x:v>
      </x:c>
      <x:c r="F406" s="36" t="str">
        <x:v>https://www.purestorage.com/content/dam/pdf/en/legal/2023-form-10-k.pdf</x:v>
      </x:c>
      <x:c r="G406" s="36" t="n">
        <x:v>62</x:v>
      </x:c>
      <x:c r="H406" s="36" t="str">
        <x:v>Official 2023 Form 10-K used to complete FY2021 and FY2022 history.</x:v>
      </x:c>
    </x:row>
    <x:row r="407">
      <x:c r="A407" s="36" t="str">
        <x:v>H.CF.CHANGE_DEFERRED_REVENUE.FY2022</x:v>
      </x:c>
      <x:c r="B407" s="36" t="str">
        <x:v>CF</x:v>
      </x:c>
      <x:c r="C407" s="36" t="str">
        <x:v>Change in deferred revenue</x:v>
      </x:c>
      <x:c r="D407" s="36" t="str">
        <x:v>FY2022</x:v>
      </x:c>
      <x:c r="E407" s="37" t="n">
        <x:v>236.176</x:v>
      </x:c>
      <x:c r="F407" s="36" t="str">
        <x:v>https://www.purestorage.com/content/dam/pdf/en/legal/2023-form-10-k.pdf</x:v>
      </x:c>
      <x:c r="G407" s="36" t="n">
        <x:v>62</x:v>
      </x:c>
      <x:c r="H407" s="36" t="str">
        <x:v>Official 2023 Form 10-K used to complete FY2021 and FY2022 history.</x:v>
      </x:c>
    </x:row>
    <x:row r="408">
      <x:c r="A408" s="36" t="str">
        <x:v>H.CF.CHANGE_DEFERRED_REVENUE.FY2023</x:v>
      </x:c>
      <x:c r="B408" s="36" t="str">
        <x:v>CF</x:v>
      </x:c>
      <x:c r="C408" s="36" t="str">
        <x:v>Change in deferred revenue</x:v>
      </x:c>
      <x:c r="D408" s="36" t="str">
        <x:v>FY2023</x:v>
      </x:c>
      <x:c r="E408" s="37" t="n">
        <x:v>305.768</x:v>
      </x:c>
      <x:c r="F408" s="36" t="str">
        <x:v>https://www.purestorage.com/content/dam/pdf/en/legal/2023-form-10-k.pdf</x:v>
      </x:c>
      <x:c r="G408" s="36" t="n">
        <x:v>62</x:v>
      </x:c>
      <x:c r="H408" s="36" t="str">
        <x:v>Official 2023 Form 10-K used to complete FY2021 and FY2022 history.</x:v>
      </x:c>
    </x:row>
    <x:row r="409">
      <x:c r="A409" s="36" t="str">
        <x:v>H.CF.CHANGE_DEFERRED_REVENUE.FY2024</x:v>
      </x:c>
      <x:c r="B409" s="36" t="str">
        <x:v>CF</x:v>
      </x:c>
      <x:c r="C409" s="36" t="str">
        <x:v>Change in deferred revenue</x:v>
      </x:c>
      <x:c r="D409" s="36" t="str">
        <x:v>FY2024</x:v>
      </x:c>
      <x:c r="E409" s="37" t="n">
        <x:v>208.872</x:v>
      </x:c>
      <x:c r="F409" s="36" t="str">
        <x:v>ed7936ac-e0cd-408a-ae7f-063381fdf3a1.pdf</x:v>
      </x:c>
      <x:c r="G409" s="36" t="n">
        <x:v>58</x:v>
      </x:c>
      <x:c r="H409" s="36" t="str">
        <x:v>Provided 2024 Form 10-K.  Company named Pure Storage in this filing.</x:v>
      </x:c>
    </x:row>
    <x:row r="410">
      <x:c r="A410" s="36" t="str">
        <x:v>H.CF.CHANGE_DEFERRED_REVENUE.FY2025</x:v>
      </x:c>
      <x:c r="B410" s="36" t="str">
        <x:v>CF</x:v>
      </x:c>
      <x:c r="C410" s="36" t="str">
        <x:v>Change in deferred revenue</x:v>
      </x:c>
      <x:c r="D410" s="36" t="str">
        <x:v>FY2025</x:v>
      </x:c>
      <x:c r="E410" s="37" t="n">
        <x:v>200.781</x:v>
      </x:c>
      <x:c r="F410" s="36" t="str">
        <x:v>8c023447-ebc8-42c3-86e5-21558f3d7224.pdf</x:v>
      </x:c>
      <x:c r="G410" s="36" t="n">
        <x:v>61</x:v>
      </x:c>
      <x:c r="H410" s="36" t="str">
        <x:v>Provided 2025 Form 10-K.  Company named Pure Storage in this filing.</x:v>
      </x:c>
    </x:row>
    <x:row r="411">
      <x:c r="A411" s="36" t="str">
        <x:v>H.CF.CHANGE_DEFERRED_REVENUE.FY2026</x:v>
      </x:c>
      <x:c r="B411" s="36" t="str">
        <x:v>CF</x:v>
      </x:c>
      <x:c r="C411" s="36" t="str">
        <x:v>Change in deferred revenue</x:v>
      </x:c>
      <x:c r="D411" s="36" t="str">
        <x:v>FY2026</x:v>
      </x:c>
      <x:c r="E411" s="37" t="n">
        <x:v>432.194</x:v>
      </x:c>
      <x:c r="F411" s="36" t="str">
        <x:v>2e1ef280-4c52-445c-b593-a6c3a1fbfec6.pdf</x:v>
      </x:c>
      <x:c r="G411" s="36" t="n">
        <x:v>63</x:v>
      </x:c>
      <x:c r="H411" s="36" t="str">
        <x:v>Provided 2026 Form 10-K.  Company named Everpure in this filing.</x:v>
      </x:c>
    </x:row>
    <x:row r="412">
      <x:c r="A412" s="36" t="str">
        <x:v>H.CF.CHANGE_OTHER_OPERATING.FY2021</x:v>
      </x:c>
      <x:c r="B412" s="36" t="str">
        <x:v>CF</x:v>
      </x:c>
      <x:c r="C412" s="36" t="str">
        <x:v>Change in other operating assets/liabilities</x:v>
      </x:c>
      <x:c r="D412" s="36" t="str">
        <x:v>FY2021</x:v>
      </x:c>
      <x:c r="E412" s="37" t="n">
        <x:v>0</x:v>
      </x:c>
      <x:c r="F412" s="36" t="str">
        <x:v>https://www.purestorage.com/content/dam/pdf/en/legal/2023-form-10-k.pdf</x:v>
      </x:c>
      <x:c r="G412" s="36" t="n">
        <x:v>62</x:v>
      </x:c>
      <x:c r="H412" s="36" t="str">
        <x:v>Official 2023 Form 10-K used to complete FY2021 and FY2022 history.</x:v>
      </x:c>
    </x:row>
    <x:row r="413">
      <x:c r="A413" s="36" t="str">
        <x:v>H.CF.CHANGE_OTHER_OPERATING.FY2022</x:v>
      </x:c>
      <x:c r="B413" s="36" t="str">
        <x:v>CF</x:v>
      </x:c>
      <x:c r="C413" s="36" t="str">
        <x:v>Change in other operating assets/liabilities</x:v>
      </x:c>
      <x:c r="D413" s="36" t="str">
        <x:v>FY2022</x:v>
      </x:c>
      <x:c r="E413" s="37" t="n">
        <x:v>0</x:v>
      </x:c>
      <x:c r="F413" s="36" t="str">
        <x:v>https://www.purestorage.com/content/dam/pdf/en/legal/2023-form-10-k.pdf</x:v>
      </x:c>
      <x:c r="G413" s="36" t="n">
        <x:v>62</x:v>
      </x:c>
      <x:c r="H413" s="36" t="str">
        <x:v>Official 2023 Form 10-K used to complete FY2021 and FY2022 history.</x:v>
      </x:c>
    </x:row>
    <x:row r="414">
      <x:c r="A414" s="36" t="str">
        <x:v>H.CF.CHANGE_OTHER_OPERATING.FY2023</x:v>
      </x:c>
      <x:c r="B414" s="36" t="str">
        <x:v>CF</x:v>
      </x:c>
      <x:c r="C414" s="36" t="str">
        <x:v>Change in other operating assets/liabilities</x:v>
      </x:c>
      <x:c r="D414" s="36" t="str">
        <x:v>FY2023</x:v>
      </x:c>
      <x:c r="E414" s="37" t="n">
        <x:v>0</x:v>
      </x:c>
      <x:c r="F414" s="36" t="str">
        <x:v>https://www.purestorage.com/content/dam/pdf/en/legal/2023-form-10-k.pdf</x:v>
      </x:c>
      <x:c r="G414" s="36" t="n">
        <x:v>62</x:v>
      </x:c>
      <x:c r="H414" s="36" t="str">
        <x:v>Official 2023 Form 10-K used to complete FY2021 and FY2022 history.</x:v>
      </x:c>
    </x:row>
    <x:row r="415">
      <x:c r="A415" s="36" t="str">
        <x:v>H.CF.CHANGE_OTHER_OPERATING.FY2024</x:v>
      </x:c>
      <x:c r="B415" s="36" t="str">
        <x:v>CF</x:v>
      </x:c>
      <x:c r="C415" s="36" t="str">
        <x:v>Change in other operating assets/liabilities</x:v>
      </x:c>
      <x:c r="D415" s="36" t="str">
        <x:v>FY2024</x:v>
      </x:c>
      <x:c r="E415" s="37" t="n">
        <x:v>0</x:v>
      </x:c>
      <x:c r="F415" s="36" t="str">
        <x:v>ed7936ac-e0cd-408a-ae7f-063381fdf3a1.pdf</x:v>
      </x:c>
      <x:c r="G415" s="36" t="n">
        <x:v>58</x:v>
      </x:c>
      <x:c r="H415" s="36" t="str">
        <x:v>Provided 2024 Form 10-K.  Company named Pure Storage in this filing.</x:v>
      </x:c>
    </x:row>
    <x:row r="416">
      <x:c r="A416" s="36" t="str">
        <x:v>H.CF.CHANGE_OTHER_OPERATING.FY2025</x:v>
      </x:c>
      <x:c r="B416" s="36" t="str">
        <x:v>CF</x:v>
      </x:c>
      <x:c r="C416" s="36" t="str">
        <x:v>Change in other operating assets/liabilities</x:v>
      </x:c>
      <x:c r="D416" s="36" t="str">
        <x:v>FY2025</x:v>
      </x:c>
      <x:c r="E416" s="37" t="n">
        <x:v>0</x:v>
      </x:c>
      <x:c r="F416" s="36" t="str">
        <x:v>8c023447-ebc8-42c3-86e5-21558f3d7224.pdf</x:v>
      </x:c>
      <x:c r="G416" s="36" t="n">
        <x:v>61</x:v>
      </x:c>
      <x:c r="H416" s="36" t="str">
        <x:v>Provided 2025 Form 10-K.  Company named Pure Storage in this filing.</x:v>
      </x:c>
    </x:row>
    <x:row r="417">
      <x:c r="A417" s="36" t="str">
        <x:v>H.CF.CHANGE_OTHER_OPERATING.FY2026</x:v>
      </x:c>
      <x:c r="B417" s="36" t="str">
        <x:v>CF</x:v>
      </x:c>
      <x:c r="C417" s="36" t="str">
        <x:v>Change in other operating assets/liabilities</x:v>
      </x:c>
      <x:c r="D417" s="36" t="str">
        <x:v>FY2026</x:v>
      </x:c>
      <x:c r="E417" s="37" t="n">
        <x:v>0</x:v>
      </x:c>
      <x:c r="F417" s="36" t="str">
        <x:v>2e1ef280-4c52-445c-b593-a6c3a1fbfec6.pdf</x:v>
      </x:c>
      <x:c r="G417" s="36" t="n">
        <x:v>63</x:v>
      </x:c>
      <x:c r="H417" s="36" t="str">
        <x:v>Provided 2026 Form 10-K.  Company named Everpure in this filing.</x:v>
      </x:c>
    </x:row>
    <x:row r="418">
      <x:c r="A418" s="36" t="str">
        <x:v>H.CF.CFO.FY2021</x:v>
      </x:c>
      <x:c r="B418" s="36" t="str">
        <x:v>CF</x:v>
      </x:c>
      <x:c r="C418" s="36" t="str">
        <x:v>Cash from operations</x:v>
      </x:c>
      <x:c r="D418" s="36" t="str">
        <x:v>FY2021</x:v>
      </x:c>
      <x:c r="E418" s="37" t="n">
        <x:v>187.641</x:v>
      </x:c>
      <x:c r="F418" s="36" t="str">
        <x:v>https://www.purestorage.com/content/dam/pdf/en/legal/2023-form-10-k.pdf</x:v>
      </x:c>
      <x:c r="G418" s="36" t="n">
        <x:v>62</x:v>
      </x:c>
      <x:c r="H418" s="36" t="str">
        <x:v>Official 2023 Form 10-K used to complete FY2021 and FY2022 history.</x:v>
      </x:c>
    </x:row>
    <x:row r="419">
      <x:c r="A419" s="36" t="str">
        <x:v>H.CF.CFO.FY2022</x:v>
      </x:c>
      <x:c r="B419" s="36" t="str">
        <x:v>CF</x:v>
      </x:c>
      <x:c r="C419" s="36" t="str">
        <x:v>Cash from operations</x:v>
      </x:c>
      <x:c r="D419" s="36" t="str">
        <x:v>FY2022</x:v>
      </x:c>
      <x:c r="E419" s="37" t="n">
        <x:v>410.127</x:v>
      </x:c>
      <x:c r="F419" s="36" t="str">
        <x:v>https://www.purestorage.com/content/dam/pdf/en/legal/2023-form-10-k.pdf</x:v>
      </x:c>
      <x:c r="G419" s="36" t="n">
        <x:v>62</x:v>
      </x:c>
      <x:c r="H419" s="36" t="str">
        <x:v>Official 2023 Form 10-K used to complete FY2021 and FY2022 history.</x:v>
      </x:c>
    </x:row>
    <x:row r="420">
      <x:c r="A420" s="36" t="str">
        <x:v>H.CF.CFO.FY2023</x:v>
      </x:c>
      <x:c r="B420" s="36" t="str">
        <x:v>CF</x:v>
      </x:c>
      <x:c r="C420" s="36" t="str">
        <x:v>Cash from operations</x:v>
      </x:c>
      <x:c r="D420" s="36" t="str">
        <x:v>FY2023</x:v>
      </x:c>
      <x:c r="E420" s="37" t="n">
        <x:v>767.234</x:v>
      </x:c>
      <x:c r="F420" s="36" t="str">
        <x:v>https://www.purestorage.com/content/dam/pdf/en/legal/2023-form-10-k.pdf</x:v>
      </x:c>
      <x:c r="G420" s="36" t="n">
        <x:v>62</x:v>
      </x:c>
      <x:c r="H420" s="36" t="str">
        <x:v>Official 2023 Form 10-K used to complete FY2021 and FY2022 history.</x:v>
      </x:c>
    </x:row>
    <x:row r="421">
      <x:c r="A421" s="36" t="str">
        <x:v>H.CF.CFO.FY2024</x:v>
      </x:c>
      <x:c r="B421" s="36" t="str">
        <x:v>CF</x:v>
      </x:c>
      <x:c r="C421" s="36" t="str">
        <x:v>Cash from operations</x:v>
      </x:c>
      <x:c r="D421" s="36" t="str">
        <x:v>FY2024</x:v>
      </x:c>
      <x:c r="E421" s="37" t="n">
        <x:v>677.722</x:v>
      </x:c>
      <x:c r="F421" s="36" t="str">
        <x:v>ed7936ac-e0cd-408a-ae7f-063381fdf3a1.pdf</x:v>
      </x:c>
      <x:c r="G421" s="36" t="n">
        <x:v>58</x:v>
      </x:c>
      <x:c r="H421" s="36" t="str">
        <x:v>Provided 2024 Form 10-K.  Company named Pure Storage in this filing.</x:v>
      </x:c>
    </x:row>
    <x:row r="422">
      <x:c r="A422" s="36" t="str">
        <x:v>H.CF.CFO.FY2025</x:v>
      </x:c>
      <x:c r="B422" s="36" t="str">
        <x:v>CF</x:v>
      </x:c>
      <x:c r="C422" s="36" t="str">
        <x:v>Cash from operations</x:v>
      </x:c>
      <x:c r="D422" s="36" t="str">
        <x:v>FY2025</x:v>
      </x:c>
      <x:c r="E422" s="37" t="n">
        <x:v>753.598</x:v>
      </x:c>
      <x:c r="F422" s="36" t="str">
        <x:v>8c023447-ebc8-42c3-86e5-21558f3d7224.pdf</x:v>
      </x:c>
      <x:c r="G422" s="36" t="n">
        <x:v>61</x:v>
      </x:c>
      <x:c r="H422" s="36" t="str">
        <x:v>Provided 2025 Form 10-K.  Company named Pure Storage in this filing.</x:v>
      </x:c>
    </x:row>
    <x:row r="423">
      <x:c r="A423" s="36" t="str">
        <x:v>H.CF.CFO.FY2026</x:v>
      </x:c>
      <x:c r="B423" s="36" t="str">
        <x:v>CF</x:v>
      </x:c>
      <x:c r="C423" s="36" t="str">
        <x:v>Cash from operations</x:v>
      </x:c>
      <x:c r="D423" s="36" t="str">
        <x:v>FY2026</x:v>
      </x:c>
      <x:c r="E423" s="37" t="n">
        <x:v>880.085</x:v>
      </x:c>
      <x:c r="F423" s="36" t="str">
        <x:v>2e1ef280-4c52-445c-b593-a6c3a1fbfec6.pdf</x:v>
      </x:c>
      <x:c r="G423" s="36" t="n">
        <x:v>63</x:v>
      </x:c>
      <x:c r="H423" s="36" t="str">
        <x:v>Provided 2026 Form 10-K.  Company named Everpure in this filing.</x:v>
      </x:c>
    </x:row>
    <x:row r="424">
      <x:c r="A424" s="36" t="str">
        <x:v>H.CF.CAPEX.FY2021</x:v>
      </x:c>
      <x:c r="B424" s="36" t="str">
        <x:v>CF</x:v>
      </x:c>
      <x:c r="C424" s="36" t="str">
        <x:v>Capex</x:v>
      </x:c>
      <x:c r="D424" s="36" t="str">
        <x:v>FY2021</x:v>
      </x:c>
      <x:c r="E424" s="37" t="n">
        <x:v>-94.975</x:v>
      </x:c>
      <x:c r="F424" s="36" t="str">
        <x:v>https://www.purestorage.com/content/dam/pdf/en/legal/2023-form-10-k.pdf</x:v>
      </x:c>
      <x:c r="G424" s="36" t="n">
        <x:v>62</x:v>
      </x:c>
      <x:c r="H424" s="36" t="str">
        <x:v>Official 2023 Form 10-K used to complete FY2021 and FY2022 history.</x:v>
      </x:c>
    </x:row>
    <x:row r="425">
      <x:c r="A425" s="36" t="str">
        <x:v>H.CF.CAPEX.FY2022</x:v>
      </x:c>
      <x:c r="B425" s="36" t="str">
        <x:v>CF</x:v>
      </x:c>
      <x:c r="C425" s="36" t="str">
        <x:v>Capex</x:v>
      </x:c>
      <x:c r="D425" s="36" t="str">
        <x:v>FY2022</x:v>
      </x:c>
      <x:c r="E425" s="37" t="n">
        <x:v>-102.287</x:v>
      </x:c>
      <x:c r="F425" s="36" t="str">
        <x:v>https://www.purestorage.com/content/dam/pdf/en/legal/2023-form-10-k.pdf</x:v>
      </x:c>
      <x:c r="G425" s="36" t="n">
        <x:v>62</x:v>
      </x:c>
      <x:c r="H425" s="36" t="str">
        <x:v>Official 2023 Form 10-K used to complete FY2021 and FY2022 history.</x:v>
      </x:c>
    </x:row>
    <x:row r="426">
      <x:c r="A426" s="36" t="str">
        <x:v>H.CF.CAPEX.FY2023</x:v>
      </x:c>
      <x:c r="B426" s="36" t="str">
        <x:v>CF</x:v>
      </x:c>
      <x:c r="C426" s="36" t="str">
        <x:v>Capex</x:v>
      </x:c>
      <x:c r="D426" s="36" t="str">
        <x:v>FY2023</x:v>
      </x:c>
      <x:c r="E426" s="37" t="n">
        <x:v>-158.139</x:v>
      </x:c>
      <x:c r="F426" s="36" t="str">
        <x:v>https://www.purestorage.com/content/dam/pdf/en/legal/2023-form-10-k.pdf</x:v>
      </x:c>
      <x:c r="G426" s="36" t="n">
        <x:v>62</x:v>
      </x:c>
      <x:c r="H426" s="36" t="str">
        <x:v>Official 2023 Form 10-K used to complete FY2021 and FY2022 history.</x:v>
      </x:c>
    </x:row>
    <x:row r="427">
      <x:c r="A427" s="36" t="str">
        <x:v>H.CF.CAPEX.FY2024</x:v>
      </x:c>
      <x:c r="B427" s="36" t="str">
        <x:v>CF</x:v>
      </x:c>
      <x:c r="C427" s="36" t="str">
        <x:v>Capex</x:v>
      </x:c>
      <x:c r="D427" s="36" t="str">
        <x:v>FY2024</x:v>
      </x:c>
      <x:c r="E427" s="37" t="n">
        <x:v>-195.161</x:v>
      </x:c>
      <x:c r="F427" s="36" t="str">
        <x:v>ed7936ac-e0cd-408a-ae7f-063381fdf3a1.pdf</x:v>
      </x:c>
      <x:c r="G427" s="36" t="n">
        <x:v>58</x:v>
      </x:c>
      <x:c r="H427" s="36" t="str">
        <x:v>Provided 2024 Form 10-K.  Company named Pure Storage in this filing.</x:v>
      </x:c>
    </x:row>
    <x:row r="428">
      <x:c r="A428" s="36" t="str">
        <x:v>H.CF.CAPEX.FY2025</x:v>
      </x:c>
      <x:c r="B428" s="36" t="str">
        <x:v>CF</x:v>
      </x:c>
      <x:c r="C428" s="36" t="str">
        <x:v>Capex</x:v>
      </x:c>
      <x:c r="D428" s="36" t="str">
        <x:v>FY2025</x:v>
      </x:c>
      <x:c r="E428" s="37" t="n">
        <x:v>-226.727</x:v>
      </x:c>
      <x:c r="F428" s="36" t="str">
        <x:v>8c023447-ebc8-42c3-86e5-21558f3d7224.pdf</x:v>
      </x:c>
      <x:c r="G428" s="36" t="n">
        <x:v>61</x:v>
      </x:c>
      <x:c r="H428" s="36" t="str">
        <x:v>Provided 2025 Form 10-K.  Company named Pure Storage in this filing.</x:v>
      </x:c>
    </x:row>
    <x:row r="429">
      <x:c r="A429" s="36" t="str">
        <x:v>H.CF.CAPEX.FY2026</x:v>
      </x:c>
      <x:c r="B429" s="36" t="str">
        <x:v>CF</x:v>
      </x:c>
      <x:c r="C429" s="36" t="str">
        <x:v>Capex</x:v>
      </x:c>
      <x:c r="D429" s="36" t="str">
        <x:v>FY2026</x:v>
      </x:c>
      <x:c r="E429" s="37" t="n">
        <x:v>-264.344</x:v>
      </x:c>
      <x:c r="F429" s="36" t="str">
        <x:v>2e1ef280-4c52-445c-b593-a6c3a1fbfec6.pdf</x:v>
      </x:c>
      <x:c r="G429" s="36" t="n">
        <x:v>63</x:v>
      </x:c>
      <x:c r="H429" s="36" t="str">
        <x:v>Provided 2026 Form 10-K.  Company named Everpure in this filing.</x:v>
      </x:c>
    </x:row>
    <x:row r="430">
      <x:c r="A430" s="36" t="str">
        <x:v>H.CF.ACQUISITIONS.FY2021</x:v>
      </x:c>
      <x:c r="B430" s="36" t="str">
        <x:v>CF</x:v>
      </x:c>
      <x:c r="C430" s="36" t="str">
        <x:v>Acquisitions, net of cash</x:v>
      </x:c>
      <x:c r="D430" s="36" t="str">
        <x:v>FY2021</x:v>
      </x:c>
      <x:c r="E430" s="37" t="n">
        <x:v>-339.641</x:v>
      </x:c>
      <x:c r="F430" s="36" t="str">
        <x:v>https://www.purestorage.com/content/dam/pdf/en/legal/2023-form-10-k.pdf</x:v>
      </x:c>
      <x:c r="G430" s="36" t="n">
        <x:v>62</x:v>
      </x:c>
      <x:c r="H430" s="36" t="str">
        <x:v>Official 2023 Form 10-K used to complete FY2021 and FY2022 history.</x:v>
      </x:c>
    </x:row>
    <x:row r="431">
      <x:c r="A431" s="36" t="str">
        <x:v>H.CF.ACQUISITIONS.FY2022</x:v>
      </x:c>
      <x:c r="B431" s="36" t="str">
        <x:v>CF</x:v>
      </x:c>
      <x:c r="C431" s="36" t="str">
        <x:v>Acquisitions, net of cash</x:v>
      </x:c>
      <x:c r="D431" s="36" t="str">
        <x:v>FY2022</x:v>
      </x:c>
      <x:c r="E431" s="37" t="n">
        <x:v>0</x:v>
      </x:c>
      <x:c r="F431" s="36" t="str">
        <x:v>https://www.purestorage.com/content/dam/pdf/en/legal/2023-form-10-k.pdf</x:v>
      </x:c>
      <x:c r="G431" s="36" t="n">
        <x:v>62</x:v>
      </x:c>
      <x:c r="H431" s="36" t="str">
        <x:v>Official 2023 Form 10-K used to complete FY2021 and FY2022 history.</x:v>
      </x:c>
    </x:row>
    <x:row r="432">
      <x:c r="A432" s="36" t="str">
        <x:v>H.CF.ACQUISITIONS.FY2023</x:v>
      </x:c>
      <x:c r="B432" s="36" t="str">
        <x:v>CF</x:v>
      </x:c>
      <x:c r="C432" s="36" t="str">
        <x:v>Acquisitions, net of cash</x:v>
      </x:c>
      <x:c r="D432" s="36" t="str">
        <x:v>FY2023</x:v>
      </x:c>
      <x:c r="E432" s="37" t="n">
        <x:v>-1.989</x:v>
      </x:c>
      <x:c r="F432" s="36" t="str">
        <x:v>https://www.purestorage.com/content/dam/pdf/en/legal/2023-form-10-k.pdf</x:v>
      </x:c>
      <x:c r="G432" s="36" t="n">
        <x:v>62</x:v>
      </x:c>
      <x:c r="H432" s="36" t="str">
        <x:v>Official 2023 Form 10-K used to complete FY2021 and FY2022 history.</x:v>
      </x:c>
    </x:row>
    <x:row r="433">
      <x:c r="A433" s="36" t="str">
        <x:v>H.CF.ACQUISITIONS.FY2024</x:v>
      </x:c>
      <x:c r="B433" s="36" t="str">
        <x:v>CF</x:v>
      </x:c>
      <x:c r="C433" s="36" t="str">
        <x:v>Acquisitions, net of cash</x:v>
      </x:c>
      <x:c r="D433" s="36" t="str">
        <x:v>FY2024</x:v>
      </x:c>
      <x:c r="E433" s="37" t="n">
        <x:v>0</x:v>
      </x:c>
      <x:c r="F433" s="36" t="str">
        <x:v>ed7936ac-e0cd-408a-ae7f-063381fdf3a1.pdf</x:v>
      </x:c>
      <x:c r="G433" s="36" t="n">
        <x:v>58</x:v>
      </x:c>
      <x:c r="H433" s="36" t="str">
        <x:v>Provided 2024 Form 10-K.  Company named Pure Storage in this filing.</x:v>
      </x:c>
    </x:row>
    <x:row r="434">
      <x:c r="A434" s="36" t="str">
        <x:v>H.CF.ACQUISITIONS.FY2025</x:v>
      </x:c>
      <x:c r="B434" s="36" t="str">
        <x:v>CF</x:v>
      </x:c>
      <x:c r="C434" s="36" t="str">
        <x:v>Acquisitions, net of cash</x:v>
      </x:c>
      <x:c r="D434" s="36" t="str">
        <x:v>FY2025</x:v>
      </x:c>
      <x:c r="E434" s="37" t="n">
        <x:v>0</x:v>
      </x:c>
      <x:c r="F434" s="36" t="str">
        <x:v>8c023447-ebc8-42c3-86e5-21558f3d7224.pdf</x:v>
      </x:c>
      <x:c r="G434" s="36" t="n">
        <x:v>61</x:v>
      </x:c>
      <x:c r="H434" s="36" t="str">
        <x:v>Provided 2025 Form 10-K.  Company named Pure Storage in this filing.</x:v>
      </x:c>
    </x:row>
    <x:row r="435">
      <x:c r="A435" s="36" t="str">
        <x:v>H.CF.ACQUISITIONS.FY2026</x:v>
      </x:c>
      <x:c r="B435" s="36" t="str">
        <x:v>CF</x:v>
      </x:c>
      <x:c r="C435" s="36" t="str">
        <x:v>Acquisitions, net of cash</x:v>
      </x:c>
      <x:c r="D435" s="36" t="str">
        <x:v>FY2026</x:v>
      </x:c>
      <x:c r="E435" s="37" t="n">
        <x:v>-4.263</x:v>
      </x:c>
      <x:c r="F435" s="36" t="str">
        <x:v>2e1ef280-4c52-445c-b593-a6c3a1fbfec6.pdf</x:v>
      </x:c>
      <x:c r="G435" s="36" t="n">
        <x:v>63</x:v>
      </x:c>
      <x:c r="H435" s="36" t="str">
        <x:v>Provided 2026 Form 10-K.  Company named Everpure in this filing.</x:v>
      </x:c>
    </x:row>
    <x:row r="436">
      <x:c r="A436" s="36" t="str">
        <x:v>H.CF.PURCHASES_INVESTMENTS.FY2021</x:v>
      </x:c>
      <x:c r="B436" s="36" t="str">
        <x:v>CF</x:v>
      </x:c>
      <x:c r="C436" s="36" t="str">
        <x:v>Purchases of investments</x:v>
      </x:c>
      <x:c r="D436" s="36" t="str">
        <x:v>FY2021</x:v>
      </x:c>
      <x:c r="E436" s="37" t="n">
        <x:v>-573.959</x:v>
      </x:c>
      <x:c r="F436" s="36" t="str">
        <x:v>https://www.purestorage.com/content/dam/pdf/en/legal/2023-form-10-k.pdf</x:v>
      </x:c>
      <x:c r="G436" s="36" t="n">
        <x:v>62</x:v>
      </x:c>
      <x:c r="H436" s="36" t="str">
        <x:v>Official 2023 Form 10-K used to complete FY2021 and FY2022 history.</x:v>
      </x:c>
    </x:row>
    <x:row r="437">
      <x:c r="A437" s="36" t="str">
        <x:v>H.CF.PURCHASES_INVESTMENTS.FY2022</x:v>
      </x:c>
      <x:c r="B437" s="36" t="str">
        <x:v>CF</x:v>
      </x:c>
      <x:c r="C437" s="36" t="str">
        <x:v>Purchases of investments</x:v>
      </x:c>
      <x:c r="D437" s="36" t="str">
        <x:v>FY2022</x:v>
      </x:c>
      <x:c r="E437" s="37" t="n">
        <x:v>-617.043</x:v>
      </x:c>
      <x:c r="F437" s="36" t="str">
        <x:v>https://www.purestorage.com/content/dam/pdf/en/legal/2023-form-10-k.pdf</x:v>
      </x:c>
      <x:c r="G437" s="36" t="n">
        <x:v>62</x:v>
      </x:c>
      <x:c r="H437" s="36" t="str">
        <x:v>Official 2023 Form 10-K used to complete FY2021 and FY2022 history.</x:v>
      </x:c>
    </x:row>
    <x:row r="438">
      <x:c r="A438" s="36" t="str">
        <x:v>H.CF.PURCHASES_INVESTMENTS.FY2023</x:v>
      </x:c>
      <x:c r="B438" s="36" t="str">
        <x:v>CF</x:v>
      </x:c>
      <x:c r="C438" s="36" t="str">
        <x:v>Purchases of investments</x:v>
      </x:c>
      <x:c r="D438" s="36" t="str">
        <x:v>FY2023</x:v>
      </x:c>
      <x:c r="E438" s="37" t="n">
        <x:v>-501.435</x:v>
      </x:c>
      <x:c r="F438" s="36" t="str">
        <x:v>https://www.purestorage.com/content/dam/pdf/en/legal/2023-form-10-k.pdf</x:v>
      </x:c>
      <x:c r="G438" s="36" t="n">
        <x:v>62</x:v>
      </x:c>
      <x:c r="H438" s="36" t="str">
        <x:v>Official 2023 Form 10-K used to complete FY2021 and FY2022 history.</x:v>
      </x:c>
    </x:row>
    <x:row r="439">
      <x:c r="A439" s="36" t="str">
        <x:v>H.CF.PURCHASES_INVESTMENTS.FY2024</x:v>
      </x:c>
      <x:c r="B439" s="36" t="str">
        <x:v>CF</x:v>
      </x:c>
      <x:c r="C439" s="36" t="str">
        <x:v>Purchases of investments</x:v>
      </x:c>
      <x:c r="D439" s="36" t="str">
        <x:v>FY2024</x:v>
      </x:c>
      <x:c r="E439" s="37" t="n">
        <x:v>-471.501</x:v>
      </x:c>
      <x:c r="F439" s="36" t="str">
        <x:v>ed7936ac-e0cd-408a-ae7f-063381fdf3a1.pdf</x:v>
      </x:c>
      <x:c r="G439" s="36" t="n">
        <x:v>58</x:v>
      </x:c>
      <x:c r="H439" s="36" t="str">
        <x:v>Provided 2024 Form 10-K.  Company named Pure Storage in this filing.</x:v>
      </x:c>
    </x:row>
    <x:row r="440">
      <x:c r="A440" s="36" t="str">
        <x:v>H.CF.PURCHASES_INVESTMENTS.FY2025</x:v>
      </x:c>
      <x:c r="B440" s="36" t="str">
        <x:v>CF</x:v>
      </x:c>
      <x:c r="C440" s="36" t="str">
        <x:v>Purchases of investments</x:v>
      </x:c>
      <x:c r="D440" s="36" t="str">
        <x:v>FY2025</x:v>
      </x:c>
      <x:c r="E440" s="37" t="n">
        <x:v>-502.827</x:v>
      </x:c>
      <x:c r="F440" s="36" t="str">
        <x:v>8c023447-ebc8-42c3-86e5-21558f3d7224.pdf</x:v>
      </x:c>
      <x:c r="G440" s="36" t="n">
        <x:v>61</x:v>
      </x:c>
      <x:c r="H440" s="36" t="str">
        <x:v>Provided 2025 Form 10-K.  Company named Pure Storage in this filing.</x:v>
      </x:c>
    </x:row>
    <x:row r="441">
      <x:c r="A441" s="36" t="str">
        <x:v>H.CF.PURCHASES_INVESTMENTS.FY2026</x:v>
      </x:c>
      <x:c r="B441" s="36" t="str">
        <x:v>CF</x:v>
      </x:c>
      <x:c r="C441" s="36" t="str">
        <x:v>Purchases of investments</x:v>
      </x:c>
      <x:c r="D441" s="36" t="str">
        <x:v>FY2026</x:v>
      </x:c>
      <x:c r="E441" s="37" t="n">
        <x:v>-461.545</x:v>
      </x:c>
      <x:c r="F441" s="36" t="str">
        <x:v>2e1ef280-4c52-445c-b593-a6c3a1fbfec6.pdf</x:v>
      </x:c>
      <x:c r="G441" s="36" t="n">
        <x:v>63</x:v>
      </x:c>
      <x:c r="H441" s="36" t="str">
        <x:v>Provided 2026 Form 10-K.  Company named Everpure in this filing.</x:v>
      </x:c>
    </x:row>
    <x:row r="442">
      <x:c r="A442" s="36" t="str">
        <x:v>H.CF.SALES_MATURITIES_INVESTMENTS.FY2021</x:v>
      </x:c>
      <x:c r="B442" s="36" t="str">
        <x:v>CF</x:v>
      </x:c>
      <x:c r="C442" s="36" t="str">
        <x:v>Sales/maturities of investments</x:v>
      </x:c>
      <x:c r="D442" s="36" t="str">
        <x:v>FY2021</x:v>
      </x:c>
      <x:c r="E442" s="37" t="n">
        <x:v>595.466</x:v>
      </x:c>
      <x:c r="F442" s="36" t="str">
        <x:v>https://www.purestorage.com/content/dam/pdf/en/legal/2023-form-10-k.pdf</x:v>
      </x:c>
      <x:c r="G442" s="36" t="n">
        <x:v>62</x:v>
      </x:c>
      <x:c r="H442" s="36" t="str">
        <x:v>Official 2023 Form 10-K used to complete FY2021 and FY2022 history.</x:v>
      </x:c>
    </x:row>
    <x:row r="443">
      <x:c r="A443" s="36" t="str">
        <x:v>H.CF.SALES_MATURITIES_INVESTMENTS.FY2022</x:v>
      </x:c>
      <x:c r="B443" s="36" t="str">
        <x:v>CF</x:v>
      </x:c>
      <x:c r="C443" s="36" t="str">
        <x:v>Sales/maturities of investments</x:v>
      </x:c>
      <x:c r="D443" s="36" t="str">
        <x:v>FY2022</x:v>
      </x:c>
      <x:c r="E443" s="37" t="n">
        <x:v>566.647</x:v>
      </x:c>
      <x:c r="F443" s="36" t="str">
        <x:v>https://www.purestorage.com/content/dam/pdf/en/legal/2023-form-10-k.pdf</x:v>
      </x:c>
      <x:c r="G443" s="36" t="n">
        <x:v>62</x:v>
      </x:c>
      <x:c r="H443" s="36" t="str">
        <x:v>Official 2023 Form 10-K used to complete FY2021 and FY2022 history.</x:v>
      </x:c>
    </x:row>
    <x:row r="444">
      <x:c r="A444" s="36" t="str">
        <x:v>H.CF.SALES_MATURITIES_INVESTMENTS.FY2023</x:v>
      </x:c>
      <x:c r="B444" s="36" t="str">
        <x:v>CF</x:v>
      </x:c>
      <x:c r="C444" s="36" t="str">
        <x:v>Sales/maturities of investments</x:v>
      </x:c>
      <x:c r="D444" s="36" t="str">
        <x:v>FY2023</x:v>
      </x:c>
      <x:c r="E444" s="37" t="n">
        <x:v>440.15</x:v>
      </x:c>
      <x:c r="F444" s="36" t="str">
        <x:v>https://www.purestorage.com/content/dam/pdf/en/legal/2023-form-10-k.pdf</x:v>
      </x:c>
      <x:c r="G444" s="36" t="n">
        <x:v>62</x:v>
      </x:c>
      <x:c r="H444" s="36" t="str">
        <x:v>Official 2023 Form 10-K used to complete FY2021 and FY2022 history.</x:v>
      </x:c>
    </x:row>
    <x:row r="445">
      <x:c r="A445" s="36" t="str">
        <x:v>H.CF.SALES_MATURITIES_INVESTMENTS.FY2024</x:v>
      </x:c>
      <x:c r="B445" s="36" t="str">
        <x:v>CF</x:v>
      </x:c>
      <x:c r="C445" s="36" t="str">
        <x:v>Sales/maturities of investments</x:v>
      </x:c>
      <x:c r="D445" s="36" t="str">
        <x:v>FY2024</x:v>
      </x:c>
      <x:c r="E445" s="37" t="n">
        <x:v>664.908</x:v>
      </x:c>
      <x:c r="F445" s="36" t="str">
        <x:v>ed7936ac-e0cd-408a-ae7f-063381fdf3a1.pdf</x:v>
      </x:c>
      <x:c r="G445" s="36" t="n">
        <x:v>58</x:v>
      </x:c>
      <x:c r="H445" s="36" t="str">
        <x:v>Provided 2024 Form 10-K.  Company named Pure Storage in this filing.</x:v>
      </x:c>
    </x:row>
    <x:row r="446">
      <x:c r="A446" s="36" t="str">
        <x:v>H.CF.SALES_MATURITIES_INVESTMENTS.FY2025</x:v>
      </x:c>
      <x:c r="B446" s="36" t="str">
        <x:v>CF</x:v>
      </x:c>
      <x:c r="C446" s="36" t="str">
        <x:v>Sales/maturities of investments</x:v>
      </x:c>
      <x:c r="D446" s="36" t="str">
        <x:v>FY2025</x:v>
      </x:c>
      <x:c r="E446" s="37" t="n">
        <x:v>513.104</x:v>
      </x:c>
      <x:c r="F446" s="36" t="str">
        <x:v>8c023447-ebc8-42c3-86e5-21558f3d7224.pdf</x:v>
      </x:c>
      <x:c r="G446" s="36" t="n">
        <x:v>61</x:v>
      </x:c>
      <x:c r="H446" s="36" t="str">
        <x:v>Provided 2025 Form 10-K.  Company named Pure Storage in this filing.</x:v>
      </x:c>
    </x:row>
    <x:row r="447">
      <x:c r="A447" s="36" t="str">
        <x:v>H.CF.SALES_MATURITIES_INVESTMENTS.FY2026</x:v>
      </x:c>
      <x:c r="B447" s="36" t="str">
        <x:v>CF</x:v>
      </x:c>
      <x:c r="C447" s="36" t="str">
        <x:v>Sales/maturities of investments</x:v>
      </x:c>
      <x:c r="D447" s="36" t="str">
        <x:v>FY2026</x:v>
      </x:c>
      <x:c r="E447" s="37" t="n">
        <x:v>622.363</x:v>
      </x:c>
      <x:c r="F447" s="36" t="str">
        <x:v>2e1ef280-4c52-445c-b593-a6c3a1fbfec6.pdf</x:v>
      </x:c>
      <x:c r="G447" s="36" t="n">
        <x:v>63</x:v>
      </x:c>
      <x:c r="H447" s="36" t="str">
        <x:v>Provided 2026 Form 10-K.  Company named Everpure in this filing.</x:v>
      </x:c>
    </x:row>
    <x:row r="448">
      <x:c r="A448" s="36" t="str">
        <x:v>H.CF.OTHER_INVESTING.FY2021</x:v>
      </x:c>
      <x:c r="B448" s="36" t="str">
        <x:v>CF</x:v>
      </x:c>
      <x:c r="C448" s="36" t="str">
        <x:v>Other investing</x:v>
      </x:c>
      <x:c r="D448" s="36" t="str">
        <x:v>FY2021</x:v>
      </x:c>
      <x:c r="E448" s="37" t="n">
        <x:v>-5</x:v>
      </x:c>
      <x:c r="F448" s="36" t="str">
        <x:v>https://www.purestorage.com/content/dam/pdf/en/legal/2023-form-10-k.pdf</x:v>
      </x:c>
      <x:c r="G448" s="36" t="n">
        <x:v>62</x:v>
      </x:c>
      <x:c r="H448" s="36" t="str">
        <x:v>Official 2023 Form 10-K used to complete FY2021 and FY2022 history.</x:v>
      </x:c>
    </x:row>
    <x:row r="449">
      <x:c r="A449" s="36" t="str">
        <x:v>H.CF.OTHER_INVESTING.FY2022</x:v>
      </x:c>
      <x:c r="B449" s="36" t="str">
        <x:v>CF</x:v>
      </x:c>
      <x:c r="C449" s="36" t="str">
        <x:v>Other investing</x:v>
      </x:c>
      <x:c r="D449" s="36" t="str">
        <x:v>FY2022</x:v>
      </x:c>
      <x:c r="E449" s="37" t="n">
        <x:v>-0.6</x:v>
      </x:c>
      <x:c r="F449" s="36" t="str">
        <x:v>https://www.purestorage.com/content/dam/pdf/en/legal/2023-form-10-k.pdf</x:v>
      </x:c>
      <x:c r="G449" s="36" t="n">
        <x:v>62</x:v>
      </x:c>
      <x:c r="H449" s="36" t="str">
        <x:v>Official 2023 Form 10-K used to complete FY2021 and FY2022 history.</x:v>
      </x:c>
    </x:row>
    <x:row r="450">
      <x:c r="A450" s="36" t="str">
        <x:v>H.CF.OTHER_INVESTING.FY2023</x:v>
      </x:c>
      <x:c r="B450" s="36" t="str">
        <x:v>CF</x:v>
      </x:c>
      <x:c r="C450" s="36" t="str">
        <x:v>Other investing</x:v>
      </x:c>
      <x:c r="D450" s="36" t="str">
        <x:v>FY2023</x:v>
      </x:c>
      <x:c r="E450" s="37" t="n">
        <x:v>0</x:v>
      </x:c>
      <x:c r="F450" s="36" t="str">
        <x:v>https://www.purestorage.com/content/dam/pdf/en/legal/2023-form-10-k.pdf</x:v>
      </x:c>
      <x:c r="G450" s="36" t="n">
        <x:v>62</x:v>
      </x:c>
      <x:c r="H450" s="36" t="str">
        <x:v>Official 2023 Form 10-K used to complete FY2021 and FY2022 history.</x:v>
      </x:c>
    </x:row>
    <x:row r="451">
      <x:c r="A451" s="36" t="str">
        <x:v>H.CF.OTHER_INVESTING.FY2024</x:v>
      </x:c>
      <x:c r="B451" s="36" t="str">
        <x:v>CF</x:v>
      </x:c>
      <x:c r="C451" s="36" t="str">
        <x:v>Other investing</x:v>
      </x:c>
      <x:c r="D451" s="36" t="str">
        <x:v>FY2024</x:v>
      </x:c>
      <x:c r="E451" s="37" t="n">
        <x:v>5</x:v>
      </x:c>
      <x:c r="F451" s="36" t="str">
        <x:v>ed7936ac-e0cd-408a-ae7f-063381fdf3a1.pdf</x:v>
      </x:c>
      <x:c r="G451" s="36" t="n">
        <x:v>58</x:v>
      </x:c>
      <x:c r="H451" s="36" t="str">
        <x:v>Provided 2024 Form 10-K.  Company named Pure Storage in this filing.</x:v>
      </x:c>
    </x:row>
    <x:row r="452">
      <x:c r="A452" s="36" t="str">
        <x:v>H.CF.OTHER_INVESTING.FY2025</x:v>
      </x:c>
      <x:c r="B452" s="36" t="str">
        <x:v>CF</x:v>
      </x:c>
      <x:c r="C452" s="36" t="str">
        <x:v>Other investing</x:v>
      </x:c>
      <x:c r="D452" s="36" t="str">
        <x:v>FY2025</x:v>
      </x:c>
      <x:c r="E452" s="37" t="n">
        <x:v>-1.75</x:v>
      </x:c>
      <x:c r="F452" s="36" t="str">
        <x:v>8c023447-ebc8-42c3-86e5-21558f3d7224.pdf</x:v>
      </x:c>
      <x:c r="G452" s="36" t="n">
        <x:v>61</x:v>
      </x:c>
      <x:c r="H452" s="36" t="str">
        <x:v>Provided 2025 Form 10-K.  Company named Pure Storage in this filing.</x:v>
      </x:c>
    </x:row>
    <x:row r="453">
      <x:c r="A453" s="36" t="str">
        <x:v>H.CF.OTHER_INVESTING.FY2026</x:v>
      </x:c>
      <x:c r="B453" s="36" t="str">
        <x:v>CF</x:v>
      </x:c>
      <x:c r="C453" s="36" t="str">
        <x:v>Other investing</x:v>
      </x:c>
      <x:c r="D453" s="36" t="str">
        <x:v>FY2026</x:v>
      </x:c>
      <x:c r="E453" s="37" t="n">
        <x:v>-0.28</x:v>
      </x:c>
      <x:c r="F453" s="36" t="str">
        <x:v>2e1ef280-4c52-445c-b593-a6c3a1fbfec6.pdf</x:v>
      </x:c>
      <x:c r="G453" s="36" t="n">
        <x:v>63</x:v>
      </x:c>
      <x:c r="H453" s="36" t="str">
        <x:v>Provided 2026 Form 10-K.  Company named Everpure in this filing.</x:v>
      </x:c>
    </x:row>
    <x:row r="454">
      <x:c r="A454" s="36" t="str">
        <x:v>H.CF.CFI.FY2021</x:v>
      </x:c>
      <x:c r="B454" s="36" t="str">
        <x:v>CF</x:v>
      </x:c>
      <x:c r="C454" s="36" t="str">
        <x:v>Cash from investing</x:v>
      </x:c>
      <x:c r="D454" s="36" t="str">
        <x:v>FY2021</x:v>
      </x:c>
      <x:c r="E454" s="37" t="n">
        <x:v>-418.109</x:v>
      </x:c>
      <x:c r="F454" s="36" t="str">
        <x:v>https://www.purestorage.com/content/dam/pdf/en/legal/2023-form-10-k.pdf</x:v>
      </x:c>
      <x:c r="G454" s="36" t="n">
        <x:v>62</x:v>
      </x:c>
      <x:c r="H454" s="36" t="str">
        <x:v>Official 2023 Form 10-K used to complete FY2021 and FY2022 history.</x:v>
      </x:c>
    </x:row>
    <x:row r="455">
      <x:c r="A455" s="36" t="str">
        <x:v>H.CF.CFI.FY2022</x:v>
      </x:c>
      <x:c r="B455" s="36" t="str">
        <x:v>CF</x:v>
      </x:c>
      <x:c r="C455" s="36" t="str">
        <x:v>Cash from investing</x:v>
      </x:c>
      <x:c r="D455" s="36" t="str">
        <x:v>FY2022</x:v>
      </x:c>
      <x:c r="E455" s="37" t="n">
        <x:v>-153.283</x:v>
      </x:c>
      <x:c r="F455" s="36" t="str">
        <x:v>https://www.purestorage.com/content/dam/pdf/en/legal/2023-form-10-k.pdf</x:v>
      </x:c>
      <x:c r="G455" s="36" t="n">
        <x:v>62</x:v>
      </x:c>
      <x:c r="H455" s="36" t="str">
        <x:v>Official 2023 Form 10-K used to complete FY2021 and FY2022 history.</x:v>
      </x:c>
    </x:row>
    <x:row r="456">
      <x:c r="A456" s="36" t="str">
        <x:v>H.CF.CFI.FY2023</x:v>
      </x:c>
      <x:c r="B456" s="36" t="str">
        <x:v>CF</x:v>
      </x:c>
      <x:c r="C456" s="36" t="str">
        <x:v>Cash from investing</x:v>
      </x:c>
      <x:c r="D456" s="36" t="str">
        <x:v>FY2023</x:v>
      </x:c>
      <x:c r="E456" s="37" t="n">
        <x:v>-221.413</x:v>
      </x:c>
      <x:c r="F456" s="36" t="str">
        <x:v>https://www.purestorage.com/content/dam/pdf/en/legal/2023-form-10-k.pdf</x:v>
      </x:c>
      <x:c r="G456" s="36" t="n">
        <x:v>62</x:v>
      </x:c>
      <x:c r="H456" s="36" t="str">
        <x:v>Official 2023 Form 10-K used to complete FY2021 and FY2022 history.</x:v>
      </x:c>
    </x:row>
    <x:row r="457">
      <x:c r="A457" s="36" t="str">
        <x:v>H.CF.CFI.FY2024</x:v>
      </x:c>
      <x:c r="B457" s="36" t="str">
        <x:v>CF</x:v>
      </x:c>
      <x:c r="C457" s="36" t="str">
        <x:v>Cash from investing</x:v>
      </x:c>
      <x:c r="D457" s="36" t="str">
        <x:v>FY2024</x:v>
      </x:c>
      <x:c r="E457" s="37" t="n">
        <x:v>3.246</x:v>
      </x:c>
      <x:c r="F457" s="36" t="str">
        <x:v>ed7936ac-e0cd-408a-ae7f-063381fdf3a1.pdf</x:v>
      </x:c>
      <x:c r="G457" s="36" t="n">
        <x:v>58</x:v>
      </x:c>
      <x:c r="H457" s="36" t="str">
        <x:v>Provided 2024 Form 10-K.  Company named Pure Storage in this filing.</x:v>
      </x:c>
    </x:row>
    <x:row r="458">
      <x:c r="A458" s="36" t="str">
        <x:v>H.CF.CFI.FY2025</x:v>
      </x:c>
      <x:c r="B458" s="36" t="str">
        <x:v>CF</x:v>
      </x:c>
      <x:c r="C458" s="36" t="str">
        <x:v>Cash from investing</x:v>
      </x:c>
      <x:c r="D458" s="36" t="str">
        <x:v>FY2025</x:v>
      </x:c>
      <x:c r="E458" s="37" t="n">
        <x:v>-218.2</x:v>
      </x:c>
      <x:c r="F458" s="36" t="str">
        <x:v>8c023447-ebc8-42c3-86e5-21558f3d7224.pdf</x:v>
      </x:c>
      <x:c r="G458" s="36" t="n">
        <x:v>61</x:v>
      </x:c>
      <x:c r="H458" s="36" t="str">
        <x:v>Provided 2025 Form 10-K.  Company named Pure Storage in this filing.</x:v>
      </x:c>
    </x:row>
    <x:row r="459">
      <x:c r="A459" s="36" t="str">
        <x:v>H.CF.CFI.FY2026</x:v>
      </x:c>
      <x:c r="B459" s="36" t="str">
        <x:v>CF</x:v>
      </x:c>
      <x:c r="C459" s="36" t="str">
        <x:v>Cash from investing</x:v>
      </x:c>
      <x:c r="D459" s="36" t="str">
        <x:v>FY2026</x:v>
      </x:c>
      <x:c r="E459" s="37" t="n">
        <x:v>-108.069</x:v>
      </x:c>
      <x:c r="F459" s="36" t="str">
        <x:v>2e1ef280-4c52-445c-b593-a6c3a1fbfec6.pdf</x:v>
      </x:c>
      <x:c r="G459" s="36" t="n">
        <x:v>63</x:v>
      </x:c>
      <x:c r="H459" s="36" t="str">
        <x:v>Provided 2026 Form 10-K.  Company named Everpure in this filing.</x:v>
      </x:c>
    </x:row>
    <x:row r="460">
      <x:c r="A460" s="36" t="str">
        <x:v>H.CF.DEBT_ISSUANCE.FY2021</x:v>
      </x:c>
      <x:c r="B460" s="36" t="str">
        <x:v>CF</x:v>
      </x:c>
      <x:c r="C460" s="36" t="str">
        <x:v>Debt issuance</x:v>
      </x:c>
      <x:c r="D460" s="36" t="str">
        <x:v>FY2021</x:v>
      </x:c>
      <x:c r="E460" s="37" t="n">
        <x:v>251.892</x:v>
      </x:c>
      <x:c r="F460" s="36" t="str">
        <x:v>https://www.purestorage.com/content/dam/pdf/en/legal/2023-form-10-k.pdf</x:v>
      </x:c>
      <x:c r="G460" s="36" t="n">
        <x:v>62</x:v>
      </x:c>
      <x:c r="H460" s="36" t="str">
        <x:v>Official 2023 Form 10-K used to complete FY2021 and FY2022 history.</x:v>
      </x:c>
    </x:row>
    <x:row r="461">
      <x:c r="A461" s="36" t="str">
        <x:v>H.CF.DEBT_ISSUANCE.FY2022</x:v>
      </x:c>
      <x:c r="B461" s="36" t="str">
        <x:v>CF</x:v>
      </x:c>
      <x:c r="C461" s="36" t="str">
        <x:v>Debt issuance</x:v>
      </x:c>
      <x:c r="D461" s="36" t="str">
        <x:v>FY2022</x:v>
      </x:c>
      <x:c r="E461" s="37" t="n">
        <x:v>0</x:v>
      </x:c>
      <x:c r="F461" s="36" t="str">
        <x:v>https://www.purestorage.com/content/dam/pdf/en/legal/2023-form-10-k.pdf</x:v>
      </x:c>
      <x:c r="G461" s="36" t="n">
        <x:v>62</x:v>
      </x:c>
      <x:c r="H461" s="36" t="str">
        <x:v>Official 2023 Form 10-K used to complete FY2021 and FY2022 history.</x:v>
      </x:c>
    </x:row>
    <x:row r="462">
      <x:c r="A462" s="36" t="str">
        <x:v>H.CF.DEBT_ISSUANCE.FY2023</x:v>
      </x:c>
      <x:c r="B462" s="36" t="str">
        <x:v>CF</x:v>
      </x:c>
      <x:c r="C462" s="36" t="str">
        <x:v>Debt issuance</x:v>
      </x:c>
      <x:c r="D462" s="36" t="str">
        <x:v>FY2023</x:v>
      </x:c>
      <x:c r="E462" s="37" t="n">
        <x:v>0</x:v>
      </x:c>
      <x:c r="F462" s="36" t="str">
        <x:v>https://www.purestorage.com/content/dam/pdf/en/legal/2023-form-10-k.pdf</x:v>
      </x:c>
      <x:c r="G462" s="36" t="n">
        <x:v>62</x:v>
      </x:c>
      <x:c r="H462" s="36" t="str">
        <x:v>Official 2023 Form 10-K used to complete FY2021 and FY2022 history.</x:v>
      </x:c>
    </x:row>
    <x:row r="463">
      <x:c r="A463" s="36" t="str">
        <x:v>H.CF.DEBT_ISSUANCE.FY2024</x:v>
      </x:c>
      <x:c r="B463" s="36" t="str">
        <x:v>CF</x:v>
      </x:c>
      <x:c r="C463" s="36" t="str">
        <x:v>Debt issuance</x:v>
      </x:c>
      <x:c r="D463" s="36" t="str">
        <x:v>FY2024</x:v>
      </x:c>
      <x:c r="E463" s="37" t="n">
        <x:v>106.89</x:v>
      </x:c>
      <x:c r="F463" s="36" t="str">
        <x:v>ed7936ac-e0cd-408a-ae7f-063381fdf3a1.pdf</x:v>
      </x:c>
      <x:c r="G463" s="36" t="n">
        <x:v>58</x:v>
      </x:c>
      <x:c r="H463" s="36" t="str">
        <x:v>Provided 2024 Form 10-K.  Company named Pure Storage in this filing.</x:v>
      </x:c>
    </x:row>
    <x:row r="464">
      <x:c r="A464" s="36" t="str">
        <x:v>H.CF.DEBT_ISSUANCE.FY2025</x:v>
      </x:c>
      <x:c r="B464" s="36" t="str">
        <x:v>CF</x:v>
      </x:c>
      <x:c r="C464" s="36" t="str">
        <x:v>Debt issuance</x:v>
      </x:c>
      <x:c r="D464" s="36" t="str">
        <x:v>FY2025</x:v>
      </x:c>
      <x:c r="E464" s="37" t="n">
        <x:v>0</x:v>
      </x:c>
      <x:c r="F464" s="36" t="str">
        <x:v>8c023447-ebc8-42c3-86e5-21558f3d7224.pdf</x:v>
      </x:c>
      <x:c r="G464" s="36" t="n">
        <x:v>61</x:v>
      </x:c>
      <x:c r="H464" s="36" t="str">
        <x:v>Provided 2025 Form 10-K.  Company named Pure Storage in this filing.</x:v>
      </x:c>
    </x:row>
    <x:row r="465">
      <x:c r="A465" s="36" t="str">
        <x:v>H.CF.DEBT_ISSUANCE.FY2026</x:v>
      </x:c>
      <x:c r="B465" s="36" t="str">
        <x:v>CF</x:v>
      </x:c>
      <x:c r="C465" s="36" t="str">
        <x:v>Debt issuance</x:v>
      </x:c>
      <x:c r="D465" s="36" t="str">
        <x:v>FY2026</x:v>
      </x:c>
      <x:c r="E465" s="37" t="n">
        <x:v>0</x:v>
      </x:c>
      <x:c r="F465" s="36" t="str">
        <x:v>2e1ef280-4c52-445c-b593-a6c3a1fbfec6.pdf</x:v>
      </x:c>
      <x:c r="G465" s="36" t="n">
        <x:v>63</x:v>
      </x:c>
      <x:c r="H465" s="36" t="str">
        <x:v>Provided 2026 Form 10-K.  Company named Everpure in this filing.</x:v>
      </x:c>
    </x:row>
    <x:row r="466">
      <x:c r="A466" s="36" t="str">
        <x:v>H.CF.DEBT_REPAYMENT.FY2021</x:v>
      </x:c>
      <x:c r="B466" s="36" t="str">
        <x:v>CF</x:v>
      </x:c>
      <x:c r="C466" s="36" t="str">
        <x:v>Debt repayment</x:v>
      </x:c>
      <x:c r="D466" s="36" t="str">
        <x:v>FY2021</x:v>
      </x:c>
      <x:c r="E466" s="37" t="n">
        <x:v>0</x:v>
      </x:c>
      <x:c r="F466" s="36" t="str">
        <x:v>https://www.purestorage.com/content/dam/pdf/en/legal/2023-form-10-k.pdf</x:v>
      </x:c>
      <x:c r="G466" s="36" t="n">
        <x:v>62</x:v>
      </x:c>
      <x:c r="H466" s="36" t="str">
        <x:v>Official 2023 Form 10-K used to complete FY2021 and FY2022 history.</x:v>
      </x:c>
    </x:row>
    <x:row r="467">
      <x:c r="A467" s="36" t="str">
        <x:v>H.CF.DEBT_REPAYMENT.FY2022</x:v>
      </x:c>
      <x:c r="B467" s="36" t="str">
        <x:v>CF</x:v>
      </x:c>
      <x:c r="C467" s="36" t="str">
        <x:v>Debt repayment</x:v>
      </x:c>
      <x:c r="D467" s="36" t="str">
        <x:v>FY2022</x:v>
      </x:c>
      <x:c r="E467" s="37" t="n">
        <x:v>-2.137</x:v>
      </x:c>
      <x:c r="F467" s="36" t="str">
        <x:v>https://www.purestorage.com/content/dam/pdf/en/legal/2023-form-10-k.pdf</x:v>
      </x:c>
      <x:c r="G467" s="36" t="n">
        <x:v>62</x:v>
      </x:c>
      <x:c r="H467" s="36" t="str">
        <x:v>Official 2023 Form 10-K used to complete FY2021 and FY2022 history.</x:v>
      </x:c>
    </x:row>
    <x:row r="468">
      <x:c r="A468" s="36" t="str">
        <x:v>H.CF.DEBT_REPAYMENT.FY2023</x:v>
      </x:c>
      <x:c r="B468" s="36" t="str">
        <x:v>CF</x:v>
      </x:c>
      <x:c r="C468" s="36" t="str">
        <x:v>Debt repayment</x:v>
      </x:c>
      <x:c r="D468" s="36" t="str">
        <x:v>FY2023</x:v>
      </x:c>
      <x:c r="E468" s="37" t="n">
        <x:v>-257.24</x:v>
      </x:c>
      <x:c r="F468" s="36" t="str">
        <x:v>https://www.purestorage.com/content/dam/pdf/en/legal/2023-form-10-k.pdf</x:v>
      </x:c>
      <x:c r="G468" s="36" t="n">
        <x:v>62</x:v>
      </x:c>
      <x:c r="H468" s="36" t="str">
        <x:v>Official 2023 Form 10-K used to complete FY2021 and FY2022 history.</x:v>
      </x:c>
    </x:row>
    <x:row r="469">
      <x:c r="A469" s="36" t="str">
        <x:v>H.CF.DEBT_REPAYMENT.FY2024</x:v>
      </x:c>
      <x:c r="B469" s="36" t="str">
        <x:v>CF</x:v>
      </x:c>
      <x:c r="C469" s="36" t="str">
        <x:v>Debt repayment</x:v>
      </x:c>
      <x:c r="D469" s="36" t="str">
        <x:v>FY2024</x:v>
      </x:c>
      <x:c r="E469" s="37" t="n">
        <x:v>-586.199</x:v>
      </x:c>
      <x:c r="F469" s="36" t="str">
        <x:v>ed7936ac-e0cd-408a-ae7f-063381fdf3a1.pdf</x:v>
      </x:c>
      <x:c r="G469" s="36" t="n">
        <x:v>58</x:v>
      </x:c>
      <x:c r="H469" s="36" t="str">
        <x:v>Provided 2024 Form 10-K.  Company named Pure Storage in this filing.</x:v>
      </x:c>
    </x:row>
    <x:row r="470">
      <x:c r="A470" s="36" t="str">
        <x:v>H.CF.DEBT_REPAYMENT.FY2025</x:v>
      </x:c>
      <x:c r="B470" s="36" t="str">
        <x:v>CF</x:v>
      </x:c>
      <x:c r="C470" s="36" t="str">
        <x:v>Debt repayment</x:v>
      </x:c>
      <x:c r="D470" s="36" t="str">
        <x:v>FY2025</x:v>
      </x:c>
      <x:c r="E470" s="37" t="n">
        <x:v>-8.118</x:v>
      </x:c>
      <x:c r="F470" s="36" t="str">
        <x:v>8c023447-ebc8-42c3-86e5-21558f3d7224.pdf</x:v>
      </x:c>
      <x:c r="G470" s="36" t="n">
        <x:v>61</x:v>
      </x:c>
      <x:c r="H470" s="36" t="str">
        <x:v>Provided 2025 Form 10-K.  Company named Pure Storage in this filing.</x:v>
      </x:c>
    </x:row>
    <x:row r="471">
      <x:c r="A471" s="36" t="str">
        <x:v>H.CF.DEBT_REPAYMENT.FY2026</x:v>
      </x:c>
      <x:c r="B471" s="36" t="str">
        <x:v>CF</x:v>
      </x:c>
      <x:c r="C471" s="36" t="str">
        <x:v>Debt repayment</x:v>
      </x:c>
      <x:c r="D471" s="36" t="str">
        <x:v>FY2026</x:v>
      </x:c>
      <x:c r="E471" s="37" t="n">
        <x:v>-103.534</x:v>
      </x:c>
      <x:c r="F471" s="36" t="str">
        <x:v>2e1ef280-4c52-445c-b593-a6c3a1fbfec6.pdf</x:v>
      </x:c>
      <x:c r="G471" s="36" t="n">
        <x:v>63</x:v>
      </x:c>
      <x:c r="H471" s="36" t="str">
        <x:v>Provided 2026 Form 10-K.  Company named Everpure in this filing.</x:v>
      </x:c>
    </x:row>
    <x:row r="472">
      <x:c r="A472" s="36" t="str">
        <x:v>H.CF.EQUITY_ISSUANCE.FY2021</x:v>
      </x:c>
      <x:c r="B472" s="36" t="str">
        <x:v>CF</x:v>
      </x:c>
      <x:c r="C472" s="36" t="str">
        <x:v>Equity issuance (employee stock plans)</x:v>
      </x:c>
      <x:c r="D472" s="36" t="str">
        <x:v>FY2021</x:v>
      </x:c>
      <x:c r="E472" s="37" t="n">
        <x:v>91.778</x:v>
      </x:c>
      <x:c r="F472" s="36" t="str">
        <x:v>https://www.purestorage.com/content/dam/pdf/en/legal/2023-form-10-k.pdf</x:v>
      </x:c>
      <x:c r="G472" s="36" t="n">
        <x:v>62</x:v>
      </x:c>
      <x:c r="H472" s="36" t="str">
        <x:v>Official 2023 Form 10-K used to complete FY2021 and FY2022 history.</x:v>
      </x:c>
    </x:row>
    <x:row r="473">
      <x:c r="A473" s="36" t="str">
        <x:v>H.CF.EQUITY_ISSUANCE.FY2022</x:v>
      </x:c>
      <x:c r="B473" s="36" t="str">
        <x:v>CF</x:v>
      </x:c>
      <x:c r="C473" s="36" t="str">
        <x:v>Equity issuance (employee stock plans)</x:v>
      </x:c>
      <x:c r="D473" s="36" t="str">
        <x:v>FY2022</x:v>
      </x:c>
      <x:c r="E473" s="37" t="n">
        <x:v>85.35</x:v>
      </x:c>
      <x:c r="F473" s="36" t="str">
        <x:v>https://www.purestorage.com/content/dam/pdf/en/legal/2023-form-10-k.pdf</x:v>
      </x:c>
      <x:c r="G473" s="36" t="n">
        <x:v>62</x:v>
      </x:c>
      <x:c r="H473" s="36" t="str">
        <x:v>Official 2023 Form 10-K used to complete FY2021 and FY2022 history.</x:v>
      </x:c>
    </x:row>
    <x:row r="474">
      <x:c r="A474" s="36" t="str">
        <x:v>H.CF.EQUITY_ISSUANCE.FY2023</x:v>
      </x:c>
      <x:c r="B474" s="36" t="str">
        <x:v>CF</x:v>
      </x:c>
      <x:c r="C474" s="36" t="str">
        <x:v>Equity issuance (employee stock plans)</x:v>
      </x:c>
      <x:c r="D474" s="36" t="str">
        <x:v>FY2023</x:v>
      </x:c>
      <x:c r="E474" s="37" t="n">
        <x:v>64.743</x:v>
      </x:c>
      <x:c r="F474" s="36" t="str">
        <x:v>https://www.purestorage.com/content/dam/pdf/en/legal/2023-form-10-k.pdf</x:v>
      </x:c>
      <x:c r="G474" s="36" t="n">
        <x:v>62</x:v>
      </x:c>
      <x:c r="H474" s="36" t="str">
        <x:v>Official 2023 Form 10-K used to complete FY2021 and FY2022 history.</x:v>
      </x:c>
    </x:row>
    <x:row r="475">
      <x:c r="A475" s="36" t="str">
        <x:v>H.CF.EQUITY_ISSUANCE.FY2024</x:v>
      </x:c>
      <x:c r="B475" s="36" t="str">
        <x:v>CF</x:v>
      </x:c>
      <x:c r="C475" s="36" t="str">
        <x:v>Equity issuance (employee stock plans)</x:v>
      </x:c>
      <x:c r="D475" s="36" t="str">
        <x:v>FY2024</x:v>
      </x:c>
      <x:c r="E475" s="37" t="n">
        <x:v>84.859</x:v>
      </x:c>
      <x:c r="F475" s="36" t="str">
        <x:v>ed7936ac-e0cd-408a-ae7f-063381fdf3a1.pdf</x:v>
      </x:c>
      <x:c r="G475" s="36" t="n">
        <x:v>58</x:v>
      </x:c>
      <x:c r="H475" s="36" t="str">
        <x:v>Provided 2024 Form 10-K.  Company named Pure Storage in this filing.</x:v>
      </x:c>
    </x:row>
    <x:row r="476">
      <x:c r="A476" s="36" t="str">
        <x:v>H.CF.EQUITY_ISSUANCE.FY2025</x:v>
      </x:c>
      <x:c r="B476" s="36" t="str">
        <x:v>CF</x:v>
      </x:c>
      <x:c r="C476" s="36" t="str">
        <x:v>Equity issuance (employee stock plans)</x:v>
      </x:c>
      <x:c r="D476" s="36" t="str">
        <x:v>FY2025</x:v>
      </x:c>
      <x:c r="E476" s="37" t="n">
        <x:v>78.903</x:v>
      </x:c>
      <x:c r="F476" s="36" t="str">
        <x:v>8c023447-ebc8-42c3-86e5-21558f3d7224.pdf</x:v>
      </x:c>
      <x:c r="G476" s="36" t="n">
        <x:v>61</x:v>
      </x:c>
      <x:c r="H476" s="36" t="str">
        <x:v>Provided 2025 Form 10-K.  Company named Pure Storage in this filing.</x:v>
      </x:c>
    </x:row>
    <x:row r="477">
      <x:c r="A477" s="36" t="str">
        <x:v>H.CF.EQUITY_ISSUANCE.FY2026</x:v>
      </x:c>
      <x:c r="B477" s="36" t="str">
        <x:v>CF</x:v>
      </x:c>
      <x:c r="C477" s="36" t="str">
        <x:v>Equity issuance (employee stock plans)</x:v>
      </x:c>
      <x:c r="D477" s="36" t="str">
        <x:v>FY2026</x:v>
      </x:c>
      <x:c r="E477" s="37" t="n">
        <x:v>74.419</x:v>
      </x:c>
      <x:c r="F477" s="36" t="str">
        <x:v>2e1ef280-4c52-445c-b593-a6c3a1fbfec6.pdf</x:v>
      </x:c>
      <x:c r="G477" s="36" t="n">
        <x:v>63</x:v>
      </x:c>
      <x:c r="H477" s="36" t="str">
        <x:v>Provided 2026 Form 10-K.  Company named Everpure in this filing.</x:v>
      </x:c>
    </x:row>
    <x:row r="478">
      <x:c r="A478" s="36" t="str">
        <x:v>H.CF.SHARE_REPURCHASES.FY2021</x:v>
      </x:c>
      <x:c r="B478" s="36" t="str">
        <x:v>CF</x:v>
      </x:c>
      <x:c r="C478" s="36" t="str">
        <x:v>Share repurchases</x:v>
      </x:c>
      <x:c r="D478" s="36" t="str">
        <x:v>FY2021</x:v>
      </x:c>
      <x:c r="E478" s="37" t="n">
        <x:v>-135.175</x:v>
      </x:c>
      <x:c r="F478" s="36" t="str">
        <x:v>https://www.purestorage.com/content/dam/pdf/en/legal/2023-form-10-k.pdf</x:v>
      </x:c>
      <x:c r="G478" s="36" t="n">
        <x:v>62</x:v>
      </x:c>
      <x:c r="H478" s="36" t="str">
        <x:v>Official 2023 Form 10-K used to complete FY2021 and FY2022 history.</x:v>
      </x:c>
    </x:row>
    <x:row r="479">
      <x:c r="A479" s="36" t="str">
        <x:v>H.CF.SHARE_REPURCHASES.FY2022</x:v>
      </x:c>
      <x:c r="B479" s="36" t="str">
        <x:v>CF</x:v>
      </x:c>
      <x:c r="C479" s="36" t="str">
        <x:v>Share repurchases</x:v>
      </x:c>
      <x:c r="D479" s="36" t="str">
        <x:v>FY2022</x:v>
      </x:c>
      <x:c r="E479" s="37" t="n">
        <x:v>-200.17</x:v>
      </x:c>
      <x:c r="F479" s="36" t="str">
        <x:v>https://www.purestorage.com/content/dam/pdf/en/legal/2023-form-10-k.pdf</x:v>
      </x:c>
      <x:c r="G479" s="36" t="n">
        <x:v>62</x:v>
      </x:c>
      <x:c r="H479" s="36" t="str">
        <x:v>Official 2023 Form 10-K used to complete FY2021 and FY2022 history.</x:v>
      </x:c>
    </x:row>
    <x:row r="480">
      <x:c r="A480" s="36" t="str">
        <x:v>H.CF.SHARE_REPURCHASES.FY2023</x:v>
      </x:c>
      <x:c r="B480" s="36" t="str">
        <x:v>CF</x:v>
      </x:c>
      <x:c r="C480" s="36" t="str">
        <x:v>Share repurchases</x:v>
      </x:c>
      <x:c r="D480" s="36" t="str">
        <x:v>FY2023</x:v>
      </x:c>
      <x:c r="E480" s="37" t="n">
        <x:v>-219.068</x:v>
      </x:c>
      <x:c r="F480" s="36" t="str">
        <x:v>https://www.purestorage.com/content/dam/pdf/en/legal/2023-form-10-k.pdf</x:v>
      </x:c>
      <x:c r="G480" s="36" t="n">
        <x:v>62</x:v>
      </x:c>
      <x:c r="H480" s="36" t="str">
        <x:v>Official 2023 Form 10-K used to complete FY2021 and FY2022 history.</x:v>
      </x:c>
    </x:row>
    <x:row r="481">
      <x:c r="A481" s="36" t="str">
        <x:v>H.CF.SHARE_REPURCHASES.FY2024</x:v>
      </x:c>
      <x:c r="B481" s="36" t="str">
        <x:v>CF</x:v>
      </x:c>
      <x:c r="C481" s="36" t="str">
        <x:v>Share repurchases</x:v>
      </x:c>
      <x:c r="D481" s="36" t="str">
        <x:v>FY2024</x:v>
      </x:c>
      <x:c r="E481" s="37" t="n">
        <x:v>-135.801</x:v>
      </x:c>
      <x:c r="F481" s="36" t="str">
        <x:v>ed7936ac-e0cd-408a-ae7f-063381fdf3a1.pdf</x:v>
      </x:c>
      <x:c r="G481" s="36" t="n">
        <x:v>58</x:v>
      </x:c>
      <x:c r="H481" s="36" t="str">
        <x:v>Provided 2024 Form 10-K.  Company named Pure Storage in this filing.</x:v>
      </x:c>
    </x:row>
    <x:row r="482">
      <x:c r="A482" s="36" t="str">
        <x:v>H.CF.SHARE_REPURCHASES.FY2025</x:v>
      </x:c>
      <x:c r="B482" s="36" t="str">
        <x:v>CF</x:v>
      </x:c>
      <x:c r="C482" s="36" t="str">
        <x:v>Share repurchases</x:v>
      </x:c>
      <x:c r="D482" s="36" t="str">
        <x:v>FY2025</x:v>
      </x:c>
      <x:c r="E482" s="37" t="n">
        <x:v>-373.977</x:v>
      </x:c>
      <x:c r="F482" s="36" t="str">
        <x:v>8c023447-ebc8-42c3-86e5-21558f3d7224.pdf</x:v>
      </x:c>
      <x:c r="G482" s="36" t="n">
        <x:v>61</x:v>
      </x:c>
      <x:c r="H482" s="36" t="str">
        <x:v>Provided 2025 Form 10-K.  Company named Pure Storage in this filing.</x:v>
      </x:c>
    </x:row>
    <x:row r="483">
      <x:c r="A483" s="36" t="str">
        <x:v>H.CF.SHARE_REPURCHASES.FY2026</x:v>
      </x:c>
      <x:c r="B483" s="36" t="str">
        <x:v>CF</x:v>
      </x:c>
      <x:c r="C483" s="36" t="str">
        <x:v>Share repurchases</x:v>
      </x:c>
      <x:c r="D483" s="36" t="str">
        <x:v>FY2026</x:v>
      </x:c>
      <x:c r="E483" s="37" t="n">
        <x:v>-342.648</x:v>
      </x:c>
      <x:c r="F483" s="36" t="str">
        <x:v>2e1ef280-4c52-445c-b593-a6c3a1fbfec6.pdf</x:v>
      </x:c>
      <x:c r="G483" s="36" t="n">
        <x:v>63</x:v>
      </x:c>
      <x:c r="H483" s="36" t="str">
        <x:v>Provided 2026 Form 10-K.  Company named Everpure in this filing.</x:v>
      </x:c>
    </x:row>
    <x:row r="484">
      <x:c r="A484" s="36" t="str">
        <x:v>H.CF.DIVIDENDS_PAID.FY2021</x:v>
      </x:c>
      <x:c r="B484" s="36" t="str">
        <x:v>CF</x:v>
      </x:c>
      <x:c r="C484" s="36" t="str">
        <x:v>Dividends paid</x:v>
      </x:c>
      <x:c r="D484" s="36" t="str">
        <x:v>FY2021</x:v>
      </x:c>
      <x:c r="E484" s="37" t="n">
        <x:v>0</x:v>
      </x:c>
      <x:c r="F484" s="36" t="str">
        <x:v>https://www.purestorage.com/content/dam/pdf/en/legal/2023-form-10-k.pdf</x:v>
      </x:c>
      <x:c r="G484" s="36" t="n">
        <x:v>62</x:v>
      </x:c>
      <x:c r="H484" s="36" t="str">
        <x:v>Official 2023 Form 10-K used to complete FY2021 and FY2022 history.</x:v>
      </x:c>
    </x:row>
    <x:row r="485">
      <x:c r="A485" s="36" t="str">
        <x:v>H.CF.DIVIDENDS_PAID.FY2022</x:v>
      </x:c>
      <x:c r="B485" s="36" t="str">
        <x:v>CF</x:v>
      </x:c>
      <x:c r="C485" s="36" t="str">
        <x:v>Dividends paid</x:v>
      </x:c>
      <x:c r="D485" s="36" t="str">
        <x:v>FY2022</x:v>
      </x:c>
      <x:c r="E485" s="37" t="n">
        <x:v>0</x:v>
      </x:c>
      <x:c r="F485" s="36" t="str">
        <x:v>https://www.purestorage.com/content/dam/pdf/en/legal/2023-form-10-k.pdf</x:v>
      </x:c>
      <x:c r="G485" s="36" t="n">
        <x:v>62</x:v>
      </x:c>
      <x:c r="H485" s="36" t="str">
        <x:v>Official 2023 Form 10-K used to complete FY2021 and FY2022 history.</x:v>
      </x:c>
    </x:row>
    <x:row r="486">
      <x:c r="A486" s="36" t="str">
        <x:v>H.CF.DIVIDENDS_PAID.FY2023</x:v>
      </x:c>
      <x:c r="B486" s="36" t="str">
        <x:v>CF</x:v>
      </x:c>
      <x:c r="C486" s="36" t="str">
        <x:v>Dividends paid</x:v>
      </x:c>
      <x:c r="D486" s="36" t="str">
        <x:v>FY2023</x:v>
      </x:c>
      <x:c r="E486" s="37" t="n">
        <x:v>0</x:v>
      </x:c>
      <x:c r="F486" s="36" t="str">
        <x:v>https://www.purestorage.com/content/dam/pdf/en/legal/2023-form-10-k.pdf</x:v>
      </x:c>
      <x:c r="G486" s="36" t="n">
        <x:v>62</x:v>
      </x:c>
      <x:c r="H486" s="36" t="str">
        <x:v>Official 2023 Form 10-K used to complete FY2021 and FY2022 history.</x:v>
      </x:c>
    </x:row>
    <x:row r="487">
      <x:c r="A487" s="36" t="str">
        <x:v>H.CF.DIVIDENDS_PAID.FY2024</x:v>
      </x:c>
      <x:c r="B487" s="36" t="str">
        <x:v>CF</x:v>
      </x:c>
      <x:c r="C487" s="36" t="str">
        <x:v>Dividends paid</x:v>
      </x:c>
      <x:c r="D487" s="36" t="str">
        <x:v>FY2024</x:v>
      </x:c>
      <x:c r="E487" s="37" t="n">
        <x:v>0</x:v>
      </x:c>
      <x:c r="F487" s="36" t="str">
        <x:v>ed7936ac-e0cd-408a-ae7f-063381fdf3a1.pdf</x:v>
      </x:c>
      <x:c r="G487" s="36" t="n">
        <x:v>58</x:v>
      </x:c>
      <x:c r="H487" s="36" t="str">
        <x:v>Provided 2024 Form 10-K.  Company named Pure Storage in this filing.</x:v>
      </x:c>
    </x:row>
    <x:row r="488">
      <x:c r="A488" s="36" t="str">
        <x:v>H.CF.DIVIDENDS_PAID.FY2025</x:v>
      </x:c>
      <x:c r="B488" s="36" t="str">
        <x:v>CF</x:v>
      </x:c>
      <x:c r="C488" s="36" t="str">
        <x:v>Dividends paid</x:v>
      </x:c>
      <x:c r="D488" s="36" t="str">
        <x:v>FY2025</x:v>
      </x:c>
      <x:c r="E488" s="37" t="n">
        <x:v>0</x:v>
      </x:c>
      <x:c r="F488" s="36" t="str">
        <x:v>8c023447-ebc8-42c3-86e5-21558f3d7224.pdf</x:v>
      </x:c>
      <x:c r="G488" s="36" t="n">
        <x:v>61</x:v>
      </x:c>
      <x:c r="H488" s="36" t="str">
        <x:v>Provided 2025 Form 10-K.  Company named Pure Storage in this filing.</x:v>
      </x:c>
    </x:row>
    <x:row r="489">
      <x:c r="A489" s="36" t="str">
        <x:v>H.CF.DIVIDENDS_PAID.FY2026</x:v>
      </x:c>
      <x:c r="B489" s="36" t="str">
        <x:v>CF</x:v>
      </x:c>
      <x:c r="C489" s="36" t="str">
        <x:v>Dividends paid</x:v>
      </x:c>
      <x:c r="D489" s="36" t="str">
        <x:v>FY2026</x:v>
      </x:c>
      <x:c r="E489" s="37" t="n">
        <x:v>0</x:v>
      </x:c>
      <x:c r="F489" s="36" t="str">
        <x:v>2e1ef280-4c52-445c-b593-a6c3a1fbfec6.pdf</x:v>
      </x:c>
      <x:c r="G489" s="36" t="n">
        <x:v>63</x:v>
      </x:c>
      <x:c r="H489" s="36" t="str">
        <x:v>Provided 2026 Form 10-K.  Company named Everpure in this filing.</x:v>
      </x:c>
    </x:row>
    <x:row r="490">
      <x:c r="A490" s="36" t="str">
        <x:v>H.CF.OTHER_FINANCING.FY2021</x:v>
      </x:c>
      <x:c r="B490" s="36" t="str">
        <x:v>CF</x:v>
      </x:c>
      <x:c r="C490" s="36" t="str">
        <x:v>Other financing</x:v>
      </x:c>
      <x:c r="D490" s="36" t="str">
        <x:v>FY2021</x:v>
      </x:c>
      <x:c r="E490" s="37" t="n">
        <x:v>-8.258</x:v>
      </x:c>
      <x:c r="F490" s="36" t="str">
        <x:v>https://www.purestorage.com/content/dam/pdf/en/legal/2023-form-10-k.pdf</x:v>
      </x:c>
      <x:c r="G490" s="36" t="n">
        <x:v>62</x:v>
      </x:c>
      <x:c r="H490" s="36" t="str">
        <x:v>Official 2023 Form 10-K used to complete FY2021 and FY2022 history.</x:v>
      </x:c>
    </x:row>
    <x:row r="491">
      <x:c r="A491" s="36" t="str">
        <x:v>H.CF.OTHER_FINANCING.FY2022</x:v>
      </x:c>
      <x:c r="B491" s="36" t="str">
        <x:v>CF</x:v>
      </x:c>
      <x:c r="C491" s="36" t="str">
        <x:v>Other financing</x:v>
      </x:c>
      <x:c r="D491" s="36" t="str">
        <x:v>FY2022</x:v>
      </x:c>
      <x:c r="E491" s="37" t="n">
        <x:v>-10.835</x:v>
      </x:c>
      <x:c r="F491" s="36" t="str">
        <x:v>https://www.purestorage.com/content/dam/pdf/en/legal/2023-form-10-k.pdf</x:v>
      </x:c>
      <x:c r="G491" s="36" t="n">
        <x:v>62</x:v>
      </x:c>
      <x:c r="H491" s="36" t="str">
        <x:v>Official 2023 Form 10-K used to complete FY2021 and FY2022 history.</x:v>
      </x:c>
    </x:row>
    <x:row r="492">
      <x:c r="A492" s="36" t="str">
        <x:v>H.CF.OTHER_FINANCING.FY2023</x:v>
      </x:c>
      <x:c r="B492" s="36" t="str">
        <x:v>CF</x:v>
      </x:c>
      <x:c r="C492" s="36" t="str">
        <x:v>Other financing</x:v>
      </x:c>
      <x:c r="D492" s="36" t="str">
        <x:v>FY2023</x:v>
      </x:c>
      <x:c r="E492" s="37" t="n">
        <x:v>-19.601</x:v>
      </x:c>
      <x:c r="F492" s="36" t="str">
        <x:v>https://www.purestorage.com/content/dam/pdf/en/legal/2023-form-10-k.pdf</x:v>
      </x:c>
      <x:c r="G492" s="36" t="n">
        <x:v>62</x:v>
      </x:c>
      <x:c r="H492" s="36" t="str">
        <x:v>Official 2023 Form 10-K used to complete FY2021 and FY2022 history.</x:v>
      </x:c>
    </x:row>
    <x:row r="493">
      <x:c r="A493" s="36" t="str">
        <x:v>H.CF.OTHER_FINANCING.FY2024</x:v>
      </x:c>
      <x:c r="B493" s="36" t="str">
        <x:v>CF</x:v>
      </x:c>
      <x:c r="C493" s="36" t="str">
        <x:v>Other financing</x:v>
      </x:c>
      <x:c r="D493" s="36" t="str">
        <x:v>FY2024</x:v>
      </x:c>
      <x:c r="E493" s="37" t="n">
        <x:v>-29.984</x:v>
      </x:c>
      <x:c r="F493" s="36" t="str">
        <x:v>ed7936ac-e0cd-408a-ae7f-063381fdf3a1.pdf</x:v>
      </x:c>
      <x:c r="G493" s="36" t="n">
        <x:v>58</x:v>
      </x:c>
      <x:c r="H493" s="36" t="str">
        <x:v>Provided 2024 Form 10-K.  Company named Pure Storage in this filing.</x:v>
      </x:c>
    </x:row>
    <x:row r="494">
      <x:c r="A494" s="36" t="str">
        <x:v>H.CF.OTHER_FINANCING.FY2025</x:v>
      </x:c>
      <x:c r="B494" s="36" t="str">
        <x:v>CF</x:v>
      </x:c>
      <x:c r="C494" s="36" t="str">
        <x:v>Other financing</x:v>
      </x:c>
      <x:c r="D494" s="36" t="str">
        <x:v>FY2025</x:v>
      </x:c>
      <x:c r="E494" s="37" t="n">
        <x:v>-206.587</x:v>
      </x:c>
      <x:c r="F494" s="36" t="str">
        <x:v>8c023447-ebc8-42c3-86e5-21558f3d7224.pdf</x:v>
      </x:c>
      <x:c r="G494" s="36" t="n">
        <x:v>61</x:v>
      </x:c>
      <x:c r="H494" s="36" t="str">
        <x:v>Provided 2025 Form 10-K.  Company named Pure Storage in this filing.</x:v>
      </x:c>
    </x:row>
    <x:row r="495">
      <x:c r="A495" s="36" t="str">
        <x:v>H.CF.OTHER_FINANCING.FY2026</x:v>
      </x:c>
      <x:c r="B495" s="36" t="str">
        <x:v>CF</x:v>
      </x:c>
      <x:c r="C495" s="36" t="str">
        <x:v>Other financing</x:v>
      </x:c>
      <x:c r="D495" s="36" t="str">
        <x:v>FY2026</x:v>
      </x:c>
      <x:c r="E495" s="37" t="n">
        <x:v>-272.668</x:v>
      </x:c>
      <x:c r="F495" s="36" t="str">
        <x:v>2e1ef280-4c52-445c-b593-a6c3a1fbfec6.pdf</x:v>
      </x:c>
      <x:c r="G495" s="36" t="n">
        <x:v>63</x:v>
      </x:c>
      <x:c r="H495" s="36" t="str">
        <x:v>Provided 2026 Form 10-K.  Company named Everpure in this filing.</x:v>
      </x:c>
    </x:row>
    <x:row r="496">
      <x:c r="A496" s="36" t="str">
        <x:v>H.CF.CFF.FY2021</x:v>
      </x:c>
      <x:c r="B496" s="36" t="str">
        <x:v>CF</x:v>
      </x:c>
      <x:c r="C496" s="36" t="str">
        <x:v>Cash from financing</x:v>
      </x:c>
      <x:c r="D496" s="36" t="str">
        <x:v>FY2021</x:v>
      </x:c>
      <x:c r="E496" s="37" t="n">
        <x:v>200.237</x:v>
      </x:c>
      <x:c r="F496" s="36" t="str">
        <x:v>https://www.purestorage.com/content/dam/pdf/en/legal/2023-form-10-k.pdf</x:v>
      </x:c>
      <x:c r="G496" s="36" t="n">
        <x:v>62</x:v>
      </x:c>
      <x:c r="H496" s="36" t="str">
        <x:v>Official 2023 Form 10-K used to complete FY2021 and FY2022 history.</x:v>
      </x:c>
    </x:row>
    <x:row r="497">
      <x:c r="A497" s="36" t="str">
        <x:v>H.CF.CFF.FY2022</x:v>
      </x:c>
      <x:c r="B497" s="36" t="str">
        <x:v>CF</x:v>
      </x:c>
      <x:c r="C497" s="36" t="str">
        <x:v>Cash from financing</x:v>
      </x:c>
      <x:c r="D497" s="36" t="str">
        <x:v>FY2022</x:v>
      </x:c>
      <x:c r="E497" s="37" t="n">
        <x:v>-127.792</x:v>
      </x:c>
      <x:c r="F497" s="36" t="str">
        <x:v>https://www.purestorage.com/content/dam/pdf/en/legal/2023-form-10-k.pdf</x:v>
      </x:c>
      <x:c r="G497" s="36" t="n">
        <x:v>62</x:v>
      </x:c>
      <x:c r="H497" s="36" t="str">
        <x:v>Official 2023 Form 10-K used to complete FY2021 and FY2022 history.</x:v>
      </x:c>
    </x:row>
    <x:row r="498">
      <x:c r="A498" s="36" t="str">
        <x:v>H.CF.CFF.FY2023</x:v>
      </x:c>
      <x:c r="B498" s="36" t="str">
        <x:v>CF</x:v>
      </x:c>
      <x:c r="C498" s="36" t="str">
        <x:v>Cash from financing</x:v>
      </x:c>
      <x:c r="D498" s="36" t="str">
        <x:v>FY2023</x:v>
      </x:c>
      <x:c r="E498" s="37" t="n">
        <x:v>-431.166</x:v>
      </x:c>
      <x:c r="F498" s="36" t="str">
        <x:v>https://www.purestorage.com/content/dam/pdf/en/legal/2023-form-10-k.pdf</x:v>
      </x:c>
      <x:c r="G498" s="36" t="n">
        <x:v>62</x:v>
      </x:c>
      <x:c r="H498" s="36" t="str">
        <x:v>Official 2023 Form 10-K used to complete FY2021 and FY2022 history.</x:v>
      </x:c>
    </x:row>
    <x:row r="499">
      <x:c r="A499" s="36" t="str">
        <x:v>H.CF.CFF.FY2024</x:v>
      </x:c>
      <x:c r="B499" s="36" t="str">
        <x:v>CF</x:v>
      </x:c>
      <x:c r="C499" s="36" t="str">
        <x:v>Cash from financing</x:v>
      </x:c>
      <x:c r="D499" s="36" t="str">
        <x:v>FY2024</x:v>
      </x:c>
      <x:c r="E499" s="37" t="n">
        <x:v>-560.235</x:v>
      </x:c>
      <x:c r="F499" s="36" t="str">
        <x:v>ed7936ac-e0cd-408a-ae7f-063381fdf3a1.pdf</x:v>
      </x:c>
      <x:c r="G499" s="36" t="n">
        <x:v>58</x:v>
      </x:c>
      <x:c r="H499" s="36" t="str">
        <x:v>Provided 2024 Form 10-K.  Company named Pure Storage in this filing.</x:v>
      </x:c>
    </x:row>
    <x:row r="500">
      <x:c r="A500" s="36" t="str">
        <x:v>H.CF.CFF.FY2025</x:v>
      </x:c>
      <x:c r="B500" s="36" t="str">
        <x:v>CF</x:v>
      </x:c>
      <x:c r="C500" s="36" t="str">
        <x:v>Cash from financing</x:v>
      </x:c>
      <x:c r="D500" s="36" t="str">
        <x:v>FY2025</x:v>
      </x:c>
      <x:c r="E500" s="37" t="n">
        <x:v>-509.779</x:v>
      </x:c>
      <x:c r="F500" s="36" t="str">
        <x:v>8c023447-ebc8-42c3-86e5-21558f3d7224.pdf</x:v>
      </x:c>
      <x:c r="G500" s="36" t="n">
        <x:v>61</x:v>
      </x:c>
      <x:c r="H500" s="36" t="str">
        <x:v>Provided 2025 Form 10-K.  Company named Pure Storage in this filing.</x:v>
      </x:c>
    </x:row>
    <x:row r="501">
      <x:c r="A501" s="36" t="str">
        <x:v>H.CF.CFF.FY2026</x:v>
      </x:c>
      <x:c r="B501" s="36" t="str">
        <x:v>CF</x:v>
      </x:c>
      <x:c r="C501" s="36" t="str">
        <x:v>Cash from financing</x:v>
      </x:c>
      <x:c r="D501" s="36" t="str">
        <x:v>FY2026</x:v>
      </x:c>
      <x:c r="E501" s="37" t="n">
        <x:v>-644.787</x:v>
      </x:c>
      <x:c r="F501" s="36" t="str">
        <x:v>2e1ef280-4c52-445c-b593-a6c3a1fbfec6.pdf</x:v>
      </x:c>
      <x:c r="G501" s="36" t="n">
        <x:v>63</x:v>
      </x:c>
      <x:c r="H501" s="36" t="str">
        <x:v>Provided 2026 Form 10-K.  Company named Everpure in this filing.</x:v>
      </x:c>
    </x:row>
    <x:row r="502">
      <x:c r="A502" s="36" t="str">
        <x:v>H.CF.FX.FY2021</x:v>
      </x:c>
      <x:c r="B502" s="36" t="str">
        <x:v>CF</x:v>
      </x:c>
      <x:c r="C502" s="36" t="str">
        <x:v>Effect of FX on cash</x:v>
      </x:c>
      <x:c r="D502" s="36" t="str">
        <x:v>FY2021</x:v>
      </x:c>
      <x:c r="E502" s="37" t="n">
        <x:v>0</x:v>
      </x:c>
      <x:c r="F502" s="36" t="str">
        <x:v>https://www.purestorage.com/content/dam/pdf/en/legal/2023-form-10-k.pdf</x:v>
      </x:c>
      <x:c r="G502" s="36" t="n">
        <x:v>62</x:v>
      </x:c>
      <x:c r="H502" s="36" t="str">
        <x:v>Official 2023 Form 10-K used to complete FY2021 and FY2022 history.</x:v>
      </x:c>
    </x:row>
    <x:row r="503">
      <x:c r="A503" s="36" t="str">
        <x:v>H.CF.FX.FY2022</x:v>
      </x:c>
      <x:c r="B503" s="36" t="str">
        <x:v>CF</x:v>
      </x:c>
      <x:c r="C503" s="36" t="str">
        <x:v>Effect of FX on cash</x:v>
      </x:c>
      <x:c r="D503" s="36" t="str">
        <x:v>FY2022</x:v>
      </x:c>
      <x:c r="E503" s="37" t="n">
        <x:v>0</x:v>
      </x:c>
      <x:c r="F503" s="36" t="str">
        <x:v>https://www.purestorage.com/content/dam/pdf/en/legal/2023-form-10-k.pdf</x:v>
      </x:c>
      <x:c r="G503" s="36" t="n">
        <x:v>62</x:v>
      </x:c>
      <x:c r="H503" s="36" t="str">
        <x:v>Official 2023 Form 10-K used to complete FY2021 and FY2022 history.</x:v>
      </x:c>
    </x:row>
    <x:row r="504">
      <x:c r="A504" s="36" t="str">
        <x:v>H.CF.FX.FY2023</x:v>
      </x:c>
      <x:c r="B504" s="36" t="str">
        <x:v>CF</x:v>
      </x:c>
      <x:c r="C504" s="36" t="str">
        <x:v>Effect of FX on cash</x:v>
      </x:c>
      <x:c r="D504" s="36" t="str">
        <x:v>FY2023</x:v>
      </x:c>
      <x:c r="E504" s="37" t="n">
        <x:v>0</x:v>
      </x:c>
      <x:c r="F504" s="36" t="str">
        <x:v>https://www.purestorage.com/content/dam/pdf/en/legal/2023-form-10-k.pdf</x:v>
      </x:c>
      <x:c r="G504" s="36" t="n">
        <x:v>62</x:v>
      </x:c>
      <x:c r="H504" s="36" t="str">
        <x:v>Official 2023 Form 10-K used to complete FY2021 and FY2022 history.</x:v>
      </x:c>
    </x:row>
    <x:row r="505">
      <x:c r="A505" s="36" t="str">
        <x:v>H.CF.FX.FY2024</x:v>
      </x:c>
      <x:c r="B505" s="36" t="str">
        <x:v>CF</x:v>
      </x:c>
      <x:c r="C505" s="36" t="str">
        <x:v>Effect of FX on cash</x:v>
      </x:c>
      <x:c r="D505" s="36" t="str">
        <x:v>FY2024</x:v>
      </x:c>
      <x:c r="E505" s="37" t="n">
        <x:v>0</x:v>
      </x:c>
      <x:c r="F505" s="36" t="str">
        <x:v>ed7936ac-e0cd-408a-ae7f-063381fdf3a1.pdf</x:v>
      </x:c>
      <x:c r="G505" s="36" t="n">
        <x:v>58</x:v>
      </x:c>
      <x:c r="H505" s="36" t="str">
        <x:v>Provided 2024 Form 10-K.  Company named Pure Storage in this filing.</x:v>
      </x:c>
    </x:row>
    <x:row r="506">
      <x:c r="A506" s="36" t="str">
        <x:v>H.CF.FX.FY2025</x:v>
      </x:c>
      <x:c r="B506" s="36" t="str">
        <x:v>CF</x:v>
      </x:c>
      <x:c r="C506" s="36" t="str">
        <x:v>Effect of FX on cash</x:v>
      </x:c>
      <x:c r="D506" s="36" t="str">
        <x:v>FY2025</x:v>
      </x:c>
      <x:c r="E506" s="37" t="n">
        <x:v>0</x:v>
      </x:c>
      <x:c r="F506" s="36" t="str">
        <x:v>8c023447-ebc8-42c3-86e5-21558f3d7224.pdf</x:v>
      </x:c>
      <x:c r="G506" s="36" t="n">
        <x:v>61</x:v>
      </x:c>
      <x:c r="H506" s="36" t="str">
        <x:v>Provided 2025 Form 10-K.  Company named Pure Storage in this filing.</x:v>
      </x:c>
    </x:row>
    <x:row r="507">
      <x:c r="A507" s="36" t="str">
        <x:v>H.CF.FX.FY2026</x:v>
      </x:c>
      <x:c r="B507" s="36" t="str">
        <x:v>CF</x:v>
      </x:c>
      <x:c r="C507" s="36" t="str">
        <x:v>Effect of FX on cash</x:v>
      </x:c>
      <x:c r="D507" s="36" t="str">
        <x:v>FY2026</x:v>
      </x:c>
      <x:c r="E507" s="37" t="n">
        <x:v>0</x:v>
      </x:c>
      <x:c r="F507" s="36" t="str">
        <x:v>2e1ef280-4c52-445c-b593-a6c3a1fbfec6.pdf</x:v>
      </x:c>
      <x:c r="G507" s="36" t="n">
        <x:v>63</x:v>
      </x:c>
      <x:c r="H507" s="36" t="str">
        <x:v>Provided 2026 Form 10-K.  Company named Everpure in this filing.</x:v>
      </x:c>
    </x:row>
    <x:row r="508">
      <x:c r="A508" s="36" t="str">
        <x:v>H.CF.NET_CHANGE_CASH.FY2021</x:v>
      </x:c>
      <x:c r="B508" s="36" t="str">
        <x:v>CF</x:v>
      </x:c>
      <x:c r="C508" s="36" t="str">
        <x:v>Net change in cash</x:v>
      </x:c>
      <x:c r="D508" s="36" t="str">
        <x:v>FY2021</x:v>
      </x:c>
      <x:c r="E508" s="37" t="n">
        <x:v>-30.231</x:v>
      </x:c>
      <x:c r="F508" s="36" t="str">
        <x:v>https://www.purestorage.com/content/dam/pdf/en/legal/2023-form-10-k.pdf</x:v>
      </x:c>
      <x:c r="G508" s="36" t="n">
        <x:v>62</x:v>
      </x:c>
      <x:c r="H508" s="36" t="str">
        <x:v>Official 2023 Form 10-K used to complete FY2021 and FY2022 history.</x:v>
      </x:c>
    </x:row>
    <x:row r="509">
      <x:c r="A509" s="36" t="str">
        <x:v>H.CF.NET_CHANGE_CASH.FY2022</x:v>
      </x:c>
      <x:c r="B509" s="36" t="str">
        <x:v>CF</x:v>
      </x:c>
      <x:c r="C509" s="36" t="str">
        <x:v>Net change in cash</x:v>
      </x:c>
      <x:c r="D509" s="36" t="str">
        <x:v>FY2022</x:v>
      </x:c>
      <x:c r="E509" s="37" t="n">
        <x:v>129.052</x:v>
      </x:c>
      <x:c r="F509" s="36" t="str">
        <x:v>https://www.purestorage.com/content/dam/pdf/en/legal/2023-form-10-k.pdf</x:v>
      </x:c>
      <x:c r="G509" s="36" t="n">
        <x:v>62</x:v>
      </x:c>
      <x:c r="H509" s="36" t="str">
        <x:v>Official 2023 Form 10-K used to complete FY2021 and FY2022 history.</x:v>
      </x:c>
    </x:row>
    <x:row r="510">
      <x:c r="A510" s="36" t="str">
        <x:v>H.CF.NET_CHANGE_CASH.FY2023</x:v>
      </x:c>
      <x:c r="B510" s="36" t="str">
        <x:v>CF</x:v>
      </x:c>
      <x:c r="C510" s="36" t="str">
        <x:v>Net change in cash</x:v>
      </x:c>
      <x:c r="D510" s="36" t="str">
        <x:v>FY2023</x:v>
      </x:c>
      <x:c r="E510" s="37" t="n">
        <x:v>114.655</x:v>
      </x:c>
      <x:c r="F510" s="36" t="str">
        <x:v>https://www.purestorage.com/content/dam/pdf/en/legal/2023-form-10-k.pdf</x:v>
      </x:c>
      <x:c r="G510" s="36" t="n">
        <x:v>62</x:v>
      </x:c>
      <x:c r="H510" s="36" t="str">
        <x:v>Official 2023 Form 10-K used to complete FY2021 and FY2022 history.</x:v>
      </x:c>
    </x:row>
    <x:row r="511">
      <x:c r="A511" s="36" t="str">
        <x:v>H.CF.NET_CHANGE_CASH.FY2024</x:v>
      </x:c>
      <x:c r="B511" s="36" t="str">
        <x:v>CF</x:v>
      </x:c>
      <x:c r="C511" s="36" t="str">
        <x:v>Net change in cash</x:v>
      </x:c>
      <x:c r="D511" s="36" t="str">
        <x:v>FY2024</x:v>
      </x:c>
      <x:c r="E511" s="37" t="n">
        <x:v>120.733</x:v>
      </x:c>
      <x:c r="F511" s="36" t="str">
        <x:v>ed7936ac-e0cd-408a-ae7f-063381fdf3a1.pdf</x:v>
      </x:c>
      <x:c r="G511" s="36" t="n">
        <x:v>58</x:v>
      </x:c>
      <x:c r="H511" s="36" t="str">
        <x:v>Provided 2024 Form 10-K.  Company named Pure Storage in this filing.</x:v>
      </x:c>
    </x:row>
    <x:row r="512">
      <x:c r="A512" s="36" t="str">
        <x:v>H.CF.NET_CHANGE_CASH.FY2025</x:v>
      </x:c>
      <x:c r="B512" s="36" t="str">
        <x:v>CF</x:v>
      </x:c>
      <x:c r="C512" s="36" t="str">
        <x:v>Net change in cash</x:v>
      </x:c>
      <x:c r="D512" s="36" t="str">
        <x:v>FY2025</x:v>
      </x:c>
      <x:c r="E512" s="37" t="n">
        <x:v>25.619</x:v>
      </x:c>
      <x:c r="F512" s="36" t="str">
        <x:v>8c023447-ebc8-42c3-86e5-21558f3d7224.pdf</x:v>
      </x:c>
      <x:c r="G512" s="36" t="n">
        <x:v>61</x:v>
      </x:c>
      <x:c r="H512" s="36" t="str">
        <x:v>Provided 2025 Form 10-K.  Company named Pure Storage in this filing.</x:v>
      </x:c>
    </x:row>
    <x:row r="513">
      <x:c r="A513" s="36" t="str">
        <x:v>H.CF.NET_CHANGE_CASH.FY2026</x:v>
      </x:c>
      <x:c r="B513" s="36" t="str">
        <x:v>CF</x:v>
      </x:c>
      <x:c r="C513" s="36" t="str">
        <x:v>Net change in cash</x:v>
      </x:c>
      <x:c r="D513" s="36" t="str">
        <x:v>FY2026</x:v>
      </x:c>
      <x:c r="E513" s="37" t="n">
        <x:v>127.229</x:v>
      </x:c>
      <x:c r="F513" s="36" t="str">
        <x:v>2e1ef280-4c52-445c-b593-a6c3a1fbfec6.pdf</x:v>
      </x:c>
      <x:c r="G513" s="36" t="n">
        <x:v>63</x:v>
      </x:c>
      <x:c r="H513" s="36" t="str">
        <x:v>Provided 2026 Form 10-K.  Company named Everpure in this filing.</x:v>
      </x:c>
    </x:row>
    <x:row r="514">
      <x:c r="A514" s="36" t="str">
        <x:v>H.CF.BEGINNING_CASH.FY2021</x:v>
      </x:c>
      <x:c r="B514" s="36" t="str">
        <x:v>CF</x:v>
      </x:c>
      <x:c r="C514" s="36" t="str">
        <x:v>Beginning cash</x:v>
      </x:c>
      <x:c r="D514" s="36" t="str">
        <x:v>FY2021</x:v>
      </x:c>
      <x:c r="E514" s="37" t="n">
        <x:v>377.922</x:v>
      </x:c>
      <x:c r="F514" s="36" t="str">
        <x:v>https://www.purestorage.com/content/dam/pdf/en/legal/2023-form-10-k.pdf</x:v>
      </x:c>
      <x:c r="G514" s="36" t="n">
        <x:v>62</x:v>
      </x:c>
      <x:c r="H514" s="36" t="str">
        <x:v>Official 2023 Form 10-K used to complete FY2021 and FY2022 history.</x:v>
      </x:c>
    </x:row>
    <x:row r="515">
      <x:c r="A515" s="36" t="str">
        <x:v>H.CF.BEGINNING_CASH.FY2022</x:v>
      </x:c>
      <x:c r="B515" s="36" t="str">
        <x:v>CF</x:v>
      </x:c>
      <x:c r="C515" s="36" t="str">
        <x:v>Beginning cash</x:v>
      </x:c>
      <x:c r="D515" s="36" t="str">
        <x:v>FY2022</x:v>
      </x:c>
      <x:c r="E515" s="37" t="n">
        <x:v>347.691</x:v>
      </x:c>
      <x:c r="F515" s="36" t="str">
        <x:v>https://www.purestorage.com/content/dam/pdf/en/legal/2023-form-10-k.pdf</x:v>
      </x:c>
      <x:c r="G515" s="36" t="n">
        <x:v>62</x:v>
      </x:c>
      <x:c r="H515" s="36" t="str">
        <x:v>Official 2023 Form 10-K used to complete FY2021 and FY2022 history.</x:v>
      </x:c>
    </x:row>
    <x:row r="516">
      <x:c r="A516" s="36" t="str">
        <x:v>H.CF.BEGINNING_CASH.FY2023</x:v>
      </x:c>
      <x:c r="B516" s="36" t="str">
        <x:v>CF</x:v>
      </x:c>
      <x:c r="C516" s="36" t="str">
        <x:v>Beginning cash</x:v>
      </x:c>
      <x:c r="D516" s="36" t="str">
        <x:v>FY2023</x:v>
      </x:c>
      <x:c r="E516" s="37" t="n">
        <x:v>476.743</x:v>
      </x:c>
      <x:c r="F516" s="36" t="str">
        <x:v>https://www.purestorage.com/content/dam/pdf/en/legal/2023-form-10-k.pdf</x:v>
      </x:c>
      <x:c r="G516" s="36" t="n">
        <x:v>62</x:v>
      </x:c>
      <x:c r="H516" s="36" t="str">
        <x:v>Official 2023 Form 10-K used to complete FY2021 and FY2022 history.</x:v>
      </x:c>
    </x:row>
    <x:row r="517">
      <x:c r="A517" s="36" t="str">
        <x:v>H.CF.BEGINNING_CASH.FY2024</x:v>
      </x:c>
      <x:c r="B517" s="36" t="str">
        <x:v>CF</x:v>
      </x:c>
      <x:c r="C517" s="36" t="str">
        <x:v>Beginning cash</x:v>
      </x:c>
      <x:c r="D517" s="36" t="str">
        <x:v>FY2024</x:v>
      </x:c>
      <x:c r="E517" s="37" t="n">
        <x:v>591.398</x:v>
      </x:c>
      <x:c r="F517" s="36" t="str">
        <x:v>ed7936ac-e0cd-408a-ae7f-063381fdf3a1.pdf</x:v>
      </x:c>
      <x:c r="G517" s="36" t="n">
        <x:v>58</x:v>
      </x:c>
      <x:c r="H517" s="36" t="str">
        <x:v>Provided 2024 Form 10-K.  Company named Pure Storage in this filing.</x:v>
      </x:c>
    </x:row>
    <x:row r="518">
      <x:c r="A518" s="36" t="str">
        <x:v>H.CF.BEGINNING_CASH.FY2025</x:v>
      </x:c>
      <x:c r="B518" s="36" t="str">
        <x:v>CF</x:v>
      </x:c>
      <x:c r="C518" s="36" t="str">
        <x:v>Beginning cash</x:v>
      </x:c>
      <x:c r="D518" s="36" t="str">
        <x:v>FY2025</x:v>
      </x:c>
      <x:c r="E518" s="37" t="n">
        <x:v>712.131</x:v>
      </x:c>
      <x:c r="F518" s="36" t="str">
        <x:v>8c023447-ebc8-42c3-86e5-21558f3d7224.pdf</x:v>
      </x:c>
      <x:c r="G518" s="36" t="n">
        <x:v>61</x:v>
      </x:c>
      <x:c r="H518" s="36" t="str">
        <x:v>Provided 2025 Form 10-K.  Company named Pure Storage in this filing.</x:v>
      </x:c>
    </x:row>
    <x:row r="519">
      <x:c r="A519" s="36" t="str">
        <x:v>H.CF.BEGINNING_CASH.FY2026</x:v>
      </x:c>
      <x:c r="B519" s="36" t="str">
        <x:v>CF</x:v>
      </x:c>
      <x:c r="C519" s="36" t="str">
        <x:v>Beginning cash</x:v>
      </x:c>
      <x:c r="D519" s="36" t="str">
        <x:v>FY2026</x:v>
      </x:c>
      <x:c r="E519" s="37" t="n">
        <x:v>737.75</x:v>
      </x:c>
      <x:c r="F519" s="36" t="str">
        <x:v>2e1ef280-4c52-445c-b593-a6c3a1fbfec6.pdf</x:v>
      </x:c>
      <x:c r="G519" s="36" t="n">
        <x:v>63</x:v>
      </x:c>
      <x:c r="H519" s="36" t="str">
        <x:v>Provided 2026 Form 10-K.  Company named Everpure in this filing.</x:v>
      </x:c>
    </x:row>
    <x:row r="520">
      <x:c r="A520" s="36" t="str">
        <x:v>H.CF.ENDING_CASH.FY2021</x:v>
      </x:c>
      <x:c r="B520" s="36" t="str">
        <x:v>CF</x:v>
      </x:c>
      <x:c r="C520" s="36" t="str">
        <x:v>Ending cash</x:v>
      </x:c>
      <x:c r="D520" s="36" t="str">
        <x:v>FY2021</x:v>
      </x:c>
      <x:c r="E520" s="37" t="n">
        <x:v>347.691</x:v>
      </x:c>
      <x:c r="F520" s="36" t="str">
        <x:v>https://www.purestorage.com/content/dam/pdf/en/legal/2023-form-10-k.pdf</x:v>
      </x:c>
      <x:c r="G520" s="36" t="n">
        <x:v>62</x:v>
      </x:c>
      <x:c r="H520" s="36" t="str">
        <x:v>Official 2023 Form 10-K used to complete FY2021 and FY2022 history.</x:v>
      </x:c>
    </x:row>
    <x:row r="521">
      <x:c r="A521" s="36" t="str">
        <x:v>H.CF.ENDING_CASH.FY2022</x:v>
      </x:c>
      <x:c r="B521" s="36" t="str">
        <x:v>CF</x:v>
      </x:c>
      <x:c r="C521" s="36" t="str">
        <x:v>Ending cash</x:v>
      </x:c>
      <x:c r="D521" s="36" t="str">
        <x:v>FY2022</x:v>
      </x:c>
      <x:c r="E521" s="37" t="n">
        <x:v>476.743</x:v>
      </x:c>
      <x:c r="F521" s="36" t="str">
        <x:v>https://www.purestorage.com/content/dam/pdf/en/legal/2023-form-10-k.pdf</x:v>
      </x:c>
      <x:c r="G521" s="36" t="n">
        <x:v>62</x:v>
      </x:c>
      <x:c r="H521" s="36" t="str">
        <x:v>Official 2023 Form 10-K used to complete FY2021 and FY2022 history.</x:v>
      </x:c>
    </x:row>
    <x:row r="522">
      <x:c r="A522" s="36" t="str">
        <x:v>H.CF.ENDING_CASH.FY2023</x:v>
      </x:c>
      <x:c r="B522" s="36" t="str">
        <x:v>CF</x:v>
      </x:c>
      <x:c r="C522" s="36" t="str">
        <x:v>Ending cash</x:v>
      </x:c>
      <x:c r="D522" s="36" t="str">
        <x:v>FY2023</x:v>
      </x:c>
      <x:c r="E522" s="37" t="n">
        <x:v>591.398</x:v>
      </x:c>
      <x:c r="F522" s="36" t="str">
        <x:v>https://www.purestorage.com/content/dam/pdf/en/legal/2023-form-10-k.pdf</x:v>
      </x:c>
      <x:c r="G522" s="36" t="n">
        <x:v>62</x:v>
      </x:c>
      <x:c r="H522" s="36" t="str">
        <x:v>Official 2023 Form 10-K used to complete FY2021 and FY2022 history.</x:v>
      </x:c>
    </x:row>
    <x:row r="523">
      <x:c r="A523" s="36" t="str">
        <x:v>H.CF.ENDING_CASH.FY2024</x:v>
      </x:c>
      <x:c r="B523" s="36" t="str">
        <x:v>CF</x:v>
      </x:c>
      <x:c r="C523" s="36" t="str">
        <x:v>Ending cash</x:v>
      </x:c>
      <x:c r="D523" s="36" t="str">
        <x:v>FY2024</x:v>
      </x:c>
      <x:c r="E523" s="37" t="n">
        <x:v>712.131</x:v>
      </x:c>
      <x:c r="F523" s="36" t="str">
        <x:v>ed7936ac-e0cd-408a-ae7f-063381fdf3a1.pdf</x:v>
      </x:c>
      <x:c r="G523" s="36" t="n">
        <x:v>58</x:v>
      </x:c>
      <x:c r="H523" s="36" t="str">
        <x:v>Provided 2024 Form 10-K.  Company named Pure Storage in this filing.</x:v>
      </x:c>
    </x:row>
    <x:row r="524">
      <x:c r="A524" s="36" t="str">
        <x:v>H.CF.ENDING_CASH.FY2025</x:v>
      </x:c>
      <x:c r="B524" s="36" t="str">
        <x:v>CF</x:v>
      </x:c>
      <x:c r="C524" s="36" t="str">
        <x:v>Ending cash</x:v>
      </x:c>
      <x:c r="D524" s="36" t="str">
        <x:v>FY2025</x:v>
      </x:c>
      <x:c r="E524" s="37" t="n">
        <x:v>737.75</x:v>
      </x:c>
      <x:c r="F524" s="36" t="str">
        <x:v>8c023447-ebc8-42c3-86e5-21558f3d7224.pdf</x:v>
      </x:c>
      <x:c r="G524" s="36" t="n">
        <x:v>61</x:v>
      </x:c>
      <x:c r="H524" s="36" t="str">
        <x:v>Provided 2025 Form 10-K.  Company named Pure Storage in this filing.</x:v>
      </x:c>
    </x:row>
    <x:row r="525">
      <x:c r="A525" s="36" t="str">
        <x:v>H.CF.ENDING_CASH.FY2026</x:v>
      </x:c>
      <x:c r="B525" s="36" t="str">
        <x:v>CF</x:v>
      </x:c>
      <x:c r="C525" s="36" t="str">
        <x:v>Ending cash</x:v>
      </x:c>
      <x:c r="D525" s="36" t="str">
        <x:v>FY2026</x:v>
      </x:c>
      <x:c r="E525" s="37" t="n">
        <x:v>864.979</x:v>
      </x:c>
      <x:c r="F525" s="36" t="str">
        <x:v>2e1ef280-4c52-445c-b593-a6c3a1fbfec6.pdf</x:v>
      </x:c>
      <x:c r="G525" s="36" t="n">
        <x:v>63</x:v>
      </x:c>
      <x:c r="H525" s="36" t="str">
        <x:v>Provided 2026 Form 10-K.  Company named Everpure in this filing.</x:v>
      </x:c>
    </x:row>
    <x:row r="526">
      <x:c r="A526" s="36" t="str">
        <x:v>H.CF.ENDING_CASH_EQUIVALENTS.FY2021</x:v>
      </x:c>
      <x:c r="B526" s="36" t="str">
        <x:v>CF</x:v>
      </x:c>
      <x:c r="C526" s="36" t="str">
        <x:v>Ending cash and equivalents</x:v>
      </x:c>
      <x:c r="D526" s="36" t="str">
        <x:v>FY2021</x:v>
      </x:c>
      <x:c r="E526" s="37" t="n">
        <x:v>337.147</x:v>
      </x:c>
      <x:c r="F526" s="36" t="str">
        <x:v>https://www.purestorage.com/content/dam/pdf/en/legal/2023-form-10-k.pdf</x:v>
      </x:c>
      <x:c r="G526" s="36" t="n">
        <x:v>62</x:v>
      </x:c>
      <x:c r="H526" s="36" t="str">
        <x:v>Official 2023 Form 10-K used to complete FY2021 and FY2022 history.</x:v>
      </x:c>
    </x:row>
    <x:row r="527">
      <x:c r="A527" s="36" t="str">
        <x:v>H.CF.ENDING_CASH_EQUIVALENTS.FY2022</x:v>
      </x:c>
      <x:c r="B527" s="36" t="str">
        <x:v>CF</x:v>
      </x:c>
      <x:c r="C527" s="36" t="str">
        <x:v>Ending cash and equivalents</x:v>
      </x:c>
      <x:c r="D527" s="36" t="str">
        <x:v>FY2022</x:v>
      </x:c>
      <x:c r="E527" s="37" t="n">
        <x:v>466.199</x:v>
      </x:c>
      <x:c r="F527" s="36" t="str">
        <x:v>https://www.purestorage.com/content/dam/pdf/en/legal/2023-form-10-k.pdf</x:v>
      </x:c>
      <x:c r="G527" s="36" t="n">
        <x:v>62</x:v>
      </x:c>
      <x:c r="H527" s="36" t="str">
        <x:v>Official 2023 Form 10-K used to complete FY2021 and FY2022 history.</x:v>
      </x:c>
    </x:row>
    <x:row r="528">
      <x:c r="A528" s="36" t="str">
        <x:v>H.CF.ENDING_CASH_EQUIVALENTS.FY2023</x:v>
      </x:c>
      <x:c r="B528" s="36" t="str">
        <x:v>CF</x:v>
      </x:c>
      <x:c r="C528" s="36" t="str">
        <x:v>Ending cash and equivalents</x:v>
      </x:c>
      <x:c r="D528" s="36" t="str">
        <x:v>FY2023</x:v>
      </x:c>
      <x:c r="E528" s="37" t="n">
        <x:v>580.854</x:v>
      </x:c>
      <x:c r="F528" s="36" t="str">
        <x:v>https://www.purestorage.com/content/dam/pdf/en/legal/2023-form-10-k.pdf</x:v>
      </x:c>
      <x:c r="G528" s="36" t="n">
        <x:v>62</x:v>
      </x:c>
      <x:c r="H528" s="36" t="str">
        <x:v>Official 2023 Form 10-K used to complete FY2021 and FY2022 history.</x:v>
      </x:c>
    </x:row>
    <x:row r="529">
      <x:c r="A529" s="36" t="str">
        <x:v>H.CF.ENDING_CASH_EQUIVALENTS.FY2024</x:v>
      </x:c>
      <x:c r="B529" s="36" t="str">
        <x:v>CF</x:v>
      </x:c>
      <x:c r="C529" s="36" t="str">
        <x:v>Ending cash and equivalents</x:v>
      </x:c>
      <x:c r="D529" s="36" t="str">
        <x:v>FY2024</x:v>
      </x:c>
      <x:c r="E529" s="37" t="n">
        <x:v>702.536</x:v>
      </x:c>
      <x:c r="F529" s="36" t="str">
        <x:v>ed7936ac-e0cd-408a-ae7f-063381fdf3a1.pdf</x:v>
      </x:c>
      <x:c r="G529" s="36" t="n">
        <x:v>58</x:v>
      </x:c>
      <x:c r="H529" s="36" t="str">
        <x:v>Provided 2024 Form 10-K.  Company named Pure Storage in this filing.</x:v>
      </x:c>
    </x:row>
    <x:row r="530">
      <x:c r="A530" s="36" t="str">
        <x:v>H.CF.ENDING_CASH_EQUIVALENTS.FY2025</x:v>
      </x:c>
      <x:c r="B530" s="36" t="str">
        <x:v>CF</x:v>
      </x:c>
      <x:c r="C530" s="36" t="str">
        <x:v>Ending cash and equivalents</x:v>
      </x:c>
      <x:c r="D530" s="36" t="str">
        <x:v>FY2025</x:v>
      </x:c>
      <x:c r="E530" s="37" t="n">
        <x:v>723.583</x:v>
      </x:c>
      <x:c r="F530" s="36" t="str">
        <x:v>8c023447-ebc8-42c3-86e5-21558f3d7224.pdf</x:v>
      </x:c>
      <x:c r="G530" s="36" t="n">
        <x:v>61</x:v>
      </x:c>
      <x:c r="H530" s="36" t="str">
        <x:v>Provided 2025 Form 10-K.  Company named Pure Storage in this filing.</x:v>
      </x:c>
    </x:row>
    <x:row r="531">
      <x:c r="A531" s="36" t="str">
        <x:v>H.CF.ENDING_CASH_EQUIVALENTS.FY2026</x:v>
      </x:c>
      <x:c r="B531" s="36" t="str">
        <x:v>CF</x:v>
      </x:c>
      <x:c r="C531" s="36" t="str">
        <x:v>Ending cash and equivalents</x:v>
      </x:c>
      <x:c r="D531" s="36" t="str">
        <x:v>FY2026</x:v>
      </x:c>
      <x:c r="E531" s="37" t="n">
        <x:v>854.873</x:v>
      </x:c>
      <x:c r="F531" s="36" t="str">
        <x:v>2e1ef280-4c52-445c-b593-a6c3a1fbfec6.pdf</x:v>
      </x:c>
      <x:c r="G531" s="36" t="n">
        <x:v>63</x:v>
      </x:c>
      <x:c r="H531" s="36" t="str">
        <x:v>Provided 2026 Form 10-K.  Company named Everpure in this filing.</x:v>
      </x:c>
    </x:row>
    <x:row r="532">
      <x:c r="A532" s="36" t="str">
        <x:v>H.CF.RESTRICTED_CASH.FY2021</x:v>
      </x:c>
      <x:c r="B532" s="36" t="str">
        <x:v>CF</x:v>
      </x:c>
      <x:c r="C532" s="36" t="str">
        <x:v>Restricted cash</x:v>
      </x:c>
      <x:c r="D532" s="36" t="str">
        <x:v>FY2021</x:v>
      </x:c>
      <x:c r="E532" s="37" t="n">
        <x:v>10.544</x:v>
      </x:c>
      <x:c r="F532" s="36" t="str">
        <x:v>https://www.purestorage.com/content/dam/pdf/en/legal/2023-form-10-k.pdf</x:v>
      </x:c>
      <x:c r="G532" s="36" t="n">
        <x:v>62</x:v>
      </x:c>
      <x:c r="H532" s="36" t="str">
        <x:v>Official 2023 Form 10-K used to complete FY2021 and FY2022 history.</x:v>
      </x:c>
    </x:row>
    <x:row r="533">
      <x:c r="A533" s="36" t="str">
        <x:v>H.CF.RESTRICTED_CASH.FY2022</x:v>
      </x:c>
      <x:c r="B533" s="36" t="str">
        <x:v>CF</x:v>
      </x:c>
      <x:c r="C533" s="36" t="str">
        <x:v>Restricted cash</x:v>
      </x:c>
      <x:c r="D533" s="36" t="str">
        <x:v>FY2022</x:v>
      </x:c>
      <x:c r="E533" s="37" t="n">
        <x:v>10.544</x:v>
      </x:c>
      <x:c r="F533" s="36" t="str">
        <x:v>https://www.purestorage.com/content/dam/pdf/en/legal/2023-form-10-k.pdf</x:v>
      </x:c>
      <x:c r="G533" s="36" t="n">
        <x:v>62</x:v>
      </x:c>
      <x:c r="H533" s="36" t="str">
        <x:v>Official 2023 Form 10-K used to complete FY2021 and FY2022 history.</x:v>
      </x:c>
    </x:row>
    <x:row r="534">
      <x:c r="A534" s="36" t="str">
        <x:v>H.CF.RESTRICTED_CASH.FY2023</x:v>
      </x:c>
      <x:c r="B534" s="36" t="str">
        <x:v>CF</x:v>
      </x:c>
      <x:c r="C534" s="36" t="str">
        <x:v>Restricted cash</x:v>
      </x:c>
      <x:c r="D534" s="36" t="str">
        <x:v>FY2023</x:v>
      </x:c>
      <x:c r="E534" s="37" t="n">
        <x:v>10.544</x:v>
      </x:c>
      <x:c r="F534" s="36" t="str">
        <x:v>https://www.purestorage.com/content/dam/pdf/en/legal/2023-form-10-k.pdf</x:v>
      </x:c>
      <x:c r="G534" s="36" t="n">
        <x:v>62</x:v>
      </x:c>
      <x:c r="H534" s="36" t="str">
        <x:v>Official 2023 Form 10-K used to complete FY2021 and FY2022 history.</x:v>
      </x:c>
    </x:row>
    <x:row r="535">
      <x:c r="A535" s="36" t="str">
        <x:v>H.CF.RESTRICTED_CASH.FY2024</x:v>
      </x:c>
      <x:c r="B535" s="36" t="str">
        <x:v>CF</x:v>
      </x:c>
      <x:c r="C535" s="36" t="str">
        <x:v>Restricted cash</x:v>
      </x:c>
      <x:c r="D535" s="36" t="str">
        <x:v>FY2024</x:v>
      </x:c>
      <x:c r="E535" s="37" t="n">
        <x:v>9.595</x:v>
      </x:c>
      <x:c r="F535" s="36" t="str">
        <x:v>ed7936ac-e0cd-408a-ae7f-063381fdf3a1.pdf</x:v>
      </x:c>
      <x:c r="G535" s="36" t="n">
        <x:v>58</x:v>
      </x:c>
      <x:c r="H535" s="36" t="str">
        <x:v>Provided 2024 Form 10-K.  Company named Pure Storage in this filing.</x:v>
      </x:c>
    </x:row>
    <x:row r="536">
      <x:c r="A536" s="36" t="str">
        <x:v>H.CF.RESTRICTED_CASH.FY2025</x:v>
      </x:c>
      <x:c r="B536" s="36" t="str">
        <x:v>CF</x:v>
      </x:c>
      <x:c r="C536" s="36" t="str">
        <x:v>Restricted cash</x:v>
      </x:c>
      <x:c r="D536" s="36" t="str">
        <x:v>FY2025</x:v>
      </x:c>
      <x:c r="E536" s="37" t="n">
        <x:v>14.167</x:v>
      </x:c>
      <x:c r="F536" s="36" t="str">
        <x:v>8c023447-ebc8-42c3-86e5-21558f3d7224.pdf</x:v>
      </x:c>
      <x:c r="G536" s="36" t="n">
        <x:v>61</x:v>
      </x:c>
      <x:c r="H536" s="36" t="str">
        <x:v>Provided 2025 Form 10-K.  Company named Pure Storage in this filing.</x:v>
      </x:c>
    </x:row>
    <x:row r="537">
      <x:c r="A537" s="36" t="str">
        <x:v>H.CF.RESTRICTED_CASH.FY2026</x:v>
      </x:c>
      <x:c r="B537" s="36" t="str">
        <x:v>CF</x:v>
      </x:c>
      <x:c r="C537" s="36" t="str">
        <x:v>Restricted cash</x:v>
      </x:c>
      <x:c r="D537" s="36" t="str">
        <x:v>FY2026</x:v>
      </x:c>
      <x:c r="E537" s="37" t="n">
        <x:v>10.106</x:v>
      </x:c>
      <x:c r="F537" s="36" t="str">
        <x:v>2e1ef280-4c52-445c-b593-a6c3a1fbfec6.pdf</x:v>
      </x:c>
      <x:c r="G537" s="36" t="n">
        <x:v>63</x:v>
      </x:c>
      <x:c r="H537" s="36" t="str">
        <x:v>Provided 2026 Form 10-K.  Company named Everpure in this filing.</x:v>
      </x:c>
    </x:row>
    <x:row r="538">
      <x:c r="A538" s="36" t="str">
        <x:v>H.CF.CASH_INTEREST.FY2021</x:v>
      </x:c>
      <x:c r="B538" s="36" t="str">
        <x:v>CF</x:v>
      </x:c>
      <x:c r="C538" s="36" t="str">
        <x:v>Cash paid for interest</x:v>
      </x:c>
      <x:c r="D538" s="36" t="str">
        <x:v>FY2021</x:v>
      </x:c>
      <x:c r="E538" s="37" t="n">
        <x:v>2.279</x:v>
      </x:c>
      <x:c r="F538" s="36" t="str">
        <x:v>https://www.purestorage.com/content/dam/pdf/en/legal/2023-form-10-k.pdf</x:v>
      </x:c>
      <x:c r="G538" s="36" t="n">
        <x:v>62</x:v>
      </x:c>
      <x:c r="H538" s="36" t="str">
        <x:v>Official 2023 Form 10-K used to complete FY2021 and FY2022 history.</x:v>
      </x:c>
    </x:row>
    <x:row r="539">
      <x:c r="A539" s="36" t="str">
        <x:v>H.CF.CASH_INTEREST.FY2022</x:v>
      </x:c>
      <x:c r="B539" s="36" t="str">
        <x:v>CF</x:v>
      </x:c>
      <x:c r="C539" s="36" t="str">
        <x:v>Cash paid for interest</x:v>
      </x:c>
      <x:c r="D539" s="36" t="str">
        <x:v>FY2022</x:v>
      </x:c>
      <x:c r="E539" s="37" t="n">
        <x:v>5.019</x:v>
      </x:c>
      <x:c r="F539" s="36" t="str">
        <x:v>https://www.purestorage.com/content/dam/pdf/en/legal/2023-form-10-k.pdf</x:v>
      </x:c>
      <x:c r="G539" s="36" t="n">
        <x:v>62</x:v>
      </x:c>
      <x:c r="H539" s="36" t="str">
        <x:v>Official 2023 Form 10-K used to complete FY2021 and FY2022 history.</x:v>
      </x:c>
    </x:row>
    <x:row r="540">
      <x:c r="A540" s="36" t="str">
        <x:v>H.CF.CASH_INTEREST.FY2023</x:v>
      </x:c>
      <x:c r="B540" s="36" t="str">
        <x:v>CF</x:v>
      </x:c>
      <x:c r="C540" s="36" t="str">
        <x:v>Cash paid for interest</x:v>
      </x:c>
      <x:c r="D540" s="36" t="str">
        <x:v>FY2023</x:v>
      </x:c>
      <x:c r="E540" s="37" t="n">
        <x:v>1.185</x:v>
      </x:c>
      <x:c r="F540" s="36" t="str">
        <x:v>https://www.purestorage.com/content/dam/pdf/en/legal/2023-form-10-k.pdf</x:v>
      </x:c>
      <x:c r="G540" s="36" t="n">
        <x:v>62</x:v>
      </x:c>
      <x:c r="H540" s="36" t="str">
        <x:v>Official 2023 Form 10-K used to complete FY2021 and FY2022 history.</x:v>
      </x:c>
    </x:row>
    <x:row r="541">
      <x:c r="A541" s="36" t="str">
        <x:v>H.CF.CASH_INTEREST.FY2024</x:v>
      </x:c>
      <x:c r="B541" s="36" t="str">
        <x:v>CF</x:v>
      </x:c>
      <x:c r="C541" s="36" t="str">
        <x:v>Cash paid for interest</x:v>
      </x:c>
      <x:c r="D541" s="36" t="str">
        <x:v>FY2024</x:v>
      </x:c>
      <x:c r="E541" s="37" t="n">
        <x:v>5.834</x:v>
      </x:c>
      <x:c r="F541" s="36" t="str">
        <x:v>ed7936ac-e0cd-408a-ae7f-063381fdf3a1.pdf</x:v>
      </x:c>
      <x:c r="G541" s="36" t="n">
        <x:v>58</x:v>
      </x:c>
      <x:c r="H541" s="36" t="str">
        <x:v>Provided 2024 Form 10-K.  Company named Pure Storage in this filing.</x:v>
      </x:c>
    </x:row>
    <x:row r="542">
      <x:c r="A542" s="36" t="str">
        <x:v>H.CF.CASH_INTEREST.FY2025</x:v>
      </x:c>
      <x:c r="B542" s="36" t="str">
        <x:v>CF</x:v>
      </x:c>
      <x:c r="C542" s="36" t="str">
        <x:v>Cash paid for interest</x:v>
      </x:c>
      <x:c r="D542" s="36" t="str">
        <x:v>FY2025</x:v>
      </x:c>
      <x:c r="E542" s="37" t="n">
        <x:v>7.181</x:v>
      </x:c>
      <x:c r="F542" s="36" t="str">
        <x:v>8c023447-ebc8-42c3-86e5-21558f3d7224.pdf</x:v>
      </x:c>
      <x:c r="G542" s="36" t="n">
        <x:v>61</x:v>
      </x:c>
      <x:c r="H542" s="36" t="str">
        <x:v>Provided 2025 Form 10-K.  Company named Pure Storage in this filing.</x:v>
      </x:c>
    </x:row>
    <x:row r="543">
      <x:c r="A543" s="36" t="str">
        <x:v>H.CF.CASH_INTEREST.FY2026</x:v>
      </x:c>
      <x:c r="B543" s="36" t="str">
        <x:v>CF</x:v>
      </x:c>
      <x:c r="C543" s="36" t="str">
        <x:v>Cash paid for interest</x:v>
      </x:c>
      <x:c r="D543" s="36" t="str">
        <x:v>FY2026</x:v>
      </x:c>
      <x:c r="E543" s="37" t="n">
        <x:v>2.273</x:v>
      </x:c>
      <x:c r="F543" s="36" t="str">
        <x:v>2e1ef280-4c52-445c-b593-a6c3a1fbfec6.pdf</x:v>
      </x:c>
      <x:c r="G543" s="36" t="n">
        <x:v>63</x:v>
      </x:c>
      <x:c r="H543" s="36" t="str">
        <x:v>Provided 2026 Form 10-K.  Company named Everpure in this filing.</x:v>
      </x:c>
    </x:row>
    <x:row r="544">
      <x:c r="A544" s="36" t="str">
        <x:v>H.CF.CASH_TAXES.FY2021</x:v>
      </x:c>
      <x:c r="B544" s="36" t="str">
        <x:v>CF</x:v>
      </x:c>
      <x:c r="C544" s="36" t="str">
        <x:v>Cash paid for income taxes</x:v>
      </x:c>
      <x:c r="D544" s="36" t="str">
        <x:v>FY2021</x:v>
      </x:c>
      <x:c r="E544" s="37" t="n">
        <x:v>10.522</x:v>
      </x:c>
      <x:c r="F544" s="36" t="str">
        <x:v>https://www.purestorage.com/content/dam/pdf/en/legal/2023-form-10-k.pdf</x:v>
      </x:c>
      <x:c r="G544" s="36" t="n">
        <x:v>62</x:v>
      </x:c>
      <x:c r="H544" s="36" t="str">
        <x:v>Official 2023 Form 10-K used to complete FY2021 and FY2022 history.</x:v>
      </x:c>
    </x:row>
    <x:row r="545">
      <x:c r="A545" s="36" t="str">
        <x:v>H.CF.CASH_TAXES.FY2022</x:v>
      </x:c>
      <x:c r="B545" s="36" t="str">
        <x:v>CF</x:v>
      </x:c>
      <x:c r="C545" s="36" t="str">
        <x:v>Cash paid for income taxes</x:v>
      </x:c>
      <x:c r="D545" s="36" t="str">
        <x:v>FY2022</x:v>
      </x:c>
      <x:c r="E545" s="37" t="n">
        <x:v>12.662</x:v>
      </x:c>
      <x:c r="F545" s="36" t="str">
        <x:v>https://www.purestorage.com/content/dam/pdf/en/legal/2023-form-10-k.pdf</x:v>
      </x:c>
      <x:c r="G545" s="36" t="n">
        <x:v>62</x:v>
      </x:c>
      <x:c r="H545" s="36" t="str">
        <x:v>Official 2023 Form 10-K used to complete FY2021 and FY2022 history.</x:v>
      </x:c>
    </x:row>
    <x:row r="546">
      <x:c r="A546" s="36" t="str">
        <x:v>H.CF.CASH_TAXES.FY2023</x:v>
      </x:c>
      <x:c r="B546" s="36" t="str">
        <x:v>CF</x:v>
      </x:c>
      <x:c r="C546" s="36" t="str">
        <x:v>Cash paid for income taxes</x:v>
      </x:c>
      <x:c r="D546" s="36" t="str">
        <x:v>FY2023</x:v>
      </x:c>
      <x:c r="E546" s="37" t="n">
        <x:v>14.391</x:v>
      </x:c>
      <x:c r="F546" s="36" t="str">
        <x:v>https://www.purestorage.com/content/dam/pdf/en/legal/2023-form-10-k.pdf</x:v>
      </x:c>
      <x:c r="G546" s="36" t="n">
        <x:v>62</x:v>
      </x:c>
      <x:c r="H546" s="36" t="str">
        <x:v>Official 2023 Form 10-K used to complete FY2021 and FY2022 history.</x:v>
      </x:c>
    </x:row>
    <x:row r="547">
      <x:c r="A547" s="36" t="str">
        <x:v>H.CF.CASH_TAXES.FY2024</x:v>
      </x:c>
      <x:c r="B547" s="36" t="str">
        <x:v>CF</x:v>
      </x:c>
      <x:c r="C547" s="36" t="str">
        <x:v>Cash paid for income taxes</x:v>
      </x:c>
      <x:c r="D547" s="36" t="str">
        <x:v>FY2024</x:v>
      </x:c>
      <x:c r="E547" s="37" t="n">
        <x:v>28.667</x:v>
      </x:c>
      <x:c r="F547" s="36" t="str">
        <x:v>ed7936ac-e0cd-408a-ae7f-063381fdf3a1.pdf</x:v>
      </x:c>
      <x:c r="G547" s="36" t="n">
        <x:v>58</x:v>
      </x:c>
      <x:c r="H547" s="36" t="str">
        <x:v>Provided 2024 Form 10-K.  Company named Pure Storage in this filing.</x:v>
      </x:c>
    </x:row>
    <x:row r="548">
      <x:c r="A548" s="36" t="str">
        <x:v>H.CF.CASH_TAXES.FY2025</x:v>
      </x:c>
      <x:c r="B548" s="36" t="str">
        <x:v>CF</x:v>
      </x:c>
      <x:c r="C548" s="36" t="str">
        <x:v>Cash paid for income taxes</x:v>
      </x:c>
      <x:c r="D548" s="36" t="str">
        <x:v>FY2025</x:v>
      </x:c>
      <x:c r="E548" s="37" t="n">
        <x:v>38.082</x:v>
      </x:c>
      <x:c r="F548" s="36" t="str">
        <x:v>8c023447-ebc8-42c3-86e5-21558f3d7224.pdf</x:v>
      </x:c>
      <x:c r="G548" s="36" t="n">
        <x:v>61</x:v>
      </x:c>
      <x:c r="H548" s="36" t="str">
        <x:v>Provided 2025 Form 10-K.  Company named Pure Storage in this filing.</x:v>
      </x:c>
    </x:row>
    <x:row r="549">
      <x:c r="A549" s="36" t="str">
        <x:v>H.CF.CASH_TAXES.FY2026</x:v>
      </x:c>
      <x:c r="B549" s="36" t="str">
        <x:v>CF</x:v>
      </x:c>
      <x:c r="C549" s="36" t="str">
        <x:v>Cash paid for income taxes</x:v>
      </x:c>
      <x:c r="D549" s="36" t="str">
        <x:v>FY2026</x:v>
      </x:c>
      <x:c r="E549" s="37" t="n">
        <x:v>32.519</x:v>
      </x:c>
      <x:c r="F549" s="36" t="str">
        <x:v>2e1ef280-4c52-445c-b593-a6c3a1fbfec6.pdf</x:v>
      </x:c>
      <x:c r="G549" s="36" t="n">
        <x:v>63</x:v>
      </x:c>
      <x:c r="H549" s="36" t="str">
        <x:v>Provided 2026 Form 10-K.  Company named Everpure in this filing.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0.709999084472656" hidden="0" customWidth="1"/>
    <x:col min="2" max="2" width="12.430000305175781" hidden="0" customWidth="1"/>
    <x:col min="3" max="3" width="12.430000305175781" hidden="0" customWidth="1"/>
    <x:col min="4" max="4" width="12.430000305175781" hidden="0" customWidth="1"/>
    <x:col min="5" max="5" width="12.430000305175781" hidden="0" customWidth="1"/>
    <x:col min="6" max="6" width="12.430000305175781" hidden="0" customWidth="1"/>
    <x:col min="7" max="7" width="12.430000305175781" hidden="0" customWidth="1"/>
  </x:cols>
  <x:sheetData>
    <x:row r="1">
      <x:c r="A1" s="4" t="str">
        <x:v>FYE: February.  Units: $ in millions except per-share data, shares in millions, ratios, and noted operating drivers.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>
      <x:c r="A3" s="144" t="str">
        <x:v>Line item</x:v>
      </x:c>
      <x:c r="B3" s="144" t="str">
        <x:v>FY2021</x:v>
      </x:c>
      <x:c r="C3" s="144" t="str">
        <x:v>FY2022</x:v>
      </x:c>
      <x:c r="D3" s="144" t="str">
        <x:v>FY2023</x:v>
      </x:c>
      <x:c r="E3" s="144" t="str">
        <x:v>FY2024</x:v>
      </x:c>
      <x:c r="F3" s="144" t="str">
        <x:v>FY2025</x:v>
      </x:c>
      <x:c r="G3" s="144" t="str">
        <x:v>FY2026</x:v>
      </x:c>
      <x:c r="H3" s="119"/>
      <x:c r="I3" s="119"/>
      <x:c r="J3" s="119"/>
      <x:c r="K3" s="119"/>
      <x:c r="L3" s="5"/>
    </x:row>
    <x:row r="4">
      <x:c r="A4" s="158" t="str">
        <x:v>Product revenue</x:v>
      </x:c>
      <x:c r="B4" s="159" t="n">
        <x:f>INDEX(Sources!$E:$E,MATCH("H.IS.PRODUCT_REVENUE.FY2021",Sources!$A:$A,0))</x:f>
        <x:v>1144.098</x:v>
      </x:c>
      <x:c r="C4" s="159" t="n">
        <x:f>INDEX(Sources!$E:$E,MATCH("H.IS.PRODUCT_REVENUE.FY2022",Sources!$A:$A,0))</x:f>
        <x:v>1442.338</x:v>
      </x:c>
      <x:c r="D4" s="159" t="n">
        <x:f>INDEX(Sources!$E:$E,MATCH("H.IS.PRODUCT_REVENUE.FY2023",Sources!$A:$A,0))</x:f>
        <x:v>1792.153</x:v>
      </x:c>
      <x:c r="E4" s="159" t="n">
        <x:f>INDEX(Sources!$E:$E,MATCH("H.IS.PRODUCT_REVENUE.FY2024",Sources!$A:$A,0))</x:f>
        <x:v>1622.869</x:v>
      </x:c>
      <x:c r="F4" s="159" t="n">
        <x:f>INDEX(Sources!$E:$E,MATCH("H.IS.PRODUCT_REVENUE.FY2025",Sources!$A:$A,0))</x:f>
        <x:v>1699.494</x:v>
      </x:c>
      <x:c r="G4" s="160" t="n">
        <x:f>INDEX(Sources!$E:$E,MATCH("H.IS.PRODUCT_REVENUE.FY2026",Sources!$A:$A,0))</x:f>
        <x:v>1971.678</x:v>
      </x:c>
      <x:c r="H4" s="119"/>
      <x:c r="I4" s="119"/>
      <x:c r="J4" s="119"/>
      <x:c r="K4" s="119"/>
      <x:c r="L4" s="5"/>
    </x:row>
    <x:row r="5">
      <x:c r="A5" s="161" t="str">
        <x:v>Service / subscription revenue</x:v>
      </x:c>
      <x:c r="B5" s="162" t="n">
        <x:f>INDEX(Sources!$E:$E,MATCH("H.IS.SUBSCRIPTION_REVENUE.FY2021",Sources!$A:$A,0))</x:f>
        <x:v>540.081</x:v>
      </x:c>
      <x:c r="C5" s="162" t="n">
        <x:f>INDEX(Sources!$E:$E,MATCH("H.IS.SUBSCRIPTION_REVENUE.FY2022",Sources!$A:$A,0))</x:f>
        <x:v>738.51</x:v>
      </x:c>
      <x:c r="D5" s="162" t="n">
        <x:f>INDEX(Sources!$E:$E,MATCH("H.IS.SUBSCRIPTION_REVENUE.FY2023",Sources!$A:$A,0))</x:f>
        <x:v>961.281</x:v>
      </x:c>
      <x:c r="E5" s="162" t="n">
        <x:f>INDEX(Sources!$E:$E,MATCH("H.IS.SUBSCRIPTION_REVENUE.FY2024",Sources!$A:$A,0))</x:f>
        <x:v>1207.752</x:v>
      </x:c>
      <x:c r="F5" s="162" t="n">
        <x:f>INDEX(Sources!$E:$E,MATCH("H.IS.SUBSCRIPTION_REVENUE.FY2025",Sources!$A:$A,0))</x:f>
        <x:v>1468.67</x:v>
      </x:c>
      <x:c r="G5" s="163" t="n">
        <x:f>INDEX(Sources!$E:$E,MATCH("H.IS.SUBSCRIPTION_REVENUE.FY2026",Sources!$A:$A,0))</x:f>
        <x:v>1691.165</x:v>
      </x:c>
      <x:c r="H5" s="119"/>
      <x:c r="I5" s="119"/>
      <x:c r="J5" s="119"/>
      <x:c r="K5" s="119"/>
      <x:c r="L5" s="5"/>
    </x:row>
    <x:row r="6">
      <x:c r="A6" s="161" t="str">
        <x:v>Total revenue</x:v>
      </x:c>
      <x:c r="B6" s="162" t="n">
        <x:f>INDEX(Sources!$E:$E,MATCH("H.IS.TOTAL_REVENUE.FY2021",Sources!$A:$A,0))</x:f>
        <x:v>1684.179</x:v>
      </x:c>
      <x:c r="C6" s="162" t="n">
        <x:f>INDEX(Sources!$E:$E,MATCH("H.IS.TOTAL_REVENUE.FY2022",Sources!$A:$A,0))</x:f>
        <x:v>2180.848</x:v>
      </x:c>
      <x:c r="D6" s="162" t="n">
        <x:f>INDEX(Sources!$E:$E,MATCH("H.IS.TOTAL_REVENUE.FY2023",Sources!$A:$A,0))</x:f>
        <x:v>2753.434</x:v>
      </x:c>
      <x:c r="E6" s="162" t="n">
        <x:f>INDEX(Sources!$E:$E,MATCH("H.IS.TOTAL_REVENUE.FY2024",Sources!$A:$A,0))</x:f>
        <x:v>2830.621</x:v>
      </x:c>
      <x:c r="F6" s="162" t="n">
        <x:f>INDEX(Sources!$E:$E,MATCH("H.IS.TOTAL_REVENUE.FY2025",Sources!$A:$A,0))</x:f>
        <x:v>3168.164</x:v>
      </x:c>
      <x:c r="G6" s="163" t="n">
        <x:f>INDEX(Sources!$E:$E,MATCH("H.IS.TOTAL_REVENUE.FY2026",Sources!$A:$A,0))</x:f>
        <x:v>3662.843</x:v>
      </x:c>
      <x:c r="H6" s="119"/>
      <x:c r="I6" s="119"/>
      <x:c r="J6" s="119"/>
      <x:c r="K6" s="119"/>
      <x:c r="L6" s="5"/>
    </x:row>
    <x:row r="7">
      <x:c r="A7" s="161" t="str">
        <x:v>Cost of revenue - Product</x:v>
      </x:c>
      <x:c r="B7" s="162" t="n">
        <x:f>INDEX(Sources!$E:$E,MATCH("H.IS.COGS_PRODUCT.FY2021",Sources!$A:$A,0))</x:f>
        <x:v>352.987</x:v>
      </x:c>
      <x:c r="C7" s="162" t="n">
        <x:f>INDEX(Sources!$E:$E,MATCH("H.IS.COGS_PRODUCT.FY2022",Sources!$A:$A,0))</x:f>
        <x:v>477.899</x:v>
      </x:c>
      <x:c r="D7" s="162" t="n">
        <x:f>INDEX(Sources!$E:$E,MATCH("H.IS.COGS_PRODUCT.FY2023",Sources!$A:$A,0))</x:f>
        <x:v>569.793</x:v>
      </x:c>
      <x:c r="E7" s="162" t="n">
        <x:f>INDEX(Sources!$E:$E,MATCH("H.IS.COGS_PRODUCT.FY2024",Sources!$A:$A,0))</x:f>
        <x:v>472.43</x:v>
      </x:c>
      <x:c r="F7" s="162" t="n">
        <x:f>INDEX(Sources!$E:$E,MATCH("H.IS.COGS_PRODUCT.FY2025",Sources!$A:$A,0))</x:f>
        <x:v>575.347</x:v>
      </x:c>
      <x:c r="G7" s="163" t="n">
        <x:f>INDEX(Sources!$E:$E,MATCH("H.IS.COGS_PRODUCT.FY2026",Sources!$A:$A,0))</x:f>
        <x:v>651.444</x:v>
      </x:c>
      <x:c r="H7" s="119"/>
      <x:c r="I7" s="119"/>
      <x:c r="J7" s="119"/>
      <x:c r="K7" s="119"/>
      <x:c r="L7" s="5"/>
    </x:row>
    <x:row r="8">
      <x:c r="A8" s="161" t="str">
        <x:v>Cost of revenue - Service / subscription</x:v>
      </x:c>
      <x:c r="B8" s="162" t="n">
        <x:f>INDEX(Sources!$E:$E,MATCH("H.IS.COGS_SUBSCRIPTION.FY2021",Sources!$A:$A,0))</x:f>
        <x:v>182.268</x:v>
      </x:c>
      <x:c r="C8" s="162" t="n">
        <x:f>INDEX(Sources!$E:$E,MATCH("H.IS.COGS_SUBSCRIPTION.FY2022",Sources!$A:$A,0))</x:f>
        <x:v>230.43</x:v>
      </x:c>
      <x:c r="D8" s="162" t="n">
        <x:f>INDEX(Sources!$E:$E,MATCH("H.IS.COGS_SUBSCRIPTION.FY2023",Sources!$A:$A,0))</x:f>
        <x:v>285.995</x:v>
      </x:c>
      <x:c r="E8" s="162" t="n">
        <x:f>INDEX(Sources!$E:$E,MATCH("H.IS.COGS_SUBSCRIPTION.FY2024",Sources!$A:$A,0))</x:f>
        <x:v>337</x:v>
      </x:c>
      <x:c r="F8" s="162" t="n">
        <x:f>INDEX(Sources!$E:$E,MATCH("H.IS.COGS_SUBSCRIPTION.FY2025",Sources!$A:$A,0))</x:f>
        <x:v>380.108</x:v>
      </x:c>
      <x:c r="G8" s="163" t="n">
        <x:f>INDEX(Sources!$E:$E,MATCH("H.IS.COGS_SUBSCRIPTION.FY2026",Sources!$A:$A,0))</x:f>
        <x:v>433.446</x:v>
      </x:c>
      <x:c r="H8" s="119"/>
      <x:c r="I8" s="119"/>
      <x:c r="J8" s="119"/>
      <x:c r="K8" s="119"/>
      <x:c r="L8" s="5"/>
    </x:row>
    <x:row r="9">
      <x:c r="A9" s="161" t="str">
        <x:v>Total cost of revenue</x:v>
      </x:c>
      <x:c r="B9" s="162" t="n">
        <x:f>INDEX(Sources!$E:$E,MATCH("H.IS.TOTAL_COGS.FY2021",Sources!$A:$A,0))</x:f>
        <x:v>535.255</x:v>
      </x:c>
      <x:c r="C9" s="162" t="n">
        <x:f>INDEX(Sources!$E:$E,MATCH("H.IS.TOTAL_COGS.FY2022",Sources!$A:$A,0))</x:f>
        <x:v>708.329</x:v>
      </x:c>
      <x:c r="D9" s="162" t="n">
        <x:f>INDEX(Sources!$E:$E,MATCH("H.IS.TOTAL_COGS.FY2023",Sources!$A:$A,0))</x:f>
        <x:v>855.788</x:v>
      </x:c>
      <x:c r="E9" s="162" t="n">
        <x:f>INDEX(Sources!$E:$E,MATCH("H.IS.TOTAL_COGS.FY2024",Sources!$A:$A,0))</x:f>
        <x:v>809.43</x:v>
      </x:c>
      <x:c r="F9" s="162" t="n">
        <x:f>INDEX(Sources!$E:$E,MATCH("H.IS.TOTAL_COGS.FY2025",Sources!$A:$A,0))</x:f>
        <x:v>955.455</x:v>
      </x:c>
      <x:c r="G9" s="163" t="n">
        <x:f>INDEX(Sources!$E:$E,MATCH("H.IS.TOTAL_COGS.FY2026",Sources!$A:$A,0))</x:f>
        <x:v>1084.89</x:v>
      </x:c>
      <x:c r="H9" s="119"/>
      <x:c r="I9" s="119"/>
      <x:c r="J9" s="119"/>
      <x:c r="K9" s="119"/>
      <x:c r="L9" s="5"/>
    </x:row>
    <x:row r="10">
      <x:c r="A10" s="161" t="str">
        <x:v>Gross profit</x:v>
      </x:c>
      <x:c r="B10" s="162" t="n">
        <x:f>INDEX(Sources!$E:$E,MATCH("H.IS.GROSS_PROFIT.FY2021",Sources!$A:$A,0))</x:f>
        <x:v>1148.924</x:v>
      </x:c>
      <x:c r="C10" s="162" t="n">
        <x:f>INDEX(Sources!$E:$E,MATCH("H.IS.GROSS_PROFIT.FY2022",Sources!$A:$A,0))</x:f>
        <x:v>1472.519</x:v>
      </x:c>
      <x:c r="D10" s="162" t="n">
        <x:f>INDEX(Sources!$E:$E,MATCH("H.IS.GROSS_PROFIT.FY2023",Sources!$A:$A,0))</x:f>
        <x:v>1897.646</x:v>
      </x:c>
      <x:c r="E10" s="162" t="n">
        <x:f>INDEX(Sources!$E:$E,MATCH("H.IS.GROSS_PROFIT.FY2024",Sources!$A:$A,0))</x:f>
        <x:v>2021.191</x:v>
      </x:c>
      <x:c r="F10" s="162" t="n">
        <x:f>INDEX(Sources!$E:$E,MATCH("H.IS.GROSS_PROFIT.FY2025",Sources!$A:$A,0))</x:f>
        <x:v>2212.709</x:v>
      </x:c>
      <x:c r="G10" s="163" t="n">
        <x:f>INDEX(Sources!$E:$E,MATCH("H.IS.GROSS_PROFIT.FY2026",Sources!$A:$A,0))</x:f>
        <x:v>2577.953</x:v>
      </x:c>
      <x:c r="H10" s="119"/>
      <x:c r="I10" s="119"/>
      <x:c r="J10" s="119"/>
      <x:c r="K10" s="119"/>
      <x:c r="L10" s="5"/>
    </x:row>
    <x:row r="11">
      <x:c r="A11" s="161" t="str">
        <x:v>Research and development</x:v>
      </x:c>
      <x:c r="B11" s="162" t="n">
        <x:f>INDEX(Sources!$E:$E,MATCH("H.IS.RD.FY2021",Sources!$A:$A,0))</x:f>
        <x:v>480.467</x:v>
      </x:c>
      <x:c r="C11" s="162" t="n">
        <x:f>INDEX(Sources!$E:$E,MATCH("H.IS.RD.FY2022",Sources!$A:$A,0))</x:f>
        <x:v>581.935</x:v>
      </x:c>
      <x:c r="D11" s="162" t="n">
        <x:f>INDEX(Sources!$E:$E,MATCH("H.IS.RD.FY2023",Sources!$A:$A,0))</x:f>
        <x:v>692.528</x:v>
      </x:c>
      <x:c r="E11" s="162" t="n">
        <x:f>INDEX(Sources!$E:$E,MATCH("H.IS.RD.FY2024",Sources!$A:$A,0))</x:f>
        <x:v>736.764</x:v>
      </x:c>
      <x:c r="F11" s="162" t="n">
        <x:f>INDEX(Sources!$E:$E,MATCH("H.IS.RD.FY2025",Sources!$A:$A,0))</x:f>
        <x:v>804.405</x:v>
      </x:c>
      <x:c r="G11" s="163" t="n">
        <x:f>INDEX(Sources!$E:$E,MATCH("H.IS.RD.FY2026",Sources!$A:$A,0))</x:f>
        <x:v>963.291</x:v>
      </x:c>
      <x:c r="H11" s="119"/>
      <x:c r="I11" s="119"/>
      <x:c r="J11" s="119"/>
      <x:c r="K11" s="119"/>
      <x:c r="L11" s="5"/>
    </x:row>
    <x:row r="12">
      <x:c r="A12" s="161" t="str">
        <x:v>Sales and marketing</x:v>
      </x:c>
      <x:c r="B12" s="162" t="n">
        <x:f>INDEX(Sources!$E:$E,MATCH("H.IS.SM.FY2021",Sources!$A:$A,0))</x:f>
        <x:v>716.014</x:v>
      </x:c>
      <x:c r="C12" s="162" t="n">
        <x:f>INDEX(Sources!$E:$E,MATCH("H.IS.SM.FY2022",Sources!$A:$A,0))</x:f>
        <x:v>799.001</x:v>
      </x:c>
      <x:c r="D12" s="162" t="n">
        <x:f>INDEX(Sources!$E:$E,MATCH("H.IS.SM.FY2023",Sources!$A:$A,0))</x:f>
        <x:v>883.609</x:v>
      </x:c>
      <x:c r="E12" s="162" t="n">
        <x:f>INDEX(Sources!$E:$E,MATCH("H.IS.SM.FY2024",Sources!$A:$A,0))</x:f>
        <x:v>945.021</x:v>
      </x:c>
      <x:c r="F12" s="162" t="n">
        <x:f>INDEX(Sources!$E:$E,MATCH("H.IS.SM.FY2025",Sources!$A:$A,0))</x:f>
        <x:v>1020.914</x:v>
      </x:c>
      <x:c r="G12" s="163" t="n">
        <x:f>INDEX(Sources!$E:$E,MATCH("H.IS.SM.FY2026",Sources!$A:$A,0))</x:f>
        <x:v>1181.488</x:v>
      </x:c>
      <x:c r="H12" s="119"/>
      <x:c r="I12" s="119"/>
      <x:c r="J12" s="119"/>
      <x:c r="K12" s="119"/>
      <x:c r="L12" s="5"/>
    </x:row>
    <x:row r="13">
      <x:c r="A13" s="161" t="str">
        <x:v>General and administrative</x:v>
      </x:c>
      <x:c r="B13" s="162" t="n">
        <x:f>INDEX(Sources!$E:$E,MATCH("H.IS.GA.FY2021",Sources!$A:$A,0))</x:f>
        <x:v>182.477</x:v>
      </x:c>
      <x:c r="C13" s="162" t="n">
        <x:f>INDEX(Sources!$E:$E,MATCH("H.IS.GA.FY2022",Sources!$A:$A,0))</x:f>
        <x:v>189.981</x:v>
      </x:c>
      <x:c r="D13" s="162" t="n">
        <x:f>INDEX(Sources!$E:$E,MATCH("H.IS.GA.FY2023",Sources!$A:$A,0))</x:f>
        <x:v>237.996</x:v>
      </x:c>
      <x:c r="E13" s="162" t="n">
        <x:f>INDEX(Sources!$E:$E,MATCH("H.IS.GA.FY2024",Sources!$A:$A,0))</x:f>
        <x:v>252.243</x:v>
      </x:c>
      <x:c r="F13" s="162" t="n">
        <x:f>INDEX(Sources!$E:$E,MATCH("H.IS.GA.FY2025",Sources!$A:$A,0))</x:f>
        <x:v>286.231</x:v>
      </x:c>
      <x:c r="G13" s="163" t="n">
        <x:f>INDEX(Sources!$E:$E,MATCH("H.IS.GA.FY2026",Sources!$A:$A,0))</x:f>
        <x:v>318.358</x:v>
      </x:c>
      <x:c r="H13" s="119"/>
      <x:c r="I13" s="119"/>
      <x:c r="J13" s="119"/>
      <x:c r="K13" s="119"/>
      <x:c r="L13" s="5"/>
    </x:row>
    <x:row r="14">
      <x:c r="A14" s="161" t="str">
        <x:v>Restructuring / impairment / other</x:v>
      </x:c>
      <x:c r="B14" s="162" t="n">
        <x:f>INDEX(Sources!$E:$E,MATCH("H.IS.RESTRUCTURING.FY2021",Sources!$A:$A,0))</x:f>
        <x:v>30.999</x:v>
      </x:c>
      <x:c r="C14" s="162" t="n">
        <x:f>INDEX(Sources!$E:$E,MATCH("H.IS.RESTRUCTURING.FY2022",Sources!$A:$A,0))</x:f>
        <x:v>0</x:v>
      </x:c>
      <x:c r="D14" s="162" t="n">
        <x:f>INDEX(Sources!$E:$E,MATCH("H.IS.RESTRUCTURING.FY2023",Sources!$A:$A,0))</x:f>
        <x:v>0</x:v>
      </x:c>
      <x:c r="E14" s="162" t="n">
        <x:f>INDEX(Sources!$E:$E,MATCH("H.IS.RESTRUCTURING.FY2024",Sources!$A:$A,0))</x:f>
        <x:v>33.612</x:v>
      </x:c>
      <x:c r="F14" s="162" t="n">
        <x:f>INDEX(Sources!$E:$E,MATCH("H.IS.RESTRUCTURING.FY2025",Sources!$A:$A,0))</x:f>
        <x:v>15.901</x:v>
      </x:c>
      <x:c r="G14" s="163" t="n">
        <x:f>INDEX(Sources!$E:$E,MATCH("H.IS.RESTRUCTURING.FY2026",Sources!$A:$A,0))</x:f>
        <x:v>0</x:v>
      </x:c>
      <x:c r="H14" s="119"/>
      <x:c r="I14" s="119"/>
      <x:c r="J14" s="119"/>
      <x:c r="K14" s="119"/>
      <x:c r="L14" s="5"/>
    </x:row>
    <x:row r="15">
      <x:c r="A15" s="161" t="str">
        <x:v>Total operating expenses</x:v>
      </x:c>
      <x:c r="B15" s="162" t="n">
        <x:f>INDEX(Sources!$E:$E,MATCH("H.IS.TOTAL_OPEX.FY2021",Sources!$A:$A,0))</x:f>
        <x:v>1409.957</x:v>
      </x:c>
      <x:c r="C15" s="162" t="n">
        <x:f>INDEX(Sources!$E:$E,MATCH("H.IS.TOTAL_OPEX.FY2022",Sources!$A:$A,0))</x:f>
        <x:v>1570.917</x:v>
      </x:c>
      <x:c r="D15" s="162" t="n">
        <x:f>INDEX(Sources!$E:$E,MATCH("H.IS.TOTAL_OPEX.FY2023",Sources!$A:$A,0))</x:f>
        <x:v>1814.133</x:v>
      </x:c>
      <x:c r="E15" s="162" t="n">
        <x:f>INDEX(Sources!$E:$E,MATCH("H.IS.TOTAL_OPEX.FY2024",Sources!$A:$A,0))</x:f>
        <x:v>1967.64</x:v>
      </x:c>
      <x:c r="F15" s="162" t="n">
        <x:f>INDEX(Sources!$E:$E,MATCH("H.IS.TOTAL_OPEX.FY2025",Sources!$A:$A,0))</x:f>
        <x:v>2127.451</x:v>
      </x:c>
      <x:c r="G15" s="163" t="n">
        <x:f>INDEX(Sources!$E:$E,MATCH("H.IS.TOTAL_OPEX.FY2026",Sources!$A:$A,0))</x:f>
        <x:v>2463.137</x:v>
      </x:c>
      <x:c r="H15" s="119"/>
      <x:c r="I15" s="119"/>
      <x:c r="J15" s="119"/>
      <x:c r="K15" s="119"/>
      <x:c r="L15" s="5"/>
    </x:row>
    <x:row r="16">
      <x:c r="A16" s="161" t="str">
        <x:v>Operating income</x:v>
      </x:c>
      <x:c r="B16" s="162" t="n">
        <x:f>INDEX(Sources!$E:$E,MATCH("H.IS.OPERATING_INCOME.FY2021",Sources!$A:$A,0))</x:f>
        <x:v>-261.033</x:v>
      </x:c>
      <x:c r="C16" s="162" t="n">
        <x:f>INDEX(Sources!$E:$E,MATCH("H.IS.OPERATING_INCOME.FY2022",Sources!$A:$A,0))</x:f>
        <x:v>-98.398</x:v>
      </x:c>
      <x:c r="D16" s="162" t="n">
        <x:f>INDEX(Sources!$E:$E,MATCH("H.IS.OPERATING_INCOME.FY2023",Sources!$A:$A,0))</x:f>
        <x:v>83.513</x:v>
      </x:c>
      <x:c r="E16" s="162" t="n">
        <x:f>INDEX(Sources!$E:$E,MATCH("H.IS.OPERATING_INCOME.FY2024",Sources!$A:$A,0))</x:f>
        <x:v>53.551</x:v>
      </x:c>
      <x:c r="F16" s="162" t="n">
        <x:f>INDEX(Sources!$E:$E,MATCH("H.IS.OPERATING_INCOME.FY2025",Sources!$A:$A,0))</x:f>
        <x:v>85.258</x:v>
      </x:c>
      <x:c r="G16" s="163" t="n">
        <x:f>INDEX(Sources!$E:$E,MATCH("H.IS.OPERATING_INCOME.FY2026",Sources!$A:$A,0))</x:f>
        <x:v>114.816</x:v>
      </x:c>
      <x:c r="H16" s="119"/>
      <x:c r="I16" s="119"/>
      <x:c r="J16" s="119"/>
      <x:c r="K16" s="119"/>
      <x:c r="L16" s="5"/>
    </x:row>
    <x:row r="17">
      <x:c r="A17" s="161" t="str">
        <x:v>Interest income</x:v>
      </x:c>
      <x:c r="B17" s="162" t="n">
        <x:f>INDEX(Sources!$E:$E,MATCH("H.IS.INTEREST_INCOME.FY2021",Sources!$A:$A,0))</x:f>
        <x:v>0</x:v>
      </x:c>
      <x:c r="C17" s="162" t="n">
        <x:f>INDEX(Sources!$E:$E,MATCH("H.IS.INTEREST_INCOME.FY2022",Sources!$A:$A,0))</x:f>
        <x:v>0</x:v>
      </x:c>
      <x:c r="D17" s="162" t="n">
        <x:f>INDEX(Sources!$E:$E,MATCH("H.IS.INTEREST_INCOME.FY2023",Sources!$A:$A,0))</x:f>
        <x:v>0</x:v>
      </x:c>
      <x:c r="E17" s="162" t="n">
        <x:f>INDEX(Sources!$E:$E,MATCH("H.IS.INTEREST_INCOME.FY2024",Sources!$A:$A,0))</x:f>
        <x:v>0</x:v>
      </x:c>
      <x:c r="F17" s="162" t="n">
        <x:f>INDEX(Sources!$E:$E,MATCH("H.IS.INTEREST_INCOME.FY2025",Sources!$A:$A,0))</x:f>
        <x:v>0</x:v>
      </x:c>
      <x:c r="G17" s="163" t="n">
        <x:f>INDEX(Sources!$E:$E,MATCH("H.IS.INTEREST_INCOME.FY2026",Sources!$A:$A,0))</x:f>
        <x:v>0</x:v>
      </x:c>
      <x:c r="H17" s="119"/>
      <x:c r="I17" s="119"/>
      <x:c r="J17" s="119"/>
      <x:c r="K17" s="119"/>
      <x:c r="L17" s="5"/>
    </x:row>
    <x:row r="18">
      <x:c r="A18" s="161" t="str">
        <x:v>Interest expense</x:v>
      </x:c>
      <x:c r="B18" s="162" t="n">
        <x:f>INDEX(Sources!$E:$E,MATCH("H.IS.INTEREST_EXPENSE.FY2021",Sources!$A:$A,0))</x:f>
        <x:v>0</x:v>
      </x:c>
      <x:c r="C18" s="162" t="n">
        <x:f>INDEX(Sources!$E:$E,MATCH("H.IS.INTEREST_EXPENSE.FY2022",Sources!$A:$A,0))</x:f>
        <x:v>0</x:v>
      </x:c>
      <x:c r="D18" s="162" t="n">
        <x:f>INDEX(Sources!$E:$E,MATCH("H.IS.INTEREST_EXPENSE.FY2023",Sources!$A:$A,0))</x:f>
        <x:v>0</x:v>
      </x:c>
      <x:c r="E18" s="162" t="n">
        <x:f>INDEX(Sources!$E:$E,MATCH("H.IS.INTEREST_EXPENSE.FY2024",Sources!$A:$A,0))</x:f>
        <x:v>0</x:v>
      </x:c>
      <x:c r="F18" s="162" t="n">
        <x:f>INDEX(Sources!$E:$E,MATCH("H.IS.INTEREST_EXPENSE.FY2025",Sources!$A:$A,0))</x:f>
        <x:v>0</x:v>
      </x:c>
      <x:c r="G18" s="163" t="n">
        <x:f>INDEX(Sources!$E:$E,MATCH("H.IS.INTEREST_EXPENSE.FY2026",Sources!$A:$A,0))</x:f>
        <x:v>0</x:v>
      </x:c>
      <x:c r="H18" s="119"/>
      <x:c r="I18" s="119"/>
      <x:c r="J18" s="119"/>
      <x:c r="K18" s="119"/>
      <x:c r="L18" s="5"/>
    </x:row>
    <x:row r="19">
      <x:c r="A19" s="161" t="str">
        <x:v>Other income / expense, net</x:v>
      </x:c>
      <x:c r="B19" s="162" t="n">
        <x:f>INDEX(Sources!$E:$E,MATCH("H.IS.OTHER_INCOME_EXPENSE.FY2021",Sources!$A:$A,0))</x:f>
        <x:v>-9.127</x:v>
      </x:c>
      <x:c r="C19" s="162" t="n">
        <x:f>INDEX(Sources!$E:$E,MATCH("H.IS.OTHER_INCOME_EXPENSE.FY2022",Sources!$A:$A,0))</x:f>
        <x:v>-30.098</x:v>
      </x:c>
      <x:c r="D19" s="162" t="n">
        <x:f>INDEX(Sources!$E:$E,MATCH("H.IS.OTHER_INCOME_EXPENSE.FY2023",Sources!$A:$A,0))</x:f>
        <x:v>8.295</x:v>
      </x:c>
      <x:c r="E19" s="162" t="n">
        <x:f>INDEX(Sources!$E:$E,MATCH("H.IS.OTHER_INCOME_EXPENSE.FY2024",Sources!$A:$A,0))</x:f>
        <x:v>37.035</x:v>
      </x:c>
      <x:c r="F19" s="162" t="n">
        <x:f>INDEX(Sources!$E:$E,MATCH("H.IS.OTHER_INCOME_EXPENSE.FY2025",Sources!$A:$A,0))</x:f>
        <x:v>62.576</x:v>
      </x:c>
      <x:c r="G19" s="163" t="n">
        <x:f>INDEX(Sources!$E:$E,MATCH("H.IS.OTHER_INCOME_EXPENSE.FY2026",Sources!$A:$A,0))</x:f>
        <x:v>109.468</x:v>
      </x:c>
      <x:c r="H19" s="119"/>
      <x:c r="I19" s="119"/>
      <x:c r="J19" s="119"/>
      <x:c r="K19" s="119"/>
      <x:c r="L19" s="5"/>
    </x:row>
    <x:row r="20">
      <x:c r="A20" s="161" t="str">
        <x:v>Pretax income</x:v>
      </x:c>
      <x:c r="B20" s="162" t="n">
        <x:f>INDEX(Sources!$E:$E,MATCH("H.IS.PRETAX_INCOME.FY2021",Sources!$A:$A,0))</x:f>
        <x:v>-270.16</x:v>
      </x:c>
      <x:c r="C20" s="162" t="n">
        <x:f>INDEX(Sources!$E:$E,MATCH("H.IS.PRETAX_INCOME.FY2022",Sources!$A:$A,0))</x:f>
        <x:v>-128.496</x:v>
      </x:c>
      <x:c r="D20" s="162" t="n">
        <x:f>INDEX(Sources!$E:$E,MATCH("H.IS.PRETAX_INCOME.FY2023",Sources!$A:$A,0))</x:f>
        <x:v>91.808</x:v>
      </x:c>
      <x:c r="E20" s="162" t="n">
        <x:f>INDEX(Sources!$E:$E,MATCH("H.IS.PRETAX_INCOME.FY2024",Sources!$A:$A,0))</x:f>
        <x:v>90.586</x:v>
      </x:c>
      <x:c r="F20" s="162" t="n">
        <x:f>INDEX(Sources!$E:$E,MATCH("H.IS.PRETAX_INCOME.FY2025",Sources!$A:$A,0))</x:f>
        <x:v>147.834</x:v>
      </x:c>
      <x:c r="G20" s="163" t="n">
        <x:f>INDEX(Sources!$E:$E,MATCH("H.IS.PRETAX_INCOME.FY2026",Sources!$A:$A,0))</x:f>
        <x:v>224.284</x:v>
      </x:c>
      <x:c r="H20" s="119"/>
      <x:c r="I20" s="119"/>
      <x:c r="J20" s="119"/>
      <x:c r="K20" s="119"/>
      <x:c r="L20" s="5"/>
    </x:row>
    <x:row r="21">
      <x:c r="A21" s="161" t="str">
        <x:v>Income tax expense</x:v>
      </x:c>
      <x:c r="B21" s="162" t="n">
        <x:f>INDEX(Sources!$E:$E,MATCH("H.IS.TAX_EXPENSE.FY2021",Sources!$A:$A,0))</x:f>
        <x:v>11.916</x:v>
      </x:c>
      <x:c r="C21" s="162" t="n">
        <x:f>INDEX(Sources!$E:$E,MATCH("H.IS.TAX_EXPENSE.FY2022",Sources!$A:$A,0))</x:f>
        <x:v>14.763</x:v>
      </x:c>
      <x:c r="D21" s="162" t="n">
        <x:f>INDEX(Sources!$E:$E,MATCH("H.IS.TAX_EXPENSE.FY2023",Sources!$A:$A,0))</x:f>
        <x:v>18.737</x:v>
      </x:c>
      <x:c r="E21" s="162" t="n">
        <x:f>INDEX(Sources!$E:$E,MATCH("H.IS.TAX_EXPENSE.FY2024",Sources!$A:$A,0))</x:f>
        <x:v>29.275</x:v>
      </x:c>
      <x:c r="F21" s="162" t="n">
        <x:f>INDEX(Sources!$E:$E,MATCH("H.IS.TAX_EXPENSE.FY2025",Sources!$A:$A,0))</x:f>
        <x:v>41.095</x:v>
      </x:c>
      <x:c r="G21" s="163" t="n">
        <x:f>INDEX(Sources!$E:$E,MATCH("H.IS.TAX_EXPENSE.FY2026",Sources!$A:$A,0))</x:f>
        <x:v>36.103</x:v>
      </x:c>
      <x:c r="H21" s="119"/>
      <x:c r="I21" s="119"/>
      <x:c r="J21" s="119"/>
      <x:c r="K21" s="119"/>
      <x:c r="L21" s="5"/>
    </x:row>
    <x:row r="22">
      <x:c r="A22" s="161" t="str">
        <x:v>Net income</x:v>
      </x:c>
      <x:c r="B22" s="162" t="n">
        <x:f>INDEX(Sources!$E:$E,MATCH("H.IS.NET_INCOME.FY2021",Sources!$A:$A,0))</x:f>
        <x:v>-282.076</x:v>
      </x:c>
      <x:c r="C22" s="162" t="n">
        <x:f>INDEX(Sources!$E:$E,MATCH("H.IS.NET_INCOME.FY2022",Sources!$A:$A,0))</x:f>
        <x:v>-143.259</x:v>
      </x:c>
      <x:c r="D22" s="162" t="n">
        <x:f>INDEX(Sources!$E:$E,MATCH("H.IS.NET_INCOME.FY2023",Sources!$A:$A,0))</x:f>
        <x:v>73.071</x:v>
      </x:c>
      <x:c r="E22" s="162" t="n">
        <x:f>INDEX(Sources!$E:$E,MATCH("H.IS.NET_INCOME.FY2024",Sources!$A:$A,0))</x:f>
        <x:v>61.311</x:v>
      </x:c>
      <x:c r="F22" s="162" t="n">
        <x:f>INDEX(Sources!$E:$E,MATCH("H.IS.NET_INCOME.FY2025",Sources!$A:$A,0))</x:f>
        <x:v>106.739</x:v>
      </x:c>
      <x:c r="G22" s="163" t="n">
        <x:f>INDEX(Sources!$E:$E,MATCH("H.IS.NET_INCOME.FY2026",Sources!$A:$A,0))</x:f>
        <x:v>188.181</x:v>
      </x:c>
      <x:c r="H22" s="119"/>
      <x:c r="I22" s="119"/>
      <x:c r="J22" s="119"/>
      <x:c r="K22" s="119"/>
      <x:c r="L22" s="5"/>
    </x:row>
    <x:row r="23">
      <x:c r="A23" s="161" t="str">
        <x:v>Diluted weighted average shares</x:v>
      </x:c>
      <x:c r="B23" s="164" t="n">
        <x:f>INDEX(Sources!$E:$E,MATCH("H.IS.DILUTED_SHARES.FY2021",Sources!$A:$A,0))</x:f>
        <x:v>267.824</x:v>
      </x:c>
      <x:c r="C23" s="164" t="n">
        <x:f>INDEX(Sources!$E:$E,MATCH("H.IS.DILUTED_SHARES.FY2022",Sources!$A:$A,0))</x:f>
        <x:v>285.882</x:v>
      </x:c>
      <x:c r="D23" s="164" t="n">
        <x:f>INDEX(Sources!$E:$E,MATCH("H.IS.DILUTED_SHARES.FY2023",Sources!$A:$A,0))</x:f>
        <x:v>339.184</x:v>
      </x:c>
      <x:c r="E23" s="164" t="n">
        <x:f>INDEX(Sources!$E:$E,MATCH("H.IS.DILUTED_SHARES.FY2024",Sources!$A:$A,0))</x:f>
        <x:v>332.568</x:v>
      </x:c>
      <x:c r="F23" s="164" t="n">
        <x:f>INDEX(Sources!$E:$E,MATCH("H.IS.DILUTED_SHARES.FY2025",Sources!$A:$A,0))</x:f>
        <x:v>342.704</x:v>
      </x:c>
      <x:c r="G23" s="165" t="n">
        <x:f>INDEX(Sources!$E:$E,MATCH("H.IS.DILUTED_SHARES.FY2026",Sources!$A:$A,0))</x:f>
        <x:v>342.992</x:v>
      </x:c>
      <x:c r="H23" s="119"/>
      <x:c r="I23" s="119"/>
      <x:c r="J23" s="119"/>
      <x:c r="K23" s="119"/>
      <x:c r="L23" s="5"/>
    </x:row>
    <x:row r="24">
      <x:c r="A24" s="166" t="str">
        <x:v>Diluted EPS</x:v>
      </x:c>
      <x:c r="B24" s="167" t="n">
        <x:f>INDEX(Sources!$E:$E,MATCH("H.IS.DILUTED_EPS.FY2021",Sources!$A:$A,0))</x:f>
        <x:v>-1.05</x:v>
      </x:c>
      <x:c r="C24" s="167" t="n">
        <x:f>INDEX(Sources!$E:$E,MATCH("H.IS.DILUTED_EPS.FY2022",Sources!$A:$A,0))</x:f>
        <x:v>-0.5</x:v>
      </x:c>
      <x:c r="D24" s="167" t="n">
        <x:f>INDEX(Sources!$E:$E,MATCH("H.IS.DILUTED_EPS.FY2023",Sources!$A:$A,0))</x:f>
        <x:v>0.23</x:v>
      </x:c>
      <x:c r="E24" s="167" t="n">
        <x:f>INDEX(Sources!$E:$E,MATCH("H.IS.DILUTED_EPS.FY2024",Sources!$A:$A,0))</x:f>
        <x:v>0.19</x:v>
      </x:c>
      <x:c r="F24" s="167" t="n">
        <x:f>INDEX(Sources!$E:$E,MATCH("H.IS.DILUTED_EPS.FY2025",Sources!$A:$A,0))</x:f>
        <x:v>0.31</x:v>
      </x:c>
      <x:c r="G24" s="168" t="n">
        <x:f>INDEX(Sources!$E:$E,MATCH("H.IS.DILUTED_EPS.FY2026",Sources!$A:$A,0))</x:f>
        <x:v>0.55</x:v>
      </x:c>
      <x:c r="H24" s="119"/>
      <x:c r="I24" s="119"/>
      <x:c r="J24" s="119"/>
      <x:c r="K24" s="119"/>
      <x:c r="L24" s="5"/>
    </x:row>
    <x:row r="25">
      <x:c r="A25" s="119"/>
      <x:c r="B25" s="119"/>
      <x:c r="C25" s="119"/>
      <x:c r="D25" s="119"/>
      <x:c r="E25" s="119"/>
      <x:c r="F25" s="119"/>
      <x:c r="G25" s="119"/>
      <x:c r="H25" s="119"/>
      <x:c r="I25" s="119"/>
      <x:c r="J25" s="119"/>
      <x:c r="K25" s="119"/>
      <x:c r="L25" s="5"/>
    </x:row>
    <x:row r="26">
      <x:c r="A26" s="119"/>
      <x:c r="B26" s="119"/>
      <x:c r="C26" s="119"/>
      <x:c r="D26" s="119"/>
      <x:c r="E26" s="119"/>
      <x:c r="F26" s="119"/>
      <x:c r="G26" s="119"/>
      <x:c r="H26" s="119"/>
      <x:c r="I26" s="119"/>
      <x:c r="J26" s="119"/>
      <x:c r="K26" s="119"/>
      <x:c r="L26" s="5"/>
    </x:row>
    <x:row r="27">
      <x:c r="A27" s="119"/>
      <x:c r="B27" s="119"/>
      <x:c r="C27" s="119"/>
      <x:c r="D27" s="119"/>
      <x:c r="E27" s="119"/>
      <x:c r="F27" s="119"/>
      <x:c r="G27" s="119"/>
      <x:c r="H27" s="119"/>
      <x:c r="I27" s="119"/>
      <x:c r="J27" s="119"/>
      <x:c r="K27" s="119"/>
      <x:c r="L27" s="5"/>
    </x:row>
    <x:row r="28">
      <x:c r="A28" s="119"/>
      <x:c r="B28" s="119"/>
      <x:c r="C28" s="119"/>
      <x:c r="D28" s="119"/>
      <x:c r="E28" s="119"/>
      <x:c r="F28" s="119"/>
      <x:c r="G28" s="119"/>
      <x:c r="H28" s="119"/>
      <x:c r="I28" s="119"/>
      <x:c r="J28" s="119"/>
      <x:c r="K28" s="119"/>
      <x:c r="L28" s="5"/>
    </x:row>
    <x:row r="29">
      <x:c r="A29" s="119"/>
      <x:c r="B29" s="119"/>
      <x:c r="C29" s="119"/>
      <x:c r="D29" s="119"/>
      <x:c r="E29" s="119"/>
      <x:c r="F29" s="119"/>
      <x:c r="G29" s="119"/>
      <x:c r="H29" s="119"/>
      <x:c r="I29" s="119"/>
      <x:c r="J29" s="119"/>
      <x:c r="K29" s="119"/>
      <x:c r="L29" s="5"/>
    </x:row>
    <x:row r="30">
      <x:c r="A30" s="119"/>
      <x:c r="B30" s="119"/>
      <x:c r="C30" s="119"/>
      <x:c r="D30" s="119"/>
      <x:c r="E30" s="119"/>
      <x:c r="F30" s="119"/>
      <x:c r="G30" s="119"/>
      <x:c r="H30" s="119"/>
      <x:c r="I30" s="119"/>
      <x:c r="J30" s="119"/>
      <x:c r="K30" s="119"/>
      <x:c r="L30" s="5"/>
    </x:row>
    <x:row r="31">
      <x:c r="A31" s="119"/>
      <x:c r="B31" s="119"/>
      <x:c r="C31" s="119"/>
      <x:c r="D31" s="119"/>
      <x:c r="E31" s="119"/>
      <x:c r="F31" s="119"/>
      <x:c r="G31" s="119"/>
      <x:c r="H31" s="119"/>
      <x:c r="I31" s="119"/>
      <x:c r="J31" s="119"/>
      <x:c r="K31" s="119"/>
      <x:c r="L31" s="5"/>
    </x:row>
    <x:row r="32">
      <x:c r="A32" s="119"/>
      <x:c r="B32" s="119"/>
      <x:c r="C32" s="119"/>
      <x:c r="D32" s="119"/>
      <x:c r="E32" s="119"/>
      <x:c r="F32" s="119"/>
      <x:c r="G32" s="119"/>
      <x:c r="H32" s="119"/>
      <x:c r="I32" s="119"/>
      <x:c r="J32" s="119"/>
      <x:c r="K32" s="119"/>
      <x:c r="L32" s="5"/>
    </x:row>
    <x:row r="33">
      <x:c r="A33" s="119"/>
      <x:c r="B33" s="119"/>
      <x:c r="C33" s="119"/>
      <x:c r="D33" s="119"/>
      <x:c r="E33" s="119"/>
      <x:c r="F33" s="119"/>
      <x:c r="G33" s="119"/>
      <x:c r="H33" s="119"/>
      <x:c r="I33" s="119"/>
      <x:c r="J33" s="119"/>
      <x:c r="K33" s="119"/>
      <x:c r="L33" s="5"/>
    </x:row>
    <x:row r="34">
      <x:c r="A34" s="119"/>
      <x:c r="B34" s="119"/>
      <x:c r="C34" s="119"/>
      <x:c r="D34" s="119"/>
      <x:c r="E34" s="119"/>
      <x:c r="F34" s="119"/>
      <x:c r="G34" s="119"/>
      <x:c r="H34" s="119"/>
      <x:c r="I34" s="119"/>
      <x:c r="J34" s="119"/>
      <x:c r="K34" s="119"/>
      <x:c r="L34" s="5"/>
    </x:row>
    <x:row r="35">
      <x:c r="A35" s="119"/>
      <x:c r="B35" s="119"/>
      <x:c r="C35" s="119"/>
      <x:c r="D35" s="119"/>
      <x:c r="E35" s="119"/>
      <x:c r="F35" s="119"/>
      <x:c r="G35" s="119"/>
      <x:c r="H35" s="119"/>
      <x:c r="I35" s="119"/>
      <x:c r="J35" s="119"/>
      <x:c r="K35" s="119"/>
      <x:c r="L35" s="5"/>
    </x:row>
    <x:row r="36">
      <x:c r="A36" s="119"/>
      <x:c r="B36" s="119"/>
      <x:c r="C36" s="119"/>
      <x:c r="D36" s="119"/>
      <x:c r="E36" s="119"/>
      <x:c r="F36" s="119"/>
      <x:c r="G36" s="119"/>
      <x:c r="H36" s="119"/>
      <x:c r="I36" s="119"/>
      <x:c r="J36" s="119"/>
      <x:c r="K36" s="119"/>
      <x:c r="L36" s="5"/>
    </x:row>
    <x:row r="37">
      <x:c r="A37" s="119"/>
      <x:c r="B37" s="119"/>
      <x:c r="C37" s="119"/>
      <x:c r="D37" s="119"/>
      <x:c r="E37" s="119"/>
      <x:c r="F37" s="119"/>
      <x:c r="G37" s="119"/>
      <x:c r="H37" s="119"/>
      <x:c r="I37" s="119"/>
      <x:c r="J37" s="119"/>
      <x:c r="K37" s="119"/>
      <x:c r="L37" s="5"/>
    </x:row>
    <x:row r="38">
      <x:c r="A38" s="119"/>
      <x:c r="B38" s="119"/>
      <x:c r="C38" s="119"/>
      <x:c r="D38" s="119"/>
      <x:c r="E38" s="119"/>
      <x:c r="F38" s="119"/>
      <x:c r="G38" s="119"/>
      <x:c r="H38" s="119"/>
      <x:c r="I38" s="119"/>
      <x:c r="J38" s="119"/>
      <x:c r="K38" s="119"/>
      <x:c r="L38" s="5"/>
    </x:row>
    <x:row r="39">
      <x:c r="A39" s="119"/>
      <x:c r="B39" s="119"/>
      <x:c r="C39" s="119"/>
      <x:c r="D39" s="119"/>
      <x:c r="E39" s="119"/>
      <x:c r="F39" s="119"/>
      <x:c r="G39" s="119"/>
      <x:c r="H39" s="119"/>
      <x:c r="I39" s="119"/>
      <x:c r="J39" s="119"/>
      <x:c r="K39" s="119"/>
      <x:c r="L39" s="5"/>
    </x:row>
    <x:row r="40">
      <x:c r="A40" s="119"/>
      <x:c r="B40" s="119"/>
      <x:c r="C40" s="119"/>
      <x:c r="D40" s="119"/>
      <x:c r="E40" s="119"/>
      <x:c r="F40" s="119"/>
      <x:c r="G40" s="119"/>
      <x:c r="H40" s="119"/>
      <x:c r="I40" s="119"/>
      <x:c r="J40" s="119"/>
      <x:c r="K40" s="119"/>
      <x:c r="L40" s="5"/>
    </x:row>
    <x:row r="41">
      <x:c r="A41" s="119"/>
      <x:c r="B41" s="119"/>
      <x:c r="C41" s="119"/>
      <x:c r="D41" s="119"/>
      <x:c r="E41" s="119"/>
      <x:c r="F41" s="119"/>
      <x:c r="G41" s="119"/>
      <x:c r="H41" s="119"/>
      <x:c r="I41" s="119"/>
      <x:c r="J41" s="119"/>
      <x:c r="K41" s="119"/>
      <x:c r="L41" s="5"/>
    </x:row>
    <x:row r="42">
      <x:c r="A42" s="119"/>
      <x:c r="B42" s="119"/>
      <x:c r="C42" s="119"/>
      <x:c r="D42" s="119"/>
      <x:c r="E42" s="119"/>
      <x:c r="F42" s="119"/>
      <x:c r="G42" s="119"/>
      <x:c r="H42" s="119"/>
      <x:c r="I42" s="119"/>
      <x:c r="J42" s="119"/>
      <x:c r="K42" s="119"/>
      <x:c r="L42" s="5"/>
    </x:row>
    <x:row r="43">
      <x:c r="A43" s="119"/>
      <x:c r="B43" s="119"/>
      <x:c r="C43" s="119"/>
      <x:c r="D43" s="119"/>
      <x:c r="E43" s="119"/>
      <x:c r="F43" s="119"/>
      <x:c r="G43" s="119"/>
      <x:c r="H43" s="119"/>
      <x:c r="I43" s="119"/>
      <x:c r="J43" s="119"/>
      <x:c r="K43" s="119"/>
      <x:c r="L43" s="5"/>
    </x:row>
    <x:row r="44">
      <x:c r="A44" s="119"/>
      <x:c r="B44" s="119"/>
      <x:c r="C44" s="119"/>
      <x:c r="D44" s="119"/>
      <x:c r="E44" s="119"/>
      <x:c r="F44" s="119"/>
      <x:c r="G44" s="119"/>
      <x:c r="H44" s="119"/>
      <x:c r="I44" s="119"/>
      <x:c r="J44" s="119"/>
      <x:c r="K44" s="119"/>
      <x:c r="L44" s="5"/>
    </x:row>
    <x:row r="45">
      <x:c r="A45" s="119"/>
      <x:c r="B45" s="119"/>
      <x:c r="C45" s="119"/>
      <x:c r="D45" s="119"/>
      <x:c r="E45" s="119"/>
      <x:c r="F45" s="119"/>
      <x:c r="G45" s="119"/>
      <x:c r="H45" s="119"/>
      <x:c r="I45" s="119"/>
      <x:c r="J45" s="119"/>
      <x:c r="K45" s="119"/>
      <x:c r="L45" s="5"/>
    </x:row>
    <x:row r="46">
      <x:c r="A46" s="119"/>
      <x:c r="B46" s="119"/>
      <x:c r="C46" s="119"/>
      <x:c r="D46" s="119"/>
      <x:c r="E46" s="119"/>
      <x:c r="F46" s="119"/>
      <x:c r="G46" s="119"/>
      <x:c r="H46" s="119"/>
      <x:c r="I46" s="119"/>
      <x:c r="J46" s="119"/>
      <x:c r="K46" s="119"/>
      <x:c r="L46" s="5"/>
    </x:row>
    <x:row r="47">
      <x:c r="A47" s="119"/>
      <x:c r="B47" s="119"/>
      <x:c r="C47" s="119"/>
      <x:c r="D47" s="119"/>
      <x:c r="E47" s="119"/>
      <x:c r="F47" s="119"/>
      <x:c r="G47" s="119"/>
      <x:c r="H47" s="119"/>
      <x:c r="I47" s="119"/>
      <x:c r="J47" s="119"/>
      <x:c r="K47" s="119"/>
      <x:c r="L47" s="5"/>
    </x:row>
    <x:row r="48">
      <x:c r="A48" s="119"/>
      <x:c r="B48" s="119"/>
      <x:c r="C48" s="119"/>
      <x:c r="D48" s="119"/>
      <x:c r="E48" s="119"/>
      <x:c r="F48" s="119"/>
      <x:c r="G48" s="119"/>
      <x:c r="H48" s="119"/>
      <x:c r="I48" s="119"/>
      <x:c r="J48" s="119"/>
      <x:c r="K48" s="119"/>
      <x:c r="L48" s="5"/>
    </x:row>
    <x:row r="49">
      <x:c r="A49" s="119"/>
      <x:c r="B49" s="119"/>
      <x:c r="C49" s="119"/>
      <x:c r="D49" s="119"/>
      <x:c r="E49" s="119"/>
      <x:c r="F49" s="119"/>
      <x:c r="G49" s="119"/>
      <x:c r="H49" s="119"/>
      <x:c r="I49" s="119"/>
      <x:c r="J49" s="119"/>
      <x:c r="K49" s="119"/>
      <x:c r="L49" s="5"/>
    </x:row>
    <x:row r="50">
      <x:c r="A50" s="119"/>
      <x:c r="B50" s="119"/>
      <x:c r="C50" s="119"/>
      <x:c r="D50" s="119"/>
      <x:c r="E50" s="119"/>
      <x:c r="F50" s="119"/>
      <x:c r="G50" s="119"/>
      <x:c r="H50" s="119"/>
      <x:c r="I50" s="119"/>
      <x:c r="J50" s="119"/>
      <x:c r="K50" s="119"/>
      <x:c r="L50" s="5"/>
    </x:row>
    <x:row r="51">
      <x:c r="A51" s="119"/>
      <x:c r="B51" s="119"/>
      <x:c r="C51" s="119"/>
      <x:c r="D51" s="119"/>
      <x:c r="E51" s="119"/>
      <x:c r="F51" s="119"/>
      <x:c r="G51" s="119"/>
      <x:c r="H51" s="119"/>
      <x:c r="I51" s="119"/>
      <x:c r="J51" s="119"/>
      <x:c r="K51" s="119"/>
      <x:c r="L51" s="5"/>
    </x:row>
    <x:row r="52">
      <x:c r="A52" s="119"/>
      <x:c r="B52" s="119"/>
      <x:c r="C52" s="119"/>
      <x:c r="D52" s="119"/>
      <x:c r="E52" s="119"/>
      <x:c r="F52" s="119"/>
      <x:c r="G52" s="119"/>
      <x:c r="H52" s="119"/>
      <x:c r="I52" s="119"/>
      <x:c r="J52" s="119"/>
      <x:c r="K52" s="119"/>
      <x:c r="L52" s="5"/>
    </x:row>
    <x:row r="53">
      <x:c r="A53" s="119"/>
      <x:c r="B53" s="119"/>
      <x:c r="C53" s="119"/>
      <x:c r="D53" s="119"/>
      <x:c r="E53" s="119"/>
      <x:c r="F53" s="119"/>
      <x:c r="G53" s="119"/>
      <x:c r="H53" s="119"/>
      <x:c r="I53" s="119"/>
      <x:c r="J53" s="119"/>
      <x:c r="K53" s="119"/>
      <x:c r="L53" s="5"/>
    </x:row>
    <x:row r="54">
      <x:c r="A54" s="119"/>
      <x:c r="B54" s="119"/>
      <x:c r="C54" s="119"/>
      <x:c r="D54" s="119"/>
      <x:c r="E54" s="119"/>
      <x:c r="F54" s="119"/>
      <x:c r="G54" s="119"/>
      <x:c r="H54" s="119"/>
      <x:c r="I54" s="119"/>
      <x:c r="J54" s="119"/>
      <x:c r="K54" s="119"/>
      <x:c r="L54" s="5"/>
    </x:row>
    <x:row r="55">
      <x:c r="A55" s="119"/>
      <x:c r="B55" s="119"/>
      <x:c r="C55" s="119"/>
      <x:c r="D55" s="119"/>
      <x:c r="E55" s="119"/>
      <x:c r="F55" s="119"/>
      <x:c r="G55" s="119"/>
      <x:c r="H55" s="119"/>
      <x:c r="I55" s="119"/>
      <x:c r="J55" s="119"/>
      <x:c r="K55" s="119"/>
      <x:c r="L55" s="5"/>
    </x:row>
    <x:row r="56">
      <x:c r="A56" s="119"/>
      <x:c r="B56" s="119"/>
      <x:c r="C56" s="119"/>
      <x:c r="D56" s="119"/>
      <x:c r="E56" s="119"/>
      <x:c r="F56" s="119"/>
      <x:c r="G56" s="119"/>
      <x:c r="H56" s="119"/>
      <x:c r="I56" s="119"/>
      <x:c r="J56" s="119"/>
      <x:c r="K56" s="119"/>
      <x:c r="L56" s="5"/>
    </x:row>
    <x:row r="57">
      <x:c r="A57" s="119"/>
      <x:c r="B57" s="119"/>
      <x:c r="C57" s="119"/>
      <x:c r="D57" s="119"/>
      <x:c r="E57" s="119"/>
      <x:c r="F57" s="119"/>
      <x:c r="G57" s="119"/>
      <x:c r="H57" s="119"/>
      <x:c r="I57" s="119"/>
      <x:c r="J57" s="119"/>
      <x:c r="K57" s="119"/>
      <x:c r="L57" s="5"/>
    </x:row>
    <x:row r="58">
      <x:c r="A58" s="119"/>
      <x:c r="B58" s="119"/>
      <x:c r="C58" s="119"/>
      <x:c r="D58" s="119"/>
      <x:c r="E58" s="119"/>
      <x:c r="F58" s="119"/>
      <x:c r="G58" s="119"/>
      <x:c r="H58" s="119"/>
      <x:c r="I58" s="119"/>
      <x:c r="J58" s="119"/>
      <x:c r="K58" s="119"/>
      <x:c r="L58" s="5"/>
    </x:row>
    <x:row r="59">
      <x:c r="A59" s="119"/>
      <x:c r="B59" s="119"/>
      <x:c r="C59" s="119"/>
      <x:c r="D59" s="119"/>
      <x:c r="E59" s="119"/>
      <x:c r="F59" s="119"/>
      <x:c r="G59" s="119"/>
      <x:c r="H59" s="119"/>
      <x:c r="I59" s="119"/>
      <x:c r="J59" s="119"/>
      <x:c r="K59" s="119"/>
      <x:c r="L59" s="5"/>
    </x:row>
    <x:row r="60">
      <x:c r="A60" s="119"/>
      <x:c r="B60" s="119"/>
      <x:c r="C60" s="119"/>
      <x:c r="D60" s="119"/>
      <x:c r="E60" s="119"/>
      <x:c r="F60" s="119"/>
      <x:c r="G60" s="119"/>
      <x:c r="H60" s="119"/>
      <x:c r="I60" s="119"/>
      <x:c r="J60" s="119"/>
      <x:c r="K60" s="119"/>
      <x:c r="L60" s="5"/>
    </x:row>
    <x:row r="61">
      <x:c r="A61" s="119"/>
      <x:c r="B61" s="119"/>
      <x:c r="C61" s="119"/>
      <x:c r="D61" s="119"/>
      <x:c r="E61" s="119"/>
      <x:c r="F61" s="119"/>
      <x:c r="G61" s="119"/>
      <x:c r="H61" s="119"/>
      <x:c r="I61" s="119"/>
      <x:c r="J61" s="119"/>
      <x:c r="K61" s="119"/>
      <x:c r="L61" s="5"/>
    </x:row>
    <x:row r="62">
      <x:c r="A62" s="119"/>
      <x:c r="B62" s="119"/>
      <x:c r="C62" s="119"/>
      <x:c r="D62" s="119"/>
      <x:c r="E62" s="119"/>
      <x:c r="F62" s="119"/>
      <x:c r="G62" s="119"/>
      <x:c r="H62" s="119"/>
      <x:c r="I62" s="119"/>
      <x:c r="J62" s="119"/>
      <x:c r="K62" s="119"/>
      <x:c r="L62" s="5"/>
    </x:row>
    <x:row r="63">
      <x:c r="A63" s="119"/>
      <x:c r="B63" s="119"/>
      <x:c r="C63" s="119"/>
      <x:c r="D63" s="119"/>
      <x:c r="E63" s="119"/>
      <x:c r="F63" s="119"/>
      <x:c r="G63" s="119"/>
      <x:c r="H63" s="119"/>
      <x:c r="I63" s="119"/>
      <x:c r="J63" s="119"/>
      <x:c r="K63" s="119"/>
      <x:c r="L63" s="5"/>
    </x:row>
    <x:row r="64">
      <x:c r="A64" s="119"/>
      <x:c r="B64" s="119"/>
      <x:c r="C64" s="119"/>
      <x:c r="D64" s="119"/>
      <x:c r="E64" s="119"/>
      <x:c r="F64" s="119"/>
      <x:c r="G64" s="119"/>
      <x:c r="H64" s="119"/>
      <x:c r="I64" s="119"/>
      <x:c r="J64" s="119"/>
      <x:c r="K64" s="119"/>
      <x:c r="L64" s="5"/>
    </x:row>
    <x:row r="65">
      <x:c r="A65" s="119"/>
      <x:c r="B65" s="119"/>
      <x:c r="C65" s="119"/>
      <x:c r="D65" s="119"/>
      <x:c r="E65" s="119"/>
      <x:c r="F65" s="119"/>
      <x:c r="G65" s="119"/>
      <x:c r="H65" s="119"/>
      <x:c r="I65" s="119"/>
      <x:c r="J65" s="119"/>
      <x:c r="K65" s="119"/>
      <x:c r="L65" s="5"/>
    </x:row>
    <x:row r="66">
      <x:c r="A66" s="119"/>
      <x:c r="B66" s="119"/>
      <x:c r="C66" s="119"/>
      <x:c r="D66" s="119"/>
      <x:c r="E66" s="119"/>
      <x:c r="F66" s="119"/>
      <x:c r="G66" s="119"/>
      <x:c r="H66" s="119"/>
      <x:c r="I66" s="119"/>
      <x:c r="J66" s="119"/>
      <x:c r="K66" s="119"/>
      <x:c r="L66" s="5"/>
    </x:row>
    <x:row r="67">
      <x:c r="A67" s="119"/>
      <x:c r="B67" s="119"/>
      <x:c r="C67" s="119"/>
      <x:c r="D67" s="119"/>
      <x:c r="E67" s="119"/>
      <x:c r="F67" s="119"/>
      <x:c r="G67" s="119"/>
      <x:c r="H67" s="119"/>
      <x:c r="I67" s="119"/>
      <x:c r="J67" s="119"/>
      <x:c r="K67" s="119"/>
      <x:c r="L67" s="5"/>
    </x:row>
    <x:row r="68">
      <x:c r="A68" s="119"/>
      <x:c r="B68" s="119"/>
      <x:c r="C68" s="119"/>
      <x:c r="D68" s="119"/>
      <x:c r="E68" s="119"/>
      <x:c r="F68" s="119"/>
      <x:c r="G68" s="119"/>
      <x:c r="H68" s="119"/>
      <x:c r="I68" s="119"/>
      <x:c r="J68" s="119"/>
      <x:c r="K68" s="119"/>
      <x:c r="L68" s="5"/>
    </x:row>
    <x:row r="69">
      <x:c r="A69" s="119"/>
      <x:c r="B69" s="119"/>
      <x:c r="C69" s="119"/>
      <x:c r="D69" s="119"/>
      <x:c r="E69" s="119"/>
      <x:c r="F69" s="119"/>
      <x:c r="G69" s="119"/>
      <x:c r="H69" s="119"/>
      <x:c r="I69" s="119"/>
      <x:c r="J69" s="119"/>
      <x:c r="K69" s="119"/>
      <x:c r="L69" s="5"/>
    </x:row>
    <x:row r="70">
      <x:c r="A70" s="119"/>
      <x:c r="B70" s="119"/>
      <x:c r="C70" s="119"/>
      <x:c r="D70" s="119"/>
      <x:c r="E70" s="119"/>
      <x:c r="F70" s="119"/>
      <x:c r="G70" s="119"/>
      <x:c r="H70" s="119"/>
      <x:c r="I70" s="119"/>
      <x:c r="J70" s="119"/>
      <x:c r="K70" s="119"/>
      <x:c r="L70" s="5"/>
    </x:row>
    <x:row r="71">
      <x:c r="A71" s="119"/>
      <x:c r="B71" s="119"/>
      <x:c r="C71" s="119"/>
      <x:c r="D71" s="119"/>
      <x:c r="E71" s="119"/>
      <x:c r="F71" s="119"/>
      <x:c r="G71" s="119"/>
      <x:c r="H71" s="119"/>
      <x:c r="I71" s="119"/>
      <x:c r="J71" s="119"/>
      <x:c r="K71" s="119"/>
      <x:c r="L71" s="5"/>
    </x:row>
    <x:row r="72">
      <x:c r="A72" s="119"/>
      <x:c r="B72" s="119"/>
      <x:c r="C72" s="119"/>
      <x:c r="D72" s="119"/>
      <x:c r="E72" s="119"/>
      <x:c r="F72" s="119"/>
      <x:c r="G72" s="119"/>
      <x:c r="H72" s="119"/>
      <x:c r="I72" s="119"/>
      <x:c r="J72" s="119"/>
      <x:c r="K72" s="119"/>
      <x:c r="L72" s="5"/>
    </x:row>
    <x:row r="73">
      <x:c r="A73" s="119"/>
      <x:c r="B73" s="119"/>
      <x:c r="C73" s="119"/>
      <x:c r="D73" s="119"/>
      <x:c r="E73" s="119"/>
      <x:c r="F73" s="119"/>
      <x:c r="G73" s="119"/>
      <x:c r="H73" s="119"/>
      <x:c r="I73" s="119"/>
      <x:c r="J73" s="119"/>
      <x:c r="K73" s="119"/>
      <x:c r="L73" s="5"/>
    </x:row>
    <x:row r="74">
      <x:c r="A74" s="119"/>
      <x:c r="B74" s="119"/>
      <x:c r="C74" s="119"/>
      <x:c r="D74" s="119"/>
      <x:c r="E74" s="119"/>
      <x:c r="F74" s="119"/>
      <x:c r="G74" s="119"/>
      <x:c r="H74" s="119"/>
      <x:c r="I74" s="119"/>
      <x:c r="J74" s="119"/>
      <x:c r="K74" s="119"/>
      <x:c r="L74" s="5"/>
    </x:row>
    <x:row r="75">
      <x:c r="A75" s="119"/>
      <x:c r="B75" s="119"/>
      <x:c r="C75" s="119"/>
      <x:c r="D75" s="119"/>
      <x:c r="E75" s="119"/>
      <x:c r="F75" s="119"/>
      <x:c r="G75" s="119"/>
      <x:c r="H75" s="119"/>
      <x:c r="I75" s="119"/>
      <x:c r="J75" s="119"/>
      <x:c r="K75" s="119"/>
      <x:c r="L75" s="5"/>
    </x:row>
    <x:row r="76">
      <x:c r="A76" s="119"/>
      <x:c r="B76" s="119"/>
      <x:c r="C76" s="119"/>
      <x:c r="D76" s="119"/>
      <x:c r="E76" s="119"/>
      <x:c r="F76" s="119"/>
      <x:c r="G76" s="119"/>
      <x:c r="H76" s="119"/>
      <x:c r="I76" s="119"/>
      <x:c r="J76" s="119"/>
      <x:c r="K76" s="119"/>
      <x:c r="L76" s="5"/>
    </x:row>
    <x:row r="77">
      <x:c r="A77" s="119"/>
      <x:c r="B77" s="119"/>
      <x:c r="C77" s="119"/>
      <x:c r="D77" s="119"/>
      <x:c r="E77" s="119"/>
      <x:c r="F77" s="119"/>
      <x:c r="G77" s="119"/>
      <x:c r="H77" s="119"/>
      <x:c r="I77" s="119"/>
      <x:c r="J77" s="119"/>
      <x:c r="K77" s="119"/>
      <x:c r="L77" s="5"/>
    </x:row>
    <x:row r="78">
      <x:c r="A78" s="119"/>
      <x:c r="B78" s="119"/>
      <x:c r="C78" s="119"/>
      <x:c r="D78" s="119"/>
      <x:c r="E78" s="119"/>
      <x:c r="F78" s="119"/>
      <x:c r="G78" s="119"/>
      <x:c r="H78" s="119"/>
      <x:c r="I78" s="119"/>
      <x:c r="J78" s="119"/>
      <x:c r="K78" s="119"/>
      <x:c r="L78" s="5"/>
    </x:row>
    <x:row r="79">
      <x:c r="A79" s="119"/>
      <x:c r="B79" s="119"/>
      <x:c r="C79" s="119"/>
      <x:c r="D79" s="119"/>
      <x:c r="E79" s="119"/>
      <x:c r="F79" s="119"/>
      <x:c r="G79" s="119"/>
      <x:c r="H79" s="119"/>
      <x:c r="I79" s="119"/>
      <x:c r="J79" s="119"/>
      <x:c r="K79" s="119"/>
      <x:c r="L79" s="5"/>
    </x:row>
    <x:row r="80">
      <x:c r="A80" s="119"/>
      <x:c r="B80" s="119"/>
      <x:c r="C80" s="119"/>
      <x:c r="D80" s="119"/>
      <x:c r="E80" s="119"/>
      <x:c r="F80" s="119"/>
      <x:c r="G80" s="119"/>
      <x:c r="H80" s="119"/>
      <x:c r="I80" s="119"/>
      <x:c r="J80" s="119"/>
      <x:c r="K80" s="119"/>
      <x:c r="L80" s="5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0.709999084472656" hidden="0" customWidth="1"/>
    <x:col min="2" max="2" width="12.430000305175781" hidden="0" customWidth="1"/>
    <x:col min="3" max="3" width="12.430000305175781" hidden="0" customWidth="1"/>
    <x:col min="4" max="4" width="12.430000305175781" hidden="0" customWidth="1"/>
    <x:col min="5" max="5" width="12.430000305175781" hidden="0" customWidth="1"/>
    <x:col min="6" max="6" width="12.430000305175781" hidden="0" customWidth="1"/>
    <x:col min="7" max="7" width="12.430000305175781" hidden="0" customWidth="1"/>
  </x:cols>
  <x:sheetData>
    <x:row r="1">
      <x:c r="A1" s="4" t="str">
        <x:v>FYE: February.  Units: $ in millions except per-share data, shares in millions, ratios, and noted operating drivers.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>
      <x:c r="A3" s="144" t="str">
        <x:v>Line item</x:v>
      </x:c>
      <x:c r="B3" s="144" t="str">
        <x:v>FY2021</x:v>
      </x:c>
      <x:c r="C3" s="144" t="str">
        <x:v>FY2022</x:v>
      </x:c>
      <x:c r="D3" s="144" t="str">
        <x:v>FY2023</x:v>
      </x:c>
      <x:c r="E3" s="144" t="str">
        <x:v>FY2024</x:v>
      </x:c>
      <x:c r="F3" s="144" t="str">
        <x:v>FY2025</x:v>
      </x:c>
      <x:c r="G3" s="144" t="str">
        <x:v>FY2026</x:v>
      </x:c>
      <x:c r="H3" s="119"/>
      <x:c r="I3" s="119"/>
      <x:c r="J3" s="119"/>
      <x:c r="K3" s="119"/>
      <x:c r="L3" s="5"/>
    </x:row>
    <x:row r="4">
      <x:c r="A4" s="158" t="str">
        <x:v>Cash and equivalents</x:v>
      </x:c>
      <x:c r="B4" s="159" t="n">
        <x:f>INDEX(Sources!$E:$E,MATCH("H.BS.CASH.FY2021",Sources!$A:$A,0))</x:f>
        <x:v>337.147</x:v>
      </x:c>
      <x:c r="C4" s="159" t="n">
        <x:f>INDEX(Sources!$E:$E,MATCH("H.BS.CASH.FY2022",Sources!$A:$A,0))</x:f>
        <x:v>466.199</x:v>
      </x:c>
      <x:c r="D4" s="159" t="n">
        <x:f>INDEX(Sources!$E:$E,MATCH("H.BS.CASH.FY2023",Sources!$A:$A,0))</x:f>
        <x:v>580.854</x:v>
      </x:c>
      <x:c r="E4" s="159" t="n">
        <x:f>INDEX(Sources!$E:$E,MATCH("H.BS.CASH.FY2024",Sources!$A:$A,0))</x:f>
        <x:v>702.536</x:v>
      </x:c>
      <x:c r="F4" s="159" t="n">
        <x:f>INDEX(Sources!$E:$E,MATCH("H.BS.CASH.FY2025",Sources!$A:$A,0))</x:f>
        <x:v>723.583</x:v>
      </x:c>
      <x:c r="G4" s="160" t="n">
        <x:f>INDEX(Sources!$E:$E,MATCH("H.BS.CASH.FY2026",Sources!$A:$A,0))</x:f>
        <x:v>854.873</x:v>
      </x:c>
      <x:c r="H4" s="119"/>
      <x:c r="I4" s="119"/>
      <x:c r="J4" s="119"/>
      <x:c r="K4" s="119"/>
      <x:c r="L4" s="5"/>
    </x:row>
    <x:row r="5">
      <x:c r="A5" s="161" t="str">
        <x:v>Short-term investments</x:v>
      </x:c>
      <x:c r="B5" s="162" t="n">
        <x:f>INDEX(Sources!$E:$E,MATCH("H.BS.SHORT_TERM_INVESTMENTS.FY2021",Sources!$A:$A,0))</x:f>
        <x:v>916.388</x:v>
      </x:c>
      <x:c r="C5" s="162" t="n">
        <x:f>INDEX(Sources!$E:$E,MATCH("H.BS.SHORT_TERM_INVESTMENTS.FY2022",Sources!$A:$A,0))</x:f>
        <x:v>947.073</x:v>
      </x:c>
      <x:c r="D5" s="162" t="n">
        <x:f>INDEX(Sources!$E:$E,MATCH("H.BS.SHORT_TERM_INVESTMENTS.FY2023",Sources!$A:$A,0))</x:f>
        <x:v>1001.352</x:v>
      </x:c>
      <x:c r="E5" s="162" t="n">
        <x:f>INDEX(Sources!$E:$E,MATCH("H.BS.SHORT_TERM_INVESTMENTS.FY2024",Sources!$A:$A,0))</x:f>
        <x:v>828.557</x:v>
      </x:c>
      <x:c r="F5" s="162" t="n">
        <x:f>INDEX(Sources!$E:$E,MATCH("H.BS.SHORT_TERM_INVESTMENTS.FY2025",Sources!$A:$A,0))</x:f>
        <x:v>798.237</x:v>
      </x:c>
      <x:c r="G5" s="163" t="n">
        <x:f>INDEX(Sources!$E:$E,MATCH("H.BS.SHORT_TERM_INVESTMENTS.FY2026",Sources!$A:$A,0))</x:f>
        <x:v>692.446</x:v>
      </x:c>
      <x:c r="H5" s="119"/>
      <x:c r="I5" s="119"/>
      <x:c r="J5" s="119"/>
      <x:c r="K5" s="119"/>
      <x:c r="L5" s="5"/>
    </x:row>
    <x:row r="6">
      <x:c r="A6" s="161" t="str">
        <x:v>Accounts receivable, net</x:v>
      </x:c>
      <x:c r="B6" s="162" t="n">
        <x:f>INDEX(Sources!$E:$E,MATCH("H.BS.ACCOUNTS_RECEIVABLE.FY2021",Sources!$A:$A,0))</x:f>
        <x:v>460.879</x:v>
      </x:c>
      <x:c r="C6" s="162" t="n">
        <x:f>INDEX(Sources!$E:$E,MATCH("H.BS.ACCOUNTS_RECEIVABLE.FY2022",Sources!$A:$A,0))</x:f>
        <x:v>542.144</x:v>
      </x:c>
      <x:c r="D6" s="162" t="n">
        <x:f>INDEX(Sources!$E:$E,MATCH("H.BS.ACCOUNTS_RECEIVABLE.FY2023",Sources!$A:$A,0))</x:f>
        <x:v>612.491</x:v>
      </x:c>
      <x:c r="E6" s="162" t="n">
        <x:f>INDEX(Sources!$E:$E,MATCH("H.BS.ACCOUNTS_RECEIVABLE.FY2024",Sources!$A:$A,0))</x:f>
        <x:v>662.179</x:v>
      </x:c>
      <x:c r="F6" s="162" t="n">
        <x:f>INDEX(Sources!$E:$E,MATCH("H.BS.ACCOUNTS_RECEIVABLE.FY2025",Sources!$A:$A,0))</x:f>
        <x:v>680.862</x:v>
      </x:c>
      <x:c r="G6" s="163" t="n">
        <x:f>INDEX(Sources!$E:$E,MATCH("H.BS.ACCOUNTS_RECEIVABLE.FY2026",Sources!$A:$A,0))</x:f>
        <x:v>944.844</x:v>
      </x:c>
      <x:c r="H6" s="119"/>
      <x:c r="I6" s="119"/>
      <x:c r="J6" s="119"/>
      <x:c r="K6" s="119"/>
      <x:c r="L6" s="5"/>
    </x:row>
    <x:row r="7">
      <x:c r="A7" s="161" t="str">
        <x:v>Inventory</x:v>
      </x:c>
      <x:c r="B7" s="162" t="n">
        <x:f>INDEX(Sources!$E:$E,MATCH("H.BS.INVENTORY.FY2021",Sources!$A:$A,0))</x:f>
        <x:v>46.733</x:v>
      </x:c>
      <x:c r="C7" s="162" t="n">
        <x:f>INDEX(Sources!$E:$E,MATCH("H.BS.INVENTORY.FY2022",Sources!$A:$A,0))</x:f>
        <x:v>38.942</x:v>
      </x:c>
      <x:c r="D7" s="162" t="n">
        <x:f>INDEX(Sources!$E:$E,MATCH("H.BS.INVENTORY.FY2023",Sources!$A:$A,0))</x:f>
        <x:v>50.152</x:v>
      </x:c>
      <x:c r="E7" s="162" t="n">
        <x:f>INDEX(Sources!$E:$E,MATCH("H.BS.INVENTORY.FY2024",Sources!$A:$A,0))</x:f>
        <x:v>42.663</x:v>
      </x:c>
      <x:c r="F7" s="162" t="n">
        <x:f>INDEX(Sources!$E:$E,MATCH("H.BS.INVENTORY.FY2025",Sources!$A:$A,0))</x:f>
        <x:v>42.81</x:v>
      </x:c>
      <x:c r="G7" s="163" t="n">
        <x:f>INDEX(Sources!$E:$E,MATCH("H.BS.INVENTORY.FY2026",Sources!$A:$A,0))</x:f>
        <x:v>75.935</x:v>
      </x:c>
      <x:c r="H7" s="119"/>
      <x:c r="I7" s="119"/>
      <x:c r="J7" s="119"/>
      <x:c r="K7" s="119"/>
      <x:c r="L7" s="5"/>
    </x:row>
    <x:row r="8">
      <x:c r="A8" s="161" t="str">
        <x:v>Deferred commissions, current</x:v>
      </x:c>
      <x:c r="B8" s="162" t="n">
        <x:f>INDEX(Sources!$E:$E,MATCH("H.BS.DEFERRED_COMMISSIONS_CURRENT.FY2021",Sources!$A:$A,0))</x:f>
        <x:v>57.183</x:v>
      </x:c>
      <x:c r="C8" s="162" t="n">
        <x:f>INDEX(Sources!$E:$E,MATCH("H.BS.DEFERRED_COMMISSIONS_CURRENT.FY2022",Sources!$A:$A,0))</x:f>
        <x:v>81.589</x:v>
      </x:c>
      <x:c r="D8" s="162" t="n">
        <x:f>INDEX(Sources!$E:$E,MATCH("H.BS.DEFERRED_COMMISSIONS_CURRENT.FY2023",Sources!$A:$A,0))</x:f>
        <x:v>68.617</x:v>
      </x:c>
      <x:c r="E8" s="162" t="n">
        <x:f>INDEX(Sources!$E:$E,MATCH("H.BS.DEFERRED_COMMISSIONS_CURRENT.FY2024",Sources!$A:$A,0))</x:f>
        <x:v>88.712</x:v>
      </x:c>
      <x:c r="F8" s="162" t="n">
        <x:f>INDEX(Sources!$E:$E,MATCH("H.BS.DEFERRED_COMMISSIONS_CURRENT.FY2025",Sources!$A:$A,0))</x:f>
        <x:v>99.286</x:v>
      </x:c>
      <x:c r="G8" s="163" t="n">
        <x:f>INDEX(Sources!$E:$E,MATCH("H.BS.DEFERRED_COMMISSIONS_CURRENT.FY2026",Sources!$A:$A,0))</x:f>
        <x:v>139.379</x:v>
      </x:c>
      <x:c r="H8" s="119"/>
      <x:c r="I8" s="119"/>
      <x:c r="J8" s="119"/>
      <x:c r="K8" s="119"/>
      <x:c r="L8" s="5"/>
    </x:row>
    <x:row r="9">
      <x:c r="A9" s="161" t="str">
        <x:v>Prepaid expenses and other current assets</x:v>
      </x:c>
      <x:c r="B9" s="162" t="n">
        <x:f>INDEX(Sources!$E:$E,MATCH("H.BS.PREPAID_CURRENT.FY2021",Sources!$A:$A,0))</x:f>
        <x:v>89.836</x:v>
      </x:c>
      <x:c r="C9" s="162" t="n">
        <x:f>INDEX(Sources!$E:$E,MATCH("H.BS.PREPAID_CURRENT.FY2022",Sources!$A:$A,0))</x:f>
        <x:v>116.232</x:v>
      </x:c>
      <x:c r="D9" s="162" t="n">
        <x:f>INDEX(Sources!$E:$E,MATCH("H.BS.PREPAID_CURRENT.FY2023",Sources!$A:$A,0))</x:f>
        <x:v>161.391</x:v>
      </x:c>
      <x:c r="E9" s="162" t="n">
        <x:f>INDEX(Sources!$E:$E,MATCH("H.BS.PREPAID_CURRENT.FY2024",Sources!$A:$A,0))</x:f>
        <x:v>173.407</x:v>
      </x:c>
      <x:c r="F9" s="162" t="n">
        <x:f>INDEX(Sources!$E:$E,MATCH("H.BS.PREPAID_CURRENT.FY2025",Sources!$A:$A,0))</x:f>
        <x:v>222.501</x:v>
      </x:c>
      <x:c r="G9" s="163" t="n">
        <x:f>INDEX(Sources!$E:$E,MATCH("H.BS.PREPAID_CURRENT.FY2026",Sources!$A:$A,0))</x:f>
        <x:v>356.015</x:v>
      </x:c>
      <x:c r="H9" s="119"/>
      <x:c r="I9" s="119"/>
      <x:c r="J9" s="119"/>
      <x:c r="K9" s="119"/>
      <x:c r="L9" s="5"/>
    </x:row>
    <x:row r="10">
      <x:c r="A10" s="161" t="str">
        <x:v>Total current assets</x:v>
      </x:c>
      <x:c r="B10" s="162" t="n">
        <x:f>INDEX(Sources!$E:$E,MATCH("H.BS.TOTAL_CURRENT_ASSETS.FY2021",Sources!$A:$A,0))</x:f>
        <x:v>1908.166</x:v>
      </x:c>
      <x:c r="C10" s="162" t="n">
        <x:f>INDEX(Sources!$E:$E,MATCH("H.BS.TOTAL_CURRENT_ASSETS.FY2022",Sources!$A:$A,0))</x:f>
        <x:v>2192.179</x:v>
      </x:c>
      <x:c r="D10" s="162" t="n">
        <x:f>INDEX(Sources!$E:$E,MATCH("H.BS.TOTAL_CURRENT_ASSETS.FY2023",Sources!$A:$A,0))</x:f>
        <x:v>2474.857</x:v>
      </x:c>
      <x:c r="E10" s="162" t="n">
        <x:f>INDEX(Sources!$E:$E,MATCH("H.BS.TOTAL_CURRENT_ASSETS.FY2024",Sources!$A:$A,0))</x:f>
        <x:v>2498.054</x:v>
      </x:c>
      <x:c r="F10" s="162" t="n">
        <x:f>INDEX(Sources!$E:$E,MATCH("H.BS.TOTAL_CURRENT_ASSETS.FY2025",Sources!$A:$A,0))</x:f>
        <x:v>2567.279</x:v>
      </x:c>
      <x:c r="G10" s="163" t="n">
        <x:f>INDEX(Sources!$E:$E,MATCH("H.BS.TOTAL_CURRENT_ASSETS.FY2026",Sources!$A:$A,0))</x:f>
        <x:v>3063.492</x:v>
      </x:c>
      <x:c r="H10" s="119"/>
      <x:c r="I10" s="119"/>
      <x:c r="J10" s="119"/>
      <x:c r="K10" s="119"/>
      <x:c r="L10" s="5"/>
    </x:row>
    <x:row r="11">
      <x:c r="A11" s="161" t="str">
        <x:v>PP&amp;E, net</x:v>
      </x:c>
      <x:c r="B11" s="162" t="n">
        <x:f>INDEX(Sources!$E:$E,MATCH("H.BS.PPE_NET.FY2021",Sources!$A:$A,0))</x:f>
        <x:v>163.041</x:v>
      </x:c>
      <x:c r="C11" s="162" t="n">
        <x:f>INDEX(Sources!$E:$E,MATCH("H.BS.PPE_NET.FY2022",Sources!$A:$A,0))</x:f>
        <x:v>195.282</x:v>
      </x:c>
      <x:c r="D11" s="162" t="n">
        <x:f>INDEX(Sources!$E:$E,MATCH("H.BS.PPE_NET.FY2023",Sources!$A:$A,0))</x:f>
        <x:v>272.445</x:v>
      </x:c>
      <x:c r="E11" s="162" t="n">
        <x:f>INDEX(Sources!$E:$E,MATCH("H.BS.PPE_NET.FY2024",Sources!$A:$A,0))</x:f>
        <x:v>352.604</x:v>
      </x:c>
      <x:c r="F11" s="162" t="n">
        <x:f>INDEX(Sources!$E:$E,MATCH("H.BS.PPE_NET.FY2025",Sources!$A:$A,0))</x:f>
        <x:v>461.731</x:v>
      </x:c>
      <x:c r="G11" s="163" t="n">
        <x:f>INDEX(Sources!$E:$E,MATCH("H.BS.PPE_NET.FY2026",Sources!$A:$A,0))</x:f>
        <x:v>587.022</x:v>
      </x:c>
      <x:c r="H11" s="119"/>
      <x:c r="I11" s="119"/>
      <x:c r="J11" s="119"/>
      <x:c r="K11" s="119"/>
      <x:c r="L11" s="5"/>
    </x:row>
    <x:row r="12">
      <x:c r="A12" s="161" t="str">
        <x:v>Operating lease ROU assets</x:v>
      </x:c>
      <x:c r="B12" s="162" t="n">
        <x:f>INDEX(Sources!$E:$E,MATCH("H.BS.ROU_ASSETS.FY2021",Sources!$A:$A,0))</x:f>
        <x:v>134.668</x:v>
      </x:c>
      <x:c r="C12" s="162" t="n">
        <x:f>INDEX(Sources!$E:$E,MATCH("H.BS.ROU_ASSETS.FY2022",Sources!$A:$A,0))</x:f>
        <x:v>111.763</x:v>
      </x:c>
      <x:c r="D12" s="162" t="n">
        <x:f>INDEX(Sources!$E:$E,MATCH("H.BS.ROU_ASSETS.FY2023",Sources!$A:$A,0))</x:f>
        <x:v>158.912</x:v>
      </x:c>
      <x:c r="E12" s="162" t="n">
        <x:f>INDEX(Sources!$E:$E,MATCH("H.BS.ROU_ASSETS.FY2024",Sources!$A:$A,0))</x:f>
        <x:v>129.942</x:v>
      </x:c>
      <x:c r="F12" s="162" t="n">
        <x:f>INDEX(Sources!$E:$E,MATCH("H.BS.ROU_ASSETS.FY2025",Sources!$A:$A,0))</x:f>
        <x:v>146.655</x:v>
      </x:c>
      <x:c r="G12" s="163" t="n">
        <x:f>INDEX(Sources!$E:$E,MATCH("H.BS.ROU_ASSETS.FY2026",Sources!$A:$A,0))</x:f>
        <x:v>185.975</x:v>
      </x:c>
      <x:c r="H12" s="119"/>
      <x:c r="I12" s="119"/>
      <x:c r="J12" s="119"/>
      <x:c r="K12" s="119"/>
      <x:c r="L12" s="5"/>
    </x:row>
    <x:row r="13">
      <x:c r="A13" s="161" t="str">
        <x:v>Deferred commissions, non-current</x:v>
      </x:c>
      <x:c r="B13" s="162" t="n">
        <x:f>INDEX(Sources!$E:$E,MATCH("H.BS.DEFERRED_COMMISSIONS_NONCURRENT.FY2021",Sources!$A:$A,0))</x:f>
        <x:v>130.741</x:v>
      </x:c>
      <x:c r="C13" s="162" t="n">
        <x:f>INDEX(Sources!$E:$E,MATCH("H.BS.DEFERRED_COMMISSIONS_NONCURRENT.FY2022",Sources!$A:$A,0))</x:f>
        <x:v>164.718</x:v>
      </x:c>
      <x:c r="D13" s="162" t="n">
        <x:f>INDEX(Sources!$E:$E,MATCH("H.BS.DEFERRED_COMMISSIONS_NONCURRENT.FY2023",Sources!$A:$A,0))</x:f>
        <x:v>177.239</x:v>
      </x:c>
      <x:c r="E13" s="162" t="n">
        <x:f>INDEX(Sources!$E:$E,MATCH("H.BS.DEFERRED_COMMISSIONS_NONCURRENT.FY2024",Sources!$A:$A,0))</x:f>
        <x:v>215.62</x:v>
      </x:c>
      <x:c r="F13" s="162" t="n">
        <x:f>INDEX(Sources!$E:$E,MATCH("H.BS.DEFERRED_COMMISSIONS_NONCURRENT.FY2025",Sources!$A:$A,0))</x:f>
        <x:v>229.334</x:v>
      </x:c>
      <x:c r="G13" s="163" t="n">
        <x:f>INDEX(Sources!$E:$E,MATCH("H.BS.DEFERRED_COMMISSIONS_NONCURRENT.FY2026",Sources!$A:$A,0))</x:f>
        <x:v>280.19</x:v>
      </x:c>
      <x:c r="H13" s="119"/>
      <x:c r="I13" s="119"/>
      <x:c r="J13" s="119"/>
      <x:c r="K13" s="119"/>
      <x:c r="L13" s="5"/>
    </x:row>
    <x:row r="14">
      <x:c r="A14" s="161" t="str">
        <x:v>Goodwill</x:v>
      </x:c>
      <x:c r="B14" s="162" t="n">
        <x:f>INDEX(Sources!$E:$E,MATCH("H.BS.GOODWILL.FY2021",Sources!$A:$A,0))</x:f>
        <x:v>358.736</x:v>
      </x:c>
      <x:c r="C14" s="162" t="n">
        <x:f>INDEX(Sources!$E:$E,MATCH("H.BS.GOODWILL.FY2022",Sources!$A:$A,0))</x:f>
        <x:v>358.736</x:v>
      </x:c>
      <x:c r="D14" s="162" t="n">
        <x:f>INDEX(Sources!$E:$E,MATCH("H.BS.GOODWILL.FY2023",Sources!$A:$A,0))</x:f>
        <x:v>361.427</x:v>
      </x:c>
      <x:c r="E14" s="162" t="n">
        <x:f>INDEX(Sources!$E:$E,MATCH("H.BS.GOODWILL.FY2024",Sources!$A:$A,0))</x:f>
        <x:v>361.427</x:v>
      </x:c>
      <x:c r="F14" s="162" t="n">
        <x:f>INDEX(Sources!$E:$E,MATCH("H.BS.GOODWILL.FY2025",Sources!$A:$A,0))</x:f>
        <x:v>361.427</x:v>
      </x:c>
      <x:c r="G14" s="163" t="n">
        <x:f>INDEX(Sources!$E:$E,MATCH("H.BS.GOODWILL.FY2026",Sources!$A:$A,0))</x:f>
        <x:v>365.075</x:v>
      </x:c>
      <x:c r="H14" s="119"/>
      <x:c r="I14" s="119"/>
      <x:c r="J14" s="119"/>
      <x:c r="K14" s="119"/>
      <x:c r="L14" s="5"/>
    </x:row>
    <x:row r="15">
      <x:c r="A15" s="161" t="str">
        <x:v>Intangible assets, net</x:v>
      </x:c>
      <x:c r="B15" s="162" t="n">
        <x:f>INDEX(Sources!$E:$E,MATCH("H.BS.INTANGIBLES.FY2021",Sources!$A:$A,0))</x:f>
        <x:v>76.648</x:v>
      </x:c>
      <x:c r="C15" s="162" t="n">
        <x:f>INDEX(Sources!$E:$E,MATCH("H.BS.INTANGIBLES.FY2022",Sources!$A:$A,0))</x:f>
        <x:v>62.646</x:v>
      </x:c>
      <x:c r="D15" s="162" t="n">
        <x:f>INDEX(Sources!$E:$E,MATCH("H.BS.INTANGIBLES.FY2023",Sources!$A:$A,0))</x:f>
        <x:v>49.222</x:v>
      </x:c>
      <x:c r="E15" s="162" t="n">
        <x:f>INDEX(Sources!$E:$E,MATCH("H.BS.INTANGIBLES.FY2024",Sources!$A:$A,0))</x:f>
        <x:v>33.012</x:v>
      </x:c>
      <x:c r="F15" s="162" t="n">
        <x:f>INDEX(Sources!$E:$E,MATCH("H.BS.INTANGIBLES.FY2025",Sources!$A:$A,0))</x:f>
        <x:v>19.074</x:v>
      </x:c>
      <x:c r="G15" s="163" t="n">
        <x:f>INDEX(Sources!$E:$E,MATCH("H.BS.INTANGIBLES.FY2026",Sources!$A:$A,0))</x:f>
        <x:v>7.346</x:v>
      </x:c>
      <x:c r="H15" s="119"/>
      <x:c r="I15" s="119"/>
      <x:c r="J15" s="119"/>
      <x:c r="K15" s="119"/>
      <x:c r="L15" s="5"/>
    </x:row>
    <x:row r="16">
      <x:c r="A16" s="161" t="str">
        <x:v>Restricted cash</x:v>
      </x:c>
      <x:c r="B16" s="162" t="n">
        <x:f>INDEX(Sources!$E:$E,MATCH("H.BS.RESTRICTED_CASH.FY2021",Sources!$A:$A,0))</x:f>
        <x:v>10.544</x:v>
      </x:c>
      <x:c r="C16" s="162" t="n">
        <x:f>INDEX(Sources!$E:$E,MATCH("H.BS.RESTRICTED_CASH.FY2022",Sources!$A:$A,0))</x:f>
        <x:v>10.544</x:v>
      </x:c>
      <x:c r="D16" s="162" t="n">
        <x:f>INDEX(Sources!$E:$E,MATCH("H.BS.RESTRICTED_CASH.FY2023",Sources!$A:$A,0))</x:f>
        <x:v>10.544</x:v>
      </x:c>
      <x:c r="E16" s="162" t="n">
        <x:f>INDEX(Sources!$E:$E,MATCH("H.BS.RESTRICTED_CASH.FY2024",Sources!$A:$A,0))</x:f>
        <x:v>9.595</x:v>
      </x:c>
      <x:c r="F16" s="162" t="n">
        <x:f>INDEX(Sources!$E:$E,MATCH("H.BS.RESTRICTED_CASH.FY2025",Sources!$A:$A,0))</x:f>
        <x:v>12.553</x:v>
      </x:c>
      <x:c r="G16" s="163" t="n">
        <x:f>INDEX(Sources!$E:$E,MATCH("H.BS.RESTRICTED_CASH.FY2026",Sources!$A:$A,0))</x:f>
        <x:v>7.687</x:v>
      </x:c>
      <x:c r="H16" s="119"/>
      <x:c r="I16" s="119"/>
      <x:c r="J16" s="119"/>
      <x:c r="K16" s="119"/>
      <x:c r="L16" s="5"/>
    </x:row>
    <x:row r="17">
      <x:c r="A17" s="161" t="str">
        <x:v>Other non-current assets</x:v>
      </x:c>
      <x:c r="B17" s="162" t="n">
        <x:f>INDEX(Sources!$E:$E,MATCH("H.BS.OTHER_NONCURRENT_ASSETS.FY2021",Sources!$A:$A,0))</x:f>
        <x:v>36.896</x:v>
      </x:c>
      <x:c r="C17" s="162" t="n">
        <x:f>INDEX(Sources!$E:$E,MATCH("H.BS.OTHER_NONCURRENT_ASSETS.FY2022",Sources!$A:$A,0))</x:f>
        <x:v>39.447</x:v>
      </x:c>
      <x:c r="D17" s="162" t="n">
        <x:f>INDEX(Sources!$E:$E,MATCH("H.BS.OTHER_NONCURRENT_ASSETS.FY2023",Sources!$A:$A,0))</x:f>
        <x:v>38.814</x:v>
      </x:c>
      <x:c r="E17" s="162" t="n">
        <x:f>INDEX(Sources!$E:$E,MATCH("H.BS.OTHER_NONCURRENT_ASSETS.FY2024",Sources!$A:$A,0))</x:f>
        <x:v>55.506</x:v>
      </x:c>
      <x:c r="F17" s="162" t="n">
        <x:f>INDEX(Sources!$E:$E,MATCH("H.BS.OTHER_NONCURRENT_ASSETS.FY2025",Sources!$A:$A,0))</x:f>
        <x:v>165.889</x:v>
      </x:c>
      <x:c r="G17" s="163" t="n">
        <x:f>INDEX(Sources!$E:$E,MATCH("H.BS.OTHER_NONCURRENT_ASSETS.FY2026",Sources!$A:$A,0))</x:f>
        <x:v>177.472</x:v>
      </x:c>
      <x:c r="H17" s="119"/>
      <x:c r="I17" s="119"/>
      <x:c r="J17" s="119"/>
      <x:c r="K17" s="119"/>
      <x:c r="L17" s="5"/>
    </x:row>
    <x:row r="18">
      <x:c r="A18" s="161" t="str">
        <x:v>Total assets</x:v>
      </x:c>
      <x:c r="B18" s="162" t="n">
        <x:f>INDEX(Sources!$E:$E,MATCH("H.BS.TOTAL_ASSETS.FY2021",Sources!$A:$A,0))</x:f>
        <x:v>2819.44</x:v>
      </x:c>
      <x:c r="C18" s="162" t="n">
        <x:f>INDEX(Sources!$E:$E,MATCH("H.BS.TOTAL_ASSETS.FY2022",Sources!$A:$A,0))</x:f>
        <x:v>3135.315</x:v>
      </x:c>
      <x:c r="D18" s="162" t="n">
        <x:f>INDEX(Sources!$E:$E,MATCH("H.BS.TOTAL_ASSETS.FY2023",Sources!$A:$A,0))</x:f>
        <x:v>3543.46</x:v>
      </x:c>
      <x:c r="E18" s="162" t="n">
        <x:f>INDEX(Sources!$E:$E,MATCH("H.BS.TOTAL_ASSETS.FY2024",Sources!$A:$A,0))</x:f>
        <x:v>3655.76</x:v>
      </x:c>
      <x:c r="F18" s="162" t="n">
        <x:f>INDEX(Sources!$E:$E,MATCH("H.BS.TOTAL_ASSETS.FY2025",Sources!$A:$A,0))</x:f>
        <x:v>3963.942</x:v>
      </x:c>
      <x:c r="G18" s="163" t="n">
        <x:f>INDEX(Sources!$E:$E,MATCH("H.BS.TOTAL_ASSETS.FY2026",Sources!$A:$A,0))</x:f>
        <x:v>4674.259</x:v>
      </x:c>
      <x:c r="H18" s="119"/>
      <x:c r="I18" s="119"/>
      <x:c r="J18" s="119"/>
      <x:c r="K18" s="119"/>
      <x:c r="L18" s="5"/>
    </x:row>
    <x:row r="19">
      <x:c r="A19" s="161" t="str">
        <x:v>Accounts payable</x:v>
      </x:c>
      <x:c r="B19" s="162" t="n">
        <x:f>INDEX(Sources!$E:$E,MATCH("H.BS.ACCOUNTS_PAYABLE.FY2021",Sources!$A:$A,0))</x:f>
        <x:v>67.53</x:v>
      </x:c>
      <x:c r="C19" s="162" t="n">
        <x:f>INDEX(Sources!$E:$E,MATCH("H.BS.ACCOUNTS_PAYABLE.FY2022",Sources!$A:$A,0))</x:f>
        <x:v>70.704</x:v>
      </x:c>
      <x:c r="D19" s="162" t="n">
        <x:f>INDEX(Sources!$E:$E,MATCH("H.BS.ACCOUNTS_PAYABLE.FY2023",Sources!$A:$A,0))</x:f>
        <x:v>67.121</x:v>
      </x:c>
      <x:c r="E19" s="162" t="n">
        <x:f>INDEX(Sources!$E:$E,MATCH("H.BS.ACCOUNTS_PAYABLE.FY2024",Sources!$A:$A,0))</x:f>
        <x:v>82.757</x:v>
      </x:c>
      <x:c r="F19" s="162" t="n">
        <x:f>INDEX(Sources!$E:$E,MATCH("H.BS.ACCOUNTS_PAYABLE.FY2025",Sources!$A:$A,0))</x:f>
        <x:v>112.385</x:v>
      </x:c>
      <x:c r="G19" s="163" t="n">
        <x:f>INDEX(Sources!$E:$E,MATCH("H.BS.ACCOUNTS_PAYABLE.FY2026",Sources!$A:$A,0))</x:f>
        <x:v>153.312</x:v>
      </x:c>
      <x:c r="H19" s="119"/>
      <x:c r="I19" s="119"/>
      <x:c r="J19" s="119"/>
      <x:c r="K19" s="119"/>
      <x:c r="L19" s="5"/>
    </x:row>
    <x:row r="20">
      <x:c r="A20" s="161" t="str">
        <x:v>Accrued compensation and benefits</x:v>
      </x:c>
      <x:c r="B20" s="162" t="n">
        <x:f>INDEX(Sources!$E:$E,MATCH("H.BS.ACCRUED_COMP.FY2021",Sources!$A:$A,0))</x:f>
        <x:v>160.817</x:v>
      </x:c>
      <x:c r="C20" s="162" t="n">
        <x:f>INDEX(Sources!$E:$E,MATCH("H.BS.ACCRUED_COMP.FY2022",Sources!$A:$A,0))</x:f>
        <x:v>205.431</x:v>
      </x:c>
      <x:c r="D20" s="162" t="n">
        <x:f>INDEX(Sources!$E:$E,MATCH("H.BS.ACCRUED_COMP.FY2023",Sources!$A:$A,0))</x:f>
        <x:v>232.636</x:v>
      </x:c>
      <x:c r="E20" s="162" t="n">
        <x:f>INDEX(Sources!$E:$E,MATCH("H.BS.ACCRUED_COMP.FY2024",Sources!$A:$A,0))</x:f>
        <x:v>250.257</x:v>
      </x:c>
      <x:c r="F20" s="162" t="n">
        <x:f>INDEX(Sources!$E:$E,MATCH("H.BS.ACCRUED_COMP.FY2025",Sources!$A:$A,0))</x:f>
        <x:v>230.04</x:v>
      </x:c>
      <x:c r="G20" s="163" t="n">
        <x:f>INDEX(Sources!$E:$E,MATCH("H.BS.ACCRUED_COMP.FY2026",Sources!$A:$A,0))</x:f>
        <x:v>347.205</x:v>
      </x:c>
      <x:c r="H20" s="119"/>
      <x:c r="I20" s="119"/>
      <x:c r="J20" s="119"/>
      <x:c r="K20" s="119"/>
      <x:c r="L20" s="5"/>
    </x:row>
    <x:row r="21">
      <x:c r="A21" s="161" t="str">
        <x:v>Accrued expenses and other liabilities</x:v>
      </x:c>
      <x:c r="B21" s="162" t="n">
        <x:f>INDEX(Sources!$E:$E,MATCH("H.BS.ACCRUED_OTHER.FY2021",Sources!$A:$A,0))</x:f>
        <x:v>61.754</x:v>
      </x:c>
      <x:c r="C21" s="162" t="n">
        <x:f>INDEX(Sources!$E:$E,MATCH("H.BS.ACCRUED_OTHER.FY2022",Sources!$A:$A,0))</x:f>
        <x:v>78.511</x:v>
      </x:c>
      <x:c r="D21" s="162" t="n">
        <x:f>INDEX(Sources!$E:$E,MATCH("H.BS.ACCRUED_OTHER.FY2023",Sources!$A:$A,0))</x:f>
        <x:v>123.749</x:v>
      </x:c>
      <x:c r="E21" s="162" t="n">
        <x:f>INDEX(Sources!$E:$E,MATCH("H.BS.ACCRUED_OTHER.FY2024",Sources!$A:$A,0))</x:f>
        <x:v>135.755</x:v>
      </x:c>
      <x:c r="F21" s="162" t="n">
        <x:f>INDEX(Sources!$E:$E,MATCH("H.BS.ACCRUED_OTHER.FY2025",Sources!$A:$A,0))</x:f>
        <x:v>156.791</x:v>
      </x:c>
      <x:c r="G21" s="163" t="n">
        <x:f>INDEX(Sources!$E:$E,MATCH("H.BS.ACCRUED_OTHER.FY2026",Sources!$A:$A,0))</x:f>
        <x:v>184.338</x:v>
      </x:c>
      <x:c r="H21" s="119"/>
      <x:c r="I21" s="119"/>
      <x:c r="J21" s="119"/>
      <x:c r="K21" s="119"/>
      <x:c r="L21" s="5"/>
    </x:row>
    <x:row r="22">
      <x:c r="A22" s="161" t="str">
        <x:v>Deferred revenue, current</x:v>
      </x:c>
      <x:c r="B22" s="162" t="n">
        <x:f>INDEX(Sources!$E:$E,MATCH("H.BS.DEFERRED_REVENUE_CURRENT.FY2021",Sources!$A:$A,0))</x:f>
        <x:v>438.321</x:v>
      </x:c>
      <x:c r="C22" s="162" t="n">
        <x:f>INDEX(Sources!$E:$E,MATCH("H.BS.DEFERRED_REVENUE_CURRENT.FY2022",Sources!$A:$A,0))</x:f>
        <x:v>562.576</x:v>
      </x:c>
      <x:c r="D22" s="162" t="n">
        <x:f>INDEX(Sources!$E:$E,MATCH("H.BS.DEFERRED_REVENUE_CURRENT.FY2023",Sources!$A:$A,0))</x:f>
        <x:v>718.149</x:v>
      </x:c>
      <x:c r="E22" s="162" t="n">
        <x:f>INDEX(Sources!$E:$E,MATCH("H.BS.DEFERRED_REVENUE_CURRENT.FY2024",Sources!$A:$A,0))</x:f>
        <x:v>852.247</x:v>
      </x:c>
      <x:c r="F22" s="162" t="n">
        <x:f>INDEX(Sources!$E:$E,MATCH("H.BS.DEFERRED_REVENUE_CURRENT.FY2025",Sources!$A:$A,0))</x:f>
        <x:v>953.836</x:v>
      </x:c>
      <x:c r="G22" s="163" t="n">
        <x:f>INDEX(Sources!$E:$E,MATCH("H.BS.DEFERRED_REVENUE_CURRENT.FY2026",Sources!$A:$A,0))</x:f>
        <x:v>1181.055</x:v>
      </x:c>
      <x:c r="H22" s="119"/>
      <x:c r="I22" s="119"/>
      <x:c r="J22" s="119"/>
      <x:c r="K22" s="119"/>
      <x:c r="L22" s="5"/>
    </x:row>
    <x:row r="23">
      <x:c r="A23" s="161" t="str">
        <x:v>Operating lease liabilities, current</x:v>
      </x:c>
      <x:c r="B23" s="162" t="n">
        <x:f>INDEX(Sources!$E:$E,MATCH("H.BS.LEASE_LIABILITIES_CURRENT.FY2021",Sources!$A:$A,0))</x:f>
        <x:v>32.231</x:v>
      </x:c>
      <x:c r="C23" s="162" t="n">
        <x:f>INDEX(Sources!$E:$E,MATCH("H.BS.LEASE_LIABILITIES_CURRENT.FY2022",Sources!$A:$A,0))</x:f>
        <x:v>35.098</x:v>
      </x:c>
      <x:c r="D23" s="162" t="n">
        <x:f>INDEX(Sources!$E:$E,MATCH("H.BS.LEASE_LIABILITIES_CURRENT.FY2023",Sources!$A:$A,0))</x:f>
        <x:v>33.707</x:v>
      </x:c>
      <x:c r="E23" s="162" t="n">
        <x:f>INDEX(Sources!$E:$E,MATCH("H.BS.LEASE_LIABILITIES_CURRENT.FY2024",Sources!$A:$A,0))</x:f>
        <x:v>44.668</x:v>
      </x:c>
      <x:c r="F23" s="162" t="n">
        <x:f>INDEX(Sources!$E:$E,MATCH("H.BS.LEASE_LIABILITIES_CURRENT.FY2025",Sources!$A:$A,0))</x:f>
        <x:v>43.489</x:v>
      </x:c>
      <x:c r="G23" s="163" t="n">
        <x:f>INDEX(Sources!$E:$E,MATCH("H.BS.LEASE_LIABILITIES_CURRENT.FY2026",Sources!$A:$A,0))</x:f>
        <x:v>44.08</x:v>
      </x:c>
      <x:c r="H23" s="119"/>
      <x:c r="I23" s="119"/>
      <x:c r="J23" s="119"/>
      <x:c r="K23" s="119"/>
      <x:c r="L23" s="5"/>
    </x:row>
    <x:row r="24">
      <x:c r="A24" s="161" t="str">
        <x:v>Short-term debt / current portion of LTD</x:v>
      </x:c>
      <x:c r="B24" s="162" t="n">
        <x:f>INDEX(Sources!$E:$E,MATCH("H.BS.DEBT_CURRENT.FY2021",Sources!$A:$A,0))</x:f>
        <x:v>0</x:v>
      </x:c>
      <x:c r="C24" s="162" t="n">
        <x:f>INDEX(Sources!$E:$E,MATCH("H.BS.DEBT_CURRENT.FY2022",Sources!$A:$A,0))</x:f>
        <x:v>0</x:v>
      </x:c>
      <x:c r="D24" s="162" t="n">
        <x:f>INDEX(Sources!$E:$E,MATCH("H.BS.DEBT_CURRENT.FY2023",Sources!$A:$A,0))</x:f>
        <x:v>574.506</x:v>
      </x:c>
      <x:c r="E24" s="162" t="n">
        <x:f>INDEX(Sources!$E:$E,MATCH("H.BS.DEBT_CURRENT.FY2024",Sources!$A:$A,0))</x:f>
        <x:v>0</x:v>
      </x:c>
      <x:c r="F24" s="162" t="n">
        <x:f>INDEX(Sources!$E:$E,MATCH("H.BS.DEBT_CURRENT.FY2025",Sources!$A:$A,0))</x:f>
        <x:v>100</x:v>
      </x:c>
      <x:c r="G24" s="163" t="n">
        <x:f>INDEX(Sources!$E:$E,MATCH("H.BS.DEBT_CURRENT.FY2026",Sources!$A:$A,0))</x:f>
        <x:v>0</x:v>
      </x:c>
      <x:c r="H24" s="119"/>
      <x:c r="I24" s="119"/>
      <x:c r="J24" s="119"/>
      <x:c r="K24" s="119"/>
      <x:c r="L24" s="5"/>
    </x:row>
    <x:row r="25">
      <x:c r="A25" s="161" t="str">
        <x:v>Total current liabilities</x:v>
      </x:c>
      <x:c r="B25" s="162" t="n">
        <x:f>INDEX(Sources!$E:$E,MATCH("H.BS.TOTAL_CURRENT_LIABILITIES.FY2021",Sources!$A:$A,0))</x:f>
        <x:v>760.653</x:v>
      </x:c>
      <x:c r="C25" s="162" t="n">
        <x:f>INDEX(Sources!$E:$E,MATCH("H.BS.TOTAL_CURRENT_LIABILITIES.FY2022",Sources!$A:$A,0))</x:f>
        <x:v>952.32</x:v>
      </x:c>
      <x:c r="D25" s="162" t="n">
        <x:f>INDEX(Sources!$E:$E,MATCH("H.BS.TOTAL_CURRENT_LIABILITIES.FY2023",Sources!$A:$A,0))</x:f>
        <x:v>1749.868</x:v>
      </x:c>
      <x:c r="E25" s="162" t="n">
        <x:f>INDEX(Sources!$E:$E,MATCH("H.BS.TOTAL_CURRENT_LIABILITIES.FY2024",Sources!$A:$A,0))</x:f>
        <x:v>1365.684</x:v>
      </x:c>
      <x:c r="F25" s="162" t="n">
        <x:f>INDEX(Sources!$E:$E,MATCH("H.BS.TOTAL_CURRENT_LIABILITIES.FY2025",Sources!$A:$A,0))</x:f>
        <x:v>1596.541</x:v>
      </x:c>
      <x:c r="G25" s="163" t="n">
        <x:f>INDEX(Sources!$E:$E,MATCH("H.BS.TOTAL_CURRENT_LIABILITIES.FY2026",Sources!$A:$A,0))</x:f>
        <x:v>1909.99</x:v>
      </x:c>
      <x:c r="H25" s="119"/>
      <x:c r="I25" s="119"/>
      <x:c r="J25" s="119"/>
      <x:c r="K25" s="119"/>
      <x:c r="L25" s="5"/>
    </x:row>
    <x:row r="26">
      <x:c r="A26" s="161" t="str">
        <x:v>Long-term debt</x:v>
      </x:c>
      <x:c r="B26" s="162" t="n">
        <x:f>INDEX(Sources!$E:$E,MATCH("H.BS.LONG_TERM_DEBT.FY2021",Sources!$A:$A,0))</x:f>
        <x:v>755.814</x:v>
      </x:c>
      <x:c r="C26" s="162" t="n">
        <x:f>INDEX(Sources!$E:$E,MATCH("H.BS.LONG_TERM_DEBT.FY2022",Sources!$A:$A,0))</x:f>
        <x:v>786.779</x:v>
      </x:c>
      <x:c r="D26" s="162" t="n">
        <x:f>INDEX(Sources!$E:$E,MATCH("H.BS.LONG_TERM_DEBT.FY2023",Sources!$A:$A,0))</x:f>
        <x:v>0</x:v>
      </x:c>
      <x:c r="E26" s="162" t="n">
        <x:f>INDEX(Sources!$E:$E,MATCH("H.BS.LONG_TERM_DEBT.FY2024",Sources!$A:$A,0))</x:f>
        <x:v>100</x:v>
      </x:c>
      <x:c r="F26" s="162" t="n">
        <x:f>INDEX(Sources!$E:$E,MATCH("H.BS.LONG_TERM_DEBT.FY2025",Sources!$A:$A,0))</x:f>
        <x:v>0</x:v>
      </x:c>
      <x:c r="G26" s="163" t="n">
        <x:f>INDEX(Sources!$E:$E,MATCH("H.BS.LONG_TERM_DEBT.FY2026",Sources!$A:$A,0))</x:f>
        <x:v>0</x:v>
      </x:c>
      <x:c r="H26" s="119"/>
      <x:c r="I26" s="119"/>
      <x:c r="J26" s="119"/>
      <x:c r="K26" s="119"/>
      <x:c r="L26" s="5"/>
    </x:row>
    <x:row r="27">
      <x:c r="A27" s="161" t="str">
        <x:v>Operating lease liabilities, non-current</x:v>
      </x:c>
      <x:c r="B27" s="162" t="n">
        <x:f>INDEX(Sources!$E:$E,MATCH("H.BS.LEASE_LIABILITIES_NONCURRENT.FY2021",Sources!$A:$A,0))</x:f>
        <x:v>120.361</x:v>
      </x:c>
      <x:c r="C27" s="162" t="n">
        <x:f>INDEX(Sources!$E:$E,MATCH("H.BS.LEASE_LIABILITIES_NONCURRENT.FY2022",Sources!$A:$A,0))</x:f>
        <x:v>93.479</x:v>
      </x:c>
      <x:c r="D27" s="162" t="n">
        <x:f>INDEX(Sources!$E:$E,MATCH("H.BS.LEASE_LIABILITIES_NONCURRENT.FY2023",Sources!$A:$A,0))</x:f>
        <x:v>142.473</x:v>
      </x:c>
      <x:c r="E27" s="162" t="n">
        <x:f>INDEX(Sources!$E:$E,MATCH("H.BS.LEASE_LIABILITIES_NONCURRENT.FY2024",Sources!$A:$A,0))</x:f>
        <x:v>123.201</x:v>
      </x:c>
      <x:c r="F27" s="162" t="n">
        <x:f>INDEX(Sources!$E:$E,MATCH("H.BS.LEASE_LIABILITIES_NONCURRENT.FY2025",Sources!$A:$A,0))</x:f>
        <x:v>137.277</x:v>
      </x:c>
      <x:c r="G27" s="163" t="n">
        <x:f>INDEX(Sources!$E:$E,MATCH("H.BS.LEASE_LIABILITIES_NONCURRENT.FY2026",Sources!$A:$A,0))</x:f>
        <x:v>172.063</x:v>
      </x:c>
      <x:c r="H27" s="119"/>
      <x:c r="I27" s="119"/>
      <x:c r="J27" s="119"/>
      <x:c r="K27" s="119"/>
      <x:c r="L27" s="5"/>
    </x:row>
    <x:row r="28">
      <x:c r="A28" s="161" t="str">
        <x:v>Deferred revenue, non-current</x:v>
      </x:c>
      <x:c r="B28" s="162" t="n">
        <x:f>INDEX(Sources!$E:$E,MATCH("H.BS.DEFERRED_REVENUE_NONCURRENT.FY2021",Sources!$A:$A,0))</x:f>
        <x:v>405.376</x:v>
      </x:c>
      <x:c r="C28" s="162" t="n">
        <x:f>INDEX(Sources!$E:$E,MATCH("H.BS.DEFERRED_REVENUE_NONCURRENT.FY2022",Sources!$A:$A,0))</x:f>
        <x:v>517.296</x:v>
      </x:c>
      <x:c r="D28" s="162" t="n">
        <x:f>INDEX(Sources!$E:$E,MATCH("H.BS.DEFERRED_REVENUE_NONCURRENT.FY2023",Sources!$A:$A,0))</x:f>
        <x:v>667.501</x:v>
      </x:c>
      <x:c r="E28" s="162" t="n">
        <x:f>INDEX(Sources!$E:$E,MATCH("H.BS.DEFERRED_REVENUE_NONCURRENT.FY2024",Sources!$A:$A,0))</x:f>
        <x:v>742.275</x:v>
      </x:c>
      <x:c r="F28" s="162" t="n">
        <x:f>INDEX(Sources!$E:$E,MATCH("H.BS.DEFERRED_REVENUE_NONCURRENT.FY2025",Sources!$A:$A,0))</x:f>
        <x:v>841.467</x:v>
      </x:c>
      <x:c r="G28" s="163" t="n">
        <x:f>INDEX(Sources!$E:$E,MATCH("H.BS.DEFERRED_REVENUE_NONCURRENT.FY2026",Sources!$A:$A,0))</x:f>
        <x:v>1046.442</x:v>
      </x:c>
      <x:c r="H28" s="119"/>
      <x:c r="I28" s="119"/>
      <x:c r="J28" s="119"/>
      <x:c r="K28" s="119"/>
      <x:c r="L28" s="5"/>
    </x:row>
    <x:row r="29">
      <x:c r="A29" s="161" t="str">
        <x:v>Other non-current liabilities</x:v>
      </x:c>
      <x:c r="B29" s="162" t="n">
        <x:f>INDEX(Sources!$E:$E,MATCH("H.BS.OTHER_NONCURRENT_LIABILITIES.FY2021",Sources!$A:$A,0))</x:f>
        <x:v>27.23</x:v>
      </x:c>
      <x:c r="C29" s="162" t="n">
        <x:f>INDEX(Sources!$E:$E,MATCH("H.BS.OTHER_NONCURRENT_LIABILITIES.FY2022",Sources!$A:$A,0))</x:f>
        <x:v>31.105</x:v>
      </x:c>
      <x:c r="D29" s="162" t="n">
        <x:f>INDEX(Sources!$E:$E,MATCH("H.BS.OTHER_NONCURRENT_LIABILITIES.FY2023",Sources!$A:$A,0))</x:f>
        <x:v>42.385</x:v>
      </x:c>
      <x:c r="E29" s="162" t="n">
        <x:f>INDEX(Sources!$E:$E,MATCH("H.BS.OTHER_NONCURRENT_LIABILITIES.FY2024",Sources!$A:$A,0))</x:f>
        <x:v>54.506</x:v>
      </x:c>
      <x:c r="F29" s="162" t="n">
        <x:f>INDEX(Sources!$E:$E,MATCH("H.BS.OTHER_NONCURRENT_LIABILITIES.FY2025",Sources!$A:$A,0))</x:f>
        <x:v>82.182</x:v>
      </x:c>
      <x:c r="G29" s="163" t="n">
        <x:f>INDEX(Sources!$E:$E,MATCH("H.BS.OTHER_NONCURRENT_LIABILITIES.FY2026",Sources!$A:$A,0))</x:f>
        <x:v>100.096</x:v>
      </x:c>
      <x:c r="H29" s="119"/>
      <x:c r="I29" s="119"/>
      <x:c r="J29" s="119"/>
      <x:c r="K29" s="119"/>
      <x:c r="L29" s="5"/>
    </x:row>
    <x:row r="30">
      <x:c r="A30" s="161" t="str">
        <x:v>Total liabilities</x:v>
      </x:c>
      <x:c r="B30" s="162" t="n">
        <x:f>INDEX(Sources!$E:$E,MATCH("H.BS.TOTAL_LIABILITIES.FY2021",Sources!$A:$A,0))</x:f>
        <x:v>2069.434</x:v>
      </x:c>
      <x:c r="C30" s="162" t="n">
        <x:f>INDEX(Sources!$E:$E,MATCH("H.BS.TOTAL_LIABILITIES.FY2022",Sources!$A:$A,0))</x:f>
        <x:v>2380.979</x:v>
      </x:c>
      <x:c r="D30" s="162" t="n">
        <x:f>INDEX(Sources!$E:$E,MATCH("H.BS.TOTAL_LIABILITIES.FY2023",Sources!$A:$A,0))</x:f>
        <x:v>2602.227</x:v>
      </x:c>
      <x:c r="E30" s="162" t="n">
        <x:f>INDEX(Sources!$E:$E,MATCH("H.BS.TOTAL_LIABILITIES.FY2024",Sources!$A:$A,0))</x:f>
        <x:v>2385.666</x:v>
      </x:c>
      <x:c r="F30" s="162" t="n">
        <x:f>INDEX(Sources!$E:$E,MATCH("H.BS.TOTAL_LIABILITIES.FY2025",Sources!$A:$A,0))</x:f>
        <x:v>2657.467</x:v>
      </x:c>
      <x:c r="G30" s="163" t="n">
        <x:f>INDEX(Sources!$E:$E,MATCH("H.BS.TOTAL_LIABILITIES.FY2026",Sources!$A:$A,0))</x:f>
        <x:v>3228.591</x:v>
      </x:c>
      <x:c r="H30" s="119"/>
      <x:c r="I30" s="119"/>
      <x:c r="J30" s="119"/>
      <x:c r="K30" s="119"/>
      <x:c r="L30" s="5"/>
    </x:row>
    <x:row r="31">
      <x:c r="A31" s="161" t="str">
        <x:v>Common stock and APIC</x:v>
      </x:c>
      <x:c r="B31" s="162" t="n">
        <x:f>INDEX(Sources!$E:$E,MATCH("H.BS.COMMON_APIC.FY2021",Sources!$A:$A,0))</x:f>
        <x:v>2307.608</x:v>
      </x:c>
      <x:c r="C31" s="162" t="n">
        <x:f>INDEX(Sources!$E:$E,MATCH("H.BS.COMMON_APIC.FY2022",Sources!$A:$A,0))</x:f>
        <x:v>2470.972</x:v>
      </x:c>
      <x:c r="D31" s="162" t="n">
        <x:f>INDEX(Sources!$E:$E,MATCH("H.BS.COMMON_APIC.FY2023",Sources!$A:$A,0))</x:f>
        <x:v>2493.799</x:v>
      </x:c>
      <x:c r="E31" s="162" t="n">
        <x:f>INDEX(Sources!$E:$E,MATCH("H.BS.COMMON_APIC.FY2024",Sources!$A:$A,0))</x:f>
        <x:v>2749.627</x:v>
      </x:c>
      <x:c r="F31" s="162" t="n">
        <x:f>INDEX(Sources!$E:$E,MATCH("H.BS.COMMON_APIC.FY2025",Sources!$A:$A,0))</x:f>
        <x:v>2674.533</x:v>
      </x:c>
      <x:c r="G31" s="163" t="n">
        <x:f>INDEX(Sources!$E:$E,MATCH("H.BS.COMMON_APIC.FY2026",Sources!$A:$A,0))</x:f>
        <x:v>2624.79</x:v>
      </x:c>
      <x:c r="H31" s="119"/>
      <x:c r="I31" s="119"/>
      <x:c r="J31" s="119"/>
      <x:c r="K31" s="119"/>
      <x:c r="L31" s="5"/>
    </x:row>
    <x:row r="32">
      <x:c r="A32" s="161" t="str">
        <x:v>Retained earnings / accumulated deficit</x:v>
      </x:c>
      <x:c r="B32" s="162" t="n">
        <x:f>INDEX(Sources!$E:$E,MATCH("H.BS.RETAINED_EARNINGS.FY2021",Sources!$A:$A,0))</x:f>
        <x:v>-1565.012</x:v>
      </x:c>
      <x:c r="C32" s="162" t="n">
        <x:f>INDEX(Sources!$E:$E,MATCH("H.BS.RETAINED_EARNINGS.FY2022",Sources!$A:$A,0))</x:f>
        <x:v>-1708.271</x:v>
      </x:c>
      <x:c r="D32" s="162" t="n">
        <x:f>INDEX(Sources!$E:$E,MATCH("H.BS.RETAINED_EARNINGS.FY2023",Sources!$A:$A,0))</x:f>
        <x:v>-1537.062</x:v>
      </x:c>
      <x:c r="E32" s="162" t="n">
        <x:f>INDEX(Sources!$E:$E,MATCH("H.BS.RETAINED_EARNINGS.FY2024",Sources!$A:$A,0))</x:f>
        <x:v>-1475.751</x:v>
      </x:c>
      <x:c r="F32" s="162" t="n">
        <x:f>INDEX(Sources!$E:$E,MATCH("H.BS.RETAINED_EARNINGS.FY2025",Sources!$A:$A,0))</x:f>
        <x:v>-1369.012</x:v>
      </x:c>
      <x:c r="G32" s="163" t="n">
        <x:f>INDEX(Sources!$E:$E,MATCH("H.BS.RETAINED_EARNINGS.FY2026",Sources!$A:$A,0))</x:f>
        <x:v>-1180.831</x:v>
      </x:c>
      <x:c r="H32" s="119"/>
      <x:c r="I32" s="119"/>
      <x:c r="J32" s="119"/>
      <x:c r="K32" s="119"/>
      <x:c r="L32" s="5"/>
    </x:row>
    <x:row r="33">
      <x:c r="A33" s="161" t="str">
        <x:v>Accumulated OCI</x:v>
      </x:c>
      <x:c r="B33" s="162" t="n">
        <x:f>INDEX(Sources!$E:$E,MATCH("H.BS.AOCI.FY2021",Sources!$A:$A,0))</x:f>
        <x:v>7.41</x:v>
      </x:c>
      <x:c r="C33" s="162" t="n">
        <x:f>INDEX(Sources!$E:$E,MATCH("H.BS.AOCI.FY2022",Sources!$A:$A,0))</x:f>
        <x:v>-8.365</x:v>
      </x:c>
      <x:c r="D33" s="162" t="n">
        <x:f>INDEX(Sources!$E:$E,MATCH("H.BS.AOCI.FY2023",Sources!$A:$A,0))</x:f>
        <x:v>-15.504</x:v>
      </x:c>
      <x:c r="E33" s="162" t="n">
        <x:f>INDEX(Sources!$E:$E,MATCH("H.BS.AOCI.FY2024",Sources!$A:$A,0))</x:f>
        <x:v>-3.782</x:v>
      </x:c>
      <x:c r="F33" s="162" t="n">
        <x:f>INDEX(Sources!$E:$E,MATCH("H.BS.AOCI.FY2025",Sources!$A:$A,0))</x:f>
        <x:v>0.954</x:v>
      </x:c>
      <x:c r="G33" s="163" t="n">
        <x:f>INDEX(Sources!$E:$E,MATCH("H.BS.AOCI.FY2026",Sources!$A:$A,0))</x:f>
        <x:v>1.709</x:v>
      </x:c>
      <x:c r="H33" s="119"/>
      <x:c r="I33" s="119"/>
      <x:c r="J33" s="119"/>
      <x:c r="K33" s="119"/>
      <x:c r="L33" s="5"/>
    </x:row>
    <x:row r="34">
      <x:c r="A34" s="161" t="str">
        <x:v>Treasury stock</x:v>
      </x:c>
      <x:c r="B34" s="162" t="n">
        <x:f>INDEX(Sources!$E:$E,MATCH("H.BS.TREASURY_STOCK.FY2021",Sources!$A:$A,0))</x:f>
        <x:v>0</x:v>
      </x:c>
      <x:c r="C34" s="162" t="n">
        <x:f>INDEX(Sources!$E:$E,MATCH("H.BS.TREASURY_STOCK.FY2022",Sources!$A:$A,0))</x:f>
        <x:v>0</x:v>
      </x:c>
      <x:c r="D34" s="162" t="n">
        <x:f>INDEX(Sources!$E:$E,MATCH("H.BS.TREASURY_STOCK.FY2023",Sources!$A:$A,0))</x:f>
        <x:v>0</x:v>
      </x:c>
      <x:c r="E34" s="162" t="n">
        <x:f>INDEX(Sources!$E:$E,MATCH("H.BS.TREASURY_STOCK.FY2024",Sources!$A:$A,0))</x:f>
        <x:v>0</x:v>
      </x:c>
      <x:c r="F34" s="162" t="n">
        <x:f>INDEX(Sources!$E:$E,MATCH("H.BS.TREASURY_STOCK.FY2025",Sources!$A:$A,0))</x:f>
        <x:v>0</x:v>
      </x:c>
      <x:c r="G34" s="163" t="n">
        <x:f>INDEX(Sources!$E:$E,MATCH("H.BS.TREASURY_STOCK.FY2026",Sources!$A:$A,0))</x:f>
        <x:v>0</x:v>
      </x:c>
      <x:c r="H34" s="119"/>
      <x:c r="I34" s="119"/>
      <x:c r="J34" s="119"/>
      <x:c r="K34" s="119"/>
      <x:c r="L34" s="5"/>
    </x:row>
    <x:row r="35">
      <x:c r="A35" s="161" t="str">
        <x:v>Total stockholders' equity</x:v>
      </x:c>
      <x:c r="B35" s="162" t="n">
        <x:f>INDEX(Sources!$E:$E,MATCH("H.BS.TOTAL_EQUITY.FY2021",Sources!$A:$A,0))</x:f>
        <x:v>750.006</x:v>
      </x:c>
      <x:c r="C35" s="162" t="n">
        <x:f>INDEX(Sources!$E:$E,MATCH("H.BS.TOTAL_EQUITY.FY2022",Sources!$A:$A,0))</x:f>
        <x:v>754.336</x:v>
      </x:c>
      <x:c r="D35" s="162" t="n">
        <x:f>INDEX(Sources!$E:$E,MATCH("H.BS.TOTAL_EQUITY.FY2023",Sources!$A:$A,0))</x:f>
        <x:v>941.233</x:v>
      </x:c>
      <x:c r="E35" s="162" t="n">
        <x:f>INDEX(Sources!$E:$E,MATCH("H.BS.TOTAL_EQUITY.FY2024",Sources!$A:$A,0))</x:f>
        <x:v>1270.094</x:v>
      </x:c>
      <x:c r="F35" s="162" t="n">
        <x:f>INDEX(Sources!$E:$E,MATCH("H.BS.TOTAL_EQUITY.FY2025",Sources!$A:$A,0))</x:f>
        <x:v>1306.475</x:v>
      </x:c>
      <x:c r="G35" s="163" t="n">
        <x:f>INDEX(Sources!$E:$E,MATCH("H.BS.TOTAL_EQUITY.FY2026",Sources!$A:$A,0))</x:f>
        <x:v>1445.668</x:v>
      </x:c>
      <x:c r="H35" s="119"/>
      <x:c r="I35" s="119"/>
      <x:c r="J35" s="119"/>
      <x:c r="K35" s="119"/>
      <x:c r="L35" s="5"/>
    </x:row>
    <x:row r="36">
      <x:c r="A36" s="166" t="str">
        <x:v>Total liabilities and stockholders' equity</x:v>
      </x:c>
      <x:c r="B36" s="171" t="n">
        <x:f>INDEX(Sources!$E:$E,MATCH("H.BS.TOTAL_LIABILITIES_EQUITY.FY2021",Sources!$A:$A,0))</x:f>
        <x:v>2819.44</x:v>
      </x:c>
      <x:c r="C36" s="171" t="n">
        <x:f>INDEX(Sources!$E:$E,MATCH("H.BS.TOTAL_LIABILITIES_EQUITY.FY2022",Sources!$A:$A,0))</x:f>
        <x:v>3135.315</x:v>
      </x:c>
      <x:c r="D36" s="171" t="n">
        <x:f>INDEX(Sources!$E:$E,MATCH("H.BS.TOTAL_LIABILITIES_EQUITY.FY2023",Sources!$A:$A,0))</x:f>
        <x:v>3543.46</x:v>
      </x:c>
      <x:c r="E36" s="171" t="n">
        <x:f>INDEX(Sources!$E:$E,MATCH("H.BS.TOTAL_LIABILITIES_EQUITY.FY2024",Sources!$A:$A,0))</x:f>
        <x:v>3655.76</x:v>
      </x:c>
      <x:c r="F36" s="171" t="n">
        <x:f>INDEX(Sources!$E:$E,MATCH("H.BS.TOTAL_LIABILITIES_EQUITY.FY2025",Sources!$A:$A,0))</x:f>
        <x:v>3963.942</x:v>
      </x:c>
      <x:c r="G36" s="172" t="n">
        <x:f>INDEX(Sources!$E:$E,MATCH("H.BS.TOTAL_LIABILITIES_EQUITY.FY2026",Sources!$A:$A,0))</x:f>
        <x:v>4674.259</x:v>
      </x:c>
      <x:c r="H36" s="119"/>
      <x:c r="I36" s="119"/>
      <x:c r="J36" s="119"/>
      <x:c r="K36" s="119"/>
      <x:c r="L36" s="5"/>
    </x:row>
    <x:row r="37">
      <x:c r="A37" s="119"/>
      <x:c r="B37" s="119"/>
      <x:c r="C37" s="119"/>
      <x:c r="D37" s="119"/>
      <x:c r="E37" s="119"/>
      <x:c r="F37" s="119"/>
      <x:c r="G37" s="119"/>
      <x:c r="H37" s="119"/>
      <x:c r="I37" s="119"/>
      <x:c r="J37" s="119"/>
      <x:c r="K37" s="119"/>
      <x:c r="L37" s="5"/>
    </x:row>
    <x:row r="38">
      <x:c r="A38" s="119"/>
      <x:c r="B38" s="119"/>
      <x:c r="C38" s="119"/>
      <x:c r="D38" s="119"/>
      <x:c r="E38" s="119"/>
      <x:c r="F38" s="119"/>
      <x:c r="G38" s="119"/>
      <x:c r="H38" s="119"/>
      <x:c r="I38" s="119"/>
      <x:c r="J38" s="119"/>
      <x:c r="K38" s="119"/>
      <x:c r="L38" s="5"/>
    </x:row>
    <x:row r="39">
      <x:c r="A39" s="119"/>
      <x:c r="B39" s="119"/>
      <x:c r="C39" s="119"/>
      <x:c r="D39" s="119"/>
      <x:c r="E39" s="119"/>
      <x:c r="F39" s="119"/>
      <x:c r="G39" s="119"/>
      <x:c r="H39" s="119"/>
      <x:c r="I39" s="119"/>
      <x:c r="J39" s="119"/>
      <x:c r="K39" s="119"/>
      <x:c r="L39" s="5"/>
    </x:row>
    <x:row r="40">
      <x:c r="A40" s="119"/>
      <x:c r="B40" s="119"/>
      <x:c r="C40" s="119"/>
      <x:c r="D40" s="119"/>
      <x:c r="E40" s="119"/>
      <x:c r="F40" s="119"/>
      <x:c r="G40" s="119"/>
      <x:c r="H40" s="119"/>
      <x:c r="I40" s="119"/>
      <x:c r="J40" s="119"/>
      <x:c r="K40" s="119"/>
      <x:c r="L40" s="5"/>
    </x:row>
    <x:row r="41">
      <x:c r="A41" s="119"/>
      <x:c r="B41" s="119"/>
      <x:c r="C41" s="119"/>
      <x:c r="D41" s="119"/>
      <x:c r="E41" s="119"/>
      <x:c r="F41" s="119"/>
      <x:c r="G41" s="119"/>
      <x:c r="H41" s="119"/>
      <x:c r="I41" s="119"/>
      <x:c r="J41" s="119"/>
      <x:c r="K41" s="119"/>
      <x:c r="L41" s="5"/>
    </x:row>
    <x:row r="42">
      <x:c r="A42" s="119"/>
      <x:c r="B42" s="119"/>
      <x:c r="C42" s="119"/>
      <x:c r="D42" s="119"/>
      <x:c r="E42" s="119"/>
      <x:c r="F42" s="119"/>
      <x:c r="G42" s="119"/>
      <x:c r="H42" s="119"/>
      <x:c r="I42" s="119"/>
      <x:c r="J42" s="119"/>
      <x:c r="K42" s="119"/>
      <x:c r="L42" s="5"/>
    </x:row>
    <x:row r="43">
      <x:c r="A43" s="119"/>
      <x:c r="B43" s="119"/>
      <x:c r="C43" s="119"/>
      <x:c r="D43" s="119"/>
      <x:c r="E43" s="119"/>
      <x:c r="F43" s="119"/>
      <x:c r="G43" s="119"/>
      <x:c r="H43" s="119"/>
      <x:c r="I43" s="119"/>
      <x:c r="J43" s="119"/>
      <x:c r="K43" s="119"/>
      <x:c r="L43" s="5"/>
    </x:row>
    <x:row r="44">
      <x:c r="A44" s="119"/>
      <x:c r="B44" s="119"/>
      <x:c r="C44" s="119"/>
      <x:c r="D44" s="119"/>
      <x:c r="E44" s="119"/>
      <x:c r="F44" s="119"/>
      <x:c r="G44" s="119"/>
      <x:c r="H44" s="119"/>
      <x:c r="I44" s="119"/>
      <x:c r="J44" s="119"/>
      <x:c r="K44" s="119"/>
      <x:c r="L44" s="5"/>
    </x:row>
    <x:row r="45">
      <x:c r="A45" s="119"/>
      <x:c r="B45" s="119"/>
      <x:c r="C45" s="119"/>
      <x:c r="D45" s="119"/>
      <x:c r="E45" s="119"/>
      <x:c r="F45" s="119"/>
      <x:c r="G45" s="119"/>
      <x:c r="H45" s="119"/>
      <x:c r="I45" s="119"/>
      <x:c r="J45" s="119"/>
      <x:c r="K45" s="119"/>
      <x:c r="L45" s="5"/>
    </x:row>
    <x:row r="46">
      <x:c r="A46" s="119"/>
      <x:c r="B46" s="119"/>
      <x:c r="C46" s="119"/>
      <x:c r="D46" s="119"/>
      <x:c r="E46" s="119"/>
      <x:c r="F46" s="119"/>
      <x:c r="G46" s="119"/>
      <x:c r="H46" s="119"/>
      <x:c r="I46" s="119"/>
      <x:c r="J46" s="119"/>
      <x:c r="K46" s="119"/>
      <x:c r="L46" s="5"/>
    </x:row>
    <x:row r="47">
      <x:c r="A47" s="119"/>
      <x:c r="B47" s="119"/>
      <x:c r="C47" s="119"/>
      <x:c r="D47" s="119"/>
      <x:c r="E47" s="119"/>
      <x:c r="F47" s="119"/>
      <x:c r="G47" s="119"/>
      <x:c r="H47" s="119"/>
      <x:c r="I47" s="119"/>
      <x:c r="J47" s="119"/>
      <x:c r="K47" s="119"/>
      <x:c r="L47" s="5"/>
    </x:row>
    <x:row r="48">
      <x:c r="A48" s="119"/>
      <x:c r="B48" s="119"/>
      <x:c r="C48" s="119"/>
      <x:c r="D48" s="119"/>
      <x:c r="E48" s="119"/>
      <x:c r="F48" s="119"/>
      <x:c r="G48" s="119"/>
      <x:c r="H48" s="119"/>
      <x:c r="I48" s="119"/>
      <x:c r="J48" s="119"/>
      <x:c r="K48" s="119"/>
      <x:c r="L48" s="5"/>
    </x:row>
    <x:row r="49">
      <x:c r="A49" s="119"/>
      <x:c r="B49" s="119"/>
      <x:c r="C49" s="119"/>
      <x:c r="D49" s="119"/>
      <x:c r="E49" s="119"/>
      <x:c r="F49" s="119"/>
      <x:c r="G49" s="119"/>
      <x:c r="H49" s="119"/>
      <x:c r="I49" s="119"/>
      <x:c r="J49" s="119"/>
      <x:c r="K49" s="119"/>
      <x:c r="L49" s="5"/>
    </x:row>
    <x:row r="50">
      <x:c r="A50" s="119"/>
      <x:c r="B50" s="119"/>
      <x:c r="C50" s="119"/>
      <x:c r="D50" s="119"/>
      <x:c r="E50" s="119"/>
      <x:c r="F50" s="119"/>
      <x:c r="G50" s="119"/>
      <x:c r="H50" s="119"/>
      <x:c r="I50" s="119"/>
      <x:c r="J50" s="119"/>
      <x:c r="K50" s="119"/>
      <x:c r="L50" s="5"/>
    </x:row>
    <x:row r="51">
      <x:c r="A51" s="119"/>
      <x:c r="B51" s="119"/>
      <x:c r="C51" s="119"/>
      <x:c r="D51" s="119"/>
      <x:c r="E51" s="119"/>
      <x:c r="F51" s="119"/>
      <x:c r="G51" s="119"/>
      <x:c r="H51" s="119"/>
      <x:c r="I51" s="119"/>
      <x:c r="J51" s="119"/>
      <x:c r="K51" s="119"/>
      <x:c r="L51" s="5"/>
    </x:row>
    <x:row r="52">
      <x:c r="A52" s="119"/>
      <x:c r="B52" s="119"/>
      <x:c r="C52" s="119"/>
      <x:c r="D52" s="119"/>
      <x:c r="E52" s="119"/>
      <x:c r="F52" s="119"/>
      <x:c r="G52" s="119"/>
      <x:c r="H52" s="119"/>
      <x:c r="I52" s="119"/>
      <x:c r="J52" s="119"/>
      <x:c r="K52" s="119"/>
      <x:c r="L52" s="5"/>
    </x:row>
    <x:row r="53">
      <x:c r="A53" s="119"/>
      <x:c r="B53" s="119"/>
      <x:c r="C53" s="119"/>
      <x:c r="D53" s="119"/>
      <x:c r="E53" s="119"/>
      <x:c r="F53" s="119"/>
      <x:c r="G53" s="119"/>
      <x:c r="H53" s="119"/>
      <x:c r="I53" s="119"/>
      <x:c r="J53" s="119"/>
      <x:c r="K53" s="119"/>
      <x:c r="L53" s="5"/>
    </x:row>
    <x:row r="54">
      <x:c r="A54" s="119"/>
      <x:c r="B54" s="119"/>
      <x:c r="C54" s="119"/>
      <x:c r="D54" s="119"/>
      <x:c r="E54" s="119"/>
      <x:c r="F54" s="119"/>
      <x:c r="G54" s="119"/>
      <x:c r="H54" s="119"/>
      <x:c r="I54" s="119"/>
      <x:c r="J54" s="119"/>
      <x:c r="K54" s="119"/>
      <x:c r="L54" s="5"/>
    </x:row>
    <x:row r="55">
      <x:c r="A55" s="119"/>
      <x:c r="B55" s="119"/>
      <x:c r="C55" s="119"/>
      <x:c r="D55" s="119"/>
      <x:c r="E55" s="119"/>
      <x:c r="F55" s="119"/>
      <x:c r="G55" s="119"/>
      <x:c r="H55" s="119"/>
      <x:c r="I55" s="119"/>
      <x:c r="J55" s="119"/>
      <x:c r="K55" s="119"/>
      <x:c r="L55" s="5"/>
    </x:row>
    <x:row r="56">
      <x:c r="A56" s="119"/>
      <x:c r="B56" s="119"/>
      <x:c r="C56" s="119"/>
      <x:c r="D56" s="119"/>
      <x:c r="E56" s="119"/>
      <x:c r="F56" s="119"/>
      <x:c r="G56" s="119"/>
      <x:c r="H56" s="119"/>
      <x:c r="I56" s="119"/>
      <x:c r="J56" s="119"/>
      <x:c r="K56" s="119"/>
      <x:c r="L56" s="5"/>
    </x:row>
    <x:row r="57">
      <x:c r="A57" s="119"/>
      <x:c r="B57" s="119"/>
      <x:c r="C57" s="119"/>
      <x:c r="D57" s="119"/>
      <x:c r="E57" s="119"/>
      <x:c r="F57" s="119"/>
      <x:c r="G57" s="119"/>
      <x:c r="H57" s="119"/>
      <x:c r="I57" s="119"/>
      <x:c r="J57" s="119"/>
      <x:c r="K57" s="119"/>
      <x:c r="L57" s="5"/>
    </x:row>
    <x:row r="58">
      <x:c r="A58" s="119"/>
      <x:c r="B58" s="119"/>
      <x:c r="C58" s="119"/>
      <x:c r="D58" s="119"/>
      <x:c r="E58" s="119"/>
      <x:c r="F58" s="119"/>
      <x:c r="G58" s="119"/>
      <x:c r="H58" s="119"/>
      <x:c r="I58" s="119"/>
      <x:c r="J58" s="119"/>
      <x:c r="K58" s="119"/>
      <x:c r="L58" s="5"/>
    </x:row>
    <x:row r="59">
      <x:c r="A59" s="119"/>
      <x:c r="B59" s="119"/>
      <x:c r="C59" s="119"/>
      <x:c r="D59" s="119"/>
      <x:c r="E59" s="119"/>
      <x:c r="F59" s="119"/>
      <x:c r="G59" s="119"/>
      <x:c r="H59" s="119"/>
      <x:c r="I59" s="119"/>
      <x:c r="J59" s="119"/>
      <x:c r="K59" s="119"/>
      <x:c r="L59" s="5"/>
    </x:row>
    <x:row r="60">
      <x:c r="A60" s="119"/>
      <x:c r="B60" s="119"/>
      <x:c r="C60" s="119"/>
      <x:c r="D60" s="119"/>
      <x:c r="E60" s="119"/>
      <x:c r="F60" s="119"/>
      <x:c r="G60" s="119"/>
      <x:c r="H60" s="119"/>
      <x:c r="I60" s="119"/>
      <x:c r="J60" s="119"/>
      <x:c r="K60" s="119"/>
      <x:c r="L60" s="5"/>
    </x:row>
    <x:row r="61">
      <x:c r="A61" s="119"/>
      <x:c r="B61" s="119"/>
      <x:c r="C61" s="119"/>
      <x:c r="D61" s="119"/>
      <x:c r="E61" s="119"/>
      <x:c r="F61" s="119"/>
      <x:c r="G61" s="119"/>
      <x:c r="H61" s="119"/>
      <x:c r="I61" s="119"/>
      <x:c r="J61" s="119"/>
      <x:c r="K61" s="119"/>
      <x:c r="L61" s="5"/>
    </x:row>
    <x:row r="62">
      <x:c r="A62" s="119"/>
      <x:c r="B62" s="119"/>
      <x:c r="C62" s="119"/>
      <x:c r="D62" s="119"/>
      <x:c r="E62" s="119"/>
      <x:c r="F62" s="119"/>
      <x:c r="G62" s="119"/>
      <x:c r="H62" s="119"/>
      <x:c r="I62" s="119"/>
      <x:c r="J62" s="119"/>
      <x:c r="K62" s="119"/>
      <x:c r="L62" s="5"/>
    </x:row>
    <x:row r="63">
      <x:c r="A63" s="119"/>
      <x:c r="B63" s="119"/>
      <x:c r="C63" s="119"/>
      <x:c r="D63" s="119"/>
      <x:c r="E63" s="119"/>
      <x:c r="F63" s="119"/>
      <x:c r="G63" s="119"/>
      <x:c r="H63" s="119"/>
      <x:c r="I63" s="119"/>
      <x:c r="J63" s="119"/>
      <x:c r="K63" s="119"/>
      <x:c r="L63" s="5"/>
    </x:row>
    <x:row r="64">
      <x:c r="A64" s="119"/>
      <x:c r="B64" s="119"/>
      <x:c r="C64" s="119"/>
      <x:c r="D64" s="119"/>
      <x:c r="E64" s="119"/>
      <x:c r="F64" s="119"/>
      <x:c r="G64" s="119"/>
      <x:c r="H64" s="119"/>
      <x:c r="I64" s="119"/>
      <x:c r="J64" s="119"/>
      <x:c r="K64" s="119"/>
      <x:c r="L64" s="5"/>
    </x:row>
    <x:row r="65">
      <x:c r="A65" s="119"/>
      <x:c r="B65" s="119"/>
      <x:c r="C65" s="119"/>
      <x:c r="D65" s="119"/>
      <x:c r="E65" s="119"/>
      <x:c r="F65" s="119"/>
      <x:c r="G65" s="119"/>
      <x:c r="H65" s="119"/>
      <x:c r="I65" s="119"/>
      <x:c r="J65" s="119"/>
      <x:c r="K65" s="119"/>
      <x:c r="L65" s="5"/>
    </x:row>
    <x:row r="66">
      <x:c r="A66" s="119"/>
      <x:c r="B66" s="119"/>
      <x:c r="C66" s="119"/>
      <x:c r="D66" s="119"/>
      <x:c r="E66" s="119"/>
      <x:c r="F66" s="119"/>
      <x:c r="G66" s="119"/>
      <x:c r="H66" s="119"/>
      <x:c r="I66" s="119"/>
      <x:c r="J66" s="119"/>
      <x:c r="K66" s="119"/>
      <x:c r="L66" s="5"/>
    </x:row>
    <x:row r="67">
      <x:c r="A67" s="119"/>
      <x:c r="B67" s="119"/>
      <x:c r="C67" s="119"/>
      <x:c r="D67" s="119"/>
      <x:c r="E67" s="119"/>
      <x:c r="F67" s="119"/>
      <x:c r="G67" s="119"/>
      <x:c r="H67" s="119"/>
      <x:c r="I67" s="119"/>
      <x:c r="J67" s="119"/>
      <x:c r="K67" s="119"/>
      <x:c r="L67" s="5"/>
    </x:row>
    <x:row r="68">
      <x:c r="A68" s="119"/>
      <x:c r="B68" s="119"/>
      <x:c r="C68" s="119"/>
      <x:c r="D68" s="119"/>
      <x:c r="E68" s="119"/>
      <x:c r="F68" s="119"/>
      <x:c r="G68" s="119"/>
      <x:c r="H68" s="119"/>
      <x:c r="I68" s="119"/>
      <x:c r="J68" s="119"/>
      <x:c r="K68" s="119"/>
      <x:c r="L68" s="5"/>
    </x:row>
    <x:row r="69">
      <x:c r="A69" s="119"/>
      <x:c r="B69" s="119"/>
      <x:c r="C69" s="119"/>
      <x:c r="D69" s="119"/>
      <x:c r="E69" s="119"/>
      <x:c r="F69" s="119"/>
      <x:c r="G69" s="119"/>
      <x:c r="H69" s="119"/>
      <x:c r="I69" s="119"/>
      <x:c r="J69" s="119"/>
      <x:c r="K69" s="119"/>
      <x:c r="L69" s="5"/>
    </x:row>
    <x:row r="70">
      <x:c r="A70" s="119"/>
      <x:c r="B70" s="119"/>
      <x:c r="C70" s="119"/>
      <x:c r="D70" s="119"/>
      <x:c r="E70" s="119"/>
      <x:c r="F70" s="119"/>
      <x:c r="G70" s="119"/>
      <x:c r="H70" s="119"/>
      <x:c r="I70" s="119"/>
      <x:c r="J70" s="119"/>
      <x:c r="K70" s="119"/>
      <x:c r="L70" s="5"/>
    </x:row>
    <x:row r="71">
      <x:c r="A71" s="119"/>
      <x:c r="B71" s="119"/>
      <x:c r="C71" s="119"/>
      <x:c r="D71" s="119"/>
      <x:c r="E71" s="119"/>
      <x:c r="F71" s="119"/>
      <x:c r="G71" s="119"/>
      <x:c r="H71" s="119"/>
      <x:c r="I71" s="119"/>
      <x:c r="J71" s="119"/>
      <x:c r="K71" s="119"/>
      <x:c r="L71" s="5"/>
    </x:row>
    <x:row r="72">
      <x:c r="A72" s="119"/>
      <x:c r="B72" s="119"/>
      <x:c r="C72" s="119"/>
      <x:c r="D72" s="119"/>
      <x:c r="E72" s="119"/>
      <x:c r="F72" s="119"/>
      <x:c r="G72" s="119"/>
      <x:c r="H72" s="119"/>
      <x:c r="I72" s="119"/>
      <x:c r="J72" s="119"/>
      <x:c r="K72" s="119"/>
      <x:c r="L72" s="5"/>
    </x:row>
    <x:row r="73">
      <x:c r="A73" s="119"/>
      <x:c r="B73" s="119"/>
      <x:c r="C73" s="119"/>
      <x:c r="D73" s="119"/>
      <x:c r="E73" s="119"/>
      <x:c r="F73" s="119"/>
      <x:c r="G73" s="119"/>
      <x:c r="H73" s="119"/>
      <x:c r="I73" s="119"/>
      <x:c r="J73" s="119"/>
      <x:c r="K73" s="119"/>
      <x:c r="L73" s="5"/>
    </x:row>
    <x:row r="74">
      <x:c r="A74" s="119"/>
      <x:c r="B74" s="119"/>
      <x:c r="C74" s="119"/>
      <x:c r="D74" s="119"/>
      <x:c r="E74" s="119"/>
      <x:c r="F74" s="119"/>
      <x:c r="G74" s="119"/>
      <x:c r="H74" s="119"/>
      <x:c r="I74" s="119"/>
      <x:c r="J74" s="119"/>
      <x:c r="K74" s="119"/>
      <x:c r="L74" s="5"/>
    </x:row>
    <x:row r="75">
      <x:c r="A75" s="119"/>
      <x:c r="B75" s="119"/>
      <x:c r="C75" s="119"/>
      <x:c r="D75" s="119"/>
      <x:c r="E75" s="119"/>
      <x:c r="F75" s="119"/>
      <x:c r="G75" s="119"/>
      <x:c r="H75" s="119"/>
      <x:c r="I75" s="119"/>
      <x:c r="J75" s="119"/>
      <x:c r="K75" s="119"/>
      <x:c r="L75" s="5"/>
    </x:row>
    <x:row r="76">
      <x:c r="A76" s="119"/>
      <x:c r="B76" s="119"/>
      <x:c r="C76" s="119"/>
      <x:c r="D76" s="119"/>
      <x:c r="E76" s="119"/>
      <x:c r="F76" s="119"/>
      <x:c r="G76" s="119"/>
      <x:c r="H76" s="119"/>
      <x:c r="I76" s="119"/>
      <x:c r="J76" s="119"/>
      <x:c r="K76" s="119"/>
      <x:c r="L76" s="5"/>
    </x:row>
    <x:row r="77">
      <x:c r="A77" s="119"/>
      <x:c r="B77" s="119"/>
      <x:c r="C77" s="119"/>
      <x:c r="D77" s="119"/>
      <x:c r="E77" s="119"/>
      <x:c r="F77" s="119"/>
      <x:c r="G77" s="119"/>
      <x:c r="H77" s="119"/>
      <x:c r="I77" s="119"/>
      <x:c r="J77" s="119"/>
      <x:c r="K77" s="119"/>
      <x:c r="L77" s="5"/>
    </x:row>
    <x:row r="78">
      <x:c r="A78" s="119"/>
      <x:c r="B78" s="119"/>
      <x:c r="C78" s="119"/>
      <x:c r="D78" s="119"/>
      <x:c r="E78" s="119"/>
      <x:c r="F78" s="119"/>
      <x:c r="G78" s="119"/>
      <x:c r="H78" s="119"/>
      <x:c r="I78" s="119"/>
      <x:c r="J78" s="119"/>
      <x:c r="K78" s="119"/>
      <x:c r="L78" s="5"/>
    </x:row>
    <x:row r="79">
      <x:c r="A79" s="119"/>
      <x:c r="B79" s="119"/>
      <x:c r="C79" s="119"/>
      <x:c r="D79" s="119"/>
      <x:c r="E79" s="119"/>
      <x:c r="F79" s="119"/>
      <x:c r="G79" s="119"/>
      <x:c r="H79" s="119"/>
      <x:c r="I79" s="119"/>
      <x:c r="J79" s="119"/>
      <x:c r="K79" s="119"/>
      <x:c r="L79" s="5"/>
    </x:row>
    <x:row r="80">
      <x:c r="A80" s="119"/>
      <x:c r="B80" s="119"/>
      <x:c r="C80" s="119"/>
      <x:c r="D80" s="119"/>
      <x:c r="E80" s="119"/>
      <x:c r="F80" s="119"/>
      <x:c r="G80" s="119"/>
      <x:c r="H80" s="119"/>
      <x:c r="I80" s="119"/>
      <x:c r="J80" s="119"/>
      <x:c r="K80" s="119"/>
      <x:c r="L80" s="5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0.709999084472656" hidden="0" customWidth="1"/>
    <x:col min="2" max="2" width="12.430000305175781" hidden="0" customWidth="1"/>
    <x:col min="3" max="3" width="12.430000305175781" hidden="0" customWidth="1"/>
    <x:col min="4" max="4" width="12.430000305175781" hidden="0" customWidth="1"/>
    <x:col min="5" max="5" width="12.430000305175781" hidden="0" customWidth="1"/>
    <x:col min="6" max="6" width="12.430000305175781" hidden="0" customWidth="1"/>
    <x:col min="7" max="7" width="12.430000305175781" hidden="0" customWidth="1"/>
  </x:cols>
  <x:sheetData>
    <x:row r="1">
      <x:c r="A1" s="4" t="str">
        <x:v>FYE: February.  Units: $ in millions except per-share data, shares in millions, ratios, and noted operating drivers.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>
      <x:c r="A3" s="144" t="str">
        <x:v>Line item</x:v>
      </x:c>
      <x:c r="B3" s="144" t="str">
        <x:v>FY2021</x:v>
      </x:c>
      <x:c r="C3" s="144" t="str">
        <x:v>FY2022</x:v>
      </x:c>
      <x:c r="D3" s="144" t="str">
        <x:v>FY2023</x:v>
      </x:c>
      <x:c r="E3" s="144" t="str">
        <x:v>FY2024</x:v>
      </x:c>
      <x:c r="F3" s="144" t="str">
        <x:v>FY2025</x:v>
      </x:c>
      <x:c r="G3" s="144" t="str">
        <x:v>FY2026</x:v>
      </x:c>
      <x:c r="H3" s="119"/>
      <x:c r="I3" s="119"/>
      <x:c r="J3" s="119"/>
      <x:c r="K3" s="119"/>
      <x:c r="L3" s="5"/>
    </x:row>
    <x:row r="4">
      <x:c r="A4" s="158" t="str">
        <x:v>Net income</x:v>
      </x:c>
      <x:c r="B4" s="159" t="n">
        <x:f>INDEX(Sources!$E:$E,MATCH("H.CF.NET_INCOME.FY2021",Sources!$A:$A,0))</x:f>
        <x:v>-282.076</x:v>
      </x:c>
      <x:c r="C4" s="159" t="n">
        <x:f>INDEX(Sources!$E:$E,MATCH("H.CF.NET_INCOME.FY2022",Sources!$A:$A,0))</x:f>
        <x:v>-143.259</x:v>
      </x:c>
      <x:c r="D4" s="159" t="n">
        <x:f>INDEX(Sources!$E:$E,MATCH("H.CF.NET_INCOME.FY2023",Sources!$A:$A,0))</x:f>
        <x:v>73.071</x:v>
      </x:c>
      <x:c r="E4" s="159" t="n">
        <x:f>INDEX(Sources!$E:$E,MATCH("H.CF.NET_INCOME.FY2024",Sources!$A:$A,0))</x:f>
        <x:v>61.311</x:v>
      </x:c>
      <x:c r="F4" s="159" t="n">
        <x:f>INDEX(Sources!$E:$E,MATCH("H.CF.NET_INCOME.FY2025",Sources!$A:$A,0))</x:f>
        <x:v>106.739</x:v>
      </x:c>
      <x:c r="G4" s="160" t="n">
        <x:f>INDEX(Sources!$E:$E,MATCH("H.CF.NET_INCOME.FY2026",Sources!$A:$A,0))</x:f>
        <x:v>188.181</x:v>
      </x:c>
      <x:c r="H4" s="119"/>
      <x:c r="I4" s="119"/>
      <x:c r="J4" s="119"/>
      <x:c r="K4" s="119"/>
      <x:c r="L4" s="5"/>
    </x:row>
    <x:row r="5">
      <x:c r="A5" s="161" t="str">
        <x:v>D&amp;A</x:v>
      </x:c>
      <x:c r="B5" s="162" t="n">
        <x:f>INDEX(Sources!$E:$E,MATCH("H.CF.DA.FY2021",Sources!$A:$A,0))</x:f>
        <x:v>70.042</x:v>
      </x:c>
      <x:c r="C5" s="162" t="n">
        <x:f>INDEX(Sources!$E:$E,MATCH("H.CF.DA.FY2022",Sources!$A:$A,0))</x:f>
        <x:v>83.151</x:v>
      </x:c>
      <x:c r="D5" s="162" t="n">
        <x:f>INDEX(Sources!$E:$E,MATCH("H.CF.DA.FY2023",Sources!$A:$A,0))</x:f>
        <x:v>100.432</x:v>
      </x:c>
      <x:c r="E5" s="162" t="n">
        <x:f>INDEX(Sources!$E:$E,MATCH("H.CF.DA.FY2024",Sources!$A:$A,0))</x:f>
        <x:v>124.416</x:v>
      </x:c>
      <x:c r="F5" s="162" t="n">
        <x:f>INDEX(Sources!$E:$E,MATCH("H.CF.DA.FY2025",Sources!$A:$A,0))</x:f>
        <x:v>126.654</x:v>
      </x:c>
      <x:c r="G5" s="163" t="n">
        <x:f>INDEX(Sources!$E:$E,MATCH("H.CF.DA.FY2026",Sources!$A:$A,0))</x:f>
        <x:v>147.815</x:v>
      </x:c>
      <x:c r="H5" s="119"/>
      <x:c r="I5" s="119"/>
      <x:c r="J5" s="119"/>
      <x:c r="K5" s="119"/>
      <x:c r="L5" s="5"/>
    </x:row>
    <x:row r="6">
      <x:c r="A6" s="161" t="str">
        <x:v>Stock-based compensation</x:v>
      </x:c>
      <x:c r="B6" s="162" t="n">
        <x:f>INDEX(Sources!$E:$E,MATCH("H.CF.SBC.FY2021",Sources!$A:$A,0))</x:f>
        <x:v>242.344</x:v>
      </x:c>
      <x:c r="C6" s="162" t="n">
        <x:f>INDEX(Sources!$E:$E,MATCH("H.CF.SBC.FY2022",Sources!$A:$A,0))</x:f>
        <x:v>286.963</x:v>
      </x:c>
      <x:c r="D6" s="162" t="n">
        <x:f>INDEX(Sources!$E:$E,MATCH("H.CF.SBC.FY2023",Sources!$A:$A,0))</x:f>
        <x:v>327.617</x:v>
      </x:c>
      <x:c r="E6" s="162" t="n">
        <x:f>INDEX(Sources!$E:$E,MATCH("H.CF.SBC.FY2024",Sources!$A:$A,0))</x:f>
        <x:v>331.427</x:v>
      </x:c>
      <x:c r="F6" s="162" t="n">
        <x:f>INDEX(Sources!$E:$E,MATCH("H.CF.SBC.FY2025",Sources!$A:$A,0))</x:f>
        <x:v>421.306</x:v>
      </x:c>
      <x:c r="G6" s="163" t="n">
        <x:f>INDEX(Sources!$E:$E,MATCH("H.CF.SBC.FY2026",Sources!$A:$A,0))</x:f>
        <x:v>481.652</x:v>
      </x:c>
      <x:c r="H6" s="119"/>
      <x:c r="I6" s="119"/>
      <x:c r="J6" s="119"/>
      <x:c r="K6" s="119"/>
      <x:c r="L6" s="5"/>
    </x:row>
    <x:row r="7">
      <x:c r="A7" s="161" t="str">
        <x:v>Deferred taxes</x:v>
      </x:c>
      <x:c r="B7" s="162" t="n">
        <x:f>INDEX(Sources!$E:$E,MATCH("H.CF.DEFERRED_TAXES.FY2021",Sources!$A:$A,0))</x:f>
        <x:v>0</x:v>
      </x:c>
      <x:c r="C7" s="162" t="n">
        <x:f>INDEX(Sources!$E:$E,MATCH("H.CF.DEFERRED_TAXES.FY2022",Sources!$A:$A,0))</x:f>
        <x:v>0</x:v>
      </x:c>
      <x:c r="D7" s="162" t="n">
        <x:f>INDEX(Sources!$E:$E,MATCH("H.CF.DEFERRED_TAXES.FY2023",Sources!$A:$A,0))</x:f>
        <x:v>0</x:v>
      </x:c>
      <x:c r="E7" s="162" t="n">
        <x:f>INDEX(Sources!$E:$E,MATCH("H.CF.DEFERRED_TAXES.FY2024",Sources!$A:$A,0))</x:f>
        <x:v>0</x:v>
      </x:c>
      <x:c r="F7" s="162" t="n">
        <x:f>INDEX(Sources!$E:$E,MATCH("H.CF.DEFERRED_TAXES.FY2025",Sources!$A:$A,0))</x:f>
        <x:v>0</x:v>
      </x:c>
      <x:c r="G7" s="163" t="n">
        <x:f>INDEX(Sources!$E:$E,MATCH("H.CF.DEFERRED_TAXES.FY2026",Sources!$A:$A,0))</x:f>
        <x:v>0</x:v>
      </x:c>
      <x:c r="H7" s="119"/>
      <x:c r="I7" s="119"/>
      <x:c r="J7" s="119"/>
      <x:c r="K7" s="119"/>
      <x:c r="L7" s="5"/>
    </x:row>
    <x:row r="8">
      <x:c r="A8" s="161" t="str">
        <x:v>Other non-cash items</x:v>
      </x:c>
      <x:c r="B8" s="162" t="n">
        <x:f>INDEX(Sources!$E:$E,MATCH("H.CF.OTHER_NONCASH.FY2021",Sources!$A:$A,0))</x:f>
        <x:v>43.915</x:v>
      </x:c>
      <x:c r="C8" s="162" t="n">
        <x:f>INDEX(Sources!$E:$E,MATCH("H.CF.OTHER_NONCASH.FY2022",Sources!$A:$A,0))</x:f>
        <x:v>45.123</x:v>
      </x:c>
      <x:c r="D8" s="162" t="n">
        <x:f>INDEX(Sources!$E:$E,MATCH("H.CF.OTHER_NONCASH.FY2023",Sources!$A:$A,0))</x:f>
        <x:v>7.355</x:v>
      </x:c>
      <x:c r="E8" s="162" t="n">
        <x:f>INDEX(Sources!$E:$E,MATCH("H.CF.OTHER_NONCASH.FY2024",Sources!$A:$A,0))</x:f>
        <x:v>18.325</x:v>
      </x:c>
      <x:c r="F8" s="162" t="n">
        <x:f>INDEX(Sources!$E:$E,MATCH("H.CF.OTHER_NONCASH.FY2025",Sources!$A:$A,0))</x:f>
        <x:v>12.798</x:v>
      </x:c>
      <x:c r="G8" s="163" t="n">
        <x:f>INDEX(Sources!$E:$E,MATCH("H.CF.OTHER_NONCASH.FY2026",Sources!$A:$A,0))</x:f>
        <x:v>-13.138</x:v>
      </x:c>
      <x:c r="H8" s="119"/>
      <x:c r="I8" s="119"/>
      <x:c r="J8" s="119"/>
      <x:c r="K8" s="119"/>
      <x:c r="L8" s="5"/>
    </x:row>
    <x:row r="9">
      <x:c r="A9" s="161" t="str">
        <x:v>Change in AR</x:v>
      </x:c>
      <x:c r="B9" s="162" t="n">
        <x:f>INDEX(Sources!$E:$E,MATCH("H.CF.CHANGE_AR.FY2021",Sources!$A:$A,0))</x:f>
        <x:v>0.41</x:v>
      </x:c>
      <x:c r="C9" s="162" t="n">
        <x:f>INDEX(Sources!$E:$E,MATCH("H.CF.CHANGE_AR.FY2022",Sources!$A:$A,0))</x:f>
        <x:v>-81.247</x:v>
      </x:c>
      <x:c r="D9" s="162" t="n">
        <x:f>INDEX(Sources!$E:$E,MATCH("H.CF.CHANGE_AR.FY2023",Sources!$A:$A,0))</x:f>
        <x:v>-70.724</x:v>
      </x:c>
      <x:c r="E9" s="162" t="n">
        <x:f>INDEX(Sources!$E:$E,MATCH("H.CF.CHANGE_AR.FY2024",Sources!$A:$A,0))</x:f>
        <x:v>-49.687</x:v>
      </x:c>
      <x:c r="F9" s="162" t="n">
        <x:f>INDEX(Sources!$E:$E,MATCH("H.CF.CHANGE_AR.FY2025",Sources!$A:$A,0))</x:f>
        <x:v>-18.64</x:v>
      </x:c>
      <x:c r="G9" s="163" t="n">
        <x:f>INDEX(Sources!$E:$E,MATCH("H.CF.CHANGE_AR.FY2026",Sources!$A:$A,0))</x:f>
        <x:v>-264.051</x:v>
      </x:c>
      <x:c r="H9" s="119"/>
      <x:c r="I9" s="119"/>
      <x:c r="J9" s="119"/>
      <x:c r="K9" s="119"/>
      <x:c r="L9" s="5"/>
    </x:row>
    <x:row r="10">
      <x:c r="A10" s="161" t="str">
        <x:v>Change in inventory</x:v>
      </x:c>
      <x:c r="B10" s="162" t="n">
        <x:f>INDEX(Sources!$E:$E,MATCH("H.CF.CHANGE_INVENTORY.FY2021",Sources!$A:$A,0))</x:f>
        <x:v>-8.69</x:v>
      </x:c>
      <x:c r="C10" s="162" t="n">
        <x:f>INDEX(Sources!$E:$E,MATCH("H.CF.CHANGE_INVENTORY.FY2022",Sources!$A:$A,0))</x:f>
        <x:v>4.118</x:v>
      </x:c>
      <x:c r="D10" s="162" t="n">
        <x:f>INDEX(Sources!$E:$E,MATCH("H.CF.CHANGE_INVENTORY.FY2023",Sources!$A:$A,0))</x:f>
        <x:v>-10.619</x:v>
      </x:c>
      <x:c r="E10" s="162" t="n">
        <x:f>INDEX(Sources!$E:$E,MATCH("H.CF.CHANGE_INVENTORY.FY2024",Sources!$A:$A,0))</x:f>
        <x:v>6.81</x:v>
      </x:c>
      <x:c r="F10" s="162" t="n">
        <x:f>INDEX(Sources!$E:$E,MATCH("H.CF.CHANGE_INVENTORY.FY2025",Sources!$A:$A,0))</x:f>
        <x:v>-1.039</x:v>
      </x:c>
      <x:c r="G10" s="163" t="n">
        <x:f>INDEX(Sources!$E:$E,MATCH("H.CF.CHANGE_INVENTORY.FY2026",Sources!$A:$A,0))</x:f>
        <x:v>-35.807</x:v>
      </x:c>
      <x:c r="H10" s="119"/>
      <x:c r="I10" s="119"/>
      <x:c r="J10" s="119"/>
      <x:c r="K10" s="119"/>
      <x:c r="L10" s="5"/>
    </x:row>
    <x:row r="11">
      <x:c r="A11" s="161" t="str">
        <x:v>Change in deferred commissions</x:v>
      </x:c>
      <x:c r="B11" s="162" t="n">
        <x:f>INDEX(Sources!$E:$E,MATCH("H.CF.CHANGE_DEFERRED_COMMISSIONS.FY2021",Sources!$A:$A,0))</x:f>
        <x:v>-48.721</x:v>
      </x:c>
      <x:c r="C11" s="162" t="n">
        <x:f>INDEX(Sources!$E:$E,MATCH("H.CF.CHANGE_DEFERRED_COMMISSIONS.FY2022",Sources!$A:$A,0))</x:f>
        <x:v>-58.383</x:v>
      </x:c>
      <x:c r="D11" s="162" t="n">
        <x:f>INDEX(Sources!$E:$E,MATCH("H.CF.CHANGE_DEFERRED_COMMISSIONS.FY2023",Sources!$A:$A,0))</x:f>
        <x:v>0.451</x:v>
      </x:c>
      <x:c r="E11" s="162" t="n">
        <x:f>INDEX(Sources!$E:$E,MATCH("H.CF.CHANGE_DEFERRED_COMMISSIONS.FY2024",Sources!$A:$A,0))</x:f>
        <x:v>-58.476</x:v>
      </x:c>
      <x:c r="F11" s="162" t="n">
        <x:f>INDEX(Sources!$E:$E,MATCH("H.CF.CHANGE_DEFERRED_COMMISSIONS.FY2025",Sources!$A:$A,0))</x:f>
        <x:v>-24.289</x:v>
      </x:c>
      <x:c r="G11" s="163" t="n">
        <x:f>INDEX(Sources!$E:$E,MATCH("H.CF.CHANGE_DEFERRED_COMMISSIONS.FY2026",Sources!$A:$A,0))</x:f>
        <x:v>-90.949</x:v>
      </x:c>
      <x:c r="H11" s="119"/>
      <x:c r="I11" s="119"/>
      <x:c r="J11" s="119"/>
      <x:c r="K11" s="119"/>
      <x:c r="L11" s="5"/>
    </x:row>
    <x:row r="12">
      <x:c r="A12" s="161" t="str">
        <x:v>Change in prepaids</x:v>
      </x:c>
      <x:c r="B12" s="162" t="n">
        <x:f>INDEX(Sources!$E:$E,MATCH("H.CF.CHANGE_PREPAIDS.FY2021",Sources!$A:$A,0))</x:f>
        <x:v>-33.982</x:v>
      </x:c>
      <x:c r="C12" s="162" t="n">
        <x:f>INDEX(Sources!$E:$E,MATCH("H.CF.CHANGE_PREPAIDS.FY2022",Sources!$A:$A,0))</x:f>
        <x:v>-25.788</x:v>
      </x:c>
      <x:c r="D12" s="162" t="n">
        <x:f>INDEX(Sources!$E:$E,MATCH("H.CF.CHANGE_PREPAIDS.FY2023",Sources!$A:$A,0))</x:f>
        <x:v>-31.58</x:v>
      </x:c>
      <x:c r="E12" s="162" t="n">
        <x:f>INDEX(Sources!$E:$E,MATCH("H.CF.CHANGE_PREPAIDS.FY2024",Sources!$A:$A,0))</x:f>
        <x:v>-25.669</x:v>
      </x:c>
      <x:c r="F12" s="162" t="n">
        <x:f>INDEX(Sources!$E:$E,MATCH("H.CF.CHANGE_PREPAIDS.FY2025",Sources!$A:$A,0))</x:f>
        <x:v>-121.657</x:v>
      </x:c>
      <x:c r="G12" s="163" t="n">
        <x:f>INDEX(Sources!$E:$E,MATCH("H.CF.CHANGE_PREPAIDS.FY2026",Sources!$A:$A,0))</x:f>
        <x:v>-159.863</x:v>
      </x:c>
      <x:c r="H12" s="119"/>
      <x:c r="I12" s="119"/>
      <x:c r="J12" s="119"/>
      <x:c r="K12" s="119"/>
      <x:c r="L12" s="5"/>
    </x:row>
    <x:row r="13">
      <x:c r="A13" s="161" t="str">
        <x:v>Change in operating lease ROU assets</x:v>
      </x:c>
      <x:c r="B13" s="162" t="n">
        <x:f>INDEX(Sources!$E:$E,MATCH("H.CF.CHANGE_ROU_ASSETS.FY2021",Sources!$A:$A,0))</x:f>
        <x:v>28.804</x:v>
      </x:c>
      <x:c r="C13" s="162" t="n">
        <x:f>INDEX(Sources!$E:$E,MATCH("H.CF.CHANGE_ROU_ASSETS.FY2022",Sources!$A:$A,0))</x:f>
        <x:v>29.952</x:v>
      </x:c>
      <x:c r="D13" s="162" t="n">
        <x:f>INDEX(Sources!$E:$E,MATCH("H.CF.CHANGE_ROU_ASSETS.FY2023",Sources!$A:$A,0))</x:f>
        <x:v>33.813</x:v>
      </x:c>
      <x:c r="E13" s="162" t="n">
        <x:f>INDEX(Sources!$E:$E,MATCH("H.CF.CHANGE_ROU_ASSETS.FY2024",Sources!$A:$A,0))</x:f>
        <x:v>35.499</x:v>
      </x:c>
      <x:c r="F13" s="162" t="n">
        <x:f>INDEX(Sources!$E:$E,MATCH("H.CF.CHANGE_ROU_ASSETS.FY2025",Sources!$A:$A,0))</x:f>
        <x:v>34.162</x:v>
      </x:c>
      <x:c r="G13" s="163" t="n">
        <x:f>INDEX(Sources!$E:$E,MATCH("H.CF.CHANGE_ROU_ASSETS.FY2026",Sources!$A:$A,0))</x:f>
        <x:v>41.454</x:v>
      </x:c>
      <x:c r="H13" s="119"/>
      <x:c r="I13" s="119"/>
      <x:c r="J13" s="119"/>
      <x:c r="K13" s="119"/>
      <x:c r="L13" s="5"/>
    </x:row>
    <x:row r="14">
      <x:c r="A14" s="161" t="str">
        <x:v>Change in AP</x:v>
      </x:c>
      <x:c r="B14" s="162" t="n">
        <x:f>INDEX(Sources!$E:$E,MATCH("H.CF.CHANGE_AP.FY2021",Sources!$A:$A,0))</x:f>
        <x:v>-14.364</x:v>
      </x:c>
      <x:c r="C14" s="162" t="n">
        <x:f>INDEX(Sources!$E:$E,MATCH("H.CF.CHANGE_AP.FY2022",Sources!$A:$A,0))</x:f>
        <x:v>6.711</x:v>
      </x:c>
      <x:c r="D14" s="162" t="n">
        <x:f>INDEX(Sources!$E:$E,MATCH("H.CF.CHANGE_AP.FY2023",Sources!$A:$A,0))</x:f>
        <x:v>-7.075</x:v>
      </x:c>
      <x:c r="E14" s="162" t="n">
        <x:f>INDEX(Sources!$E:$E,MATCH("H.CF.CHANGE_AP.FY2024",Sources!$A:$A,0))</x:f>
        <x:v>13.468</x:v>
      </x:c>
      <x:c r="F14" s="162" t="n">
        <x:f>INDEX(Sources!$E:$E,MATCH("H.CF.CHANGE_AP.FY2025",Sources!$A:$A,0))</x:f>
        <x:v>30.439</x:v>
      </x:c>
      <x:c r="G14" s="163" t="n">
        <x:f>INDEX(Sources!$E:$E,MATCH("H.CF.CHANGE_AP.FY2026",Sources!$A:$A,0))</x:f>
        <x:v>37.702</x:v>
      </x:c>
      <x:c r="H14" s="119"/>
      <x:c r="I14" s="119"/>
      <x:c r="J14" s="119"/>
      <x:c r="K14" s="119"/>
      <x:c r="L14" s="5"/>
    </x:row>
    <x:row r="15">
      <x:c r="A15" s="161" t="str">
        <x:v>Change in accrued expenses</x:v>
      </x:c>
      <x:c r="B15" s="162" t="n">
        <x:f>INDEX(Sources!$E:$E,MATCH("H.CF.CHANGE_ACCRUED.FY2021",Sources!$A:$A,0))</x:f>
        <x:v>76.972</x:v>
      </x:c>
      <x:c r="C15" s="162" t="n">
        <x:f>INDEX(Sources!$E:$E,MATCH("H.CF.CHANGE_ACCRUED.FY2022",Sources!$A:$A,0))</x:f>
        <x:v>58.961</x:v>
      </x:c>
      <x:c r="D15" s="162" t="n">
        <x:f>INDEX(Sources!$E:$E,MATCH("H.CF.CHANGE_ACCRUED.FY2023",Sources!$A:$A,0))</x:f>
        <x:v>72.084</x:v>
      </x:c>
      <x:c r="E15" s="162" t="n">
        <x:f>INDEX(Sources!$E:$E,MATCH("H.CF.CHANGE_ACCRUED.FY2024",Sources!$A:$A,0))</x:f>
        <x:v>43.317</x:v>
      </x:c>
      <x:c r="F15" s="162" t="n">
        <x:f>INDEX(Sources!$E:$E,MATCH("H.CF.CHANGE_ACCRUED.FY2025",Sources!$A:$A,0))</x:f>
        <x:v>30.261</x:v>
      </x:c>
      <x:c r="G15" s="163" t="n">
        <x:f>INDEX(Sources!$E:$E,MATCH("H.CF.CHANGE_ACCRUED.FY2026",Sources!$A:$A,0))</x:f>
        <x:v>161.486</x:v>
      </x:c>
      <x:c r="H15" s="119"/>
      <x:c r="I15" s="119"/>
      <x:c r="J15" s="119"/>
      <x:c r="K15" s="119"/>
      <x:c r="L15" s="5"/>
    </x:row>
    <x:row r="16">
      <x:c r="A16" s="161" t="str">
        <x:v>Change in operating lease liabilities</x:v>
      </x:c>
      <x:c r="B16" s="162" t="n">
        <x:f>INDEX(Sources!$E:$E,MATCH("H.CF.CHANGE_LEASE_LIABILITIES.FY2021",Sources!$A:$A,0))</x:f>
        <x:v>-27.318</x:v>
      </x:c>
      <x:c r="C16" s="162" t="n">
        <x:f>INDEX(Sources!$E:$E,MATCH("H.CF.CHANGE_LEASE_LIABILITIES.FY2022",Sources!$A:$A,0))</x:f>
        <x:v>-32.351</x:v>
      </x:c>
      <x:c r="D16" s="162" t="n">
        <x:f>INDEX(Sources!$E:$E,MATCH("H.CF.CHANGE_LEASE_LIABILITIES.FY2023",Sources!$A:$A,0))</x:f>
        <x:v>-33.359</x:v>
      </x:c>
      <x:c r="E16" s="162" t="n">
        <x:f>INDEX(Sources!$E:$E,MATCH("H.CF.CHANGE_LEASE_LIABILITIES.FY2024",Sources!$A:$A,0))</x:f>
        <x:v>-31.891</x:v>
      </x:c>
      <x:c r="F16" s="162" t="n">
        <x:f>INDEX(Sources!$E:$E,MATCH("H.CF.CHANGE_LEASE_LIABILITIES.FY2025",Sources!$A:$A,0))</x:f>
        <x:v>-43.917</x:v>
      </x:c>
      <x:c r="G16" s="163" t="n">
        <x:f>INDEX(Sources!$E:$E,MATCH("H.CF.CHANGE_LEASE_LIABILITIES.FY2026",Sources!$A:$A,0))</x:f>
        <x:v>-46.591</x:v>
      </x:c>
      <x:c r="H16" s="119"/>
      <x:c r="I16" s="119"/>
      <x:c r="J16" s="119"/>
      <x:c r="K16" s="119"/>
      <x:c r="L16" s="5"/>
    </x:row>
    <x:row r="17">
      <x:c r="A17" s="161" t="str">
        <x:v>Change in deferred revenue</x:v>
      </x:c>
      <x:c r="B17" s="162" t="n">
        <x:f>INDEX(Sources!$E:$E,MATCH("H.CF.CHANGE_DEFERRED_REVENUE.FY2021",Sources!$A:$A,0))</x:f>
        <x:v>140.305</x:v>
      </x:c>
      <x:c r="C17" s="162" t="n">
        <x:f>INDEX(Sources!$E:$E,MATCH("H.CF.CHANGE_DEFERRED_REVENUE.FY2022",Sources!$A:$A,0))</x:f>
        <x:v>236.176</x:v>
      </x:c>
      <x:c r="D17" s="162" t="n">
        <x:f>INDEX(Sources!$E:$E,MATCH("H.CF.CHANGE_DEFERRED_REVENUE.FY2023",Sources!$A:$A,0))</x:f>
        <x:v>305.768</x:v>
      </x:c>
      <x:c r="E17" s="162" t="n">
        <x:f>INDEX(Sources!$E:$E,MATCH("H.CF.CHANGE_DEFERRED_REVENUE.FY2024",Sources!$A:$A,0))</x:f>
        <x:v>208.872</x:v>
      </x:c>
      <x:c r="F17" s="162" t="n">
        <x:f>INDEX(Sources!$E:$E,MATCH("H.CF.CHANGE_DEFERRED_REVENUE.FY2025",Sources!$A:$A,0))</x:f>
        <x:v>200.781</x:v>
      </x:c>
      <x:c r="G17" s="163" t="n">
        <x:f>INDEX(Sources!$E:$E,MATCH("H.CF.CHANGE_DEFERRED_REVENUE.FY2026",Sources!$A:$A,0))</x:f>
        <x:v>432.194</x:v>
      </x:c>
      <x:c r="H17" s="119"/>
      <x:c r="I17" s="119"/>
      <x:c r="J17" s="119"/>
      <x:c r="K17" s="119"/>
      <x:c r="L17" s="5"/>
    </x:row>
    <x:row r="18">
      <x:c r="A18" s="161" t="str">
        <x:v>Change in other operating assets/liabilities</x:v>
      </x:c>
      <x:c r="B18" s="162" t="n">
        <x:f>INDEX(Sources!$E:$E,MATCH("H.CF.CHANGE_OTHER_OPERATING.FY2021",Sources!$A:$A,0))</x:f>
        <x:v>0</x:v>
      </x:c>
      <x:c r="C18" s="162" t="n">
        <x:f>INDEX(Sources!$E:$E,MATCH("H.CF.CHANGE_OTHER_OPERATING.FY2022",Sources!$A:$A,0))</x:f>
        <x:v>0</x:v>
      </x:c>
      <x:c r="D18" s="162" t="n">
        <x:f>INDEX(Sources!$E:$E,MATCH("H.CF.CHANGE_OTHER_OPERATING.FY2023",Sources!$A:$A,0))</x:f>
        <x:v>0</x:v>
      </x:c>
      <x:c r="E18" s="162" t="n">
        <x:f>INDEX(Sources!$E:$E,MATCH("H.CF.CHANGE_OTHER_OPERATING.FY2024",Sources!$A:$A,0))</x:f>
        <x:v>0</x:v>
      </x:c>
      <x:c r="F18" s="162" t="n">
        <x:f>INDEX(Sources!$E:$E,MATCH("H.CF.CHANGE_OTHER_OPERATING.FY2025",Sources!$A:$A,0))</x:f>
        <x:v>0</x:v>
      </x:c>
      <x:c r="G18" s="163" t="n">
        <x:f>INDEX(Sources!$E:$E,MATCH("H.CF.CHANGE_OTHER_OPERATING.FY2026",Sources!$A:$A,0))</x:f>
        <x:v>0</x:v>
      </x:c>
      <x:c r="H18" s="119"/>
      <x:c r="I18" s="119"/>
      <x:c r="J18" s="119"/>
      <x:c r="K18" s="119"/>
      <x:c r="L18" s="5"/>
    </x:row>
    <x:row r="19">
      <x:c r="A19" s="161" t="str">
        <x:v>Cash from operations</x:v>
      </x:c>
      <x:c r="B19" s="162" t="n">
        <x:f>INDEX(Sources!$E:$E,MATCH("H.CF.CFO.FY2021",Sources!$A:$A,0))</x:f>
        <x:v>187.641</x:v>
      </x:c>
      <x:c r="C19" s="162" t="n">
        <x:f>INDEX(Sources!$E:$E,MATCH("H.CF.CFO.FY2022",Sources!$A:$A,0))</x:f>
        <x:v>410.127</x:v>
      </x:c>
      <x:c r="D19" s="162" t="n">
        <x:f>INDEX(Sources!$E:$E,MATCH("H.CF.CFO.FY2023",Sources!$A:$A,0))</x:f>
        <x:v>767.234</x:v>
      </x:c>
      <x:c r="E19" s="162" t="n">
        <x:f>INDEX(Sources!$E:$E,MATCH("H.CF.CFO.FY2024",Sources!$A:$A,0))</x:f>
        <x:v>677.722</x:v>
      </x:c>
      <x:c r="F19" s="162" t="n">
        <x:f>INDEX(Sources!$E:$E,MATCH("H.CF.CFO.FY2025",Sources!$A:$A,0))</x:f>
        <x:v>753.598</x:v>
      </x:c>
      <x:c r="G19" s="163" t="n">
        <x:f>INDEX(Sources!$E:$E,MATCH("H.CF.CFO.FY2026",Sources!$A:$A,0))</x:f>
        <x:v>880.085</x:v>
      </x:c>
      <x:c r="H19" s="119"/>
      <x:c r="I19" s="119"/>
      <x:c r="J19" s="119"/>
      <x:c r="K19" s="119"/>
      <x:c r="L19" s="5"/>
    </x:row>
    <x:row r="20">
      <x:c r="A20" s="161" t="str">
        <x:v>Capex</x:v>
      </x:c>
      <x:c r="B20" s="162" t="n">
        <x:f>INDEX(Sources!$E:$E,MATCH("H.CF.CAPEX.FY2021",Sources!$A:$A,0))</x:f>
        <x:v>-94.975</x:v>
      </x:c>
      <x:c r="C20" s="162" t="n">
        <x:f>INDEX(Sources!$E:$E,MATCH("H.CF.CAPEX.FY2022",Sources!$A:$A,0))</x:f>
        <x:v>-102.287</x:v>
      </x:c>
      <x:c r="D20" s="162" t="n">
        <x:f>INDEX(Sources!$E:$E,MATCH("H.CF.CAPEX.FY2023",Sources!$A:$A,0))</x:f>
        <x:v>-158.139</x:v>
      </x:c>
      <x:c r="E20" s="162" t="n">
        <x:f>INDEX(Sources!$E:$E,MATCH("H.CF.CAPEX.FY2024",Sources!$A:$A,0))</x:f>
        <x:v>-195.161</x:v>
      </x:c>
      <x:c r="F20" s="162" t="n">
        <x:f>INDEX(Sources!$E:$E,MATCH("H.CF.CAPEX.FY2025",Sources!$A:$A,0))</x:f>
        <x:v>-226.727</x:v>
      </x:c>
      <x:c r="G20" s="163" t="n">
        <x:f>INDEX(Sources!$E:$E,MATCH("H.CF.CAPEX.FY2026",Sources!$A:$A,0))</x:f>
        <x:v>-264.344</x:v>
      </x:c>
      <x:c r="H20" s="119"/>
      <x:c r="I20" s="119"/>
      <x:c r="J20" s="119"/>
      <x:c r="K20" s="119"/>
      <x:c r="L20" s="5"/>
    </x:row>
    <x:row r="21">
      <x:c r="A21" s="161" t="str">
        <x:v>Acquisitions, net of cash</x:v>
      </x:c>
      <x:c r="B21" s="162" t="n">
        <x:f>INDEX(Sources!$E:$E,MATCH("H.CF.ACQUISITIONS.FY2021",Sources!$A:$A,0))</x:f>
        <x:v>-339.641</x:v>
      </x:c>
      <x:c r="C21" s="162" t="n">
        <x:f>INDEX(Sources!$E:$E,MATCH("H.CF.ACQUISITIONS.FY2022",Sources!$A:$A,0))</x:f>
        <x:v>0</x:v>
      </x:c>
      <x:c r="D21" s="162" t="n">
        <x:f>INDEX(Sources!$E:$E,MATCH("H.CF.ACQUISITIONS.FY2023",Sources!$A:$A,0))</x:f>
        <x:v>-1.989</x:v>
      </x:c>
      <x:c r="E21" s="162" t="n">
        <x:f>INDEX(Sources!$E:$E,MATCH("H.CF.ACQUISITIONS.FY2024",Sources!$A:$A,0))</x:f>
        <x:v>0</x:v>
      </x:c>
      <x:c r="F21" s="162" t="n">
        <x:f>INDEX(Sources!$E:$E,MATCH("H.CF.ACQUISITIONS.FY2025",Sources!$A:$A,0))</x:f>
        <x:v>0</x:v>
      </x:c>
      <x:c r="G21" s="163" t="n">
        <x:f>INDEX(Sources!$E:$E,MATCH("H.CF.ACQUISITIONS.FY2026",Sources!$A:$A,0))</x:f>
        <x:v>-4.263</x:v>
      </x:c>
      <x:c r="H21" s="119"/>
      <x:c r="I21" s="119"/>
      <x:c r="J21" s="119"/>
      <x:c r="K21" s="119"/>
      <x:c r="L21" s="5"/>
    </x:row>
    <x:row r="22">
      <x:c r="A22" s="161" t="str">
        <x:v>Purchases of investments</x:v>
      </x:c>
      <x:c r="B22" s="162" t="n">
        <x:f>INDEX(Sources!$E:$E,MATCH("H.CF.PURCHASES_INVESTMENTS.FY2021",Sources!$A:$A,0))</x:f>
        <x:v>-573.959</x:v>
      </x:c>
      <x:c r="C22" s="162" t="n">
        <x:f>INDEX(Sources!$E:$E,MATCH("H.CF.PURCHASES_INVESTMENTS.FY2022",Sources!$A:$A,0))</x:f>
        <x:v>-617.043</x:v>
      </x:c>
      <x:c r="D22" s="162" t="n">
        <x:f>INDEX(Sources!$E:$E,MATCH("H.CF.PURCHASES_INVESTMENTS.FY2023",Sources!$A:$A,0))</x:f>
        <x:v>-501.435</x:v>
      </x:c>
      <x:c r="E22" s="162" t="n">
        <x:f>INDEX(Sources!$E:$E,MATCH("H.CF.PURCHASES_INVESTMENTS.FY2024",Sources!$A:$A,0))</x:f>
        <x:v>-471.501</x:v>
      </x:c>
      <x:c r="F22" s="162" t="n">
        <x:f>INDEX(Sources!$E:$E,MATCH("H.CF.PURCHASES_INVESTMENTS.FY2025",Sources!$A:$A,0))</x:f>
        <x:v>-502.827</x:v>
      </x:c>
      <x:c r="G22" s="163" t="n">
        <x:f>INDEX(Sources!$E:$E,MATCH("H.CF.PURCHASES_INVESTMENTS.FY2026",Sources!$A:$A,0))</x:f>
        <x:v>-461.545</x:v>
      </x:c>
      <x:c r="H22" s="119"/>
      <x:c r="I22" s="119"/>
      <x:c r="J22" s="119"/>
      <x:c r="K22" s="119"/>
      <x:c r="L22" s="5"/>
    </x:row>
    <x:row r="23">
      <x:c r="A23" s="161" t="str">
        <x:v>Sales/maturities of investments</x:v>
      </x:c>
      <x:c r="B23" s="162" t="n">
        <x:f>INDEX(Sources!$E:$E,MATCH("H.CF.SALES_MATURITIES_INVESTMENTS.FY2021",Sources!$A:$A,0))</x:f>
        <x:v>595.466</x:v>
      </x:c>
      <x:c r="C23" s="162" t="n">
        <x:f>INDEX(Sources!$E:$E,MATCH("H.CF.SALES_MATURITIES_INVESTMENTS.FY2022",Sources!$A:$A,0))</x:f>
        <x:v>566.647</x:v>
      </x:c>
      <x:c r="D23" s="162" t="n">
        <x:f>INDEX(Sources!$E:$E,MATCH("H.CF.SALES_MATURITIES_INVESTMENTS.FY2023",Sources!$A:$A,0))</x:f>
        <x:v>440.15</x:v>
      </x:c>
      <x:c r="E23" s="162" t="n">
        <x:f>INDEX(Sources!$E:$E,MATCH("H.CF.SALES_MATURITIES_INVESTMENTS.FY2024",Sources!$A:$A,0))</x:f>
        <x:v>664.908</x:v>
      </x:c>
      <x:c r="F23" s="162" t="n">
        <x:f>INDEX(Sources!$E:$E,MATCH("H.CF.SALES_MATURITIES_INVESTMENTS.FY2025",Sources!$A:$A,0))</x:f>
        <x:v>513.104</x:v>
      </x:c>
      <x:c r="G23" s="163" t="n">
        <x:f>INDEX(Sources!$E:$E,MATCH("H.CF.SALES_MATURITIES_INVESTMENTS.FY2026",Sources!$A:$A,0))</x:f>
        <x:v>622.363</x:v>
      </x:c>
      <x:c r="H23" s="119"/>
      <x:c r="I23" s="119"/>
      <x:c r="J23" s="119"/>
      <x:c r="K23" s="119"/>
      <x:c r="L23" s="5"/>
    </x:row>
    <x:row r="24">
      <x:c r="A24" s="161" t="str">
        <x:v>Other investing</x:v>
      </x:c>
      <x:c r="B24" s="162" t="n">
        <x:f>INDEX(Sources!$E:$E,MATCH("H.CF.OTHER_INVESTING.FY2021",Sources!$A:$A,0))</x:f>
        <x:v>-5</x:v>
      </x:c>
      <x:c r="C24" s="162" t="n">
        <x:f>INDEX(Sources!$E:$E,MATCH("H.CF.OTHER_INVESTING.FY2022",Sources!$A:$A,0))</x:f>
        <x:v>-0.6</x:v>
      </x:c>
      <x:c r="D24" s="162" t="n">
        <x:f>INDEX(Sources!$E:$E,MATCH("H.CF.OTHER_INVESTING.FY2023",Sources!$A:$A,0))</x:f>
        <x:v>0</x:v>
      </x:c>
      <x:c r="E24" s="162" t="n">
        <x:f>INDEX(Sources!$E:$E,MATCH("H.CF.OTHER_INVESTING.FY2024",Sources!$A:$A,0))</x:f>
        <x:v>5</x:v>
      </x:c>
      <x:c r="F24" s="162" t="n">
        <x:f>INDEX(Sources!$E:$E,MATCH("H.CF.OTHER_INVESTING.FY2025",Sources!$A:$A,0))</x:f>
        <x:v>-1.75</x:v>
      </x:c>
      <x:c r="G24" s="163" t="n">
        <x:f>INDEX(Sources!$E:$E,MATCH("H.CF.OTHER_INVESTING.FY2026",Sources!$A:$A,0))</x:f>
        <x:v>-0.28</x:v>
      </x:c>
      <x:c r="H24" s="119"/>
      <x:c r="I24" s="119"/>
      <x:c r="J24" s="119"/>
      <x:c r="K24" s="119"/>
      <x:c r="L24" s="5"/>
    </x:row>
    <x:row r="25">
      <x:c r="A25" s="161" t="str">
        <x:v>Cash from investing</x:v>
      </x:c>
      <x:c r="B25" s="162" t="n">
        <x:f>INDEX(Sources!$E:$E,MATCH("H.CF.CFI.FY2021",Sources!$A:$A,0))</x:f>
        <x:v>-418.109</x:v>
      </x:c>
      <x:c r="C25" s="162" t="n">
        <x:f>INDEX(Sources!$E:$E,MATCH("H.CF.CFI.FY2022",Sources!$A:$A,0))</x:f>
        <x:v>-153.283</x:v>
      </x:c>
      <x:c r="D25" s="162" t="n">
        <x:f>INDEX(Sources!$E:$E,MATCH("H.CF.CFI.FY2023",Sources!$A:$A,0))</x:f>
        <x:v>-221.413</x:v>
      </x:c>
      <x:c r="E25" s="162" t="n">
        <x:f>INDEX(Sources!$E:$E,MATCH("H.CF.CFI.FY2024",Sources!$A:$A,0))</x:f>
        <x:v>3.246</x:v>
      </x:c>
      <x:c r="F25" s="162" t="n">
        <x:f>INDEX(Sources!$E:$E,MATCH("H.CF.CFI.FY2025",Sources!$A:$A,0))</x:f>
        <x:v>-218.2</x:v>
      </x:c>
      <x:c r="G25" s="163" t="n">
        <x:f>INDEX(Sources!$E:$E,MATCH("H.CF.CFI.FY2026",Sources!$A:$A,0))</x:f>
        <x:v>-108.069</x:v>
      </x:c>
      <x:c r="H25" s="119"/>
      <x:c r="I25" s="119"/>
      <x:c r="J25" s="119"/>
      <x:c r="K25" s="119"/>
      <x:c r="L25" s="5"/>
    </x:row>
    <x:row r="26">
      <x:c r="A26" s="161" t="str">
        <x:v>Debt issuance</x:v>
      </x:c>
      <x:c r="B26" s="162" t="n">
        <x:f>INDEX(Sources!$E:$E,MATCH("H.CF.DEBT_ISSUANCE.FY2021",Sources!$A:$A,0))</x:f>
        <x:v>251.892</x:v>
      </x:c>
      <x:c r="C26" s="162" t="n">
        <x:f>INDEX(Sources!$E:$E,MATCH("H.CF.DEBT_ISSUANCE.FY2022",Sources!$A:$A,0))</x:f>
        <x:v>0</x:v>
      </x:c>
      <x:c r="D26" s="162" t="n">
        <x:f>INDEX(Sources!$E:$E,MATCH("H.CF.DEBT_ISSUANCE.FY2023",Sources!$A:$A,0))</x:f>
        <x:v>0</x:v>
      </x:c>
      <x:c r="E26" s="162" t="n">
        <x:f>INDEX(Sources!$E:$E,MATCH("H.CF.DEBT_ISSUANCE.FY2024",Sources!$A:$A,0))</x:f>
        <x:v>106.89</x:v>
      </x:c>
      <x:c r="F26" s="162" t="n">
        <x:f>INDEX(Sources!$E:$E,MATCH("H.CF.DEBT_ISSUANCE.FY2025",Sources!$A:$A,0))</x:f>
        <x:v>0</x:v>
      </x:c>
      <x:c r="G26" s="163" t="n">
        <x:f>INDEX(Sources!$E:$E,MATCH("H.CF.DEBT_ISSUANCE.FY2026",Sources!$A:$A,0))</x:f>
        <x:v>0</x:v>
      </x:c>
      <x:c r="H26" s="119"/>
      <x:c r="I26" s="119"/>
      <x:c r="J26" s="119"/>
      <x:c r="K26" s="119"/>
      <x:c r="L26" s="5"/>
    </x:row>
    <x:row r="27">
      <x:c r="A27" s="161" t="str">
        <x:v>Debt repayment</x:v>
      </x:c>
      <x:c r="B27" s="162" t="n">
        <x:f>INDEX(Sources!$E:$E,MATCH("H.CF.DEBT_REPAYMENT.FY2021",Sources!$A:$A,0))</x:f>
        <x:v>0</x:v>
      </x:c>
      <x:c r="C27" s="162" t="n">
        <x:f>INDEX(Sources!$E:$E,MATCH("H.CF.DEBT_REPAYMENT.FY2022",Sources!$A:$A,0))</x:f>
        <x:v>-2.137</x:v>
      </x:c>
      <x:c r="D27" s="162" t="n">
        <x:f>INDEX(Sources!$E:$E,MATCH("H.CF.DEBT_REPAYMENT.FY2023",Sources!$A:$A,0))</x:f>
        <x:v>-257.24</x:v>
      </x:c>
      <x:c r="E27" s="162" t="n">
        <x:f>INDEX(Sources!$E:$E,MATCH("H.CF.DEBT_REPAYMENT.FY2024",Sources!$A:$A,0))</x:f>
        <x:v>-586.199</x:v>
      </x:c>
      <x:c r="F27" s="162" t="n">
        <x:f>INDEX(Sources!$E:$E,MATCH("H.CF.DEBT_REPAYMENT.FY2025",Sources!$A:$A,0))</x:f>
        <x:v>-8.118</x:v>
      </x:c>
      <x:c r="G27" s="163" t="n">
        <x:f>INDEX(Sources!$E:$E,MATCH("H.CF.DEBT_REPAYMENT.FY2026",Sources!$A:$A,0))</x:f>
        <x:v>-103.534</x:v>
      </x:c>
      <x:c r="H27" s="119"/>
      <x:c r="I27" s="119"/>
      <x:c r="J27" s="119"/>
      <x:c r="K27" s="119"/>
      <x:c r="L27" s="5"/>
    </x:row>
    <x:row r="28">
      <x:c r="A28" s="161" t="str">
        <x:v>Equity issuance (employee stock plans)</x:v>
      </x:c>
      <x:c r="B28" s="162" t="n">
        <x:f>INDEX(Sources!$E:$E,MATCH("H.CF.EQUITY_ISSUANCE.FY2021",Sources!$A:$A,0))</x:f>
        <x:v>91.778</x:v>
      </x:c>
      <x:c r="C28" s="162" t="n">
        <x:f>INDEX(Sources!$E:$E,MATCH("H.CF.EQUITY_ISSUANCE.FY2022",Sources!$A:$A,0))</x:f>
        <x:v>85.35</x:v>
      </x:c>
      <x:c r="D28" s="162" t="n">
        <x:f>INDEX(Sources!$E:$E,MATCH("H.CF.EQUITY_ISSUANCE.FY2023",Sources!$A:$A,0))</x:f>
        <x:v>64.743</x:v>
      </x:c>
      <x:c r="E28" s="162" t="n">
        <x:f>INDEX(Sources!$E:$E,MATCH("H.CF.EQUITY_ISSUANCE.FY2024",Sources!$A:$A,0))</x:f>
        <x:v>84.859</x:v>
      </x:c>
      <x:c r="F28" s="162" t="n">
        <x:f>INDEX(Sources!$E:$E,MATCH("H.CF.EQUITY_ISSUANCE.FY2025",Sources!$A:$A,0))</x:f>
        <x:v>78.903</x:v>
      </x:c>
      <x:c r="G28" s="163" t="n">
        <x:f>INDEX(Sources!$E:$E,MATCH("H.CF.EQUITY_ISSUANCE.FY2026",Sources!$A:$A,0))</x:f>
        <x:v>74.419</x:v>
      </x:c>
      <x:c r="H28" s="119"/>
      <x:c r="I28" s="119"/>
      <x:c r="J28" s="119"/>
      <x:c r="K28" s="119"/>
      <x:c r="L28" s="5"/>
    </x:row>
    <x:row r="29">
      <x:c r="A29" s="161" t="str">
        <x:v>Share repurchases</x:v>
      </x:c>
      <x:c r="B29" s="162" t="n">
        <x:f>INDEX(Sources!$E:$E,MATCH("H.CF.SHARE_REPURCHASES.FY2021",Sources!$A:$A,0))</x:f>
        <x:v>-135.175</x:v>
      </x:c>
      <x:c r="C29" s="162" t="n">
        <x:f>INDEX(Sources!$E:$E,MATCH("H.CF.SHARE_REPURCHASES.FY2022",Sources!$A:$A,0))</x:f>
        <x:v>-200.17</x:v>
      </x:c>
      <x:c r="D29" s="162" t="n">
        <x:f>INDEX(Sources!$E:$E,MATCH("H.CF.SHARE_REPURCHASES.FY2023",Sources!$A:$A,0))</x:f>
        <x:v>-219.068</x:v>
      </x:c>
      <x:c r="E29" s="162" t="n">
        <x:f>INDEX(Sources!$E:$E,MATCH("H.CF.SHARE_REPURCHASES.FY2024",Sources!$A:$A,0))</x:f>
        <x:v>-135.801</x:v>
      </x:c>
      <x:c r="F29" s="162" t="n">
        <x:f>INDEX(Sources!$E:$E,MATCH("H.CF.SHARE_REPURCHASES.FY2025",Sources!$A:$A,0))</x:f>
        <x:v>-373.977</x:v>
      </x:c>
      <x:c r="G29" s="163" t="n">
        <x:f>INDEX(Sources!$E:$E,MATCH("H.CF.SHARE_REPURCHASES.FY2026",Sources!$A:$A,0))</x:f>
        <x:v>-342.648</x:v>
      </x:c>
      <x:c r="H29" s="119"/>
      <x:c r="I29" s="119"/>
      <x:c r="J29" s="119"/>
      <x:c r="K29" s="119"/>
      <x:c r="L29" s="5"/>
    </x:row>
    <x:row r="30">
      <x:c r="A30" s="161" t="str">
        <x:v>Dividends paid</x:v>
      </x:c>
      <x:c r="B30" s="162" t="n">
        <x:f>INDEX(Sources!$E:$E,MATCH("H.CF.DIVIDENDS_PAID.FY2021",Sources!$A:$A,0))</x:f>
        <x:v>0</x:v>
      </x:c>
      <x:c r="C30" s="162" t="n">
        <x:f>INDEX(Sources!$E:$E,MATCH("H.CF.DIVIDENDS_PAID.FY2022",Sources!$A:$A,0))</x:f>
        <x:v>0</x:v>
      </x:c>
      <x:c r="D30" s="162" t="n">
        <x:f>INDEX(Sources!$E:$E,MATCH("H.CF.DIVIDENDS_PAID.FY2023",Sources!$A:$A,0))</x:f>
        <x:v>0</x:v>
      </x:c>
      <x:c r="E30" s="162" t="n">
        <x:f>INDEX(Sources!$E:$E,MATCH("H.CF.DIVIDENDS_PAID.FY2024",Sources!$A:$A,0))</x:f>
        <x:v>0</x:v>
      </x:c>
      <x:c r="F30" s="162" t="n">
        <x:f>INDEX(Sources!$E:$E,MATCH("H.CF.DIVIDENDS_PAID.FY2025",Sources!$A:$A,0))</x:f>
        <x:v>0</x:v>
      </x:c>
      <x:c r="G30" s="163" t="n">
        <x:f>INDEX(Sources!$E:$E,MATCH("H.CF.DIVIDENDS_PAID.FY2026",Sources!$A:$A,0))</x:f>
        <x:v>0</x:v>
      </x:c>
      <x:c r="H30" s="119"/>
      <x:c r="I30" s="119"/>
      <x:c r="J30" s="119"/>
      <x:c r="K30" s="119"/>
      <x:c r="L30" s="5"/>
    </x:row>
    <x:row r="31">
      <x:c r="A31" s="161" t="str">
        <x:v>Other financing</x:v>
      </x:c>
      <x:c r="B31" s="162" t="n">
        <x:f>INDEX(Sources!$E:$E,MATCH("H.CF.OTHER_FINANCING.FY2021",Sources!$A:$A,0))</x:f>
        <x:v>-8.258</x:v>
      </x:c>
      <x:c r="C31" s="162" t="n">
        <x:f>INDEX(Sources!$E:$E,MATCH("H.CF.OTHER_FINANCING.FY2022",Sources!$A:$A,0))</x:f>
        <x:v>-10.835</x:v>
      </x:c>
      <x:c r="D31" s="162" t="n">
        <x:f>INDEX(Sources!$E:$E,MATCH("H.CF.OTHER_FINANCING.FY2023",Sources!$A:$A,0))</x:f>
        <x:v>-19.601</x:v>
      </x:c>
      <x:c r="E31" s="162" t="n">
        <x:f>INDEX(Sources!$E:$E,MATCH("H.CF.OTHER_FINANCING.FY2024",Sources!$A:$A,0))</x:f>
        <x:v>-29.984</x:v>
      </x:c>
      <x:c r="F31" s="162" t="n">
        <x:f>INDEX(Sources!$E:$E,MATCH("H.CF.OTHER_FINANCING.FY2025",Sources!$A:$A,0))</x:f>
        <x:v>-206.587</x:v>
      </x:c>
      <x:c r="G31" s="163" t="n">
        <x:f>INDEX(Sources!$E:$E,MATCH("H.CF.OTHER_FINANCING.FY2026",Sources!$A:$A,0))</x:f>
        <x:v>-272.668</x:v>
      </x:c>
      <x:c r="H31" s="119"/>
      <x:c r="I31" s="119"/>
      <x:c r="J31" s="119"/>
      <x:c r="K31" s="119"/>
      <x:c r="L31" s="5"/>
    </x:row>
    <x:row r="32">
      <x:c r="A32" s="161" t="str">
        <x:v>Cash from financing</x:v>
      </x:c>
      <x:c r="B32" s="162" t="n">
        <x:f>INDEX(Sources!$E:$E,MATCH("H.CF.CFF.FY2021",Sources!$A:$A,0))</x:f>
        <x:v>200.237</x:v>
      </x:c>
      <x:c r="C32" s="162" t="n">
        <x:f>INDEX(Sources!$E:$E,MATCH("H.CF.CFF.FY2022",Sources!$A:$A,0))</x:f>
        <x:v>-127.792</x:v>
      </x:c>
      <x:c r="D32" s="162" t="n">
        <x:f>INDEX(Sources!$E:$E,MATCH("H.CF.CFF.FY2023",Sources!$A:$A,0))</x:f>
        <x:v>-431.166</x:v>
      </x:c>
      <x:c r="E32" s="162" t="n">
        <x:f>INDEX(Sources!$E:$E,MATCH("H.CF.CFF.FY2024",Sources!$A:$A,0))</x:f>
        <x:v>-560.235</x:v>
      </x:c>
      <x:c r="F32" s="162" t="n">
        <x:f>INDEX(Sources!$E:$E,MATCH("H.CF.CFF.FY2025",Sources!$A:$A,0))</x:f>
        <x:v>-509.779</x:v>
      </x:c>
      <x:c r="G32" s="163" t="n">
        <x:f>INDEX(Sources!$E:$E,MATCH("H.CF.CFF.FY2026",Sources!$A:$A,0))</x:f>
        <x:v>-644.787</x:v>
      </x:c>
      <x:c r="H32" s="119"/>
      <x:c r="I32" s="119"/>
      <x:c r="J32" s="119"/>
      <x:c r="K32" s="119"/>
      <x:c r="L32" s="5"/>
    </x:row>
    <x:row r="33">
      <x:c r="A33" s="161" t="str">
        <x:v>Effect of FX on cash</x:v>
      </x:c>
      <x:c r="B33" s="162" t="n">
        <x:f>INDEX(Sources!$E:$E,MATCH("H.CF.FX.FY2021",Sources!$A:$A,0))</x:f>
        <x:v>0</x:v>
      </x:c>
      <x:c r="C33" s="162" t="n">
        <x:f>INDEX(Sources!$E:$E,MATCH("H.CF.FX.FY2022",Sources!$A:$A,0))</x:f>
        <x:v>0</x:v>
      </x:c>
      <x:c r="D33" s="162" t="n">
        <x:f>INDEX(Sources!$E:$E,MATCH("H.CF.FX.FY2023",Sources!$A:$A,0))</x:f>
        <x:v>0</x:v>
      </x:c>
      <x:c r="E33" s="162" t="n">
        <x:f>INDEX(Sources!$E:$E,MATCH("H.CF.FX.FY2024",Sources!$A:$A,0))</x:f>
        <x:v>0</x:v>
      </x:c>
      <x:c r="F33" s="162" t="n">
        <x:f>INDEX(Sources!$E:$E,MATCH("H.CF.FX.FY2025",Sources!$A:$A,0))</x:f>
        <x:v>0</x:v>
      </x:c>
      <x:c r="G33" s="163" t="n">
        <x:f>INDEX(Sources!$E:$E,MATCH("H.CF.FX.FY2026",Sources!$A:$A,0))</x:f>
        <x:v>0</x:v>
      </x:c>
      <x:c r="H33" s="119"/>
      <x:c r="I33" s="119"/>
      <x:c r="J33" s="119"/>
      <x:c r="K33" s="119"/>
      <x:c r="L33" s="5"/>
    </x:row>
    <x:row r="34">
      <x:c r="A34" s="161" t="str">
        <x:v>Net change in cash</x:v>
      </x:c>
      <x:c r="B34" s="162" t="n">
        <x:f>INDEX(Sources!$E:$E,MATCH("H.CF.NET_CHANGE_CASH.FY2021",Sources!$A:$A,0))</x:f>
        <x:v>-30.231</x:v>
      </x:c>
      <x:c r="C34" s="162" t="n">
        <x:f>INDEX(Sources!$E:$E,MATCH("H.CF.NET_CHANGE_CASH.FY2022",Sources!$A:$A,0))</x:f>
        <x:v>129.052</x:v>
      </x:c>
      <x:c r="D34" s="162" t="n">
        <x:f>INDEX(Sources!$E:$E,MATCH("H.CF.NET_CHANGE_CASH.FY2023",Sources!$A:$A,0))</x:f>
        <x:v>114.655</x:v>
      </x:c>
      <x:c r="E34" s="162" t="n">
        <x:f>INDEX(Sources!$E:$E,MATCH("H.CF.NET_CHANGE_CASH.FY2024",Sources!$A:$A,0))</x:f>
        <x:v>120.733</x:v>
      </x:c>
      <x:c r="F34" s="162" t="n">
        <x:f>INDEX(Sources!$E:$E,MATCH("H.CF.NET_CHANGE_CASH.FY2025",Sources!$A:$A,0))</x:f>
        <x:v>25.619</x:v>
      </x:c>
      <x:c r="G34" s="163" t="n">
        <x:f>INDEX(Sources!$E:$E,MATCH("H.CF.NET_CHANGE_CASH.FY2026",Sources!$A:$A,0))</x:f>
        <x:v>127.229</x:v>
      </x:c>
      <x:c r="H34" s="119"/>
      <x:c r="I34" s="119"/>
      <x:c r="J34" s="119"/>
      <x:c r="K34" s="119"/>
      <x:c r="L34" s="5"/>
    </x:row>
    <x:row r="35">
      <x:c r="A35" s="161" t="str">
        <x:v>Beginning cash</x:v>
      </x:c>
      <x:c r="B35" s="162" t="n">
        <x:f>INDEX(Sources!$E:$E,MATCH("H.CF.BEGINNING_CASH.FY2021",Sources!$A:$A,0))</x:f>
        <x:v>377.922</x:v>
      </x:c>
      <x:c r="C35" s="162" t="n">
        <x:f>INDEX(Sources!$E:$E,MATCH("H.CF.BEGINNING_CASH.FY2022",Sources!$A:$A,0))</x:f>
        <x:v>347.691</x:v>
      </x:c>
      <x:c r="D35" s="162" t="n">
        <x:f>INDEX(Sources!$E:$E,MATCH("H.CF.BEGINNING_CASH.FY2023",Sources!$A:$A,0))</x:f>
        <x:v>476.743</x:v>
      </x:c>
      <x:c r="E35" s="162" t="n">
        <x:f>INDEX(Sources!$E:$E,MATCH("H.CF.BEGINNING_CASH.FY2024",Sources!$A:$A,0))</x:f>
        <x:v>591.398</x:v>
      </x:c>
      <x:c r="F35" s="162" t="n">
        <x:f>INDEX(Sources!$E:$E,MATCH("H.CF.BEGINNING_CASH.FY2025",Sources!$A:$A,0))</x:f>
        <x:v>712.131</x:v>
      </x:c>
      <x:c r="G35" s="163" t="n">
        <x:f>INDEX(Sources!$E:$E,MATCH("H.CF.BEGINNING_CASH.FY2026",Sources!$A:$A,0))</x:f>
        <x:v>737.75</x:v>
      </x:c>
      <x:c r="H35" s="119"/>
      <x:c r="I35" s="119"/>
      <x:c r="J35" s="119"/>
      <x:c r="K35" s="119"/>
      <x:c r="L35" s="5"/>
    </x:row>
    <x:row r="36">
      <x:c r="A36" s="161" t="str">
        <x:v>Ending cash</x:v>
      </x:c>
      <x:c r="B36" s="162" t="n">
        <x:f>INDEX(Sources!$E:$E,MATCH("H.CF.ENDING_CASH.FY2021",Sources!$A:$A,0))</x:f>
        <x:v>347.691</x:v>
      </x:c>
      <x:c r="C36" s="162" t="n">
        <x:f>INDEX(Sources!$E:$E,MATCH("H.CF.ENDING_CASH.FY2022",Sources!$A:$A,0))</x:f>
        <x:v>476.743</x:v>
      </x:c>
      <x:c r="D36" s="162" t="n">
        <x:f>INDEX(Sources!$E:$E,MATCH("H.CF.ENDING_CASH.FY2023",Sources!$A:$A,0))</x:f>
        <x:v>591.398</x:v>
      </x:c>
      <x:c r="E36" s="162" t="n">
        <x:f>INDEX(Sources!$E:$E,MATCH("H.CF.ENDING_CASH.FY2024",Sources!$A:$A,0))</x:f>
        <x:v>712.131</x:v>
      </x:c>
      <x:c r="F36" s="162" t="n">
        <x:f>INDEX(Sources!$E:$E,MATCH("H.CF.ENDING_CASH.FY2025",Sources!$A:$A,0))</x:f>
        <x:v>737.75</x:v>
      </x:c>
      <x:c r="G36" s="163" t="n">
        <x:f>INDEX(Sources!$E:$E,MATCH("H.CF.ENDING_CASH.FY2026",Sources!$A:$A,0))</x:f>
        <x:v>864.979</x:v>
      </x:c>
      <x:c r="H36" s="119"/>
      <x:c r="I36" s="119"/>
      <x:c r="J36" s="119"/>
      <x:c r="K36" s="119"/>
      <x:c r="L36" s="5"/>
    </x:row>
    <x:row r="37">
      <x:c r="A37" s="161" t="str">
        <x:v>Ending cash and equivalents</x:v>
      </x:c>
      <x:c r="B37" s="162" t="n">
        <x:f>INDEX(Sources!$E:$E,MATCH("H.CF.ENDING_CASH_EQUIVALENTS.FY2021",Sources!$A:$A,0))</x:f>
        <x:v>337.147</x:v>
      </x:c>
      <x:c r="C37" s="162" t="n">
        <x:f>INDEX(Sources!$E:$E,MATCH("H.CF.ENDING_CASH_EQUIVALENTS.FY2022",Sources!$A:$A,0))</x:f>
        <x:v>466.199</x:v>
      </x:c>
      <x:c r="D37" s="162" t="n">
        <x:f>INDEX(Sources!$E:$E,MATCH("H.CF.ENDING_CASH_EQUIVALENTS.FY2023",Sources!$A:$A,0))</x:f>
        <x:v>580.854</x:v>
      </x:c>
      <x:c r="E37" s="162" t="n">
        <x:f>INDEX(Sources!$E:$E,MATCH("H.CF.ENDING_CASH_EQUIVALENTS.FY2024",Sources!$A:$A,0))</x:f>
        <x:v>702.536</x:v>
      </x:c>
      <x:c r="F37" s="162" t="n">
        <x:f>INDEX(Sources!$E:$E,MATCH("H.CF.ENDING_CASH_EQUIVALENTS.FY2025",Sources!$A:$A,0))</x:f>
        <x:v>723.583</x:v>
      </x:c>
      <x:c r="G37" s="163" t="n">
        <x:f>INDEX(Sources!$E:$E,MATCH("H.CF.ENDING_CASH_EQUIVALENTS.FY2026",Sources!$A:$A,0))</x:f>
        <x:v>854.873</x:v>
      </x:c>
      <x:c r="H37" s="119"/>
      <x:c r="I37" s="119"/>
      <x:c r="J37" s="119"/>
      <x:c r="K37" s="119"/>
      <x:c r="L37" s="5"/>
    </x:row>
    <x:row r="38">
      <x:c r="A38" s="161" t="str">
        <x:v>Restricted cash</x:v>
      </x:c>
      <x:c r="B38" s="162" t="n">
        <x:f>INDEX(Sources!$E:$E,MATCH("H.CF.RESTRICTED_CASH.FY2021",Sources!$A:$A,0))</x:f>
        <x:v>10.544</x:v>
      </x:c>
      <x:c r="C38" s="162" t="n">
        <x:f>INDEX(Sources!$E:$E,MATCH("H.CF.RESTRICTED_CASH.FY2022",Sources!$A:$A,0))</x:f>
        <x:v>10.544</x:v>
      </x:c>
      <x:c r="D38" s="162" t="n">
        <x:f>INDEX(Sources!$E:$E,MATCH("H.CF.RESTRICTED_CASH.FY2023",Sources!$A:$A,0))</x:f>
        <x:v>10.544</x:v>
      </x:c>
      <x:c r="E38" s="162" t="n">
        <x:f>INDEX(Sources!$E:$E,MATCH("H.CF.RESTRICTED_CASH.FY2024",Sources!$A:$A,0))</x:f>
        <x:v>9.595</x:v>
      </x:c>
      <x:c r="F38" s="162" t="n">
        <x:f>INDEX(Sources!$E:$E,MATCH("H.CF.RESTRICTED_CASH.FY2025",Sources!$A:$A,0))</x:f>
        <x:v>14.167</x:v>
      </x:c>
      <x:c r="G38" s="163" t="n">
        <x:f>INDEX(Sources!$E:$E,MATCH("H.CF.RESTRICTED_CASH.FY2026",Sources!$A:$A,0))</x:f>
        <x:v>10.106</x:v>
      </x:c>
      <x:c r="H38" s="119"/>
      <x:c r="I38" s="119"/>
      <x:c r="J38" s="119"/>
      <x:c r="K38" s="119"/>
      <x:c r="L38" s="5"/>
    </x:row>
    <x:row r="39">
      <x:c r="A39" s="161" t="str">
        <x:v>Cash paid for interest</x:v>
      </x:c>
      <x:c r="B39" s="162" t="n">
        <x:f>INDEX(Sources!$E:$E,MATCH("H.CF.CASH_INTEREST.FY2021",Sources!$A:$A,0))</x:f>
        <x:v>2.279</x:v>
      </x:c>
      <x:c r="C39" s="162" t="n">
        <x:f>INDEX(Sources!$E:$E,MATCH("H.CF.CASH_INTEREST.FY2022",Sources!$A:$A,0))</x:f>
        <x:v>5.019</x:v>
      </x:c>
      <x:c r="D39" s="162" t="n">
        <x:f>INDEX(Sources!$E:$E,MATCH("H.CF.CASH_INTEREST.FY2023",Sources!$A:$A,0))</x:f>
        <x:v>1.185</x:v>
      </x:c>
      <x:c r="E39" s="162" t="n">
        <x:f>INDEX(Sources!$E:$E,MATCH("H.CF.CASH_INTEREST.FY2024",Sources!$A:$A,0))</x:f>
        <x:v>5.834</x:v>
      </x:c>
      <x:c r="F39" s="162" t="n">
        <x:f>INDEX(Sources!$E:$E,MATCH("H.CF.CASH_INTEREST.FY2025",Sources!$A:$A,0))</x:f>
        <x:v>7.181</x:v>
      </x:c>
      <x:c r="G39" s="163" t="n">
        <x:f>INDEX(Sources!$E:$E,MATCH("H.CF.CASH_INTEREST.FY2026",Sources!$A:$A,0))</x:f>
        <x:v>2.273</x:v>
      </x:c>
      <x:c r="H39" s="119"/>
      <x:c r="I39" s="119"/>
      <x:c r="J39" s="119"/>
      <x:c r="K39" s="119"/>
      <x:c r="L39" s="5"/>
    </x:row>
    <x:row r="40">
      <x:c r="A40" s="166" t="str">
        <x:v>Cash paid for income taxes</x:v>
      </x:c>
      <x:c r="B40" s="171" t="n">
        <x:f>INDEX(Sources!$E:$E,MATCH("H.CF.CASH_TAXES.FY2021",Sources!$A:$A,0))</x:f>
        <x:v>10.522</x:v>
      </x:c>
      <x:c r="C40" s="171" t="n">
        <x:f>INDEX(Sources!$E:$E,MATCH("H.CF.CASH_TAXES.FY2022",Sources!$A:$A,0))</x:f>
        <x:v>12.662</x:v>
      </x:c>
      <x:c r="D40" s="171" t="n">
        <x:f>INDEX(Sources!$E:$E,MATCH("H.CF.CASH_TAXES.FY2023",Sources!$A:$A,0))</x:f>
        <x:v>14.391</x:v>
      </x:c>
      <x:c r="E40" s="171" t="n">
        <x:f>INDEX(Sources!$E:$E,MATCH("H.CF.CASH_TAXES.FY2024",Sources!$A:$A,0))</x:f>
        <x:v>28.667</x:v>
      </x:c>
      <x:c r="F40" s="171" t="n">
        <x:f>INDEX(Sources!$E:$E,MATCH("H.CF.CASH_TAXES.FY2025",Sources!$A:$A,0))</x:f>
        <x:v>38.082</x:v>
      </x:c>
      <x:c r="G40" s="172" t="n">
        <x:f>INDEX(Sources!$E:$E,MATCH("H.CF.CASH_TAXES.FY2026",Sources!$A:$A,0))</x:f>
        <x:v>32.519</x:v>
      </x:c>
      <x:c r="H40" s="119"/>
      <x:c r="I40" s="119"/>
      <x:c r="J40" s="119"/>
      <x:c r="K40" s="119"/>
      <x:c r="L40" s="5"/>
    </x:row>
    <x:row r="41">
      <x:c r="A41" s="119"/>
      <x:c r="B41" s="119"/>
      <x:c r="C41" s="119"/>
      <x:c r="D41" s="119"/>
      <x:c r="E41" s="119"/>
      <x:c r="F41" s="119"/>
      <x:c r="G41" s="119"/>
      <x:c r="H41" s="119"/>
      <x:c r="I41" s="119"/>
      <x:c r="J41" s="119"/>
      <x:c r="K41" s="119"/>
      <x:c r="L41" s="5"/>
    </x:row>
    <x:row r="42">
      <x:c r="A42" s="119"/>
      <x:c r="B42" s="119"/>
      <x:c r="C42" s="119"/>
      <x:c r="D42" s="119"/>
      <x:c r="E42" s="119"/>
      <x:c r="F42" s="119"/>
      <x:c r="G42" s="119"/>
      <x:c r="H42" s="119"/>
      <x:c r="I42" s="119"/>
      <x:c r="J42" s="119"/>
      <x:c r="K42" s="119"/>
      <x:c r="L42" s="5"/>
    </x:row>
    <x:row r="43">
      <x:c r="A43" s="119"/>
      <x:c r="B43" s="119"/>
      <x:c r="C43" s="119"/>
      <x:c r="D43" s="119"/>
      <x:c r="E43" s="119"/>
      <x:c r="F43" s="119"/>
      <x:c r="G43" s="119"/>
      <x:c r="H43" s="119"/>
      <x:c r="I43" s="119"/>
      <x:c r="J43" s="119"/>
      <x:c r="K43" s="119"/>
      <x:c r="L43" s="5"/>
    </x:row>
    <x:row r="44">
      <x:c r="A44" s="119"/>
      <x:c r="B44" s="119"/>
      <x:c r="C44" s="119"/>
      <x:c r="D44" s="119"/>
      <x:c r="E44" s="119"/>
      <x:c r="F44" s="119"/>
      <x:c r="G44" s="119"/>
      <x:c r="H44" s="119"/>
      <x:c r="I44" s="119"/>
      <x:c r="J44" s="119"/>
      <x:c r="K44" s="119"/>
      <x:c r="L44" s="5"/>
    </x:row>
    <x:row r="45">
      <x:c r="A45" s="119"/>
      <x:c r="B45" s="119"/>
      <x:c r="C45" s="119"/>
      <x:c r="D45" s="119"/>
      <x:c r="E45" s="119"/>
      <x:c r="F45" s="119"/>
      <x:c r="G45" s="119"/>
      <x:c r="H45" s="119"/>
      <x:c r="I45" s="119"/>
      <x:c r="J45" s="119"/>
      <x:c r="K45" s="119"/>
      <x:c r="L45" s="5"/>
    </x:row>
    <x:row r="46">
      <x:c r="A46" s="119"/>
      <x:c r="B46" s="119"/>
      <x:c r="C46" s="119"/>
      <x:c r="D46" s="119"/>
      <x:c r="E46" s="119"/>
      <x:c r="F46" s="119"/>
      <x:c r="G46" s="119"/>
      <x:c r="H46" s="119"/>
      <x:c r="I46" s="119"/>
      <x:c r="J46" s="119"/>
      <x:c r="K46" s="119"/>
      <x:c r="L46" s="5"/>
    </x:row>
    <x:row r="47">
      <x:c r="A47" s="119"/>
      <x:c r="B47" s="119"/>
      <x:c r="C47" s="119"/>
      <x:c r="D47" s="119"/>
      <x:c r="E47" s="119"/>
      <x:c r="F47" s="119"/>
      <x:c r="G47" s="119"/>
      <x:c r="H47" s="119"/>
      <x:c r="I47" s="119"/>
      <x:c r="J47" s="119"/>
      <x:c r="K47" s="119"/>
      <x:c r="L47" s="5"/>
    </x:row>
    <x:row r="48">
      <x:c r="A48" s="119"/>
      <x:c r="B48" s="119"/>
      <x:c r="C48" s="119"/>
      <x:c r="D48" s="119"/>
      <x:c r="E48" s="119"/>
      <x:c r="F48" s="119"/>
      <x:c r="G48" s="119"/>
      <x:c r="H48" s="119"/>
      <x:c r="I48" s="119"/>
      <x:c r="J48" s="119"/>
      <x:c r="K48" s="119"/>
      <x:c r="L48" s="5"/>
    </x:row>
    <x:row r="49">
      <x:c r="A49" s="119"/>
      <x:c r="B49" s="119"/>
      <x:c r="C49" s="119"/>
      <x:c r="D49" s="119"/>
      <x:c r="E49" s="119"/>
      <x:c r="F49" s="119"/>
      <x:c r="G49" s="119"/>
      <x:c r="H49" s="119"/>
      <x:c r="I49" s="119"/>
      <x:c r="J49" s="119"/>
      <x:c r="K49" s="119"/>
      <x:c r="L49" s="5"/>
    </x:row>
    <x:row r="50">
      <x:c r="A50" s="119"/>
      <x:c r="B50" s="119"/>
      <x:c r="C50" s="119"/>
      <x:c r="D50" s="119"/>
      <x:c r="E50" s="119"/>
      <x:c r="F50" s="119"/>
      <x:c r="G50" s="119"/>
      <x:c r="H50" s="119"/>
      <x:c r="I50" s="119"/>
      <x:c r="J50" s="119"/>
      <x:c r="K50" s="119"/>
      <x:c r="L50" s="5"/>
    </x:row>
    <x:row r="51">
      <x:c r="A51" s="119"/>
      <x:c r="B51" s="119"/>
      <x:c r="C51" s="119"/>
      <x:c r="D51" s="119"/>
      <x:c r="E51" s="119"/>
      <x:c r="F51" s="119"/>
      <x:c r="G51" s="119"/>
      <x:c r="H51" s="119"/>
      <x:c r="I51" s="119"/>
      <x:c r="J51" s="119"/>
      <x:c r="K51" s="119"/>
      <x:c r="L51" s="5"/>
    </x:row>
    <x:row r="52">
      <x:c r="A52" s="119"/>
      <x:c r="B52" s="119"/>
      <x:c r="C52" s="119"/>
      <x:c r="D52" s="119"/>
      <x:c r="E52" s="119"/>
      <x:c r="F52" s="119"/>
      <x:c r="G52" s="119"/>
      <x:c r="H52" s="119"/>
      <x:c r="I52" s="119"/>
      <x:c r="J52" s="119"/>
      <x:c r="K52" s="119"/>
      <x:c r="L52" s="5"/>
    </x:row>
    <x:row r="53">
      <x:c r="A53" s="119"/>
      <x:c r="B53" s="119"/>
      <x:c r="C53" s="119"/>
      <x:c r="D53" s="119"/>
      <x:c r="E53" s="119"/>
      <x:c r="F53" s="119"/>
      <x:c r="G53" s="119"/>
      <x:c r="H53" s="119"/>
      <x:c r="I53" s="119"/>
      <x:c r="J53" s="119"/>
      <x:c r="K53" s="119"/>
      <x:c r="L53" s="5"/>
    </x:row>
    <x:row r="54">
      <x:c r="A54" s="119"/>
      <x:c r="B54" s="119"/>
      <x:c r="C54" s="119"/>
      <x:c r="D54" s="119"/>
      <x:c r="E54" s="119"/>
      <x:c r="F54" s="119"/>
      <x:c r="G54" s="119"/>
      <x:c r="H54" s="119"/>
      <x:c r="I54" s="119"/>
      <x:c r="J54" s="119"/>
      <x:c r="K54" s="119"/>
      <x:c r="L54" s="5"/>
    </x:row>
    <x:row r="55">
      <x:c r="A55" s="119"/>
      <x:c r="B55" s="119"/>
      <x:c r="C55" s="119"/>
      <x:c r="D55" s="119"/>
      <x:c r="E55" s="119"/>
      <x:c r="F55" s="119"/>
      <x:c r="G55" s="119"/>
      <x:c r="H55" s="119"/>
      <x:c r="I55" s="119"/>
      <x:c r="J55" s="119"/>
      <x:c r="K55" s="119"/>
      <x:c r="L55" s="5"/>
    </x:row>
    <x:row r="56">
      <x:c r="A56" s="119"/>
      <x:c r="B56" s="119"/>
      <x:c r="C56" s="119"/>
      <x:c r="D56" s="119"/>
      <x:c r="E56" s="119"/>
      <x:c r="F56" s="119"/>
      <x:c r="G56" s="119"/>
      <x:c r="H56" s="119"/>
      <x:c r="I56" s="119"/>
      <x:c r="J56" s="119"/>
      <x:c r="K56" s="119"/>
      <x:c r="L56" s="5"/>
    </x:row>
    <x:row r="57">
      <x:c r="A57" s="119"/>
      <x:c r="B57" s="119"/>
      <x:c r="C57" s="119"/>
      <x:c r="D57" s="119"/>
      <x:c r="E57" s="119"/>
      <x:c r="F57" s="119"/>
      <x:c r="G57" s="119"/>
      <x:c r="H57" s="119"/>
      <x:c r="I57" s="119"/>
      <x:c r="J57" s="119"/>
      <x:c r="K57" s="119"/>
      <x:c r="L57" s="5"/>
    </x:row>
    <x:row r="58">
      <x:c r="A58" s="119"/>
      <x:c r="B58" s="119"/>
      <x:c r="C58" s="119"/>
      <x:c r="D58" s="119"/>
      <x:c r="E58" s="119"/>
      <x:c r="F58" s="119"/>
      <x:c r="G58" s="119"/>
      <x:c r="H58" s="119"/>
      <x:c r="I58" s="119"/>
      <x:c r="J58" s="119"/>
      <x:c r="K58" s="119"/>
      <x:c r="L58" s="5"/>
    </x:row>
    <x:row r="59">
      <x:c r="A59" s="119"/>
      <x:c r="B59" s="119"/>
      <x:c r="C59" s="119"/>
      <x:c r="D59" s="119"/>
      <x:c r="E59" s="119"/>
      <x:c r="F59" s="119"/>
      <x:c r="G59" s="119"/>
      <x:c r="H59" s="119"/>
      <x:c r="I59" s="119"/>
      <x:c r="J59" s="119"/>
      <x:c r="K59" s="119"/>
      <x:c r="L59" s="5"/>
    </x:row>
    <x:row r="60">
      <x:c r="A60" s="119"/>
      <x:c r="B60" s="119"/>
      <x:c r="C60" s="119"/>
      <x:c r="D60" s="119"/>
      <x:c r="E60" s="119"/>
      <x:c r="F60" s="119"/>
      <x:c r="G60" s="119"/>
      <x:c r="H60" s="119"/>
      <x:c r="I60" s="119"/>
      <x:c r="J60" s="119"/>
      <x:c r="K60" s="119"/>
      <x:c r="L60" s="5"/>
    </x:row>
    <x:row r="61">
      <x:c r="A61" s="119"/>
      <x:c r="B61" s="119"/>
      <x:c r="C61" s="119"/>
      <x:c r="D61" s="119"/>
      <x:c r="E61" s="119"/>
      <x:c r="F61" s="119"/>
      <x:c r="G61" s="119"/>
      <x:c r="H61" s="119"/>
      <x:c r="I61" s="119"/>
      <x:c r="J61" s="119"/>
      <x:c r="K61" s="119"/>
      <x:c r="L61" s="5"/>
    </x:row>
    <x:row r="62">
      <x:c r="A62" s="119"/>
      <x:c r="B62" s="119"/>
      <x:c r="C62" s="119"/>
      <x:c r="D62" s="119"/>
      <x:c r="E62" s="119"/>
      <x:c r="F62" s="119"/>
      <x:c r="G62" s="119"/>
      <x:c r="H62" s="119"/>
      <x:c r="I62" s="119"/>
      <x:c r="J62" s="119"/>
      <x:c r="K62" s="119"/>
      <x:c r="L62" s="5"/>
    </x:row>
    <x:row r="63">
      <x:c r="A63" s="119"/>
      <x:c r="B63" s="119"/>
      <x:c r="C63" s="119"/>
      <x:c r="D63" s="119"/>
      <x:c r="E63" s="119"/>
      <x:c r="F63" s="119"/>
      <x:c r="G63" s="119"/>
      <x:c r="H63" s="119"/>
      <x:c r="I63" s="119"/>
      <x:c r="J63" s="119"/>
      <x:c r="K63" s="119"/>
      <x:c r="L63" s="5"/>
    </x:row>
    <x:row r="64">
      <x:c r="A64" s="119"/>
      <x:c r="B64" s="119"/>
      <x:c r="C64" s="119"/>
      <x:c r="D64" s="119"/>
      <x:c r="E64" s="119"/>
      <x:c r="F64" s="119"/>
      <x:c r="G64" s="119"/>
      <x:c r="H64" s="119"/>
      <x:c r="I64" s="119"/>
      <x:c r="J64" s="119"/>
      <x:c r="K64" s="119"/>
      <x:c r="L64" s="5"/>
    </x:row>
    <x:row r="65">
      <x:c r="A65" s="119"/>
      <x:c r="B65" s="119"/>
      <x:c r="C65" s="119"/>
      <x:c r="D65" s="119"/>
      <x:c r="E65" s="119"/>
      <x:c r="F65" s="119"/>
      <x:c r="G65" s="119"/>
      <x:c r="H65" s="119"/>
      <x:c r="I65" s="119"/>
      <x:c r="J65" s="119"/>
      <x:c r="K65" s="119"/>
      <x:c r="L65" s="5"/>
    </x:row>
    <x:row r="66">
      <x:c r="A66" s="119"/>
      <x:c r="B66" s="119"/>
      <x:c r="C66" s="119"/>
      <x:c r="D66" s="119"/>
      <x:c r="E66" s="119"/>
      <x:c r="F66" s="119"/>
      <x:c r="G66" s="119"/>
      <x:c r="H66" s="119"/>
      <x:c r="I66" s="119"/>
      <x:c r="J66" s="119"/>
      <x:c r="K66" s="119"/>
      <x:c r="L66" s="5"/>
    </x:row>
    <x:row r="67">
      <x:c r="A67" s="119"/>
      <x:c r="B67" s="119"/>
      <x:c r="C67" s="119"/>
      <x:c r="D67" s="119"/>
      <x:c r="E67" s="119"/>
      <x:c r="F67" s="119"/>
      <x:c r="G67" s="119"/>
      <x:c r="H67" s="119"/>
      <x:c r="I67" s="119"/>
      <x:c r="J67" s="119"/>
      <x:c r="K67" s="119"/>
      <x:c r="L67" s="5"/>
    </x:row>
    <x:row r="68">
      <x:c r="A68" s="119"/>
      <x:c r="B68" s="119"/>
      <x:c r="C68" s="119"/>
      <x:c r="D68" s="119"/>
      <x:c r="E68" s="119"/>
      <x:c r="F68" s="119"/>
      <x:c r="G68" s="119"/>
      <x:c r="H68" s="119"/>
      <x:c r="I68" s="119"/>
      <x:c r="J68" s="119"/>
      <x:c r="K68" s="119"/>
      <x:c r="L68" s="5"/>
    </x:row>
    <x:row r="69">
      <x:c r="A69" s="119"/>
      <x:c r="B69" s="119"/>
      <x:c r="C69" s="119"/>
      <x:c r="D69" s="119"/>
      <x:c r="E69" s="119"/>
      <x:c r="F69" s="119"/>
      <x:c r="G69" s="119"/>
      <x:c r="H69" s="119"/>
      <x:c r="I69" s="119"/>
      <x:c r="J69" s="119"/>
      <x:c r="K69" s="119"/>
      <x:c r="L69" s="5"/>
    </x:row>
    <x:row r="70">
      <x:c r="A70" s="119"/>
      <x:c r="B70" s="119"/>
      <x:c r="C70" s="119"/>
      <x:c r="D70" s="119"/>
      <x:c r="E70" s="119"/>
      <x:c r="F70" s="119"/>
      <x:c r="G70" s="119"/>
      <x:c r="H70" s="119"/>
      <x:c r="I70" s="119"/>
      <x:c r="J70" s="119"/>
      <x:c r="K70" s="119"/>
      <x:c r="L70" s="5"/>
    </x:row>
    <x:row r="71">
      <x:c r="A71" s="119"/>
      <x:c r="B71" s="119"/>
      <x:c r="C71" s="119"/>
      <x:c r="D71" s="119"/>
      <x:c r="E71" s="119"/>
      <x:c r="F71" s="119"/>
      <x:c r="G71" s="119"/>
      <x:c r="H71" s="119"/>
      <x:c r="I71" s="119"/>
      <x:c r="J71" s="119"/>
      <x:c r="K71" s="119"/>
      <x:c r="L71" s="5"/>
    </x:row>
    <x:row r="72">
      <x:c r="A72" s="119"/>
      <x:c r="B72" s="119"/>
      <x:c r="C72" s="119"/>
      <x:c r="D72" s="119"/>
      <x:c r="E72" s="119"/>
      <x:c r="F72" s="119"/>
      <x:c r="G72" s="119"/>
      <x:c r="H72" s="119"/>
      <x:c r="I72" s="119"/>
      <x:c r="J72" s="119"/>
      <x:c r="K72" s="119"/>
      <x:c r="L72" s="5"/>
    </x:row>
    <x:row r="73">
      <x:c r="A73" s="119"/>
      <x:c r="B73" s="119"/>
      <x:c r="C73" s="119"/>
      <x:c r="D73" s="119"/>
      <x:c r="E73" s="119"/>
      <x:c r="F73" s="119"/>
      <x:c r="G73" s="119"/>
      <x:c r="H73" s="119"/>
      <x:c r="I73" s="119"/>
      <x:c r="J73" s="119"/>
      <x:c r="K73" s="119"/>
      <x:c r="L73" s="5"/>
    </x:row>
    <x:row r="74">
      <x:c r="A74" s="119"/>
      <x:c r="B74" s="119"/>
      <x:c r="C74" s="119"/>
      <x:c r="D74" s="119"/>
      <x:c r="E74" s="119"/>
      <x:c r="F74" s="119"/>
      <x:c r="G74" s="119"/>
      <x:c r="H74" s="119"/>
      <x:c r="I74" s="119"/>
      <x:c r="J74" s="119"/>
      <x:c r="K74" s="119"/>
      <x:c r="L74" s="5"/>
    </x:row>
    <x:row r="75">
      <x:c r="A75" s="119"/>
      <x:c r="B75" s="119"/>
      <x:c r="C75" s="119"/>
      <x:c r="D75" s="119"/>
      <x:c r="E75" s="119"/>
      <x:c r="F75" s="119"/>
      <x:c r="G75" s="119"/>
      <x:c r="H75" s="119"/>
      <x:c r="I75" s="119"/>
      <x:c r="J75" s="119"/>
      <x:c r="K75" s="119"/>
      <x:c r="L75" s="5"/>
    </x:row>
    <x:row r="76">
      <x:c r="A76" s="119"/>
      <x:c r="B76" s="119"/>
      <x:c r="C76" s="119"/>
      <x:c r="D76" s="119"/>
      <x:c r="E76" s="119"/>
      <x:c r="F76" s="119"/>
      <x:c r="G76" s="119"/>
      <x:c r="H76" s="119"/>
      <x:c r="I76" s="119"/>
      <x:c r="J76" s="119"/>
      <x:c r="K76" s="119"/>
      <x:c r="L76" s="5"/>
    </x:row>
    <x:row r="77">
      <x:c r="A77" s="119"/>
      <x:c r="B77" s="119"/>
      <x:c r="C77" s="119"/>
      <x:c r="D77" s="119"/>
      <x:c r="E77" s="119"/>
      <x:c r="F77" s="119"/>
      <x:c r="G77" s="119"/>
      <x:c r="H77" s="119"/>
      <x:c r="I77" s="119"/>
      <x:c r="J77" s="119"/>
      <x:c r="K77" s="119"/>
      <x:c r="L77" s="5"/>
    </x:row>
    <x:row r="78">
      <x:c r="A78" s="119"/>
      <x:c r="B78" s="119"/>
      <x:c r="C78" s="119"/>
      <x:c r="D78" s="119"/>
      <x:c r="E78" s="119"/>
      <x:c r="F78" s="119"/>
      <x:c r="G78" s="119"/>
      <x:c r="H78" s="119"/>
      <x:c r="I78" s="119"/>
      <x:c r="J78" s="119"/>
      <x:c r="K78" s="119"/>
      <x:c r="L78" s="5"/>
    </x:row>
    <x:row r="79">
      <x:c r="A79" s="119"/>
      <x:c r="B79" s="119"/>
      <x:c r="C79" s="119"/>
      <x:c r="D79" s="119"/>
      <x:c r="E79" s="119"/>
      <x:c r="F79" s="119"/>
      <x:c r="G79" s="119"/>
      <x:c r="H79" s="119"/>
      <x:c r="I79" s="119"/>
      <x:c r="J79" s="119"/>
      <x:c r="K79" s="119"/>
      <x:c r="L79" s="5"/>
    </x:row>
    <x:row r="80">
      <x:c r="A80" s="119"/>
      <x:c r="B80" s="119"/>
      <x:c r="C80" s="119"/>
      <x:c r="D80" s="119"/>
      <x:c r="E80" s="119"/>
      <x:c r="F80" s="119"/>
      <x:c r="G80" s="119"/>
      <x:c r="H80" s="119"/>
      <x:c r="I80" s="119"/>
      <x:c r="J80" s="119"/>
      <x:c r="K80" s="119"/>
      <x:c r="L80" s="5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.43000030517578" hidden="0" customWidth="1"/>
    <x:col min="2" max="2" width="43.56999969482422" hidden="0" customWidth="1"/>
    <x:col min="3" max="3" width="9.289999961853027" hidden="0" customWidth="1"/>
    <x:col min="4" max="4" width="11.859999656677246" hidden="0" customWidth="1"/>
    <x:col min="5" max="5" width="11.859999656677246" hidden="0" customWidth="1"/>
    <x:col min="6" max="6" width="11.859999656677246" hidden="0" customWidth="1"/>
    <x:col min="7" max="7" width="11.859999656677246" hidden="0" customWidth="1"/>
    <x:col min="8" max="8" width="11.859999656677246" hidden="0" customWidth="1"/>
    <x:col min="9" max="9" width="11.859999656677246" hidden="0" customWidth="1"/>
  </x:cols>
  <x:sheetData>
    <x:row r="1">
      <x:c r="A1" s="4" t="str">
        <x:v>FYE: February.  Units: $ in millions except per-share data, shares in millions, ratios, and noted operating drivers.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>
      <x:c r="A3" s="144" t="str">
        <x:v>KPI ID</x:v>
      </x:c>
      <x:c r="B3" s="144" t="str">
        <x:v>Metric</x:v>
      </x:c>
      <x:c r="C3" s="144" t="str">
        <x:v>Unit</x:v>
      </x:c>
      <x:c r="D3" s="144" t="str">
        <x:v>FY2021</x:v>
      </x:c>
      <x:c r="E3" s="144" t="str">
        <x:v>FY2022</x:v>
      </x:c>
      <x:c r="F3" s="144" t="str">
        <x:v>FY2023</x:v>
      </x:c>
      <x:c r="G3" s="144" t="str">
        <x:v>FY2024</x:v>
      </x:c>
      <x:c r="H3" s="144" t="str">
        <x:v>FY2025</x:v>
      </x:c>
      <x:c r="I3" s="144" t="str">
        <x:v>FY2026</x:v>
      </x:c>
      <x:c r="J3" s="119"/>
      <x:c r="K3" s="119"/>
      <x:c r="L3" s="5"/>
    </x:row>
    <x:row r="4">
      <x:c r="A4" s="189" t="str">
        <x:v>K.GROWTH.01a</x:v>
      </x:c>
      <x:c r="B4" s="275" t="str">
        <x:v>Product revenue YoY growth</x:v>
      </x:c>
      <x:c r="C4" s="275" t="str">
        <x:v>%</x:v>
      </x:c>
      <x:c r="D4" s="191"/>
      <x:c r="E4" s="191" t="n">
        <x:f>Historicals_IS!C4/Historicals_IS!B4-1</x:f>
        <x:v>0.26067696997984435</x:v>
      </x:c>
      <x:c r="F4" s="191" t="n">
        <x:f>Historicals_IS!D4/Historicals_IS!C4-1</x:f>
        <x:v>0.24253330356684777</x:v>
      </x:c>
      <x:c r="G4" s="191" t="n">
        <x:f>Historicals_IS!E4/Historicals_IS!D4-1</x:f>
        <x:v>-0.09445845304502465</x:v>
      </x:c>
      <x:c r="H4" s="191" t="n">
        <x:f>Historicals_IS!F4/Historicals_IS!E4-1</x:f>
        <x:v>0.04721576418059614</x:v>
      </x:c>
      <x:c r="I4" s="192" t="n">
        <x:f>Historicals_IS!G4/Historicals_IS!F4-1</x:f>
        <x:v>0.16015590522826217</x:v>
      </x:c>
      <x:c r="J4" s="276"/>
      <x:c r="K4" s="276"/>
      <x:c r="L4" s="5"/>
    </x:row>
    <x:row r="5">
      <x:c r="A5" s="193" t="str">
        <x:v>K.GROWTH.01b</x:v>
      </x:c>
      <x:c r="B5" s="277" t="str">
        <x:v>Subscription services revenue YoY growth</x:v>
      </x:c>
      <x:c r="C5" s="277" t="str">
        <x:v>%</x:v>
      </x:c>
      <x:c r="D5" s="195"/>
      <x:c r="E5" s="195" t="n">
        <x:f>Historicals_IS!C5/Historicals_IS!B5-1</x:f>
        <x:v>0.3674060002110795</x:v>
      </x:c>
      <x:c r="F5" s="195" t="n">
        <x:f>Historicals_IS!D5/Historicals_IS!C5-1</x:f>
        <x:v>0.30164926676686843</x:v>
      </x:c>
      <x:c r="G5" s="195" t="n">
        <x:f>Historicals_IS!E5/Historicals_IS!D5-1</x:f>
        <x:v>0.2563984932605554</x:v>
      </x:c>
      <x:c r="H5" s="195" t="n">
        <x:f>Historicals_IS!F5/Historicals_IS!E5-1</x:f>
        <x:v>0.21603607363101052</x:v>
      </x:c>
      <x:c r="I5" s="196" t="n">
        <x:f>Historicals_IS!G5/Historicals_IS!F5-1</x:f>
        <x:v>0.15149420904627986</x:v>
      </x:c>
      <x:c r="J5" s="276"/>
      <x:c r="K5" s="276"/>
      <x:c r="L5" s="5"/>
    </x:row>
    <x:row r="6">
      <x:c r="A6" s="193" t="str">
        <x:v>K.GROWTH.01c</x:v>
      </x:c>
      <x:c r="B6" s="277" t="str">
        <x:v>Total revenue YoY growth</x:v>
      </x:c>
      <x:c r="C6" s="277" t="str">
        <x:v>%</x:v>
      </x:c>
      <x:c r="D6" s="195"/>
      <x:c r="E6" s="195" t="n">
        <x:f>Historicals_IS!C6/Historicals_IS!B6-1</x:f>
        <x:v>0.2949027389606449</x:v>
      </x:c>
      <x:c r="F6" s="195" t="n">
        <x:f>Historicals_IS!D6/Historicals_IS!C6-1</x:f>
        <x:v>0.2625519981218316</x:v>
      </x:c>
      <x:c r="G6" s="195" t="n">
        <x:f>Historicals_IS!E6/Historicals_IS!D6-1</x:f>
        <x:v>0.028032994435312375</x:v>
      </x:c>
      <x:c r="H6" s="195" t="n">
        <x:f>Historicals_IS!F6/Historicals_IS!E6-1</x:f>
        <x:v>0.11924697795996009</x:v>
      </x:c>
      <x:c r="I6" s="196" t="n">
        <x:f>Historicals_IS!G6/Historicals_IS!F6-1</x:f>
        <x:v>0.15614059120676815</x:v>
      </x:c>
      <x:c r="J6" s="276"/>
      <x:c r="K6" s="276"/>
      <x:c r="L6" s="5"/>
    </x:row>
    <x:row r="7">
      <x:c r="A7" s="193" t="str">
        <x:v>K.MIX.01a</x:v>
      </x:c>
      <x:c r="B7" s="277" t="str">
        <x:v>Product revenue mix</x:v>
      </x:c>
      <x:c r="C7" s="277" t="str">
        <x:v>%</x:v>
      </x:c>
      <x:c r="D7" s="195" t="n">
        <x:f>Historicals_IS!B4/Historicals_IS!B6</x:f>
        <x:v>0.679320903538163</x:v>
      </x:c>
      <x:c r="E7" s="195" t="n">
        <x:f>Historicals_IS!C4/Historicals_IS!C6</x:f>
        <x:v>0.6613656706015275</x:v>
      </x:c>
      <x:c r="F7" s="195" t="n">
        <x:f>Historicals_IS!D4/Historicals_IS!D6</x:f>
        <x:v>0.6508792293550526</x:v>
      </x:c>
      <x:c r="G7" s="195" t="n">
        <x:f>Historicals_IS!E4/Historicals_IS!E6</x:f>
        <x:v>0.5733261358549944</x:v>
      </x:c>
      <x:c r="H7" s="195" t="n">
        <x:f>Historicals_IS!F4/Historicals_IS!F6</x:f>
        <x:v>0.5364286697279559</x:v>
      </x:c>
      <x:c r="I7" s="196" t="n">
        <x:f>Historicals_IS!G4/Historicals_IS!G6</x:f>
        <x:v>0.5382917040124298</x:v>
      </x:c>
      <x:c r="J7" s="276"/>
      <x:c r="K7" s="276"/>
      <x:c r="L7" s="5"/>
    </x:row>
    <x:row r="8">
      <x:c r="A8" s="193" t="str">
        <x:v>K.MIX.01b</x:v>
      </x:c>
      <x:c r="B8" s="277" t="str">
        <x:v>Subscription services revenue mix</x:v>
      </x:c>
      <x:c r="C8" s="277" t="str">
        <x:v>%</x:v>
      </x:c>
      <x:c r="D8" s="195" t="n">
        <x:f>Historicals_IS!B5/Historicals_IS!B6</x:f>
        <x:v>0.3206790964618369</x:v>
      </x:c>
      <x:c r="E8" s="195" t="n">
        <x:f>Historicals_IS!C5/Historicals_IS!C6</x:f>
        <x:v>0.33863432939847254</x:v>
      </x:c>
      <x:c r="F8" s="195" t="n">
        <x:f>Historicals_IS!D5/Historicals_IS!D6</x:f>
        <x:v>0.34912077064494734</x:v>
      </x:c>
      <x:c r="G8" s="195" t="n">
        <x:f>Historicals_IS!E5/Historicals_IS!E6</x:f>
        <x:v>0.42667386414500563</x:v>
      </x:c>
      <x:c r="H8" s="195" t="n">
        <x:f>Historicals_IS!F5/Historicals_IS!F6</x:f>
        <x:v>0.463571330272044</x:v>
      </x:c>
      <x:c r="I8" s="196" t="n">
        <x:f>Historicals_IS!G5/Historicals_IS!G6</x:f>
        <x:v>0.4617082959875703</x:v>
      </x:c>
      <x:c r="J8" s="276"/>
      <x:c r="K8" s="276"/>
      <x:c r="L8" s="5"/>
    </x:row>
    <x:row r="9">
      <x:c r="A9" s="193" t="str">
        <x:v>K.MARGIN.01a</x:v>
      </x:c>
      <x:c r="B9" s="277" t="str">
        <x:v>Product gross margin</x:v>
      </x:c>
      <x:c r="C9" s="277" t="str">
        <x:v>%</x:v>
      </x:c>
      <x:c r="D9" s="195" t="n">
        <x:f>1-Historicals_IS!B7/Historicals_IS!B4</x:f>
        <x:v>0.6914713599709115</x:v>
      </x:c>
      <x:c r="E9" s="195" t="n">
        <x:f>1-Historicals_IS!C7/Historicals_IS!C4</x:f>
        <x:v>0.6686636558143791</x:v>
      </x:c>
      <x:c r="F9" s="195" t="n">
        <x:f>1-Historicals_IS!D7/Historicals_IS!D4</x:f>
        <x:v>0.6820623016003655</x:v>
      </x:c>
      <x:c r="G9" s="195" t="n">
        <x:f>1-Historicals_IS!E7/Historicals_IS!E4</x:f>
        <x:v>0.7088920917215129</x:v>
      </x:c>
      <x:c r="H9" s="195" t="n">
        <x:f>1-Historicals_IS!F7/Historicals_IS!F4</x:f>
        <x:v>0.6614598227472412</x:v>
      </x:c>
      <x:c r="I9" s="196" t="n">
        <x:f>1-Historicals_IS!G7/Historicals_IS!G4</x:f>
        <x:v>0.6695991941889092</x:v>
      </x:c>
      <x:c r="J9" s="276"/>
      <x:c r="K9" s="276"/>
      <x:c r="L9" s="5"/>
    </x:row>
    <x:row r="10">
      <x:c r="A10" s="193" t="str">
        <x:v>K.MARGIN.01b</x:v>
      </x:c>
      <x:c r="B10" s="277" t="str">
        <x:v>Subscription services gross margin</x:v>
      </x:c>
      <x:c r="C10" s="277" t="str">
        <x:v>%</x:v>
      </x:c>
      <x:c r="D10" s="195" t="n">
        <x:f>1-Historicals_IS!B8/Historicals_IS!B5</x:f>
        <x:v>0.6625172890733058</x:v>
      </x:c>
      <x:c r="E10" s="195" t="n">
        <x:f>1-Historicals_IS!C8/Historicals_IS!C5</x:f>
        <x:v>0.687979851322257</x:v>
      </x:c>
      <x:c r="F10" s="195" t="n">
        <x:f>1-Historicals_IS!D8/Historicals_IS!D5</x:f>
        <x:v>0.7024855375275283</x:v>
      </x:c>
      <x:c r="G10" s="195" t="n">
        <x:f>1-Historicals_IS!E8/Historicals_IS!E5</x:f>
        <x:v>0.7209692055985004</x:v>
      </x:c>
      <x:c r="H10" s="195" t="n">
        <x:f>1-Historicals_IS!F8/Historicals_IS!F5</x:f>
        <x:v>0.7411889668884093</x:v>
      </x:c>
      <x:c r="I10" s="196" t="n">
        <x:f>1-Historicals_IS!G8/Historicals_IS!G5</x:f>
        <x:v>0.7436997572679188</x:v>
      </x:c>
      <x:c r="J10" s="276"/>
      <x:c r="K10" s="276"/>
      <x:c r="L10" s="5"/>
    </x:row>
    <x:row r="11">
      <x:c r="A11" s="193" t="str">
        <x:v>K.MARGIN.01c</x:v>
      </x:c>
      <x:c r="B11" s="277" t="str">
        <x:v>Total gross margin</x:v>
      </x:c>
      <x:c r="C11" s="277" t="str">
        <x:v>%</x:v>
      </x:c>
      <x:c r="D11" s="195" t="n">
        <x:f>Historicals_IS!B10/Historicals_IS!B6</x:f>
        <x:v>0.6821863946765753</x:v>
      </x:c>
      <x:c r="E11" s="195" t="n">
        <x:f>Historicals_IS!C10/Historicals_IS!C6</x:f>
        <x:v>0.6752047827267191</x:v>
      </x:c>
      <x:c r="F11" s="195" t="n">
        <x:f>Historicals_IS!D10/Historicals_IS!D6</x:f>
        <x:v>0.6891924774663202</x:v>
      </x:c>
      <x:c r="G11" s="195" t="n">
        <x:f>Historicals_IS!E10/Historicals_IS!E6</x:f>
        <x:v>0.7140450805671265</x:v>
      </x:c>
      <x:c r="H11" s="195" t="n">
        <x:f>Historicals_IS!F10/Historicals_IS!F6</x:f>
        <x:v>0.6984199681582139</x:v>
      </x:c>
      <x:c r="I11" s="196" t="n">
        <x:f>Historicals_IS!G10/Historicals_IS!G6</x:f>
        <x:v>0.7038120388998382</x:v>
      </x:c>
      <x:c r="J11" s="276"/>
      <x:c r="K11" s="276"/>
      <x:c r="L11" s="5"/>
    </x:row>
    <x:row r="12">
      <x:c r="A12" s="193" t="str">
        <x:v>K.MARGIN.02</x:v>
      </x:c>
      <x:c r="B12" s="277" t="str">
        <x:v>R&amp;D / revenue</x:v>
      </x:c>
      <x:c r="C12" s="277" t="str">
        <x:v>%</x:v>
      </x:c>
      <x:c r="D12" s="195" t="n">
        <x:f>Historicals_IS!B11/Historicals_IS!B6</x:f>
        <x:v>0.285282621384069</x:v>
      </x:c>
      <x:c r="E12" s="195" t="n">
        <x:f>Historicals_IS!C11/Historicals_IS!C6</x:f>
        <x:v>0.26683886268093876</x:v>
      </x:c>
      <x:c r="F12" s="195" t="n">
        <x:f>Historicals_IS!D11/Historicals_IS!D6</x:f>
        <x:v>0.2515142908818588</x:v>
      </x:c>
      <x:c r="G12" s="195" t="n">
        <x:f>Historicals_IS!E11/Historicals_IS!E6</x:f>
        <x:v>0.2602835208245823</x:v>
      </x:c>
      <x:c r="H12" s="195" t="n">
        <x:f>Historicals_IS!F11/Historicals_IS!F6</x:f>
        <x:v>0.25390257575049774</x:v>
      </x:c>
      <x:c r="I12" s="196" t="n">
        <x:f>Historicals_IS!G11/Historicals_IS!G6</x:f>
        <x:v>0.2629899780034252</x:v>
      </x:c>
      <x:c r="J12" s="276"/>
      <x:c r="K12" s="276"/>
      <x:c r="L12" s="5"/>
    </x:row>
    <x:row r="13">
      <x:c r="A13" s="193" t="str">
        <x:v>K.MARGIN.03</x:v>
      </x:c>
      <x:c r="B13" s="277" t="str">
        <x:v>S&amp;M / revenue</x:v>
      </x:c>
      <x:c r="C13" s="277" t="str">
        <x:v>%</x:v>
      </x:c>
      <x:c r="D13" s="195" t="n">
        <x:f>Historicals_IS!B12/Historicals_IS!B6</x:f>
        <x:v>0.42514127061315926</x:v>
      </x:c>
      <x:c r="E13" s="195" t="n">
        <x:f>Historicals_IS!C12/Historicals_IS!C6</x:f>
        <x:v>0.3663717049514684</x:v>
      </x:c>
      <x:c r="F13" s="195" t="n">
        <x:f>Historicals_IS!D12/Historicals_IS!D6</x:f>
        <x:v>0.3209116325286896</x:v>
      </x:c>
      <x:c r="G13" s="195" t="n">
        <x:f>Historicals_IS!E12/Historicals_IS!E6</x:f>
        <x:v>0.33385642231863605</x:v>
      </x:c>
      <x:c r="H13" s="195" t="n">
        <x:f>Historicals_IS!F12/Historicals_IS!F6</x:f>
        <x:v>0.32224152537558026</x:v>
      </x:c>
      <x:c r="I13" s="196" t="n">
        <x:f>Historicals_IS!G12/Historicals_IS!G6</x:f>
        <x:v>0.32256037182046843</x:v>
      </x:c>
      <x:c r="J13" s="276"/>
      <x:c r="K13" s="276"/>
      <x:c r="L13" s="5"/>
    </x:row>
    <x:row r="14">
      <x:c r="A14" s="193" t="str">
        <x:v>K.MARGIN.04</x:v>
      </x:c>
      <x:c r="B14" s="277" t="str">
        <x:v>G&amp;A / revenue</x:v>
      </x:c>
      <x:c r="C14" s="277" t="str">
        <x:v>%</x:v>
      </x:c>
      <x:c r="D14" s="195" t="n">
        <x:f>Historicals_IS!B13/Historicals_IS!B6</x:f>
        <x:v>0.10834774688438699</x:v>
      </x:c>
      <x:c r="E14" s="195" t="n">
        <x:f>Historicals_IS!C13/Historicals_IS!C6</x:f>
        <x:v>0.08711336140803944</x:v>
      </x:c>
      <x:c r="F14" s="195" t="n">
        <x:f>Historicals_IS!D13/Historicals_IS!D6</x:f>
        <x:v>0.0864360649283767</x:v>
      </x:c>
      <x:c r="G14" s="195" t="n">
        <x:f>Historicals_IS!E13/Historicals_IS!E6</x:f>
        <x:v>0.08911224780710664</x:v>
      </x:c>
      <x:c r="H14" s="195" t="n">
        <x:f>Historicals_IS!F13/Historicals_IS!F6</x:f>
        <x:v>0.09034601744101631</x:v>
      </x:c>
      <x:c r="I14" s="196" t="n">
        <x:f>Historicals_IS!G13/Historicals_IS!G6</x:f>
        <x:v>0.086915546202772</x:v>
      </x:c>
      <x:c r="J14" s="276"/>
      <x:c r="K14" s="276"/>
      <x:c r="L14" s="5"/>
    </x:row>
    <x:row r="15">
      <x:c r="A15" s="193" t="str">
        <x:v>K.MARGIN.05</x:v>
      </x:c>
      <x:c r="B15" s="277" t="str">
        <x:v>Operating margin</x:v>
      </x:c>
      <x:c r="C15" s="277" t="str">
        <x:v>%</x:v>
      </x:c>
      <x:c r="D15" s="195" t="n">
        <x:f>Historicals_IS!B16/Historicals_IS!B6</x:f>
        <x:v>-0.1549912449923672</x:v>
      </x:c>
      <x:c r="E15" s="195" t="n">
        <x:f>Historicals_IS!C16/Historicals_IS!C6</x:f>
        <x:v>-0.0451191463137275</x:v>
      </x:c>
      <x:c r="F15" s="195" t="n">
        <x:f>Historicals_IS!D16/Historicals_IS!D6</x:f>
        <x:v>0.0303304891273951</x:v>
      </x:c>
      <x:c r="G15" s="195" t="n">
        <x:f>Historicals_IS!E16/Historicals_IS!E6</x:f>
        <x:v>0.018918463474975986</x:v>
      </x:c>
      <x:c r="H15" s="195" t="n">
        <x:f>Historicals_IS!F16/Historicals_IS!F6</x:f>
        <x:v>0.0269108543623373</x:v>
      </x:c>
      <x:c r="I15" s="196" t="n">
        <x:f>Historicals_IS!G16/Historicals_IS!G6</x:f>
        <x:v>0.03134614287317256</x:v>
      </x:c>
      <x:c r="J15" s="276"/>
      <x:c r="K15" s="276"/>
      <x:c r="L15" s="5"/>
    </x:row>
    <x:row r="16">
      <x:c r="A16" s="193" t="str">
        <x:v>K.MARGIN.06</x:v>
      </x:c>
      <x:c r="B16" s="277" t="str">
        <x:v>EBITDA margin</x:v>
      </x:c>
      <x:c r="C16" s="277" t="str">
        <x:v>%</x:v>
      </x:c>
      <x:c r="D16" s="195" t="n">
        <x:f>(Historicals_IS!B16+Historicals_CF!B5)/Historicals_IS!B6</x:f>
        <x:v>-0.11340302901294934</x:v>
      </x:c>
      <x:c r="E16" s="195" t="n">
        <x:f>(Historicals_IS!C16+Historicals_CF!C5)/Historicals_IS!C6</x:f>
        <x:v>-0.006991317139021152</x:v>
      </x:c>
      <x:c r="F16" s="195" t="n">
        <x:f>(Historicals_IS!D16+Historicals_CF!D5)/Historicals_IS!D6</x:f>
        <x:v>0.06680566884842709</x:v>
      </x:c>
      <x:c r="G16" s="195" t="n">
        <x:f>(Historicals_IS!E16+Historicals_CF!E5)/Historicals_IS!E6</x:f>
        <x:v>0.06287206941515659</x:v>
      </x:c>
      <x:c r="H16" s="195" t="n">
        <x:f>(Historicals_IS!F16+Historicals_CF!F5)/Historicals_IS!F6</x:f>
        <x:v>0.06688795150756083</x:v>
      </x:c>
      <x:c r="I16" s="196" t="n">
        <x:f>(Historicals_IS!G16+Historicals_CF!G5)/Historicals_IS!G6</x:f>
        <x:v>0.0717014078954517</x:v>
      </x:c>
      <x:c r="J16" s="276"/>
      <x:c r="K16" s="276"/>
      <x:c r="L16" s="5"/>
    </x:row>
    <x:row r="17">
      <x:c r="A17" s="193" t="str">
        <x:v>K.WC.01</x:v>
      </x:c>
      <x:c r="B17" s="277" t="str">
        <x:v>DSO</x:v>
      </x:c>
      <x:c r="C17" s="277" t="str">
        <x:v>days</x:v>
      </x:c>
      <x:c r="D17" s="197" t="n">
        <x:f>Historicals_BS!B6/Historicals_IS!B6*365</x:f>
        <x:v>99.88299046597778</x:v>
      </x:c>
      <x:c r="E17" s="197" t="n">
        <x:f>Historicals_BS!C6/Historicals_IS!C6*365</x:f>
        <x:v>90.73652083960002</x:v>
      </x:c>
      <x:c r="F17" s="197" t="n">
        <x:f>Historicals_BS!D6/Historicals_IS!D6*365</x:f>
        <x:v>81.19287224607525</x:v>
      </x:c>
      <x:c r="G17" s="197" t="n">
        <x:f>Historicals_BS!E6/Historicals_IS!E6*365</x:f>
        <x:v>85.38597537430832</x:v>
      </x:c>
      <x:c r="H17" s="197" t="n">
        <x:f>Historicals_BS!F6/Historicals_IS!F6*365</x:f>
        <x:v>78.44121390180558</x:v>
      </x:c>
      <x:c r="I17" s="198" t="n">
        <x:f>Historicals_BS!G6/Historicals_IS!G6*365</x:f>
        <x:v>94.15311002955902</x:v>
      </x:c>
      <x:c r="J17" s="276"/>
      <x:c r="K17" s="276"/>
      <x:c r="L17" s="5"/>
    </x:row>
    <x:row r="18">
      <x:c r="A18" s="193" t="str">
        <x:v>K.WC.02</x:v>
      </x:c>
      <x:c r="B18" s="277" t="str">
        <x:v>DIO</x:v>
      </x:c>
      <x:c r="C18" s="277" t="str">
        <x:v>days</x:v>
      </x:c>
      <x:c r="D18" s="197" t="n">
        <x:f>Historicals_BS!B7/Historicals_IS!B9*365</x:f>
        <x:v>31.868072227256167</x:v>
      </x:c>
      <x:c r="E18" s="197" t="n">
        <x:f>Historicals_BS!C7/Historicals_IS!C9*365</x:f>
        <x:v>20.066706290438486</x:v>
      </x:c>
      <x:c r="F18" s="197" t="n">
        <x:f>Historicals_BS!D7/Historicals_IS!D9*365</x:f>
        <x:v>21.390204115972647</x:v>
      </x:c>
      <x:c r="G18" s="197" t="n">
        <x:f>Historicals_BS!E7/Historicals_IS!E9*365</x:f>
        <x:v>19.23822319409955</x:v>
      </x:c>
      <x:c r="H18" s="197" t="n">
        <x:f>Historicals_BS!F7/Historicals_IS!F9*365</x:f>
        <x:v>16.354145407162033</x:v>
      </x:c>
      <x:c r="I18" s="198" t="n">
        <x:f>Historicals_BS!G7/Historicals_IS!G9*365</x:f>
        <x:v>25.547543990634992</x:v>
      </x:c>
      <x:c r="J18" s="276"/>
      <x:c r="K18" s="276"/>
      <x:c r="L18" s="5"/>
    </x:row>
    <x:row r="19">
      <x:c r="A19" s="193" t="str">
        <x:v>K.WC.03</x:v>
      </x:c>
      <x:c r="B19" s="277" t="str">
        <x:v>DPO</x:v>
      </x:c>
      <x:c r="C19" s="277" t="str">
        <x:v>days</x:v>
      </x:c>
      <x:c r="D19" s="197" t="n">
        <x:f>Historicals_BS!B19/Historicals_IS!B9*365</x:f>
        <x:v>46.0499201315261</x:v>
      </x:c>
      <x:c r="E19" s="197" t="n">
        <x:f>Historicals_BS!C19/Historicals_IS!C9*365</x:f>
        <x:v>36.433578181890056</x:v>
      </x:c>
      <x:c r="F19" s="197" t="n">
        <x:f>Historicals_BS!D19/Historicals_IS!D9*365</x:f>
        <x:v>28.627609875342955</x:v>
      </x:c>
      <x:c r="G19" s="197" t="n">
        <x:f>Historicals_BS!E19/Historicals_IS!E9*365</x:f>
        <x:v>37.31799537946457</x:v>
      </x:c>
      <x:c r="H19" s="197" t="n">
        <x:f>Historicals_BS!F19/Historicals_IS!F9*365</x:f>
        <x:v>42.93297434206739</x:v>
      </x:c>
      <x:c r="I19" s="198" t="n">
        <x:f>Historicals_BS!G19/Historicals_IS!G9*365</x:f>
        <x:v>51.58023394076819</x:v>
      </x:c>
      <x:c r="J19" s="276"/>
      <x:c r="K19" s="276"/>
      <x:c r="L19" s="5"/>
    </x:row>
    <x:row r="20">
      <x:c r="A20" s="193" t="str">
        <x:v>K.WC.04</x:v>
      </x:c>
      <x:c r="B20" s="277" t="str">
        <x:v>Deferred revenue / revenue</x:v>
      </x:c>
      <x:c r="C20" s="277" t="str">
        <x:v>ratio</x:v>
      </x:c>
      <x:c r="D20" s="195" t="n">
        <x:f>(Historicals_BS!B22+Historicals_BS!B28)/Historicals_IS!B6</x:f>
        <x:v>0.5009544709915038</x:v>
      </x:c>
      <x:c r="E20" s="195" t="n">
        <x:f>(Historicals_BS!C22+Historicals_BS!C28)/Historicals_IS!C6</x:f>
        <x:v>0.4951615151537384</x:v>
      </x:c>
      <x:c r="F20" s="195" t="n">
        <x:f>(Historicals_BS!D22+Historicals_BS!D28)/Historicals_IS!D6</x:f>
        <x:v>0.5032443123750197</x:v>
      </x:c>
      <x:c r="G20" s="195" t="n">
        <x:f>(Historicals_BS!E22+Historicals_BS!E28)/Historicals_IS!E6</x:f>
        <x:v>0.5633117255895438</x:v>
      </x:c>
      <x:c r="H20" s="195" t="n">
        <x:f>(Historicals_BS!F22+Historicals_BS!F28)/Historicals_IS!F6</x:f>
        <x:v>0.5666698441116053</x:v>
      </x:c>
      <x:c r="I20" s="196" t="n">
        <x:f>(Historicals_BS!G22+Historicals_BS!G28)/Historicals_IS!G6</x:f>
        <x:v>0.6081333543370547</x:v>
      </x:c>
      <x:c r="J20" s="276"/>
      <x:c r="K20" s="276"/>
      <x:c r="L20" s="5"/>
    </x:row>
    <x:row r="21">
      <x:c r="A21" s="193" t="str">
        <x:v>K.WC.05</x:v>
      </x:c>
      <x:c r="B21" s="277" t="str">
        <x:v>Accrued expenses / OpEx</x:v>
      </x:c>
      <x:c r="C21" s="277" t="str">
        <x:v>ratio</x:v>
      </x:c>
      <x:c r="D21" s="195" t="n">
        <x:f>(Historicals_BS!B20+Historicals_BS!B21)/Historicals_IS!B15</x:f>
        <x:v>0.15785658711577727</x:v>
      </x:c>
      <x:c r="E21" s="195" t="n">
        <x:f>(Historicals_BS!C20+Historicals_BS!C21)/Historicals_IS!C15</x:f>
        <x:v>0.18074920571869807</x:v>
      </x:c>
      <x:c r="F21" s="195" t="n">
        <x:f>(Historicals_BS!D20+Historicals_BS!D21)/Historicals_IS!D15</x:f>
        <x:v>0.19644921292981274</x:v>
      </x:c>
      <x:c r="G21" s="195" t="n">
        <x:f>(Historicals_BS!E20+Historicals_BS!E21)/Historicals_IS!E15</x:f>
        <x:v>0.19618019556422922</x:v>
      </x:c>
      <x:c r="H21" s="195" t="n">
        <x:f>(Historicals_BS!F20+Historicals_BS!F21)/Historicals_IS!F15</x:f>
        <x:v>0.1818283946375263</x:v>
      </x:c>
      <x:c r="I21" s="196" t="n">
        <x:f>(Historicals_BS!G20+Historicals_BS!G21)/Historicals_IS!G15</x:f>
        <x:v>0.21579920239921693</x:v>
      </x:c>
      <x:c r="J21" s="276"/>
      <x:c r="K21" s="276"/>
      <x:c r="L21" s="5"/>
    </x:row>
    <x:row r="22">
      <x:c r="A22" s="193" t="str">
        <x:v>K.CAPEX.01</x:v>
      </x:c>
      <x:c r="B22" s="277" t="str">
        <x:v>Capex / revenue</x:v>
      </x:c>
      <x:c r="C22" s="277" t="str">
        <x:v>%</x:v>
      </x:c>
      <x:c r="D22" s="195" t="n">
        <x:f>-Historicals_CF!B20/Historicals_IS!B6</x:f>
        <x:v>0.05639246184639518</x:v>
      </x:c>
      <x:c r="E22" s="195" t="n">
        <x:f>-Historicals_CF!C20/Historicals_IS!C6</x:f>
        <x:v>0.0469023975994659</x:v>
      </x:c>
      <x:c r="F22" s="195" t="n">
        <x:f>-Historicals_CF!D20/Historicals_IS!D6</x:f>
        <x:v>0.057433372290746756</x:v>
      </x:c>
      <x:c r="G22" s="195" t="n">
        <x:f>-Historicals_CF!E20/Historicals_IS!E6</x:f>
        <x:v>0.06894635488113739</x:v>
      </x:c>
      <x:c r="H22" s="195" t="n">
        <x:f>-Historicals_CF!F20/Historicals_IS!F6</x:f>
        <x:v>0.071564161451238</x:v>
      </x:c>
      <x:c r="I22" s="196" t="n">
        <x:f>-Historicals_CF!G20/Historicals_IS!G6</x:f>
        <x:v>0.0721690774079042</x:v>
      </x:c>
      <x:c r="J22" s="276"/>
      <x:c r="K22" s="276"/>
      <x:c r="L22" s="5"/>
    </x:row>
    <x:row r="23">
      <x:c r="A23" s="193" t="str">
        <x:v>K.CAPEX.02</x:v>
      </x:c>
      <x:c r="B23" s="277" t="str">
        <x:v>Capex / depreciation</x:v>
      </x:c>
      <x:c r="C23" s="277" t="str">
        <x:v>ratio</x:v>
      </x:c>
      <x:c r="D23" s="195" t="n">
        <x:f>IFERROR(-Historicals_CF!B20/Historicals_CF!B5,"")</x:f>
        <x:v>1.35597213100711</x:v>
      </x:c>
      <x:c r="E23" s="195" t="n">
        <x:f>IFERROR(-Historicals_CF!C20/Historicals_CF!C5,"")</x:f>
        <x:v>1.2301355365539803</x:v>
      </x:c>
      <x:c r="F23" s="195" t="n">
        <x:f>IFERROR(-Historicals_CF!D20/Historicals_CF!D5,"")</x:f>
        <x:v>1.5745877807870001</x:v>
      </x:c>
      <x:c r="G23" s="195" t="n">
        <x:f>IFERROR(-Historicals_CF!E20/Historicals_CF!E5,"")</x:f>
        <x:v>1.5686165766460907</x:v>
      </x:c>
      <x:c r="H23" s="195" t="n">
        <x:f>IFERROR(-Historicals_CF!F20/Historicals_CF!F5,"")</x:f>
        <x:v>1.7901290129012901</x:v>
      </x:c>
      <x:c r="I23" s="196" t="n">
        <x:f>IFERROR(-Historicals_CF!G20/Historicals_CF!G5,"")</x:f>
        <x:v>1.7883435375300205</x:v>
      </x:c>
      <x:c r="J23" s="276"/>
      <x:c r="K23" s="276"/>
      <x:c r="L23" s="5"/>
    </x:row>
    <x:row r="24">
      <x:c r="A24" s="193" t="str">
        <x:v>K.CAPEX.03</x:v>
      </x:c>
      <x:c r="B24" s="277" t="str">
        <x:v>PP&amp;E / revenue</x:v>
      </x:c>
      <x:c r="C24" s="277" t="str">
        <x:v>ratio</x:v>
      </x:c>
      <x:c r="D24" s="195" t="n">
        <x:f>Historicals_BS!B11/Historicals_IS!B6</x:f>
        <x:v>0.0968074058636285</x:v>
      </x:c>
      <x:c r="E24" s="195" t="n">
        <x:f>Historicals_BS!C11/Historicals_IS!C6</x:f>
        <x:v>0.08954406726190914</x:v>
      </x:c>
      <x:c r="F24" s="195" t="n">
        <x:f>Historicals_BS!D11/Historicals_IS!D6</x:f>
        <x:v>0.09894735083535686</x:v>
      </x:c>
      <x:c r="G24" s="195" t="n">
        <x:f>Historicals_BS!E11/Historicals_IS!E6</x:f>
        <x:v>0.1245677185324351</x:v>
      </x:c>
      <x:c r="H24" s="195" t="n">
        <x:f>Historicals_BS!F11/Historicals_IS!F6</x:f>
        <x:v>0.14574087705055672</x:v>
      </x:c>
      <x:c r="I24" s="196" t="n">
        <x:f>Historicals_BS!G11/Historicals_IS!G6</x:f>
        <x:v>0.1602640353408541</x:v>
      </x:c>
      <x:c r="J24" s="276"/>
      <x:c r="K24" s="276"/>
      <x:c r="L24" s="5"/>
    </x:row>
    <x:row r="25">
      <x:c r="A25" s="193" t="str">
        <x:v>K.CAPEX.04</x:v>
      </x:c>
      <x:c r="B25" s="277" t="str">
        <x:v>Net PP&amp;E / D&amp;A implied life</x:v>
      </x:c>
      <x:c r="C25" s="277" t="str">
        <x:v>years</x:v>
      </x:c>
      <x:c r="D25" s="197" t="n">
        <x:f>IFERROR(Historicals_BS!B11/Historicals_CF!B5,"")</x:f>
        <x:v>2.3277604865652037</x:v>
      </x:c>
      <x:c r="E25" s="197" t="n">
        <x:f>IFERROR(Historicals_BS!C11/Historicals_CF!C5,"")</x:f>
        <x:v>2.348522567377422</x:v>
      </x:c>
      <x:c r="F25" s="197" t="n">
        <x:f>IFERROR(Historicals_BS!D11/Historicals_CF!D5,"")</x:f>
        <x:v>2.712731002071053</x:v>
      </x:c>
      <x:c r="G25" s="197" t="n">
        <x:f>IFERROR(Historicals_BS!E11/Historicals_CF!E5,"")</x:f>
        <x:v>2.8340727880658436</x:v>
      </x:c>
      <x:c r="H25" s="197" t="n">
        <x:f>IFERROR(Historicals_BS!F11/Historicals_CF!F5,"")</x:f>
        <x:v>3.6456092977718826</x:v>
      </x:c>
      <x:c r="I25" s="198" t="n">
        <x:f>IFERROR(Historicals_BS!G11/Historicals_CF!G5,"")</x:f>
        <x:v>3.97132902614755</x:v>
      </x:c>
      <x:c r="J25" s="276"/>
      <x:c r="K25" s="276"/>
      <x:c r="L25" s="5"/>
    </x:row>
    <x:row r="26">
      <x:c r="A26" s="193" t="str">
        <x:v>K.SBC.01</x:v>
      </x:c>
      <x:c r="B26" s="277" t="str">
        <x:v>SBC / revenue</x:v>
      </x:c>
      <x:c r="C26" s="277" t="str">
        <x:v>%</x:v>
      </x:c>
      <x:c r="D26" s="195" t="n">
        <x:f>Historicals_CF!B6/Historicals_IS!B6</x:f>
        <x:v>0.1438944435241147</x:v>
      </x:c>
      <x:c r="E26" s="195" t="n">
        <x:f>Historicals_CF!C6/Historicals_IS!C6</x:f>
        <x:v>0.13158321900471745</x:v>
      </x:c>
      <x:c r="F26" s="195" t="n">
        <x:f>Historicals_CF!D6/Historicals_IS!D6</x:f>
        <x:v>0.11898487488714093</x:v>
      </x:c>
      <x:c r="G26" s="195" t="n">
        <x:f>Historicals_CF!E6/Historicals_IS!E6</x:f>
        <x:v>0.11708632134079412</x:v>
      </x:c>
      <x:c r="H26" s="195" t="n">
        <x:f>Historicals_CF!F6/Historicals_IS!F6</x:f>
        <x:v>0.13298112092682068</x:v>
      </x:c>
      <x:c r="I26" s="196" t="n">
        <x:f>Historicals_CF!G6/Historicals_IS!G6</x:f>
        <x:v>0.13149676357954737</x:v>
      </x:c>
      <x:c r="J26" s="276"/>
      <x:c r="K26" s="276"/>
      <x:c r="L26" s="5"/>
    </x:row>
    <x:row r="27">
      <x:c r="A27" s="193" t="str">
        <x:v>K.SBC.02</x:v>
      </x:c>
      <x:c r="B27" s="277" t="str">
        <x:v>SBC / OpEx</x:v>
      </x:c>
      <x:c r="C27" s="277" t="str">
        <x:v>%</x:v>
      </x:c>
      <x:c r="D27" s="195" t="n">
        <x:f>Historicals_CF!B6/Historicals_IS!B15</x:f>
        <x:v>0.17188041904824047</x:v>
      </x:c>
      <x:c r="E27" s="195" t="n">
        <x:f>Historicals_CF!C6/Historicals_IS!C15</x:f>
        <x:v>0.18267228631429924</x:v>
      </x:c>
      <x:c r="F27" s="195" t="n">
        <x:f>Historicals_CF!D6/Historicals_IS!D15</x:f>
        <x:v>0.1805915001821807</x:v>
      </x:c>
      <x:c r="G27" s="195" t="n">
        <x:f>Historicals_CF!E6/Historicals_IS!E15</x:f>
        <x:v>0.16843884043829155</x:v>
      </x:c>
      <x:c r="H27" s="195" t="n">
        <x:f>Historicals_CF!F6/Historicals_IS!F15</x:f>
        <x:v>0.19803323319785038</x:v>
      </x:c>
      <x:c r="I27" s="196" t="n">
        <x:f>Historicals_CF!G6/Historicals_IS!G15</x:f>
        <x:v>0.1955441374150118</x:v>
      </x:c>
      <x:c r="J27" s="276"/>
      <x:c r="K27" s="276"/>
      <x:c r="L27" s="5"/>
    </x:row>
    <x:row r="28">
      <x:c r="A28" s="193" t="str">
        <x:v>K.TAX.01</x:v>
      </x:c>
      <x:c r="B28" s="277" t="str">
        <x:v>Effective tax rate</x:v>
      </x:c>
      <x:c r="C28" s="277" t="str">
        <x:v>%</x:v>
      </x:c>
      <x:c r="D28" s="195" t="str">
        <x:f>IF(Historicals_IS!B20&gt;0,Historicals_IS!B21/Historicals_IS!B20,"")</x:f>
      </x:c>
      <x:c r="E28" s="195" t="str">
        <x:f>IF(Historicals_IS!C20&gt;0,Historicals_IS!C21/Historicals_IS!C20,"")</x:f>
      </x:c>
      <x:c r="F28" s="195" t="n">
        <x:f>IF(Historicals_IS!D20&gt;0,Historicals_IS!D21/Historicals_IS!D20,"")</x:f>
        <x:v>0.2040889682816312</x:v>
      </x:c>
      <x:c r="G28" s="195" t="n">
        <x:f>IF(Historicals_IS!E20&gt;0,Historicals_IS!E21/Historicals_IS!E20,"")</x:f>
        <x:v>0.32317355882807497</x:v>
      </x:c>
      <x:c r="H28" s="195" t="n">
        <x:f>IF(Historicals_IS!F20&gt;0,Historicals_IS!F21/Historicals_IS!F20,"")</x:f>
        <x:v>0.27798070809150804</x:v>
      </x:c>
      <x:c r="I28" s="196" t="n">
        <x:f>IF(Historicals_IS!G20&gt;0,Historicals_IS!G21/Historicals_IS!G20,"")</x:f>
        <x:v>0.16097002015302028</x:v>
      </x:c>
      <x:c r="J28" s="276"/>
      <x:c r="K28" s="276"/>
      <x:c r="L28" s="5"/>
    </x:row>
    <x:row r="29">
      <x:c r="A29" s="193" t="str">
        <x:v>K.TAX.02</x:v>
      </x:c>
      <x:c r="B29" s="277" t="str">
        <x:v>Cash tax / pretax income</x:v>
      </x:c>
      <x:c r="C29" s="277" t="str">
        <x:v>%</x:v>
      </x:c>
      <x:c r="D29" s="195" t="str">
        <x:f>IF(Historicals_IS!B20&gt;0,Historicals_CF!B40/Historicals_IS!B20,"")</x:f>
      </x:c>
      <x:c r="E29" s="195" t="str">
        <x:f>IF(Historicals_IS!C20&gt;0,Historicals_CF!C40/Historicals_IS!C20,"")</x:f>
      </x:c>
      <x:c r="F29" s="195" t="n">
        <x:f>IF(Historicals_IS!D20&gt;0,Historicals_CF!D40/Historicals_IS!D20,"")</x:f>
        <x:v>0.15675104566050888</x:v>
      </x:c>
      <x:c r="G29" s="195" t="n">
        <x:f>IF(Historicals_IS!E20&gt;0,Historicals_CF!E40/Historicals_IS!E20,"")</x:f>
        <x:v>0.3164617048992118</x:v>
      </x:c>
      <x:c r="H29" s="195" t="n">
        <x:f>IF(Historicals_IS!F20&gt;0,Historicals_CF!F40/Historicals_IS!F20,"")</x:f>
        <x:v>0.2575997402491984</x:v>
      </x:c>
      <x:c r="I29" s="196" t="n">
        <x:f>IF(Historicals_IS!G20&gt;0,Historicals_CF!G40/Historicals_IS!G20,"")</x:f>
        <x:v>0.14499028018048546</x:v>
      </x:c>
      <x:c r="J29" s="276"/>
      <x:c r="K29" s="276"/>
      <x:c r="L29" s="5"/>
    </x:row>
    <x:row r="30">
      <x:c r="A30" s="193" t="str">
        <x:v>K.LEV.01</x:v>
      </x:c>
      <x:c r="B30" s="277" t="str">
        <x:v>Total debt / EBITDA</x:v>
      </x:c>
      <x:c r="C30" s="277" t="str">
        <x:v>x</x:v>
      </x:c>
      <x:c r="D30" s="199" t="n">
        <x:f>IFERROR((Historicals_BS!B24+Historicals_BS!B26)/(Historicals_IS!B16+Historicals_CF!B5),"")</x:f>
        <x:v>-3.957327832201517</x:v>
      </x:c>
      <x:c r="E30" s="199" t="n">
        <x:f>IFERROR((Historicals_BS!C24+Historicals_BS!C26)/(Historicals_IS!C16+Historicals_CF!C5),"")</x:f>
        <x:v>-51.60221682954024</x:v>
      </x:c>
      <x:c r="F30" s="199" t="n">
        <x:f>IFERROR((Historicals_BS!D24+Historicals_BS!D26)/(Historicals_IS!D16+Historicals_CF!D5),"")</x:f>
        <x:v>3.1232487971948135</x:v>
      </x:c>
      <x:c r="G30" s="199" t="n">
        <x:f>IFERROR((Historicals_BS!E24+Historicals_BS!E26)/(Historicals_IS!E16+Historicals_CF!E5),"")</x:f>
        <x:v>0.5619019256378992</x:v>
      </x:c>
      <x:c r="H30" s="199" t="n">
        <x:f>IFERROR((Historicals_BS!F24+Historicals_BS!F26)/(Historicals_IS!F16+Historicals_CF!F5),"")</x:f>
        <x:v>0.4718939937332478</x:v>
      </x:c>
      <x:c r="I30" s="200" t="n">
        <x:f>IFERROR((Historicals_BS!G24+Historicals_BS!G26)/(Historicals_IS!G16+Historicals_CF!G5),"")</x:f>
        <x:v>0</x:v>
      </x:c>
      <x:c r="J30" s="276"/>
      <x:c r="K30" s="276"/>
      <x:c r="L30" s="5"/>
    </x:row>
    <x:row r="31">
      <x:c r="A31" s="193" t="str">
        <x:v>K.LEV.02</x:v>
      </x:c>
      <x:c r="B31" s="277" t="str">
        <x:v>EBIT / cash interest paid</x:v>
      </x:c>
      <x:c r="C31" s="277" t="str">
        <x:v>x</x:v>
      </x:c>
      <x:c r="D31" s="199" t="n">
        <x:f>IFERROR(Historicals_IS!B16/Historicals_CF!B39,"")</x:f>
        <x:v>-114.53839403247039</x:v>
      </x:c>
      <x:c r="E31" s="199" t="n">
        <x:f>IFERROR(Historicals_IS!C16/Historicals_CF!C39,"")</x:f>
        <x:v>-19.60510061765292</x:v>
      </x:c>
      <x:c r="F31" s="199" t="n">
        <x:f>IFERROR(Historicals_IS!D16/Historicals_CF!D39,"")</x:f>
        <x:v>70.47510548523206</x:v>
      </x:c>
      <x:c r="G31" s="199" t="n">
        <x:f>IFERROR(Historicals_IS!E16/Historicals_CF!E39,"")</x:f>
        <x:v>9.179122386013027</x:v>
      </x:c>
      <x:c r="H31" s="199" t="n">
        <x:f>IFERROR(Historicals_IS!F16/Historicals_CF!F39,"")</x:f>
        <x:v>11.872719676925218</x:v>
      </x:c>
      <x:c r="I31" s="200" t="n">
        <x:f>IFERROR(Historicals_IS!G16/Historicals_CF!G39,"")</x:f>
        <x:v>50.512978442586885</x:v>
      </x:c>
      <x:c r="J31" s="276"/>
      <x:c r="K31" s="276"/>
      <x:c r="L31" s="5"/>
    </x:row>
    <x:row r="32">
      <x:c r="A32" s="193" t="str">
        <x:v>K.LEV.03</x:v>
      </x:c>
      <x:c r="B32" s="277" t="str">
        <x:v>Average interest rate</x:v>
      </x:c>
      <x:c r="C32" s="277" t="str">
        <x:v>%</x:v>
      </x:c>
      <x:c r="D32" s="195"/>
      <x:c r="E32" s="195" t="n">
        <x:f>IFERROR(Historicals_CF!C39/(((Historicals_BS!C24+Historicals_BS!C26)+(Historicals_BS!B24+Historicals_BS!B26))/2),"")</x:f>
        <x:v>0.00650722517216142</x:v>
      </x:c>
      <x:c r="F32" s="195" t="n">
        <x:f>IFERROR(Historicals_CF!D39/(((Historicals_BS!D24+Historicals_BS!D26)+(Historicals_BS!C24+Historicals_BS!C26))/2),"")</x:f>
        <x:v>0.0017410020678990808</x:v>
      </x:c>
      <x:c r="G32" s="195" t="n">
        <x:f>IFERROR(Historicals_CF!E39/(((Historicals_BS!E24+Historicals_BS!E26)+(Historicals_BS!D24+Historicals_BS!D26))/2),"")</x:f>
        <x:v>0.0172985859280718</x:v>
      </x:c>
      <x:c r="H32" s="195" t="n">
        <x:f>IFERROR(Historicals_CF!F39/(((Historicals_BS!F24+Historicals_BS!F26)+(Historicals_BS!E24+Historicals_BS!E26))/2),"")</x:f>
        <x:v>0.07181</x:v>
      </x:c>
      <x:c r="I32" s="196" t="n">
        <x:f>IFERROR(Historicals_CF!G39/(((Historicals_BS!G24+Historicals_BS!G26)+(Historicals_BS!F24+Historicals_BS!F26))/2),"")</x:f>
        <x:v>0.04546</x:v>
      </x:c>
      <x:c r="J32" s="276"/>
      <x:c r="K32" s="276"/>
      <x:c r="L32" s="5"/>
    </x:row>
    <x:row r="33">
      <x:c r="A33" s="193" t="str">
        <x:v>K.RET.01</x:v>
      </x:c>
      <x:c r="B33" s="277" t="str">
        <x:v>Return on invested capital</x:v>
      </x:c>
      <x:c r="C33" s="277" t="str">
        <x:v>%</x:v>
      </x:c>
      <x:c r="D33" s="195"/>
      <x:c r="E33" s="195" t="n">
        <x:f>IFERROR((Historicals_IS!C16*(1-IF(Historicals_IS!C20&gt;0,Historicals_IS!C21/Historicals_IS!C20,0.21)))/(((Historicals_BS!C18-Historicals_BS!C4-Historicals_BS!C5-Historicals_BS!C25)+(Historicals_BS!B18-Historicals_BS!B4-Historicals_BS!B5-Historicals_BS!B25))/2),"")</x:f>
        <x:v>-0.09871194145938822</x:v>
      </x:c>
      <x:c r="F33" s="195" t="n">
        <x:f>IFERROR((Historicals_IS!D16*(1-IF(Historicals_IS!D20&gt;0,Historicals_IS!D21/Historicals_IS!D20,0.21)))/(((Historicals_BS!D18-Historicals_BS!D4-Historicals_BS!D5-Historicals_BS!D25)+(Historicals_BS!C18-Historicals_BS!C4-Historicals_BS!C5-Historicals_BS!C25))/2),"")</x:f>
        <x:v>0.13549751962706721</x:v>
      </x:c>
      <x:c r="G33" s="195" t="n">
        <x:f>IFERROR((Historicals_IS!E16*(1-IF(Historicals_IS!E20&gt;0,Historicals_IS!E21/Historicals_IS!E20,0.21)))/(((Historicals_BS!E18-Historicals_BS!E4-Historicals_BS!E5-Historicals_BS!E25)+(Historicals_BS!D18-Historicals_BS!D4-Historicals_BS!D5-Historicals_BS!D25))/2),"")</x:f>
        <x:v>0.0747029897929504</x:v>
      </x:c>
      <x:c r="H33" s="195" t="n">
        <x:f>IFERROR((Historicals_IS!F16*(1-IF(Historicals_IS!F20&gt;0,Historicals_IS!F21/Historicals_IS!F20,0.21)))/(((Historicals_BS!F18-Historicals_BS!F4-Historicals_BS!F5-Historicals_BS!F25)+(Historicals_BS!E18-Historicals_BS!E4-Historicals_BS!E5-Historicals_BS!E25))/2),"")</x:f>
        <x:v>0.07672853284697176</x:v>
      </x:c>
      <x:c r="I33" s="196" t="n">
        <x:f>IFERROR((Historicals_IS!G16*(1-IF(Historicals_IS!G20&gt;0,Historicals_IS!G21/Historicals_IS!G20,0.21)))/(((Historicals_BS!G18-Historicals_BS!G4-Historicals_BS!G5-Historicals_BS!G25)+(Historicals_BS!F18-Historicals_BS!F4-Historicals_BS!F5-Historicals_BS!F25))/2),"")</x:f>
        <x:v>0.09341344800743438</x:v>
      </x:c>
      <x:c r="J33" s="276"/>
      <x:c r="K33" s="276"/>
      <x:c r="L33" s="5"/>
    </x:row>
    <x:row r="34">
      <x:c r="A34" s="193" t="str">
        <x:v>K.RET.02</x:v>
      </x:c>
      <x:c r="B34" s="277" t="str">
        <x:v>Return on equity</x:v>
      </x:c>
      <x:c r="C34" s="277" t="str">
        <x:v>%</x:v>
      </x:c>
      <x:c r="D34" s="195"/>
      <x:c r="E34" s="195" t="n">
        <x:f>IFERROR(Historicals_IS!C22/(((Historicals_BS!C35)+(Historicals_BS!B35))/2),"")</x:f>
        <x:v>-0.19046067981881776</x:v>
      </x:c>
      <x:c r="F34" s="195" t="n">
        <x:f>IFERROR(Historicals_IS!D22/(((Historicals_BS!D35)+(Historicals_BS!C35))/2),"")</x:f>
        <x:v>0.08619053544857214</x:v>
      </x:c>
      <x:c r="G34" s="195" t="n">
        <x:f>IFERROR(Historicals_IS!E22/(((Historicals_BS!E35)+(Historicals_BS!D35))/2),"")</x:f>
        <x:v>0.05545177171897236</x:v>
      </x:c>
      <x:c r="H34" s="195" t="n">
        <x:f>IFERROR(Historicals_IS!F22/(((Historicals_BS!F35)+(Historicals_BS!E35))/2),"")</x:f>
        <x:v>0.08285359328626558</x:v>
      </x:c>
      <x:c r="I34" s="196" t="n">
        <x:f>IFERROR(Historicals_IS!G22/(((Historicals_BS!G35)+(Historicals_BS!F35))/2),"")</x:f>
        <x:v>0.13675234172061554</x:v>
      </x:c>
      <x:c r="J34" s="276"/>
      <x:c r="K34" s="276"/>
      <x:c r="L34" s="5"/>
    </x:row>
    <x:row r="35">
      <x:c r="A35" s="193" t="str">
        <x:v>K.SHARES.01</x:v>
      </x:c>
      <x:c r="B35" s="277" t="str">
        <x:v>Diluted share count YoY change</x:v>
      </x:c>
      <x:c r="C35" s="277" t="str">
        <x:v>%</x:v>
      </x:c>
      <x:c r="D35" s="195"/>
      <x:c r="E35" s="195" t="n">
        <x:f>Historicals_IS!C23/Historicals_IS!B23-1</x:f>
        <x:v>0.06742487603799496</x:v>
      </x:c>
      <x:c r="F35" s="195" t="n">
        <x:f>Historicals_IS!D23/Historicals_IS!C23-1</x:f>
        <x:v>0.18644755528504775</x:v>
      </x:c>
      <x:c r="G35" s="195" t="n">
        <x:f>Historicals_IS!E23/Historicals_IS!D23-1</x:f>
        <x:v>-0.019505637058351954</x:v>
      </x:c>
      <x:c r="H35" s="195" t="n">
        <x:f>Historicals_IS!F23/Historicals_IS!E23-1</x:f>
        <x:v>0.030477977436193626</x:v>
      </x:c>
      <x:c r="I35" s="196" t="n">
        <x:f>Historicals_IS!G23/Historicals_IS!F23-1</x:f>
        <x:v>0.0008403753676642367</x:v>
      </x:c>
      <x:c r="J35" s="276"/>
      <x:c r="K35" s="276"/>
      <x:c r="L35" s="5"/>
    </x:row>
    <x:row r="36">
      <x:c r="A36" s="201" t="str">
        <x:v>K.SHARES.02</x:v>
      </x:c>
      <x:c r="B36" s="278" t="str">
        <x:v>Buyback dollars / latest aggregate market value</x:v>
      </x:c>
      <x:c r="C36" s="278" t="str">
        <x:v>%</x:v>
      </x:c>
      <x:c r="D36" s="203" t="n">
        <x:f>-Historicals_CF!B29/17000</x:f>
        <x:v>0.007951470588235294</x:v>
      </x:c>
      <x:c r="E36" s="203" t="n">
        <x:f>-Historicals_CF!C29/17000</x:f>
        <x:v>0.01177470588235294</x:v>
      </x:c>
      <x:c r="F36" s="203" t="n">
        <x:f>-Historicals_CF!D29/17000</x:f>
        <x:v>0.012886352941176472</x:v>
      </x:c>
      <x:c r="G36" s="203" t="n">
        <x:f>-Historicals_CF!E29/17000</x:f>
        <x:v>0.007988294117647059</x:v>
      </x:c>
      <x:c r="H36" s="203" t="n">
        <x:f>-Historicals_CF!F29/17000</x:f>
        <x:v>0.02199864705882353</x:v>
      </x:c>
      <x:c r="I36" s="204" t="n">
        <x:f>-Historicals_CF!G29/17000</x:f>
        <x:v>0.020155764705882356</x:v>
      </x:c>
      <x:c r="J36" s="276"/>
      <x:c r="K36" s="276"/>
      <x:c r="L36" s="5"/>
    </x:row>
    <x:row r="37">
      <x:c r="A37" s="119"/>
      <x:c r="B37" s="276"/>
      <x:c r="C37" s="276"/>
      <x:c r="D37" s="276"/>
      <x:c r="E37" s="276"/>
      <x:c r="F37" s="276"/>
      <x:c r="G37" s="276"/>
      <x:c r="H37" s="276"/>
      <x:c r="I37" s="276"/>
      <x:c r="J37" s="276"/>
      <x:c r="K37" s="276"/>
      <x:c r="L37" s="5"/>
    </x:row>
    <x:row r="38">
      <x:c r="A38" s="119"/>
      <x:c r="B38" s="276"/>
      <x:c r="C38" s="276"/>
      <x:c r="D38" s="276"/>
      <x:c r="E38" s="276"/>
      <x:c r="F38" s="276"/>
      <x:c r="G38" s="276"/>
      <x:c r="H38" s="276"/>
      <x:c r="I38" s="276"/>
      <x:c r="J38" s="276"/>
      <x:c r="K38" s="276"/>
      <x:c r="L38" s="5"/>
    </x:row>
    <x:row r="39">
      <x:c r="A39" s="119"/>
      <x:c r="B39" s="276"/>
      <x:c r="C39" s="276"/>
      <x:c r="D39" s="276"/>
      <x:c r="E39" s="276"/>
      <x:c r="F39" s="276"/>
      <x:c r="G39" s="276"/>
      <x:c r="H39" s="276"/>
      <x:c r="I39" s="276"/>
      <x:c r="J39" s="276"/>
      <x:c r="K39" s="276"/>
      <x:c r="L39" s="5"/>
    </x:row>
    <x:row r="40">
      <x:c r="A40" s="119"/>
      <x:c r="B40" s="276"/>
      <x:c r="C40" s="276"/>
      <x:c r="D40" s="276"/>
      <x:c r="E40" s="276"/>
      <x:c r="F40" s="276"/>
      <x:c r="G40" s="276"/>
      <x:c r="H40" s="276"/>
      <x:c r="I40" s="276"/>
      <x:c r="J40" s="276"/>
      <x:c r="K40" s="276"/>
      <x:c r="L40" s="5"/>
    </x:row>
    <x:row r="41">
      <x:c r="A41" s="119"/>
      <x:c r="B41" s="276"/>
      <x:c r="C41" s="276"/>
      <x:c r="D41" s="276"/>
      <x:c r="E41" s="276"/>
      <x:c r="F41" s="276"/>
      <x:c r="G41" s="276"/>
      <x:c r="H41" s="276"/>
      <x:c r="I41" s="276"/>
      <x:c r="J41" s="276"/>
      <x:c r="K41" s="276"/>
      <x:c r="L41" s="5"/>
    </x:row>
    <x:row r="42">
      <x:c r="A42" s="119"/>
      <x:c r="B42" s="276"/>
      <x:c r="C42" s="276"/>
      <x:c r="D42" s="276"/>
      <x:c r="E42" s="276"/>
      <x:c r="F42" s="276"/>
      <x:c r="G42" s="276"/>
      <x:c r="H42" s="276"/>
      <x:c r="I42" s="276"/>
      <x:c r="J42" s="276"/>
      <x:c r="K42" s="276"/>
      <x:c r="L42" s="5"/>
    </x:row>
    <x:row r="43">
      <x:c r="A43" s="119"/>
      <x:c r="B43" s="276"/>
      <x:c r="C43" s="276"/>
      <x:c r="D43" s="276"/>
      <x:c r="E43" s="276"/>
      <x:c r="F43" s="276"/>
      <x:c r="G43" s="276"/>
      <x:c r="H43" s="276"/>
      <x:c r="I43" s="276"/>
      <x:c r="J43" s="276"/>
      <x:c r="K43" s="276"/>
      <x:c r="L43" s="5"/>
    </x:row>
    <x:row r="44">
      <x:c r="A44" s="119"/>
      <x:c r="B44" s="276"/>
      <x:c r="C44" s="276"/>
      <x:c r="D44" s="276"/>
      <x:c r="E44" s="276"/>
      <x:c r="F44" s="276"/>
      <x:c r="G44" s="276"/>
      <x:c r="H44" s="276"/>
      <x:c r="I44" s="276"/>
      <x:c r="J44" s="276"/>
      <x:c r="K44" s="276"/>
      <x:c r="L44" s="5"/>
    </x:row>
    <x:row r="45">
      <x:c r="A45" s="119"/>
      <x:c r="B45" s="276"/>
      <x:c r="C45" s="276"/>
      <x:c r="D45" s="276"/>
      <x:c r="E45" s="276"/>
      <x:c r="F45" s="276"/>
      <x:c r="G45" s="276"/>
      <x:c r="H45" s="276"/>
      <x:c r="I45" s="276"/>
      <x:c r="J45" s="276"/>
      <x:c r="K45" s="276"/>
      <x:c r="L45" s="5"/>
    </x:row>
    <x:row r="46">
      <x:c r="A46" s="119"/>
      <x:c r="B46" s="276"/>
      <x:c r="C46" s="276"/>
      <x:c r="D46" s="276"/>
      <x:c r="E46" s="276"/>
      <x:c r="F46" s="276"/>
      <x:c r="G46" s="276"/>
      <x:c r="H46" s="276"/>
      <x:c r="I46" s="276"/>
      <x:c r="J46" s="276"/>
      <x:c r="K46" s="276"/>
      <x:c r="L46" s="5"/>
    </x:row>
    <x:row r="47">
      <x:c r="A47" s="119"/>
      <x:c r="B47" s="276"/>
      <x:c r="C47" s="276"/>
      <x:c r="D47" s="276"/>
      <x:c r="E47" s="276"/>
      <x:c r="F47" s="276"/>
      <x:c r="G47" s="276"/>
      <x:c r="H47" s="276"/>
      <x:c r="I47" s="276"/>
      <x:c r="J47" s="276"/>
      <x:c r="K47" s="276"/>
      <x:c r="L47" s="5"/>
    </x:row>
    <x:row r="48">
      <x:c r="A48" s="119"/>
      <x:c r="B48" s="276"/>
      <x:c r="C48" s="276"/>
      <x:c r="D48" s="276"/>
      <x:c r="E48" s="276"/>
      <x:c r="F48" s="276"/>
      <x:c r="G48" s="276"/>
      <x:c r="H48" s="276"/>
      <x:c r="I48" s="276"/>
      <x:c r="J48" s="276"/>
      <x:c r="K48" s="276"/>
      <x:c r="L48" s="5"/>
    </x:row>
    <x:row r="49">
      <x:c r="A49" s="119"/>
      <x:c r="B49" s="276"/>
      <x:c r="C49" s="276"/>
      <x:c r="D49" s="276"/>
      <x:c r="E49" s="276"/>
      <x:c r="F49" s="276"/>
      <x:c r="G49" s="276"/>
      <x:c r="H49" s="276"/>
      <x:c r="I49" s="276"/>
      <x:c r="J49" s="276"/>
      <x:c r="K49" s="276"/>
      <x:c r="L49" s="5"/>
    </x:row>
    <x:row r="50">
      <x:c r="A50" s="119"/>
      <x:c r="B50" s="276"/>
      <x:c r="C50" s="276"/>
      <x:c r="D50" s="276"/>
      <x:c r="E50" s="276"/>
      <x:c r="F50" s="276"/>
      <x:c r="G50" s="276"/>
      <x:c r="H50" s="276"/>
      <x:c r="I50" s="276"/>
      <x:c r="J50" s="276"/>
      <x:c r="K50" s="276"/>
      <x:c r="L50" s="5"/>
    </x:row>
    <x:row r="51">
      <x:c r="A51" s="119"/>
      <x:c r="B51" s="276"/>
      <x:c r="C51" s="276"/>
      <x:c r="D51" s="276"/>
      <x:c r="E51" s="276"/>
      <x:c r="F51" s="276"/>
      <x:c r="G51" s="276"/>
      <x:c r="H51" s="276"/>
      <x:c r="I51" s="276"/>
      <x:c r="J51" s="276"/>
      <x:c r="K51" s="276"/>
      <x:c r="L51" s="5"/>
    </x:row>
    <x:row r="52">
      <x:c r="A52" s="119"/>
      <x:c r="B52" s="276"/>
      <x:c r="C52" s="276"/>
      <x:c r="D52" s="276"/>
      <x:c r="E52" s="276"/>
      <x:c r="F52" s="276"/>
      <x:c r="G52" s="276"/>
      <x:c r="H52" s="276"/>
      <x:c r="I52" s="276"/>
      <x:c r="J52" s="276"/>
      <x:c r="K52" s="276"/>
      <x:c r="L52" s="5"/>
    </x:row>
    <x:row r="53">
      <x:c r="A53" s="119"/>
      <x:c r="B53" s="276"/>
      <x:c r="C53" s="276"/>
      <x:c r="D53" s="276"/>
      <x:c r="E53" s="276"/>
      <x:c r="F53" s="276"/>
      <x:c r="G53" s="276"/>
      <x:c r="H53" s="276"/>
      <x:c r="I53" s="276"/>
      <x:c r="J53" s="276"/>
      <x:c r="K53" s="276"/>
      <x:c r="L53" s="5"/>
    </x:row>
    <x:row r="54">
      <x:c r="A54" s="119"/>
      <x:c r="B54" s="276"/>
      <x:c r="C54" s="276"/>
      <x:c r="D54" s="276"/>
      <x:c r="E54" s="276"/>
      <x:c r="F54" s="276"/>
      <x:c r="G54" s="276"/>
      <x:c r="H54" s="276"/>
      <x:c r="I54" s="276"/>
      <x:c r="J54" s="276"/>
      <x:c r="K54" s="276"/>
      <x:c r="L54" s="5"/>
    </x:row>
    <x:row r="55">
      <x:c r="A55" s="119"/>
      <x:c r="B55" s="276"/>
      <x:c r="C55" s="276"/>
      <x:c r="D55" s="276"/>
      <x:c r="E55" s="276"/>
      <x:c r="F55" s="276"/>
      <x:c r="G55" s="276"/>
      <x:c r="H55" s="276"/>
      <x:c r="I55" s="276"/>
      <x:c r="J55" s="276"/>
      <x:c r="K55" s="276"/>
      <x:c r="L55" s="5"/>
    </x:row>
    <x:row r="56">
      <x:c r="A56" s="119"/>
      <x:c r="B56" s="276"/>
      <x:c r="C56" s="276"/>
      <x:c r="D56" s="276"/>
      <x:c r="E56" s="276"/>
      <x:c r="F56" s="276"/>
      <x:c r="G56" s="276"/>
      <x:c r="H56" s="276"/>
      <x:c r="I56" s="276"/>
      <x:c r="J56" s="276"/>
      <x:c r="K56" s="276"/>
      <x:c r="L56" s="5"/>
    </x:row>
    <x:row r="57">
      <x:c r="A57" s="119"/>
      <x:c r="B57" s="276"/>
      <x:c r="C57" s="276"/>
      <x:c r="D57" s="276"/>
      <x:c r="E57" s="276"/>
      <x:c r="F57" s="276"/>
      <x:c r="G57" s="276"/>
      <x:c r="H57" s="276"/>
      <x:c r="I57" s="276"/>
      <x:c r="J57" s="276"/>
      <x:c r="K57" s="276"/>
      <x:c r="L57" s="5"/>
    </x:row>
    <x:row r="58">
      <x:c r="A58" s="119"/>
      <x:c r="B58" s="276"/>
      <x:c r="C58" s="276"/>
      <x:c r="D58" s="276"/>
      <x:c r="E58" s="276"/>
      <x:c r="F58" s="276"/>
      <x:c r="G58" s="276"/>
      <x:c r="H58" s="276"/>
      <x:c r="I58" s="276"/>
      <x:c r="J58" s="276"/>
      <x:c r="K58" s="276"/>
      <x:c r="L58" s="5"/>
    </x:row>
    <x:row r="59">
      <x:c r="A59" s="119"/>
      <x:c r="B59" s="276"/>
      <x:c r="C59" s="276"/>
      <x:c r="D59" s="276"/>
      <x:c r="E59" s="276"/>
      <x:c r="F59" s="276"/>
      <x:c r="G59" s="276"/>
      <x:c r="H59" s="276"/>
      <x:c r="I59" s="276"/>
      <x:c r="J59" s="276"/>
      <x:c r="K59" s="276"/>
      <x:c r="L59" s="5"/>
    </x:row>
    <x:row r="60">
      <x:c r="A60" s="119"/>
      <x:c r="B60" s="276"/>
      <x:c r="C60" s="276"/>
      <x:c r="D60" s="276"/>
      <x:c r="E60" s="276"/>
      <x:c r="F60" s="276"/>
      <x:c r="G60" s="276"/>
      <x:c r="H60" s="276"/>
      <x:c r="I60" s="276"/>
      <x:c r="J60" s="276"/>
      <x:c r="K60" s="276"/>
      <x:c r="L60" s="5"/>
    </x:row>
    <x:row r="61">
      <x:c r="A61" s="119"/>
      <x:c r="B61" s="276"/>
      <x:c r="C61" s="276"/>
      <x:c r="D61" s="276"/>
      <x:c r="E61" s="276"/>
      <x:c r="F61" s="276"/>
      <x:c r="G61" s="276"/>
      <x:c r="H61" s="276"/>
      <x:c r="I61" s="276"/>
      <x:c r="J61" s="276"/>
      <x:c r="K61" s="276"/>
      <x:c r="L61" s="5"/>
    </x:row>
    <x:row r="62">
      <x:c r="A62" s="119"/>
      <x:c r="B62" s="276"/>
      <x:c r="C62" s="276"/>
      <x:c r="D62" s="276"/>
      <x:c r="E62" s="276"/>
      <x:c r="F62" s="276"/>
      <x:c r="G62" s="276"/>
      <x:c r="H62" s="276"/>
      <x:c r="I62" s="276"/>
      <x:c r="J62" s="276"/>
      <x:c r="K62" s="276"/>
      <x:c r="L62" s="5"/>
    </x:row>
    <x:row r="63">
      <x:c r="A63" s="119"/>
      <x:c r="B63" s="276"/>
      <x:c r="C63" s="276"/>
      <x:c r="D63" s="276"/>
      <x:c r="E63" s="276"/>
      <x:c r="F63" s="276"/>
      <x:c r="G63" s="276"/>
      <x:c r="H63" s="276"/>
      <x:c r="I63" s="276"/>
      <x:c r="J63" s="276"/>
      <x:c r="K63" s="276"/>
      <x:c r="L63" s="5"/>
    </x:row>
    <x:row r="64">
      <x:c r="A64" s="119"/>
      <x:c r="B64" s="276"/>
      <x:c r="C64" s="276"/>
      <x:c r="D64" s="276"/>
      <x:c r="E64" s="276"/>
      <x:c r="F64" s="276"/>
      <x:c r="G64" s="276"/>
      <x:c r="H64" s="276"/>
      <x:c r="I64" s="276"/>
      <x:c r="J64" s="276"/>
      <x:c r="K64" s="276"/>
      <x:c r="L64" s="5"/>
    </x:row>
    <x:row r="65">
      <x:c r="A65" s="119"/>
      <x:c r="B65" s="276"/>
      <x:c r="C65" s="276"/>
      <x:c r="D65" s="276"/>
      <x:c r="E65" s="276"/>
      <x:c r="F65" s="276"/>
      <x:c r="G65" s="276"/>
      <x:c r="H65" s="276"/>
      <x:c r="I65" s="276"/>
      <x:c r="J65" s="276"/>
      <x:c r="K65" s="276"/>
      <x:c r="L65" s="5"/>
    </x:row>
    <x:row r="66">
      <x:c r="A66" s="119"/>
      <x:c r="B66" s="276"/>
      <x:c r="C66" s="276"/>
      <x:c r="D66" s="276"/>
      <x:c r="E66" s="276"/>
      <x:c r="F66" s="276"/>
      <x:c r="G66" s="276"/>
      <x:c r="H66" s="276"/>
      <x:c r="I66" s="276"/>
      <x:c r="J66" s="276"/>
      <x:c r="K66" s="276"/>
      <x:c r="L66" s="5"/>
    </x:row>
    <x:row r="67">
      <x:c r="A67" s="119"/>
      <x:c r="B67" s="276"/>
      <x:c r="C67" s="276"/>
      <x:c r="D67" s="276"/>
      <x:c r="E67" s="276"/>
      <x:c r="F67" s="276"/>
      <x:c r="G67" s="276"/>
      <x:c r="H67" s="276"/>
      <x:c r="I67" s="276"/>
      <x:c r="J67" s="276"/>
      <x:c r="K67" s="276"/>
      <x:c r="L67" s="5"/>
    </x:row>
    <x:row r="68">
      <x:c r="A68" s="119"/>
      <x:c r="B68" s="276"/>
      <x:c r="C68" s="276"/>
      <x:c r="D68" s="276"/>
      <x:c r="E68" s="276"/>
      <x:c r="F68" s="276"/>
      <x:c r="G68" s="276"/>
      <x:c r="H68" s="276"/>
      <x:c r="I68" s="276"/>
      <x:c r="J68" s="276"/>
      <x:c r="K68" s="276"/>
      <x:c r="L68" s="5"/>
    </x:row>
    <x:row r="69">
      <x:c r="A69" s="119"/>
      <x:c r="B69" s="276"/>
      <x:c r="C69" s="276"/>
      <x:c r="D69" s="276"/>
      <x:c r="E69" s="276"/>
      <x:c r="F69" s="276"/>
      <x:c r="G69" s="276"/>
      <x:c r="H69" s="276"/>
      <x:c r="I69" s="276"/>
      <x:c r="J69" s="276"/>
      <x:c r="K69" s="276"/>
      <x:c r="L69" s="5"/>
    </x:row>
    <x:row r="70">
      <x:c r="A70" s="119"/>
      <x:c r="B70" s="276"/>
      <x:c r="C70" s="276"/>
      <x:c r="D70" s="276"/>
      <x:c r="E70" s="276"/>
      <x:c r="F70" s="276"/>
      <x:c r="G70" s="276"/>
      <x:c r="H70" s="276"/>
      <x:c r="I70" s="276"/>
      <x:c r="J70" s="276"/>
      <x:c r="K70" s="276"/>
      <x:c r="L70" s="5"/>
    </x:row>
    <x:row r="71">
      <x:c r="A71" s="119"/>
      <x:c r="B71" s="276"/>
      <x:c r="C71" s="276"/>
      <x:c r="D71" s="276"/>
      <x:c r="E71" s="276"/>
      <x:c r="F71" s="276"/>
      <x:c r="G71" s="276"/>
      <x:c r="H71" s="276"/>
      <x:c r="I71" s="276"/>
      <x:c r="J71" s="276"/>
      <x:c r="K71" s="276"/>
      <x:c r="L71" s="5"/>
    </x:row>
    <x:row r="72">
      <x:c r="A72" s="119"/>
      <x:c r="B72" s="276"/>
      <x:c r="C72" s="276"/>
      <x:c r="D72" s="276"/>
      <x:c r="E72" s="276"/>
      <x:c r="F72" s="276"/>
      <x:c r="G72" s="276"/>
      <x:c r="H72" s="276"/>
      <x:c r="I72" s="276"/>
      <x:c r="J72" s="276"/>
      <x:c r="K72" s="276"/>
      <x:c r="L72" s="5"/>
    </x:row>
    <x:row r="73">
      <x:c r="A73" s="119"/>
      <x:c r="B73" s="276"/>
      <x:c r="C73" s="276"/>
      <x:c r="D73" s="276"/>
      <x:c r="E73" s="276"/>
      <x:c r="F73" s="276"/>
      <x:c r="G73" s="276"/>
      <x:c r="H73" s="276"/>
      <x:c r="I73" s="276"/>
      <x:c r="J73" s="276"/>
      <x:c r="K73" s="276"/>
      <x:c r="L73" s="5"/>
    </x:row>
    <x:row r="74">
      <x:c r="A74" s="119"/>
      <x:c r="B74" s="276"/>
      <x:c r="C74" s="276"/>
      <x:c r="D74" s="276"/>
      <x:c r="E74" s="276"/>
      <x:c r="F74" s="276"/>
      <x:c r="G74" s="276"/>
      <x:c r="H74" s="276"/>
      <x:c r="I74" s="276"/>
      <x:c r="J74" s="276"/>
      <x:c r="K74" s="276"/>
      <x:c r="L74" s="5"/>
    </x:row>
    <x:row r="75">
      <x:c r="A75" s="119"/>
      <x:c r="B75" s="276"/>
      <x:c r="C75" s="276"/>
      <x:c r="D75" s="276"/>
      <x:c r="E75" s="276"/>
      <x:c r="F75" s="276"/>
      <x:c r="G75" s="276"/>
      <x:c r="H75" s="276"/>
      <x:c r="I75" s="276"/>
      <x:c r="J75" s="276"/>
      <x:c r="K75" s="276"/>
      <x:c r="L75" s="5"/>
    </x:row>
    <x:row r="76">
      <x:c r="A76" s="119"/>
      <x:c r="B76" s="276"/>
      <x:c r="C76" s="276"/>
      <x:c r="D76" s="276"/>
      <x:c r="E76" s="276"/>
      <x:c r="F76" s="276"/>
      <x:c r="G76" s="276"/>
      <x:c r="H76" s="276"/>
      <x:c r="I76" s="276"/>
      <x:c r="J76" s="276"/>
      <x:c r="K76" s="276"/>
      <x:c r="L76" s="5"/>
    </x:row>
    <x:row r="77">
      <x:c r="A77" s="119"/>
      <x:c r="B77" s="276"/>
      <x:c r="C77" s="276"/>
      <x:c r="D77" s="276"/>
      <x:c r="E77" s="276"/>
      <x:c r="F77" s="276"/>
      <x:c r="G77" s="276"/>
      <x:c r="H77" s="276"/>
      <x:c r="I77" s="276"/>
      <x:c r="J77" s="276"/>
      <x:c r="K77" s="276"/>
      <x:c r="L77" s="5"/>
    </x:row>
    <x:row r="78">
      <x:c r="A78" s="119"/>
      <x:c r="B78" s="276"/>
      <x:c r="C78" s="276"/>
      <x:c r="D78" s="276"/>
      <x:c r="E78" s="276"/>
      <x:c r="F78" s="276"/>
      <x:c r="G78" s="276"/>
      <x:c r="H78" s="276"/>
      <x:c r="I78" s="276"/>
      <x:c r="J78" s="276"/>
      <x:c r="K78" s="276"/>
      <x:c r="L78" s="5"/>
    </x:row>
    <x:row r="79">
      <x:c r="A79" s="119"/>
      <x:c r="B79" s="276"/>
      <x:c r="C79" s="276"/>
      <x:c r="D79" s="276"/>
      <x:c r="E79" s="276"/>
      <x:c r="F79" s="276"/>
      <x:c r="G79" s="276"/>
      <x:c r="H79" s="276"/>
      <x:c r="I79" s="276"/>
      <x:c r="J79" s="276"/>
      <x:c r="K79" s="276"/>
      <x:c r="L79" s="5"/>
    </x:row>
    <x:row r="80">
      <x:c r="A80" s="119"/>
      <x:c r="B80" s="276"/>
      <x:c r="C80" s="276"/>
      <x:c r="D80" s="276"/>
      <x:c r="E80" s="276"/>
      <x:c r="F80" s="276"/>
      <x:c r="G80" s="276"/>
      <x:c r="H80" s="276"/>
      <x:c r="I80" s="276"/>
      <x:c r="J80" s="276"/>
      <x:c r="K80" s="276"/>
      <x:c r="L80" s="5"/>
    </x:row>
    <x:row r="81">
      <x:c r="B81" s="279"/>
      <x:c r="C81" s="279"/>
      <x:c r="D81" s="279"/>
      <x:c r="E81" s="279"/>
      <x:c r="F81" s="279"/>
      <x:c r="G81" s="279"/>
      <x:c r="H81" s="279"/>
      <x:c r="I81" s="279"/>
      <x:c r="J81" s="279"/>
      <x:c r="K81" s="279"/>
    </x:row>
    <x:row r="82">
      <x:c r="B82" s="279"/>
      <x:c r="C82" s="279"/>
      <x:c r="D82" s="279"/>
      <x:c r="E82" s="279"/>
      <x:c r="F82" s="279"/>
      <x:c r="G82" s="279"/>
      <x:c r="H82" s="279"/>
      <x:c r="I82" s="279"/>
      <x:c r="J82" s="279"/>
      <x:c r="K82" s="279"/>
    </x:row>
    <x:row r="83">
      <x:c r="B83" s="279"/>
      <x:c r="C83" s="279"/>
      <x:c r="D83" s="279"/>
      <x:c r="E83" s="279"/>
      <x:c r="F83" s="279"/>
      <x:c r="G83" s="279"/>
      <x:c r="H83" s="279"/>
      <x:c r="I83" s="279"/>
      <x:c r="J83" s="279"/>
      <x:c r="K83" s="279"/>
    </x:row>
    <x:row r="84">
      <x:c r="B84" s="279"/>
      <x:c r="C84" s="279"/>
      <x:c r="D84" s="279"/>
      <x:c r="E84" s="279"/>
      <x:c r="F84" s="279"/>
      <x:c r="G84" s="279"/>
      <x:c r="H84" s="279"/>
      <x:c r="I84" s="279"/>
      <x:c r="J84" s="279"/>
      <x:c r="K84" s="279"/>
    </x:row>
    <x:row r="85">
      <x:c r="B85" s="279"/>
      <x:c r="C85" s="279"/>
      <x:c r="D85" s="279"/>
      <x:c r="E85" s="279"/>
      <x:c r="F85" s="279"/>
      <x:c r="G85" s="279"/>
      <x:c r="H85" s="279"/>
      <x:c r="I85" s="279"/>
      <x:c r="J85" s="279"/>
      <x:c r="K85" s="279"/>
    </x:row>
    <x:row r="86">
      <x:c r="B86" s="279"/>
      <x:c r="C86" s="279"/>
      <x:c r="D86" s="279"/>
      <x:c r="E86" s="279"/>
      <x:c r="F86" s="279"/>
      <x:c r="G86" s="279"/>
      <x:c r="H86" s="279"/>
      <x:c r="I86" s="279"/>
      <x:c r="J86" s="279"/>
      <x:c r="K86" s="279"/>
    </x:row>
    <x:row r="87">
      <x:c r="B87" s="279"/>
      <x:c r="C87" s="279"/>
      <x:c r="D87" s="279"/>
      <x:c r="E87" s="279"/>
      <x:c r="F87" s="279"/>
      <x:c r="G87" s="279"/>
      <x:c r="H87" s="279"/>
      <x:c r="I87" s="279"/>
      <x:c r="J87" s="279"/>
      <x:c r="K87" s="279"/>
    </x:row>
    <x:row r="88">
      <x:c r="B88" s="279"/>
      <x:c r="C88" s="279"/>
      <x:c r="D88" s="279"/>
      <x:c r="E88" s="279"/>
      <x:c r="F88" s="279"/>
      <x:c r="G88" s="279"/>
      <x:c r="H88" s="279"/>
      <x:c r="I88" s="279"/>
      <x:c r="J88" s="279"/>
      <x:c r="K88" s="279"/>
    </x:row>
    <x:row r="89">
      <x:c r="B89" s="279"/>
      <x:c r="C89" s="279"/>
      <x:c r="D89" s="279"/>
      <x:c r="E89" s="279"/>
      <x:c r="F89" s="279"/>
      <x:c r="G89" s="279"/>
      <x:c r="H89" s="279"/>
      <x:c r="I89" s="279"/>
      <x:c r="J89" s="279"/>
      <x:c r="K89" s="279"/>
    </x:row>
    <x:row r="90">
      <x:c r="B90" s="279"/>
      <x:c r="C90" s="279"/>
      <x:c r="D90" s="279"/>
      <x:c r="E90" s="279"/>
      <x:c r="F90" s="279"/>
      <x:c r="G90" s="279"/>
      <x:c r="H90" s="279"/>
      <x:c r="I90" s="279"/>
      <x:c r="J90" s="279"/>
      <x:c r="K90" s="279"/>
    </x:row>
    <x:row r="91">
      <x:c r="B91" s="279"/>
      <x:c r="C91" s="279"/>
      <x:c r="D91" s="279"/>
      <x:c r="E91" s="279"/>
      <x:c r="F91" s="279"/>
      <x:c r="G91" s="279"/>
      <x:c r="H91" s="279"/>
      <x:c r="I91" s="279"/>
      <x:c r="J91" s="279"/>
      <x:c r="K91" s="279"/>
    </x:row>
    <x:row r="92">
      <x:c r="B92" s="279"/>
      <x:c r="C92" s="279"/>
      <x:c r="D92" s="279"/>
      <x:c r="E92" s="279"/>
      <x:c r="F92" s="279"/>
      <x:c r="G92" s="279"/>
      <x:c r="H92" s="279"/>
      <x:c r="I92" s="279"/>
      <x:c r="J92" s="279"/>
      <x:c r="K92" s="279"/>
    </x:row>
    <x:row r="93">
      <x:c r="B93" s="279"/>
      <x:c r="C93" s="279"/>
      <x:c r="D93" s="279"/>
      <x:c r="E93" s="279"/>
      <x:c r="F93" s="279"/>
      <x:c r="G93" s="279"/>
      <x:c r="H93" s="279"/>
      <x:c r="I93" s="279"/>
      <x:c r="J93" s="279"/>
      <x:c r="K93" s="279"/>
    </x:row>
    <x:row r="94">
      <x:c r="B94" s="279"/>
      <x:c r="C94" s="279"/>
      <x:c r="D94" s="279"/>
      <x:c r="E94" s="279"/>
      <x:c r="F94" s="279"/>
      <x:c r="G94" s="279"/>
      <x:c r="H94" s="279"/>
      <x:c r="I94" s="279"/>
      <x:c r="J94" s="279"/>
      <x:c r="K94" s="279"/>
    </x:row>
    <x:row r="95">
      <x:c r="B95" s="279"/>
      <x:c r="C95" s="279"/>
      <x:c r="D95" s="279"/>
      <x:c r="E95" s="279"/>
      <x:c r="F95" s="279"/>
      <x:c r="G95" s="279"/>
      <x:c r="H95" s="279"/>
      <x:c r="I95" s="279"/>
      <x:c r="J95" s="279"/>
      <x:c r="K95" s="279"/>
    </x:row>
    <x:row r="96">
      <x:c r="B96" s="279"/>
      <x:c r="C96" s="279"/>
      <x:c r="D96" s="279"/>
      <x:c r="E96" s="279"/>
      <x:c r="F96" s="279"/>
      <x:c r="G96" s="279"/>
      <x:c r="H96" s="279"/>
      <x:c r="I96" s="279"/>
      <x:c r="J96" s="279"/>
      <x:c r="K96" s="279"/>
    </x:row>
    <x:row r="97">
      <x:c r="B97" s="279"/>
      <x:c r="C97" s="279"/>
      <x:c r="D97" s="279"/>
      <x:c r="E97" s="279"/>
      <x:c r="F97" s="279"/>
      <x:c r="G97" s="279"/>
      <x:c r="H97" s="279"/>
      <x:c r="I97" s="279"/>
      <x:c r="J97" s="279"/>
      <x:c r="K97" s="279"/>
    </x:row>
    <x:row r="98">
      <x:c r="B98" s="279"/>
      <x:c r="C98" s="279"/>
      <x:c r="D98" s="279"/>
      <x:c r="E98" s="279"/>
      <x:c r="F98" s="279"/>
      <x:c r="G98" s="279"/>
      <x:c r="H98" s="279"/>
      <x:c r="I98" s="279"/>
      <x:c r="J98" s="279"/>
      <x:c r="K98" s="279"/>
    </x:row>
    <x:row r="99">
      <x:c r="B99" s="279"/>
      <x:c r="C99" s="279"/>
      <x:c r="D99" s="279"/>
      <x:c r="E99" s="279"/>
      <x:c r="F99" s="279"/>
      <x:c r="G99" s="279"/>
      <x:c r="H99" s="279"/>
      <x:c r="I99" s="279"/>
      <x:c r="J99" s="279"/>
      <x:c r="K99" s="279"/>
    </x:row>
    <x:row r="100">
      <x:c r="B100" s="279"/>
      <x:c r="C100" s="279"/>
      <x:c r="D100" s="279"/>
      <x:c r="E100" s="279"/>
      <x:c r="F100" s="279"/>
      <x:c r="G100" s="279"/>
      <x:c r="H100" s="279"/>
      <x:c r="I100" s="279"/>
      <x:c r="J100" s="279"/>
      <x:c r="K100" s="279"/>
    </x:row>
    <x:row r="101">
      <x:c r="B101" s="279"/>
      <x:c r="C101" s="279"/>
      <x:c r="D101" s="279"/>
      <x:c r="E101" s="279"/>
      <x:c r="F101" s="279"/>
      <x:c r="G101" s="279"/>
      <x:c r="H101" s="279"/>
      <x:c r="I101" s="279"/>
      <x:c r="J101" s="279"/>
      <x:c r="K101" s="279"/>
    </x:row>
    <x:row r="102">
      <x:c r="B102" s="279"/>
      <x:c r="C102" s="279"/>
      <x:c r="D102" s="279"/>
      <x:c r="E102" s="279"/>
      <x:c r="F102" s="279"/>
      <x:c r="G102" s="279"/>
      <x:c r="H102" s="279"/>
      <x:c r="I102" s="279"/>
      <x:c r="J102" s="279"/>
      <x:c r="K102" s="279"/>
    </x:row>
    <x:row r="103">
      <x:c r="B103" s="279"/>
      <x:c r="C103" s="279"/>
      <x:c r="D103" s="279"/>
      <x:c r="E103" s="279"/>
      <x:c r="F103" s="279"/>
      <x:c r="G103" s="279"/>
      <x:c r="H103" s="279"/>
      <x:c r="I103" s="279"/>
      <x:c r="J103" s="279"/>
      <x:c r="K103" s="279"/>
    </x:row>
    <x:row r="104">
      <x:c r="B104" s="279"/>
      <x:c r="C104" s="279"/>
      <x:c r="D104" s="279"/>
      <x:c r="E104" s="279"/>
      <x:c r="F104" s="279"/>
      <x:c r="G104" s="279"/>
      <x:c r="H104" s="279"/>
      <x:c r="I104" s="279"/>
      <x:c r="J104" s="279"/>
      <x:c r="K104" s="279"/>
    </x:row>
    <x:row r="105">
      <x:c r="B105" s="279"/>
      <x:c r="C105" s="279"/>
      <x:c r="D105" s="279"/>
      <x:c r="E105" s="279"/>
      <x:c r="F105" s="279"/>
      <x:c r="G105" s="279"/>
      <x:c r="H105" s="279"/>
      <x:c r="I105" s="279"/>
      <x:c r="J105" s="279"/>
      <x:c r="K105" s="279"/>
    </x:row>
    <x:row r="106">
      <x:c r="B106" s="279"/>
      <x:c r="C106" s="279"/>
      <x:c r="D106" s="279"/>
      <x:c r="E106" s="279"/>
      <x:c r="F106" s="279"/>
      <x:c r="G106" s="279"/>
      <x:c r="H106" s="279"/>
      <x:c r="I106" s="279"/>
      <x:c r="J106" s="279"/>
      <x:c r="K106" s="279"/>
    </x:row>
    <x:row r="107">
      <x:c r="B107" s="279"/>
      <x:c r="C107" s="279"/>
      <x:c r="D107" s="279"/>
      <x:c r="E107" s="279"/>
      <x:c r="F107" s="279"/>
      <x:c r="G107" s="279"/>
      <x:c r="H107" s="279"/>
      <x:c r="I107" s="279"/>
      <x:c r="J107" s="279"/>
      <x:c r="K107" s="279"/>
    </x:row>
    <x:row r="108">
      <x:c r="B108" s="279"/>
      <x:c r="C108" s="279"/>
      <x:c r="D108" s="279"/>
      <x:c r="E108" s="279"/>
      <x:c r="F108" s="279"/>
      <x:c r="G108" s="279"/>
      <x:c r="H108" s="279"/>
      <x:c r="I108" s="279"/>
      <x:c r="J108" s="279"/>
      <x:c r="K108" s="279"/>
    </x:row>
    <x:row r="109">
      <x:c r="B109" s="279"/>
      <x:c r="C109" s="279"/>
      <x:c r="D109" s="279"/>
      <x:c r="E109" s="279"/>
      <x:c r="F109" s="279"/>
      <x:c r="G109" s="279"/>
      <x:c r="H109" s="279"/>
      <x:c r="I109" s="279"/>
      <x:c r="J109" s="279"/>
      <x:c r="K109" s="279"/>
    </x:row>
    <x:row r="110">
      <x:c r="B110" s="279"/>
      <x:c r="C110" s="279"/>
      <x:c r="D110" s="279"/>
      <x:c r="E110" s="279"/>
      <x:c r="F110" s="279"/>
      <x:c r="G110" s="279"/>
      <x:c r="H110" s="279"/>
      <x:c r="I110" s="279"/>
      <x:c r="J110" s="279"/>
      <x:c r="K110" s="279"/>
    </x:row>
    <x:row r="111">
      <x:c r="B111" s="279"/>
      <x:c r="C111" s="279"/>
      <x:c r="D111" s="279"/>
      <x:c r="E111" s="279"/>
      <x:c r="F111" s="279"/>
      <x:c r="G111" s="279"/>
      <x:c r="H111" s="279"/>
      <x:c r="I111" s="279"/>
      <x:c r="J111" s="279"/>
      <x:c r="K111" s="279"/>
    </x:row>
    <x:row r="112">
      <x:c r="B112" s="279"/>
      <x:c r="C112" s="279"/>
      <x:c r="D112" s="279"/>
      <x:c r="E112" s="279"/>
      <x:c r="F112" s="279"/>
      <x:c r="G112" s="279"/>
      <x:c r="H112" s="279"/>
      <x:c r="I112" s="279"/>
      <x:c r="J112" s="279"/>
      <x:c r="K112" s="279"/>
    </x:row>
    <x:row r="113">
      <x:c r="B113" s="279"/>
      <x:c r="C113" s="279"/>
      <x:c r="D113" s="279"/>
      <x:c r="E113" s="279"/>
      <x:c r="F113" s="279"/>
      <x:c r="G113" s="279"/>
      <x:c r="H113" s="279"/>
      <x:c r="I113" s="279"/>
      <x:c r="J113" s="279"/>
      <x:c r="K113" s="279"/>
    </x:row>
    <x:row r="114">
      <x:c r="B114" s="279"/>
      <x:c r="C114" s="279"/>
      <x:c r="D114" s="279"/>
      <x:c r="E114" s="279"/>
      <x:c r="F114" s="279"/>
      <x:c r="G114" s="279"/>
      <x:c r="H114" s="279"/>
      <x:c r="I114" s="279"/>
      <x:c r="J114" s="279"/>
      <x:c r="K114" s="279"/>
    </x:row>
    <x:row r="115">
      <x:c r="B115" s="279"/>
      <x:c r="C115" s="279"/>
      <x:c r="D115" s="279"/>
      <x:c r="E115" s="279"/>
      <x:c r="F115" s="279"/>
      <x:c r="G115" s="279"/>
      <x:c r="H115" s="279"/>
      <x:c r="I115" s="279"/>
      <x:c r="J115" s="279"/>
      <x:c r="K115" s="279"/>
    </x:row>
    <x:row r="116">
      <x:c r="B116" s="279"/>
      <x:c r="C116" s="279"/>
      <x:c r="D116" s="279"/>
      <x:c r="E116" s="279"/>
      <x:c r="F116" s="279"/>
      <x:c r="G116" s="279"/>
      <x:c r="H116" s="279"/>
      <x:c r="I116" s="279"/>
      <x:c r="J116" s="279"/>
      <x:c r="K116" s="279"/>
    </x:row>
    <x:row r="117">
      <x:c r="B117" s="279"/>
      <x:c r="C117" s="279"/>
      <x:c r="D117" s="279"/>
      <x:c r="E117" s="279"/>
      <x:c r="F117" s="279"/>
      <x:c r="G117" s="279"/>
      <x:c r="H117" s="279"/>
      <x:c r="I117" s="279"/>
      <x:c r="J117" s="279"/>
      <x:c r="K117" s="279"/>
    </x:row>
    <x:row r="118">
      <x:c r="B118" s="279"/>
      <x:c r="C118" s="279"/>
      <x:c r="D118" s="279"/>
      <x:c r="E118" s="279"/>
      <x:c r="F118" s="279"/>
      <x:c r="G118" s="279"/>
      <x:c r="H118" s="279"/>
      <x:c r="I118" s="279"/>
      <x:c r="J118" s="279"/>
      <x:c r="K118" s="279"/>
    </x:row>
    <x:row r="119">
      <x:c r="B119" s="279"/>
      <x:c r="C119" s="279"/>
      <x:c r="D119" s="279"/>
      <x:c r="E119" s="279"/>
      <x:c r="F119" s="279"/>
      <x:c r="G119" s="279"/>
      <x:c r="H119" s="279"/>
      <x:c r="I119" s="279"/>
      <x:c r="J119" s="279"/>
      <x:c r="K119" s="279"/>
    </x:row>
    <x:row r="120">
      <x:c r="B120" s="279"/>
      <x:c r="C120" s="279"/>
      <x:c r="D120" s="279"/>
      <x:c r="E120" s="279"/>
      <x:c r="F120" s="279"/>
      <x:c r="G120" s="279"/>
      <x:c r="H120" s="279"/>
      <x:c r="I120" s="279"/>
      <x:c r="J120" s="279"/>
      <x:c r="K120" s="279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1.43000030517578" hidden="0" customWidth="1"/>
    <x:col min="2" max="2" width="35" hidden="0" customWidth="1"/>
    <x:col min="3" max="3" width="46.43000030517578" hidden="0" customWidth="1"/>
    <x:col min="4" max="4" width="12.859999656677246" hidden="0" customWidth="1"/>
    <x:col min="5" max="5" width="12.140000343322754" hidden="0" customWidth="1"/>
    <x:col min="6" max="6" width="12.140000343322754" hidden="0" customWidth="1"/>
    <x:col min="7" max="7" width="12.140000343322754" hidden="0" customWidth="1"/>
    <x:col min="8" max="8" width="12.140000343322754" hidden="0" customWidth="1"/>
    <x:col min="9" max="9" width="12.140000343322754" hidden="0" customWidth="1"/>
    <x:col min="10" max="10" width="73.56999969482422" hidden="0" customWidth="1"/>
    <x:col min="11" max="11" width="16.43000030517578" hidden="0" customWidth="1"/>
  </x:cols>
  <x:sheetData>
    <x:row r="1">
      <x:c r="A1" s="4" t="str">
        <x:v>FYE: February.  Units: $ in millions except per-share data, shares in millions, ratios, and noted operating drivers.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>
      <x:c r="A3" s="144" t="str">
        <x:v>ID</x:v>
      </x:c>
      <x:c r="B3" s="144" t="str">
        <x:v>Description</x:v>
      </x:c>
      <x:c r="C3" s="144" t="str">
        <x:v>Driver</x:v>
      </x:c>
      <x:c r="D3" s="144" t="str">
        <x:v>Unit</x:v>
      </x:c>
      <x:c r="E3" s="144" t="str">
        <x:v>FY2027E</x:v>
      </x:c>
      <x:c r="F3" s="144" t="str">
        <x:v>FY2028E</x:v>
      </x:c>
      <x:c r="G3" s="144" t="str">
        <x:v>FY2029E</x:v>
      </x:c>
      <x:c r="H3" s="144" t="str">
        <x:v>FY2030E</x:v>
      </x:c>
      <x:c r="I3" s="144" t="str">
        <x:v>FY2031E</x:v>
      </x:c>
      <x:c r="J3" s="144" t="str">
        <x:v>Rationale</x:v>
      </x:c>
      <x:c r="K3" s="144" t="str">
        <x:v>Confidence</x:v>
      </x:c>
      <x:c r="L3" s="5"/>
    </x:row>
    <x:row r="4">
      <x:c r="A4" s="145" t="str">
        <x:v>A.REV.Q.01</x:v>
      </x:c>
      <x:c r="B4" s="145" t="str">
        <x:v>Product revenue quantity index</x:v>
      </x:c>
      <x:c r="C4" s="145" t="str">
        <x:v>K.GROWTH.02 derived from product revenue where unit disclosure is unavailable</x:v>
      </x:c>
      <x:c r="D4" s="145" t="str">
        <x:v>index units</x:v>
      </x:c>
      <x:c r="E4" s="205" t="n">
        <x:v>2109.695</x:v>
      </x:c>
      <x:c r="F4" s="205" t="n">
        <x:v>2236.277</x:v>
      </x:c>
      <x:c r="G4" s="205" t="n">
        <x:v>2348.091</x:v>
      </x:c>
      <x:c r="H4" s="205" t="n">
        <x:v>2442.015</x:v>
      </x:c>
      <x:c r="I4" s="205" t="n">
        <x:v>2527.485</x:v>
      </x:c>
      <x:c r="J4" s="206" t="str">
        <x:v>FY2026 product revenue grew 16.0 percent after a softer FY2024-FY2025 period.  Forecast quantity growth tapers from 7.0 percent to 3.5 percent to reflect normalization.</x:v>
      </x:c>
      <x:c r="K4" s="206" t="str">
        <x:v>Lower Confidence</x:v>
      </x:c>
      <x:c r="L4" s="5"/>
    </x:row>
    <x:row r="5">
      <x:c r="A5" s="145" t="str">
        <x:v>A.REV.P.01</x:v>
      </x:c>
      <x:c r="B5" s="145" t="str">
        <x:v>Product revenue price per index unit</x:v>
      </x:c>
      <x:c r="C5" s="145" t="str">
        <x:v>K.GROWTH.03 implied ASP index</x:v>
      </x:c>
      <x:c r="D5" s="145" t="str">
        <x:v>$M / index unit</x:v>
      </x:c>
      <x:c r="E5" s="146" t="n">
        <x:v>1.015</x:v>
      </x:c>
      <x:c r="F5" s="146" t="n">
        <x:v>1.03</x:v>
      </x:c>
      <x:c r="G5" s="146" t="n">
        <x:v>1.041</x:v>
      </x:c>
      <x:c r="H5" s="146" t="n">
        <x:v>1.051</x:v>
      </x:c>
      <x:c r="I5" s="146" t="n">
        <x:v>1.061</x:v>
      </x:c>
      <x:c r="J5" s="206" t="str">
        <x:v>No shipment unit disclosure was available.  Price is modeled as an ASP index with modest annual improvement.</x:v>
      </x:c>
      <x:c r="K5" s="206" t="str">
        <x:v>Lower Confidence</x:v>
      </x:c>
      <x:c r="L5" s="5"/>
    </x:row>
    <x:row r="6">
      <x:c r="A6" s="145" t="str">
        <x:v>A.REV.Q.02</x:v>
      </x:c>
      <x:c r="B6" s="145" t="str">
        <x:v>Subscription services quantity index</x:v>
      </x:c>
      <x:c r="C6" s="145" t="str">
        <x:v>K.GROWTH.02 derived from subscription services revenue</x:v>
      </x:c>
      <x:c r="D6" s="145" t="str">
        <x:v>index units</x:v>
      </x:c>
      <x:c r="E6" s="205" t="n">
        <x:v>1877.193</x:v>
      </x:c>
      <x:c r="F6" s="205" t="n">
        <x:v>2064.912</x:v>
      </x:c>
      <x:c r="G6" s="205" t="n">
        <x:v>2250.755</x:v>
      </x:c>
      <x:c r="H6" s="205" t="n">
        <x:v>2430.815</x:v>
      </x:c>
      <x:c r="I6" s="205" t="n">
        <x:v>2600.972</x:v>
      </x:c>
      <x:c r="J6" s="206" t="str">
        <x:v>Subscription services revenue compounded faster than product revenue but recent growth moderated.  Forecast quantity growth tapers from 11.0 percent to 7.0 percent.</x:v>
      </x:c>
      <x:c r="K6" s="206" t="str">
        <x:v>Lower Confidence</x:v>
      </x:c>
      <x:c r="L6" s="5"/>
    </x:row>
    <x:row r="7">
      <x:c r="A7" s="145" t="str">
        <x:v>A.REV.P.02</x:v>
      </x:c>
      <x:c r="B7" s="145" t="str">
        <x:v>Subscription services price per index unit</x:v>
      </x:c>
      <x:c r="C7" s="145" t="str">
        <x:v>K.GROWTH.03 implied subscription ARPU index</x:v>
      </x:c>
      <x:c r="D7" s="145" t="str">
        <x:v>$M / index unit</x:v>
      </x:c>
      <x:c r="E7" s="146" t="n">
        <x:v>1.025</x:v>
      </x:c>
      <x:c r="F7" s="146" t="n">
        <x:v>1.048</x:v>
      </x:c>
      <x:c r="G7" s="146" t="n">
        <x:v>1.069</x:v>
      </x:c>
      <x:c r="H7" s="146" t="n">
        <x:v>1.088</x:v>
      </x:c>
      <x:c r="I7" s="146" t="n">
        <x:v>1.104</x:v>
      </x:c>
      <x:c r="J7" s="206" t="str">
        <x:v>No subscriber count or ARR base was disclosed in the provided filings.  Price is modeled as a subscription ARPU index with gradual moderation.</x:v>
      </x:c>
      <x:c r="K7" s="206" t="str">
        <x:v>Lower Confidence</x:v>
      </x:c>
      <x:c r="L7" s="5"/>
    </x:row>
    <x:row r="8">
      <x:c r="A8" s="145" t="str">
        <x:v>A.REV.MIX.01</x:v>
      </x:c>
      <x:c r="B8" s="145" t="str">
        <x:v>Revenue mix sanity bound, max change yr/yr</x:v>
      </x:c>
      <x:c r="C8" s="145" t="str">
        <x:v>K.MIX.01 product and subscription mix</x:v>
      </x:c>
      <x:c r="D8" s="145" t="str">
        <x:v>ppt</x:v>
      </x:c>
      <x:c r="E8" s="145" t="n">
        <x:v>0.075</x:v>
      </x:c>
      <x:c r="F8" s="145" t="n">
        <x:v>0.075</x:v>
      </x:c>
      <x:c r="G8" s="145" t="n">
        <x:v>0.075</x:v>
      </x:c>
      <x:c r="H8" s="145" t="n">
        <x:v>0.075</x:v>
      </x:c>
      <x:c r="I8" s="145" t="n">
        <x:v>0.075</x:v>
      </x:c>
      <x:c r="J8" s="206" t="str">
        <x:v>Historical mix shifted toward subscription services by roughly 5 to 7 points over the period.  A 7.5 point annual bound flags unrealistic mix shifts.</x:v>
      </x:c>
      <x:c r="K8" s="206" t="str">
        <x:v>Normal</x:v>
      </x:c>
      <x:c r="L8" s="5"/>
    </x:row>
    <x:row r="9">
      <x:c r="A9" s="145" t="str">
        <x:v>A.REV.FX.01</x:v>
      </x:c>
      <x:c r="B9" s="145" t="str">
        <x:v>FX impact on revenue if material</x:v>
      </x:c>
      <x:c r="C9" s="145" t="str">
        <x:v>10-K constant currency disclosure not used</x:v>
      </x:c>
      <x:c r="D9" s="145" t="str">
        <x:v>%</x:v>
      </x:c>
      <x:c r="E9" s="207" t="n">
        <x:v>0</x:v>
      </x:c>
      <x:c r="F9" s="207" t="n">
        <x:v>0</x:v>
      </x:c>
      <x:c r="G9" s="207" t="n">
        <x:v>0</x:v>
      </x:c>
      <x:c r="H9" s="207" t="n">
        <x:v>0</x:v>
      </x:c>
      <x:c r="I9" s="207" t="n">
        <x:v>0</x:v>
      </x:c>
      <x:c r="J9" s="206" t="str">
        <x:v>No material constant-currency split was used for this build.  FX is set to zero and can be updated if management discloses a specific impact.</x:v>
      </x:c>
      <x:c r="K9" s="206" t="str">
        <x:v>Normal</x:v>
      </x:c>
      <x:c r="L9" s="5"/>
    </x:row>
    <x:row r="10">
      <x:c r="A10" s="145" t="str">
        <x:v>A.COGS.01</x:v>
      </x:c>
      <x:c r="B10" s="145" t="str">
        <x:v>Variable product cost per index unit</x:v>
      </x:c>
      <x:c r="C10" s="145" t="str">
        <x:v>K.MARGIN.01 product gross margin</x:v>
      </x:c>
      <x:c r="D10" s="145" t="str">
        <x:v>$M / index unit</x:v>
      </x:c>
      <x:c r="E10" s="146" t="n">
        <x:v>0.33495</x:v>
      </x:c>
      <x:c r="F10" s="146" t="n">
        <x:v>0.33784</x:v>
      </x:c>
      <x:c r="G10" s="146" t="n">
        <x:v>0.33832</x:v>
      </x:c>
      <x:c r="H10" s="146" t="n">
        <x:v>0.33842</x:v>
      </x:c>
      <x:c r="I10" s="146" t="n">
        <x:v>0.33952</x:v>
      </x:c>
      <x:c r="J10" s="206" t="str">
        <x:v>Product gross margin has improved from FY2025 to FY2026.  Forecast holds modest gross margin expansion as product scale improves.</x:v>
      </x:c>
      <x:c r="K10" s="206" t="str">
        <x:v>Normal</x:v>
      </x:c>
      <x:c r="L10" s="5"/>
    </x:row>
    <x:row r="11">
      <x:c r="A11" s="145" t="str">
        <x:v>A.COGS.02</x:v>
      </x:c>
      <x:c r="B11" s="145" t="str">
        <x:v>Variable subscription cost per index unit</x:v>
      </x:c>
      <x:c r="C11" s="145" t="str">
        <x:v>K.MARGIN.01 subscription gross margin</x:v>
      </x:c>
      <x:c r="D11" s="145" t="str">
        <x:v>$M / index unit</x:v>
      </x:c>
      <x:c r="E11" s="146" t="n">
        <x:v>0.26137</x:v>
      </x:c>
      <x:c r="F11" s="146" t="n">
        <x:v>0.26514</x:v>
      </x:c>
      <x:c r="G11" s="146" t="n">
        <x:v>0.26725</x:v>
      </x:c>
      <x:c r="H11" s="146" t="n">
        <x:v>0.26982</x:v>
      </x:c>
      <x:c r="I11" s="146" t="n">
        <x:v>0.27048</x:v>
      </x:c>
      <x:c r="J11" s="206" t="str">
        <x:v>Subscription gross margin is structurally higher than product margin.  Forecast assumes gradual efficiency gains from scale.</x:v>
      </x:c>
      <x:c r="K11" s="206" t="str">
        <x:v>Normal</x:v>
      </x:c>
      <x:c r="L11" s="5"/>
    </x:row>
    <x:row r="12">
      <x:c r="A12" s="145" t="str">
        <x:v>A.COGS.FIX.01</x:v>
      </x:c>
      <x:c r="B12" s="145" t="str">
        <x:v>Fixed manufacturing or hosting cost, total</x:v>
      </x:c>
      <x:c r="C12" s="145" t="str">
        <x:v>K.MARGIN.01 total gross margin</x:v>
      </x:c>
      <x:c r="D12" s="145" t="str">
        <x:v>$M</x:v>
      </x:c>
      <x:c r="E12" s="146" t="n">
        <x:v>0</x:v>
      </x:c>
      <x:c r="F12" s="146" t="n">
        <x:v>0</x:v>
      </x:c>
      <x:c r="G12" s="146" t="n">
        <x:v>0</x:v>
      </x:c>
      <x:c r="H12" s="146" t="n">
        <x:v>0</x:v>
      </x:c>
      <x:c r="I12" s="146" t="n">
        <x:v>0</x:v>
      </x:c>
      <x:c r="J12" s="206" t="str">
        <x:v>Fixed cost is embedded in the variable indexed cost due limited disclosure.  This row is retained for model extensibility.</x:v>
      </x:c>
      <x:c r="K12" s="206" t="str">
        <x:v>Lower Confidence</x:v>
      </x:c>
      <x:c r="L12" s="5"/>
    </x:row>
    <x:row r="13">
      <x:c r="A13" s="145" t="str">
        <x:v>A.OPEX.RD.HC</x:v>
      </x:c>
      <x:c r="B13" s="145" t="str">
        <x:v>R&amp;D headcount</x:v>
      </x:c>
      <x:c r="C13" s="145" t="str">
        <x:v>K.MARGIN.02 fallback</x:v>
      </x:c>
      <x:c r="D13" s="145" t="str">
        <x:v>people</x:v>
      </x:c>
      <x:c r="E13" s="205" t="n">
        <x:v>1</x:v>
      </x:c>
      <x:c r="F13" s="205" t="n">
        <x:v>1</x:v>
      </x:c>
      <x:c r="G13" s="205" t="n">
        <x:v>1</x:v>
      </x:c>
      <x:c r="H13" s="205" t="n">
        <x:v>1</x:v>
      </x:c>
      <x:c r="I13" s="205" t="n">
        <x:v>1</x:v>
      </x:c>
      <x:c r="J13" s="206" t="str">
        <x:v>Headcount by function was not disclosed.  The model uses the floor-plan fallback by setting headcount to one and placing dollar forecast in other R&amp;D.</x:v>
      </x:c>
      <x:c r="K13" s="206" t="str">
        <x:v>Lower Confidence</x:v>
      </x:c>
      <x:c r="L13" s="5"/>
    </x:row>
    <x:row r="14">
      <x:c r="A14" s="145" t="str">
        <x:v>A.OPEX.RD.COMP</x:v>
      </x:c>
      <x:c r="B14" s="145" t="str">
        <x:v>R&amp;D fully loaded comp per head</x:v>
      </x:c>
      <x:c r="C14" s="145" t="str">
        <x:v>K.MARGIN.02 fallback</x:v>
      </x:c>
      <x:c r="D14" s="145" t="str">
        <x:v>$M / head</x:v>
      </x:c>
      <x:c r="E14" s="146" t="n">
        <x:v>0</x:v>
      </x:c>
      <x:c r="F14" s="146" t="n">
        <x:v>0</x:v>
      </x:c>
      <x:c r="G14" s="146" t="n">
        <x:v>0</x:v>
      </x:c>
      <x:c r="H14" s="146" t="n">
        <x:v>0</x:v>
      </x:c>
      <x:c r="I14" s="146" t="n">
        <x:v>0</x:v>
      </x:c>
      <x:c r="J14" s="206" t="str">
        <x:v>Function headcount was unavailable.  Compensation is not separately forecast and is embedded in other R&amp;D.</x:v>
      </x:c>
      <x:c r="K14" s="206" t="str">
        <x:v>Lower Confidence</x:v>
      </x:c>
      <x:c r="L14" s="5"/>
    </x:row>
    <x:row r="15">
      <x:c r="A15" s="145" t="str">
        <x:v>A.OPEX.RD.OTHER</x:v>
      </x:c>
      <x:c r="B15" s="145" t="str">
        <x:v>Non-comp R&amp;D</x:v>
      </x:c>
      <x:c r="C15" s="145" t="str">
        <x:v>K.MARGIN.02 R&amp;D / revenue</x:v>
      </x:c>
      <x:c r="D15" s="145" t="str">
        <x:v>$M</x:v>
      </x:c>
      <x:c r="E15" s="146" t="n">
        <x:v>1036.693</x:v>
      </x:c>
      <x:c r="F15" s="146" t="n">
        <x:v>1116.848</x:v>
      </x:c>
      <x:c r="G15" s="146" t="n">
        <x:v>1188.353</x:v>
      </x:c>
      <x:c r="H15" s="146" t="n">
        <x:v>1250.708</x:v>
      </x:c>
      <x:c r="I15" s="146" t="n">
        <x:v>1304.987</x:v>
      </x:c>
      <x:c r="J15" s="206" t="str">
        <x:v>R&amp;D was 26.3 percent of revenue in FY2026.  Forecast ratio tapers from 25.5 percent to 23.5 percent as scale improves.</x:v>
      </x:c>
      <x:c r="K15" s="206" t="str">
        <x:v>Normal</x:v>
      </x:c>
      <x:c r="L15" s="5"/>
    </x:row>
    <x:row r="16">
      <x:c r="A16" s="145" t="str">
        <x:v>A.OPEX.SM.HC</x:v>
      </x:c>
      <x:c r="B16" s="145" t="str">
        <x:v>S&amp;M headcount</x:v>
      </x:c>
      <x:c r="C16" s="145" t="str">
        <x:v>K.MARGIN.03 fallback</x:v>
      </x:c>
      <x:c r="D16" s="145" t="str">
        <x:v>people</x:v>
      </x:c>
      <x:c r="E16" s="205" t="n">
        <x:v>1</x:v>
      </x:c>
      <x:c r="F16" s="205" t="n">
        <x:v>1</x:v>
      </x:c>
      <x:c r="G16" s="205" t="n">
        <x:v>1</x:v>
      </x:c>
      <x:c r="H16" s="205" t="n">
        <x:v>1</x:v>
      </x:c>
      <x:c r="I16" s="205" t="n">
        <x:v>1</x:v>
      </x:c>
      <x:c r="J16" s="206" t="str">
        <x:v>Headcount by function was not disclosed.  The model uses the floor-plan fallback by setting headcount to one and placing dollar forecast in marketing spend.</x:v>
      </x:c>
      <x:c r="K16" s="206" t="str">
        <x:v>Lower Confidence</x:v>
      </x:c>
      <x:c r="L16" s="5"/>
    </x:row>
    <x:row r="17">
      <x:c r="A17" s="145" t="str">
        <x:v>A.OPEX.SM.COMP</x:v>
      </x:c>
      <x:c r="B17" s="145" t="str">
        <x:v>S&amp;M comp per head</x:v>
      </x:c>
      <x:c r="C17" s="145" t="str">
        <x:v>K.MARGIN.03 fallback</x:v>
      </x:c>
      <x:c r="D17" s="145" t="str">
        <x:v>$M / head</x:v>
      </x:c>
      <x:c r="E17" s="146" t="n">
        <x:v>0</x:v>
      </x:c>
      <x:c r="F17" s="146" t="n">
        <x:v>0</x:v>
      </x:c>
      <x:c r="G17" s="146" t="n">
        <x:v>0</x:v>
      </x:c>
      <x:c r="H17" s="146" t="n">
        <x:v>0</x:v>
      </x:c>
      <x:c r="I17" s="146" t="n">
        <x:v>0</x:v>
      </x:c>
      <x:c r="J17" s="206" t="str">
        <x:v>Function headcount was unavailable.  Compensation is not separately forecast and is embedded in marketing spend.</x:v>
      </x:c>
      <x:c r="K17" s="206" t="str">
        <x:v>Lower Confidence</x:v>
      </x:c>
      <x:c r="L17" s="5"/>
    </x:row>
    <x:row r="18">
      <x:c r="A18" s="145" t="str">
        <x:v>A.OPEX.SM.MKTG</x:v>
      </x:c>
      <x:c r="B18" s="145" t="str">
        <x:v>Marketing program spend</x:v>
      </x:c>
      <x:c r="C18" s="145" t="str">
        <x:v>K.MARGIN.03 S&amp;M / revenue</x:v>
      </x:c>
      <x:c r="D18" s="145" t="str">
        <x:v>$M</x:v>
      </x:c>
      <x:c r="E18" s="146" t="n">
        <x:v>1239.966</x:v>
      </x:c>
      <x:c r="F18" s="146" t="n">
        <x:v>1331.283</x:v>
      </x:c>
      <x:c r="G18" s="146" t="n">
        <x:v>1416.323</x:v>
      </x:c>
      <x:c r="H18" s="146" t="n">
        <x:v>1490.427</x:v>
      </x:c>
      <x:c r="I18" s="146" t="n">
        <x:v>1554.878</x:v>
      </x:c>
      <x:c r="J18" s="206" t="str">
        <x:v>S&amp;M was 32.3 percent of FY2026 revenue.  Forecast ratio tapers from 30.5 percent to 28.0 percent as revenue scales.</x:v>
      </x:c>
      <x:c r="K18" s="206" t="str">
        <x:v>Normal</x:v>
      </x:c>
      <x:c r="L18" s="5"/>
    </x:row>
    <x:row r="19">
      <x:c r="A19" s="145" t="str">
        <x:v>A.OPEX.GA.HC</x:v>
      </x:c>
      <x:c r="B19" s="145" t="str">
        <x:v>G&amp;A headcount</x:v>
      </x:c>
      <x:c r="C19" s="145" t="str">
        <x:v>K.MARGIN.04 fallback</x:v>
      </x:c>
      <x:c r="D19" s="145" t="str">
        <x:v>people</x:v>
      </x:c>
      <x:c r="E19" s="205" t="n">
        <x:v>1</x:v>
      </x:c>
      <x:c r="F19" s="205" t="n">
        <x:v>1</x:v>
      </x:c>
      <x:c r="G19" s="205" t="n">
        <x:v>1</x:v>
      </x:c>
      <x:c r="H19" s="205" t="n">
        <x:v>1</x:v>
      </x:c>
      <x:c r="I19" s="205" t="n">
        <x:v>1</x:v>
      </x:c>
      <x:c r="J19" s="206" t="str">
        <x:v>Headcount by function was not disclosed.  The model uses the floor-plan fallback by setting headcount to one and placing dollar forecast in other G&amp;A.</x:v>
      </x:c>
      <x:c r="K19" s="206" t="str">
        <x:v>Lower Confidence</x:v>
      </x:c>
      <x:c r="L19" s="5"/>
    </x:row>
    <x:row r="20">
      <x:c r="A20" s="145" t="str">
        <x:v>A.OPEX.GA.COMP</x:v>
      </x:c>
      <x:c r="B20" s="145" t="str">
        <x:v>G&amp;A comp per head</x:v>
      </x:c>
      <x:c r="C20" s="145" t="str">
        <x:v>K.MARGIN.04 fallback</x:v>
      </x:c>
      <x:c r="D20" s="145" t="str">
        <x:v>$M / head</x:v>
      </x:c>
      <x:c r="E20" s="146" t="n">
        <x:v>0</x:v>
      </x:c>
      <x:c r="F20" s="146" t="n">
        <x:v>0</x:v>
      </x:c>
      <x:c r="G20" s="146" t="n">
        <x:v>0</x:v>
      </x:c>
      <x:c r="H20" s="146" t="n">
        <x:v>0</x:v>
      </x:c>
      <x:c r="I20" s="146" t="n">
        <x:v>0</x:v>
      </x:c>
      <x:c r="J20" s="206" t="str">
        <x:v>Function headcount was unavailable.  Compensation is not separately forecast and is embedded in other G&amp;A.</x:v>
      </x:c>
      <x:c r="K20" s="206" t="str">
        <x:v>Lower Confidence</x:v>
      </x:c>
      <x:c r="L20" s="5"/>
    </x:row>
    <x:row r="21">
      <x:c r="A21" s="145" t="str">
        <x:v>A.OPEX.GA.OTHER</x:v>
      </x:c>
      <x:c r="B21" s="145" t="str">
        <x:v>Non-comp G&amp;A</x:v>
      </x:c>
      <x:c r="C21" s="145" t="str">
        <x:v>K.MARGIN.04 G&amp;A / revenue</x:v>
      </x:c>
      <x:c r="D21" s="145" t="str">
        <x:v>$M</x:v>
      </x:c>
      <x:c r="E21" s="146" t="n">
        <x:v>345.564</x:v>
      </x:c>
      <x:c r="F21" s="146" t="n">
        <x:v>370.794</x:v>
      </x:c>
      <x:c r="G21" s="146" t="n">
        <x:v>392.884</x:v>
      </x:c>
      <x:c r="H21" s="146" t="n">
        <x:v>411.691</x:v>
      </x:c>
      <x:c r="I21" s="146" t="n">
        <x:v>427.591</x:v>
      </x:c>
      <x:c r="J21" s="206" t="str">
        <x:v>G&amp;A was 8.7 percent of FY2026 revenue.  Forecast ratio tapers from 8.5 percent to 7.7 percent as public company costs scale.</x:v>
      </x:c>
      <x:c r="K21" s="206" t="str">
        <x:v>Normal</x:v>
      </x:c>
      <x:c r="L21" s="5"/>
    </x:row>
    <x:row r="22">
      <x:c r="A22" s="145" t="str">
        <x:v>A.OPEX.SBC.RATE</x:v>
      </x:c>
      <x:c r="B22" s="145" t="str">
        <x:v>SBC as % of total OpEx plus COGS</x:v>
      </x:c>
      <x:c r="C22" s="145" t="str">
        <x:v>K.SBC.01 and K.SBC.02</x:v>
      </x:c>
      <x:c r="D22" s="145" t="str">
        <x:v>%</x:v>
      </x:c>
      <x:c r="E22" s="207" t="n">
        <x:v>0.13</x:v>
      </x:c>
      <x:c r="F22" s="207" t="n">
        <x:v>0.125</x:v>
      </x:c>
      <x:c r="G22" s="207" t="n">
        <x:v>0.12</x:v>
      </x:c>
      <x:c r="H22" s="207" t="n">
        <x:v>0.115</x:v>
      </x:c>
      <x:c r="I22" s="207" t="n">
        <x:v>0.11</x:v>
      </x:c>
      <x:c r="J22" s="206" t="str">
        <x:v>SBC was 13.2 percent of FY2026 revenue and elevated relative to mature software peers.  Forecast rate tapers gradually but remains meaningful.</x:v>
      </x:c>
      <x:c r="K22" s="206" t="str">
        <x:v>Normal</x:v>
      </x:c>
      <x:c r="L22" s="5"/>
    </x:row>
    <x:row r="23">
      <x:c r="A23" s="145" t="str">
        <x:v>A.WC.DSO</x:v>
      </x:c>
      <x:c r="B23" s="145" t="str">
        <x:v>Forecast DSO</x:v>
      </x:c>
      <x:c r="C23" s="145" t="str">
        <x:v>K.WC.01</x:v>
      </x:c>
      <x:c r="D23" s="145" t="str">
        <x:v>days</x:v>
      </x:c>
      <x:c r="E23" s="205" t="n">
        <x:v>94</x:v>
      </x:c>
      <x:c r="F23" s="205" t="n">
        <x:v>92</x:v>
      </x:c>
      <x:c r="G23" s="205" t="n">
        <x:v>90</x:v>
      </x:c>
      <x:c r="H23" s="205" t="n">
        <x:v>88</x:v>
      </x:c>
      <x:c r="I23" s="205" t="n">
        <x:v>86</x:v>
      </x:c>
      <x:c r="J23" s="206" t="str">
        <x:v>FY2026 DSO spiked to the mid 90s days as receivables grew faster than revenue.  Forecast normalizes toward historical levels.</x:v>
      </x:c>
      <x:c r="K23" s="206" t="str">
        <x:v>Normal</x:v>
      </x:c>
      <x:c r="L23" s="5"/>
    </x:row>
    <x:row r="24">
      <x:c r="A24" s="145" t="str">
        <x:v>A.WC.DIO</x:v>
      </x:c>
      <x:c r="B24" s="145" t="str">
        <x:v>Forecast DIO</x:v>
      </x:c>
      <x:c r="C24" s="145" t="str">
        <x:v>K.WC.02</x:v>
      </x:c>
      <x:c r="D24" s="145" t="str">
        <x:v>days</x:v>
      </x:c>
      <x:c r="E24" s="205" t="n">
        <x:v>24</x:v>
      </x:c>
      <x:c r="F24" s="205" t="n">
        <x:v>23</x:v>
      </x:c>
      <x:c r="G24" s="205" t="n">
        <x:v>22</x:v>
      </x:c>
      <x:c r="H24" s="205" t="n">
        <x:v>21</x:v>
      </x:c>
      <x:c r="I24" s="205" t="n">
        <x:v>21</x:v>
      </x:c>
      <x:c r="J24" s="206" t="str">
        <x:v>Inventory days increased in FY2026 from a low base.  Forecast keeps inventory discipline while allowing modest buffer.</x:v>
      </x:c>
      <x:c r="K24" s="206" t="str">
        <x:v>Normal</x:v>
      </x:c>
      <x:c r="L24" s="5"/>
    </x:row>
    <x:row r="25">
      <x:c r="A25" s="145" t="str">
        <x:v>A.WC.DPO</x:v>
      </x:c>
      <x:c r="B25" s="145" t="str">
        <x:v>Forecast DPO</x:v>
      </x:c>
      <x:c r="C25" s="145" t="str">
        <x:v>K.WC.03</x:v>
      </x:c>
      <x:c r="D25" s="145" t="str">
        <x:v>days</x:v>
      </x:c>
      <x:c r="E25" s="205" t="n">
        <x:v>50</x:v>
      </x:c>
      <x:c r="F25" s="205" t="n">
        <x:v>49</x:v>
      </x:c>
      <x:c r="G25" s="205" t="n">
        <x:v>48</x:v>
      </x:c>
      <x:c r="H25" s="205" t="n">
        <x:v>47</x:v>
      </x:c>
      <x:c r="I25" s="205" t="n">
        <x:v>46</x:v>
      </x:c>
      <x:c r="J25" s="206" t="str">
        <x:v>DPO rose with vendor payables in FY2026.  Forecast normalizes slightly as purchasing cadence stabilizes.</x:v>
      </x:c>
      <x:c r="K25" s="206" t="str">
        <x:v>Normal</x:v>
      </x:c>
      <x:c r="L25" s="5"/>
    </x:row>
    <x:row r="26">
      <x:c r="A26" s="145" t="str">
        <x:v>A.WC.DEFREV</x:v>
      </x:c>
      <x:c r="B26" s="145" t="str">
        <x:v>Deferred revenue / revenue</x:v>
      </x:c>
      <x:c r="C26" s="145" t="str">
        <x:v>K.WC.04</x:v>
      </x:c>
      <x:c r="D26" s="145" t="str">
        <x:v>ratio</x:v>
      </x:c>
      <x:c r="E26" s="207" t="n">
        <x:v>0.595</x:v>
      </x:c>
      <x:c r="F26" s="207" t="n">
        <x:v>0.595</x:v>
      </x:c>
      <x:c r="G26" s="207" t="n">
        <x:v>0.59</x:v>
      </x:c>
      <x:c r="H26" s="207" t="n">
        <x:v>0.585</x:v>
      </x:c>
      <x:c r="I26" s="207" t="n">
        <x:v>0.58</x:v>
      </x:c>
      <x:c r="J26" s="206" t="str">
        <x:v>Deferred revenue remained high due subscription services.  Forecast holds the ratio near FY2026 with slight moderation.</x:v>
      </x:c>
      <x:c r="K26" s="206" t="str">
        <x:v>Normal</x:v>
      </x:c>
      <x:c r="L26" s="5"/>
    </x:row>
    <x:row r="27">
      <x:c r="A27" s="145" t="str">
        <x:v>A.WC.PREPAID</x:v>
      </x:c>
      <x:c r="B27" s="145" t="str">
        <x:v>Prepaid / OpEx</x:v>
      </x:c>
      <x:c r="C27" s="145" t="str">
        <x:v>K.WC.05 and historical prepaid ratio</x:v>
      </x:c>
      <x:c r="D27" s="145" t="str">
        <x:v>ratio</x:v>
      </x:c>
      <x:c r="E27" s="207" t="n">
        <x:v>0.14</x:v>
      </x:c>
      <x:c r="F27" s="207" t="n">
        <x:v>0.138</x:v>
      </x:c>
      <x:c r="G27" s="207" t="n">
        <x:v>0.136</x:v>
      </x:c>
      <x:c r="H27" s="207" t="n">
        <x:v>0.134</x:v>
      </x:c>
      <x:c r="I27" s="207" t="n">
        <x:v>0.132</x:v>
      </x:c>
      <x:c r="J27" s="206" t="str">
        <x:v>Prepaids and other current assets were elevated in FY2026.  Forecast ratio gradually normalizes against OpEx.</x:v>
      </x:c>
      <x:c r="K27" s="206" t="str">
        <x:v>Normal</x:v>
      </x:c>
      <x:c r="L27" s="5"/>
    </x:row>
    <x:row r="28">
      <x:c r="A28" s="145" t="str">
        <x:v>A.WC.ACCRUED</x:v>
      </x:c>
      <x:c r="B28" s="145" t="str">
        <x:v>Accrued expenses / OpEx</x:v>
      </x:c>
      <x:c r="C28" s="145" t="str">
        <x:v>K.WC.05</x:v>
      </x:c>
      <x:c r="D28" s="145" t="str">
        <x:v>ratio</x:v>
      </x:c>
      <x:c r="E28" s="207" t="n">
        <x:v>0.215</x:v>
      </x:c>
      <x:c r="F28" s="207" t="n">
        <x:v>0.214</x:v>
      </x:c>
      <x:c r="G28" s="207" t="n">
        <x:v>0.213</x:v>
      </x:c>
      <x:c r="H28" s="207" t="n">
        <x:v>0.212</x:v>
      </x:c>
      <x:c r="I28" s="207" t="n">
        <x:v>0.211</x:v>
      </x:c>
      <x:c r="J28" s="206" t="str">
        <x:v>Accrued liabilities were 21.6 percent of FY2026 OpEx.  Forecast holds near current levels.</x:v>
      </x:c>
      <x:c r="K28" s="206" t="str">
        <x:v>Normal</x:v>
      </x:c>
      <x:c r="L28" s="5"/>
    </x:row>
    <x:row r="29">
      <x:c r="A29" s="145" t="str">
        <x:v>A.WC.OTHER</x:v>
      </x:c>
      <x:c r="B29" s="145" t="str">
        <x:v>Other current asset/liab as % of revenue</x:v>
      </x:c>
      <x:c r="C29" s="145" t="str">
        <x:v>Held flat unless disclosed reason</x:v>
      </x:c>
      <x:c r="D29" s="145" t="str">
        <x:v>ratio</x:v>
      </x:c>
      <x:c r="E29" s="207" t="n">
        <x:v>0</x:v>
      </x:c>
      <x:c r="F29" s="207" t="n">
        <x:v>0</x:v>
      </x:c>
      <x:c r="G29" s="207" t="n">
        <x:v>0</x:v>
      </x:c>
      <x:c r="H29" s="207" t="n">
        <x:v>0</x:v>
      </x:c>
      <x:c r="I29" s="207" t="n">
        <x:v>0</x:v>
      </x:c>
      <x:c r="J29" s="206" t="str">
        <x:v>Other current items are modeled explicitly or held flat.  The net other current ratio is zero.</x:v>
      </x:c>
      <x:c r="K29" s="206" t="str">
        <x:v>Normal</x:v>
      </x:c>
      <x:c r="L29" s="5"/>
    </x:row>
    <x:row r="30">
      <x:c r="A30" s="145" t="str">
        <x:v>A.PPE.CAPEX.MAINT</x:v>
      </x:c>
      <x:c r="B30" s="145" t="str">
        <x:v>Maintenance capex as % of revenue</x:v>
      </x:c>
      <x:c r="C30" s="145" t="str">
        <x:v>K.CAPEX.01 and K.CAPEX.03</x:v>
      </x:c>
      <x:c r="D30" s="145" t="str">
        <x:v>%</x:v>
      </x:c>
      <x:c r="E30" s="207" t="n">
        <x:v>0.072</x:v>
      </x:c>
      <x:c r="F30" s="207" t="n">
        <x:v>0.071</x:v>
      </x:c>
      <x:c r="G30" s="207" t="n">
        <x:v>0.07</x:v>
      </x:c>
      <x:c r="H30" s="207" t="n">
        <x:v>0.069</x:v>
      </x:c>
      <x:c r="I30" s="207" t="n">
        <x:v>0.068</x:v>
      </x:c>
      <x:c r="J30" s="206" t="str">
        <x:v>Capex was 7.2 percent of revenue in FY2026.  Forecast tapers slightly with operating scale.</x:v>
      </x:c>
      <x:c r="K30" s="206" t="str">
        <x:v>Normal</x:v>
      </x:c>
      <x:c r="L30" s="5"/>
    </x:row>
    <x:row r="31">
      <x:c r="A31" s="145" t="str">
        <x:v>A.PPE.CAPEX.GROWTH</x:v>
      </x:c>
      <x:c r="B31" s="145" t="str">
        <x:v>Growth capex</x:v>
      </x:c>
      <x:c r="C31" s="145" t="str">
        <x:v>Capacity expansion plans</x:v>
      </x:c>
      <x:c r="D31" s="145" t="str">
        <x:v>$M</x:v>
      </x:c>
      <x:c r="E31" s="146" t="n">
        <x:v>0</x:v>
      </x:c>
      <x:c r="F31" s="146" t="n">
        <x:v>0</x:v>
      </x:c>
      <x:c r="G31" s="146" t="n">
        <x:v>0</x:v>
      </x:c>
      <x:c r="H31" s="146" t="n">
        <x:v>0</x:v>
      </x:c>
      <x:c r="I31" s="146" t="n">
        <x:v>0</x:v>
      </x:c>
      <x:c r="J31" s="206" t="str">
        <x:v>No discrete expansion project was disclosed in the provided filings.  Growth capex is not separately layered on top of maintenance capex.</x:v>
      </x:c>
      <x:c r="K31" s="206" t="str">
        <x:v>Normal</x:v>
      </x:c>
      <x:c r="L31" s="5"/>
    </x:row>
    <x:row r="32">
      <x:c r="A32" s="145" t="str">
        <x:v>A.PPE.LIFE</x:v>
      </x:c>
      <x:c r="B32" s="145" t="str">
        <x:v>Average useful life</x:v>
      </x:c>
      <x:c r="C32" s="145" t="str">
        <x:v>K.CAPEX.04 using net PP&amp;E simplification</x:v>
      </x:c>
      <x:c r="D32" s="145" t="str">
        <x:v>years</x:v>
      </x:c>
      <x:c r="E32" s="205" t="n">
        <x:v>4</x:v>
      </x:c>
      <x:c r="F32" s="205" t="n">
        <x:v>4</x:v>
      </x:c>
      <x:c r="G32" s="205" t="n">
        <x:v>4</x:v>
      </x:c>
      <x:c r="H32" s="205" t="n">
        <x:v>4</x:v>
      </x:c>
      <x:c r="I32" s="205" t="n">
        <x:v>4</x:v>
      </x:c>
      <x:c r="J32" s="206" t="str">
        <x:v>Gross PP&amp;E was not used in the build.  Net PP&amp;E divided by D&amp;A suggests roughly four years, so the net schedule uses a four year life.</x:v>
      </x:c>
      <x:c r="K32" s="206" t="str">
        <x:v>Lower Confidence</x:v>
      </x:c>
      <x:c r="L32" s="5"/>
    </x:row>
    <x:row r="33">
      <x:c r="A33" s="145" t="str">
        <x:v>A.PPE.DEP.METHOD</x:v>
      </x:c>
      <x:c r="B33" s="145" t="str">
        <x:v>Depreciation method</x:v>
      </x:c>
      <x:c r="C33" s="145" t="str">
        <x:v>10-K policy and schedule simplification</x:v>
      </x:c>
      <x:c r="D33" s="145" t="str">
        <x:v>text</x:v>
      </x:c>
      <x:c r="E33" s="145" t="str">
        <x:v>Straight-line</x:v>
      </x:c>
      <x:c r="F33" s="145" t="str">
        <x:v>Straight-line</x:v>
      </x:c>
      <x:c r="G33" s="145" t="str">
        <x:v>Straight-line</x:v>
      </x:c>
      <x:c r="H33" s="145" t="str">
        <x:v>Straight-line</x:v>
      </x:c>
      <x:c r="I33" s="145" t="str">
        <x:v>Straight-line</x:v>
      </x:c>
      <x:c r="J33" s="206" t="str">
        <x:v>The model uses straight-line depreciation on beginning net PP&amp;E due limited gross PP&amp;E disclosure.</x:v>
      </x:c>
      <x:c r="K33" s="206" t="str">
        <x:v>Lower Confidence</x:v>
      </x:c>
      <x:c r="L33" s="5"/>
    </x:row>
    <x:row r="34">
      <x:c r="A34" s="145" t="str">
        <x:v>A.DEBT.SCHED</x:v>
      </x:c>
      <x:c r="B34" s="145" t="str">
        <x:v>Scheduled principal repayments by year</x:v>
      </x:c>
      <x:c r="C34" s="145" t="str">
        <x:v>10-K debt footnote and FY2026 debt balance</x:v>
      </x:c>
      <x:c r="D34" s="145" t="str">
        <x:v>$M</x:v>
      </x:c>
      <x:c r="E34" s="146" t="n">
        <x:v>0</x:v>
      </x:c>
      <x:c r="F34" s="146" t="n">
        <x:v>0</x:v>
      </x:c>
      <x:c r="G34" s="146" t="n">
        <x:v>0</x:v>
      </x:c>
      <x:c r="H34" s="146" t="n">
        <x:v>0</x:v>
      </x:c>
      <x:c r="I34" s="146" t="n">
        <x:v>0</x:v>
      </x:c>
      <x:c r="J34" s="206" t="str">
        <x:v>FY2026 reported no current or long-term debt after repayment activity.  No scheduled debt repayment is modeled.</x:v>
      </x:c>
      <x:c r="K34" s="206" t="str">
        <x:v>Normal</x:v>
      </x:c>
      <x:c r="L34" s="5"/>
    </x:row>
    <x:row r="35">
      <x:c r="A35" s="145" t="str">
        <x:v>A.DEBT.RATE.EX</x:v>
      </x:c>
      <x:c r="B35" s="145" t="str">
        <x:v>Coupon on existing debt</x:v>
      </x:c>
      <x:c r="C35" s="145" t="str">
        <x:v>K.LEV.03</x:v>
      </x:c>
      <x:c r="D35" s="145" t="str">
        <x:v>%</x:v>
      </x:c>
      <x:c r="E35" s="207" t="n">
        <x:v>0.045</x:v>
      </x:c>
      <x:c r="F35" s="207" t="n">
        <x:v>0.045</x:v>
      </x:c>
      <x:c r="G35" s="207" t="n">
        <x:v>0.045</x:v>
      </x:c>
      <x:c r="H35" s="207" t="n">
        <x:v>0.045</x:v>
      </x:c>
      <x:c r="I35" s="207" t="n">
        <x:v>0.045</x:v>
      </x:c>
      <x:c r="J35" s="206" t="str">
        <x:v>Existing debt balance is zero at FY2026.  The rate is retained as a reference based on recent cash interest over average debt.</x:v>
      </x:c>
      <x:c r="K35" s="206" t="str">
        <x:v>Normal</x:v>
      </x:c>
      <x:c r="L35" s="5"/>
    </x:row>
    <x:row r="36">
      <x:c r="A36" s="145" t="str">
        <x:v>A.DEBT.NEW</x:v>
      </x:c>
      <x:c r="B36" s="145" t="str">
        <x:v>New debt issuance</x:v>
      </x:c>
      <x:c r="C36" s="145" t="str">
        <x:v>Default zero unless plan disclosed</x:v>
      </x:c>
      <x:c r="D36" s="145" t="str">
        <x:v>$M</x:v>
      </x:c>
      <x:c r="E36" s="146" t="n">
        <x:v>0</x:v>
      </x:c>
      <x:c r="F36" s="146" t="n">
        <x:v>0</x:v>
      </x:c>
      <x:c r="G36" s="146" t="n">
        <x:v>0</x:v>
      </x:c>
      <x:c r="H36" s="146" t="n">
        <x:v>0</x:v>
      </x:c>
      <x:c r="I36" s="146" t="n">
        <x:v>0</x:v>
      </x:c>
      <x:c r="J36" s="206" t="str">
        <x:v>No disclosed financing plan requires new debt.  New debt issuance is set to zero.</x:v>
      </x:c>
      <x:c r="K36" s="206" t="str">
        <x:v>Normal</x:v>
      </x:c>
      <x:c r="L36" s="5"/>
    </x:row>
    <x:row r="37">
      <x:c r="A37" s="145" t="str">
        <x:v>A.DEBT.RATE.NEW</x:v>
      </x:c>
      <x:c r="B37" s="145" t="str">
        <x:v>Coupon on new debt</x:v>
      </x:c>
      <x:c r="C37" s="145" t="str">
        <x:v>Credit profile</x:v>
      </x:c>
      <x:c r="D37" s="145" t="str">
        <x:v>%</x:v>
      </x:c>
      <x:c r="E37" s="207" t="n">
        <x:v>0.065</x:v>
      </x:c>
      <x:c r="F37" s="207" t="n">
        <x:v>0.065</x:v>
      </x:c>
      <x:c r="G37" s="207" t="n">
        <x:v>0.065</x:v>
      </x:c>
      <x:c r="H37" s="207" t="n">
        <x:v>0.065</x:v>
      </x:c>
      <x:c r="I37" s="207" t="n">
        <x:v>0.065</x:v>
      </x:c>
      <x:c r="J37" s="206" t="str">
        <x:v>A placeholder new debt coupon is set above risk free because any future borrowing would carry issuer spread.  No new borrowing is modeled.</x:v>
      </x:c>
      <x:c r="K37" s="206" t="str">
        <x:v>Normal</x:v>
      </x:c>
      <x:c r="L37" s="5"/>
    </x:row>
    <x:row r="38">
      <x:c r="A38" s="145" t="str">
        <x:v>A.REVOLVER.RATE</x:v>
      </x:c>
      <x:c r="B38" s="145" t="str">
        <x:v>Revolver rate</x:v>
      </x:c>
      <x:c r="C38" s="145" t="str">
        <x:v>Credit profile</x:v>
      </x:c>
      <x:c r="D38" s="145" t="str">
        <x:v>%</x:v>
      </x:c>
      <x:c r="E38" s="207" t="n">
        <x:v>0.068</x:v>
      </x:c>
      <x:c r="F38" s="207" t="n">
        <x:v>0.068</x:v>
      </x:c>
      <x:c r="G38" s="207" t="n">
        <x:v>0.068</x:v>
      </x:c>
      <x:c r="H38" s="207" t="n">
        <x:v>0.068</x:v>
      </x:c>
      <x:c r="I38" s="207" t="n">
        <x:v>0.068</x:v>
      </x:c>
      <x:c r="J38" s="206" t="str">
        <x:v>No revolver draw is modeled.  Rate is retained for a downside case.</x:v>
      </x:c>
      <x:c r="K38" s="206" t="str">
        <x:v>Normal</x:v>
      </x:c>
      <x:c r="L38" s="5"/>
    </x:row>
    <x:row r="39">
      <x:c r="A39" s="145" t="str">
        <x:v>A.SHARES.GROWTH</x:v>
      </x:c>
      <x:c r="B39" s="145" t="str">
        <x:v>Diluted share count growth</x:v>
      </x:c>
      <x:c r="C39" s="145" t="str">
        <x:v>K.SHARES.01</x:v>
      </x:c>
      <x:c r="D39" s="145" t="str">
        <x:v>%</x:v>
      </x:c>
      <x:c r="E39" s="207" t="n">
        <x:v>0.004</x:v>
      </x:c>
      <x:c r="F39" s="207" t="n">
        <x:v>0.004</x:v>
      </x:c>
      <x:c r="G39" s="207" t="n">
        <x:v>0.003</x:v>
      </x:c>
      <x:c r="H39" s="207" t="n">
        <x:v>0.003</x:v>
      </x:c>
      <x:c r="I39" s="207" t="n">
        <x:v>0.003</x:v>
      </x:c>
      <x:c r="J39" s="206" t="str">
        <x:v>Diluted shares were essentially flat in FY2026 after earlier growth.  Forecast assumes modest net dilution.</x:v>
      </x:c>
      <x:c r="K39" s="206" t="str">
        <x:v>Normal</x:v>
      </x:c>
      <x:c r="L39" s="5"/>
    </x:row>
    <x:row r="40">
      <x:c r="A40" s="145" t="str">
        <x:v>A.BUYBACK</x:v>
      </x:c>
      <x:c r="B40" s="145" t="str">
        <x:v>Buyback dollars per year</x:v>
      </x:c>
      <x:c r="C40" s="145" t="str">
        <x:v>FCF allocation policy</x:v>
      </x:c>
      <x:c r="D40" s="145" t="str">
        <x:v>$M</x:v>
      </x:c>
      <x:c r="E40" s="146" t="n">
        <x:v>0</x:v>
      </x:c>
      <x:c r="F40" s="146" t="n">
        <x:v>0</x:v>
      </x:c>
      <x:c r="G40" s="146" t="n">
        <x:v>0</x:v>
      </x:c>
      <x:c r="H40" s="146" t="n">
        <x:v>0</x:v>
      </x:c>
      <x:c r="I40" s="146" t="n">
        <x:v>0</x:v>
      </x:c>
      <x:c r="J40" s="206" t="str">
        <x:v>Repurchases occurred historically but no explicit future authorization was modeled.  Buybacks are set to zero to avoid unsupported share reduction.</x:v>
      </x:c>
      <x:c r="K40" s="206" t="str">
        <x:v>Lower Confidence</x:v>
      </x:c>
      <x:c r="L40" s="5"/>
    </x:row>
    <x:row r="41">
      <x:c r="A41" s="145" t="str">
        <x:v>A.DIVIDEND</x:v>
      </x:c>
      <x:c r="B41" s="145" t="str">
        <x:v>Dividend per share or payout ratio</x:v>
      </x:c>
      <x:c r="C41" s="145" t="str">
        <x:v>Dividend policy</x:v>
      </x:c>
      <x:c r="D41" s="145" t="str">
        <x:v>$M</x:v>
      </x:c>
      <x:c r="E41" s="146" t="n">
        <x:v>0</x:v>
      </x:c>
      <x:c r="F41" s="146" t="n">
        <x:v>0</x:v>
      </x:c>
      <x:c r="G41" s="146" t="n">
        <x:v>0</x:v>
      </x:c>
      <x:c r="H41" s="146" t="n">
        <x:v>0</x:v>
      </x:c>
      <x:c r="I41" s="146" t="n">
        <x:v>0</x:v>
      </x:c>
      <x:c r="J41" s="206" t="str">
        <x:v>No common dividend was disclosed in the provided filings.  Dividends are set to zero.</x:v>
      </x:c>
      <x:c r="K41" s="206" t="str">
        <x:v>Normal</x:v>
      </x:c>
      <x:c r="L41" s="5"/>
    </x:row>
    <x:row r="42">
      <x:c r="A42" s="145" t="str">
        <x:v>A.TAX.RATE</x:v>
      </x:c>
      <x:c r="B42" s="145" t="str">
        <x:v>Effective tax rate</x:v>
      </x:c>
      <x:c r="C42" s="145" t="str">
        <x:v>K.TAX.01</x:v>
      </x:c>
      <x:c r="D42" s="145" t="str">
        <x:v>%</x:v>
      </x:c>
      <x:c r="E42" s="207" t="n">
        <x:v>0.19</x:v>
      </x:c>
      <x:c r="F42" s="207" t="n">
        <x:v>0.195</x:v>
      </x:c>
      <x:c r="G42" s="207" t="n">
        <x:v>0.2</x:v>
      </x:c>
      <x:c r="H42" s="207" t="n">
        <x:v>0.205</x:v>
      </x:c>
      <x:c r="I42" s="207" t="n">
        <x:v>0.21</x:v>
      </x:c>
      <x:c r="J42" s="206" t="str">
        <x:v>FY2026 effective tax rate was 16.1 percent after prior volatility.  Forecast ramps toward a normalized statutory-adjacent rate.</x:v>
      </x:c>
      <x:c r="K42" s="206" t="str">
        <x:v>Normal</x:v>
      </x:c>
      <x:c r="L42" s="5"/>
    </x:row>
    <x:row r="43">
      <x:c r="A43" s="145" t="str">
        <x:v>A.WACC.RF</x:v>
      </x:c>
      <x:c r="B43" s="145" t="str">
        <x:v>Risk free rate</x:v>
      </x:c>
      <x:c r="C43" s="145" t="str">
        <x:v>U.S. Treasury 10-year yield on 2026-04-30</x:v>
      </x:c>
      <x:c r="D43" s="145" t="str">
        <x:v>%</x:v>
      </x:c>
      <x:c r="E43" s="207" t="n">
        <x:v>0.044</x:v>
      </x:c>
      <x:c r="F43" s="207" t="n">
        <x:v>0.044</x:v>
      </x:c>
      <x:c r="G43" s="207" t="n">
        <x:v>0.044</x:v>
      </x:c>
      <x:c r="H43" s="207" t="n">
        <x:v>0.044</x:v>
      </x:c>
      <x:c r="I43" s="207" t="n">
        <x:v>0.044</x:v>
      </x:c>
      <x:c r="J43" s="206" t="str">
        <x:v>Treasury daily curve showed a 10-year yield of about 4.40 percent on 2026-04-30.  This is used as the risk free anchor.</x:v>
      </x:c>
      <x:c r="K43" s="206" t="str">
        <x:v>Normal</x:v>
      </x:c>
      <x:c r="L43" s="5"/>
    </x:row>
    <x:row r="44">
      <x:c r="A44" s="145" t="str">
        <x:v>A.WACC.PREM.OP</x:v>
      </x:c>
      <x:c r="B44" s="145" t="str">
        <x:v>Operational risk premium</x:v>
      </x:c>
      <x:c r="C44" s="145" t="str">
        <x:v>Revenue volatility and product cycle exposure</x:v>
      </x:c>
      <x:c r="D44" s="145" t="str">
        <x:v>%</x:v>
      </x:c>
      <x:c r="E44" s="207" t="n">
        <x:v>0.03</x:v>
      </x:c>
      <x:c r="F44" s="207" t="n">
        <x:v>0.03</x:v>
      </x:c>
      <x:c r="G44" s="207" t="n">
        <x:v>0.03</x:v>
      </x:c>
      <x:c r="H44" s="207" t="n">
        <x:v>0.03</x:v>
      </x:c>
      <x:c r="I44" s="207" t="n">
        <x:v>0.03</x:v>
      </x:c>
      <x:c r="J44" s="206" t="str">
        <x:v>Revenue growth was positive but volatile and product revenue has cyclical hardware exposure.  A 3.0 percent operational premium is selected.</x:v>
      </x:c>
      <x:c r="K44" s="206" t="str">
        <x:v>Normal</x:v>
      </x:c>
      <x:c r="L44" s="5"/>
    </x:row>
    <x:row r="45">
      <x:c r="A45" s="145" t="str">
        <x:v>A.WACC.PREM.FIN</x:v>
      </x:c>
      <x:c r="B45" s="145" t="str">
        <x:v>Financial risk premium</x:v>
      </x:c>
      <x:c r="C45" s="145" t="str">
        <x:v>Net debt / EBITDA and coverage</x:v>
      </x:c>
      <x:c r="D45" s="145" t="str">
        <x:v>%</x:v>
      </x:c>
      <x:c r="E45" s="207" t="n">
        <x:v>0.005</x:v>
      </x:c>
      <x:c r="F45" s="207" t="n">
        <x:v>0.005</x:v>
      </x:c>
      <x:c r="G45" s="207" t="n">
        <x:v>0.005</x:v>
      </x:c>
      <x:c r="H45" s="207" t="n">
        <x:v>0.005</x:v>
      </x:c>
      <x:c r="I45" s="207" t="n">
        <x:v>0.005</x:v>
      </x:c>
      <x:c r="J45" s="206" t="str">
        <x:v>The balance sheet has net cash and no FY2026 debt.  A small financial premium remains for lease commitments and working capital volatility.</x:v>
      </x:c>
      <x:c r="K45" s="206" t="str">
        <x:v>Normal</x:v>
      </x:c>
      <x:c r="L45" s="5"/>
    </x:row>
    <x:row r="46">
      <x:c r="A46" s="145" t="str">
        <x:v>A.WACC.PREM.MOAT</x:v>
      </x:c>
      <x:c r="B46" s="145" t="str">
        <x:v>Moat / durability premium adjustment</x:v>
      </x:c>
      <x:c r="C46" s="145" t="str">
        <x:v>Gross margin stability and differentiated technology</x:v>
      </x:c>
      <x:c r="D46" s="145" t="str">
        <x:v>%</x:v>
      </x:c>
      <x:c r="E46" s="207" t="n">
        <x:v>-0.005</x:v>
      </x:c>
      <x:c r="F46" s="207" t="n">
        <x:v>-0.005</x:v>
      </x:c>
      <x:c r="G46" s="207" t="n">
        <x:v>-0.005</x:v>
      </x:c>
      <x:c r="H46" s="207" t="n">
        <x:v>-0.005</x:v>
      </x:c>
      <x:c r="I46" s="207" t="n">
        <x:v>-0.005</x:v>
      </x:c>
      <x:c r="J46" s="206" t="str">
        <x:v>Gross margin remained durable and the filings emphasize differentiated flash architecture.  A modest negative moat adjustment is applied.</x:v>
      </x:c>
      <x:c r="K46" s="206" t="str">
        <x:v>Normal</x:v>
      </x:c>
      <x:c r="L46" s="5"/>
    </x:row>
    <x:row r="47">
      <x:c r="A47" s="145" t="str">
        <x:v>A.WACC.PREM.REG</x:v>
      </x:c>
      <x:c r="B47" s="145" t="str">
        <x:v>Regulatory / legal exposure premium</x:v>
      </x:c>
      <x:c r="C47" s="145" t="str">
        <x:v>10-K risk factors</x:v>
      </x:c>
      <x:c r="D47" s="145" t="str">
        <x:v>%</x:v>
      </x:c>
      <x:c r="E47" s="207" t="n">
        <x:v>0.005</x:v>
      </x:c>
      <x:c r="F47" s="207" t="n">
        <x:v>0.005</x:v>
      </x:c>
      <x:c r="G47" s="207" t="n">
        <x:v>0.005</x:v>
      </x:c>
      <x:c r="H47" s="207" t="n">
        <x:v>0.005</x:v>
      </x:c>
      <x:c r="I47" s="207" t="n">
        <x:v>0.005</x:v>
      </x:c>
      <x:c r="J47" s="206" t="str">
        <x:v>Technology export controls and data infrastructure exposure create some legal and regulatory risk.  A 0.5 percent premium is applied.</x:v>
      </x:c>
      <x:c r="K47" s="206" t="str">
        <x:v>Normal</x:v>
      </x:c>
      <x:c r="L47" s="5"/>
    </x:row>
    <x:row r="48">
      <x:c r="A48" s="145" t="str">
        <x:v>A.WACC.PREM.SIZE</x:v>
      </x:c>
      <x:c r="B48" s="145" t="str">
        <x:v>Size premium</x:v>
      </x:c>
      <x:c r="C48" s="145" t="str">
        <x:v>Latest 10-K aggregate market value</x:v>
      </x:c>
      <x:c r="D48" s="145" t="str">
        <x:v>%</x:v>
      </x:c>
      <x:c r="E48" s="207" t="n">
        <x:v>0.005</x:v>
      </x:c>
      <x:c r="F48" s="207" t="n">
        <x:v>0.005</x:v>
      </x:c>
      <x:c r="G48" s="207" t="n">
        <x:v>0.005</x:v>
      </x:c>
      <x:c r="H48" s="207" t="n">
        <x:v>0.005</x:v>
      </x:c>
      <x:c r="I48" s="207" t="n">
        <x:v>0.005</x:v>
      </x:c>
      <x:c r="J48" s="206" t="str">
        <x:v>Latest filing disclosed approximately 17.0 billion dollars of aggregate market value.  Size premium is modest at this scale.</x:v>
      </x:c>
      <x:c r="K48" s="206" t="str">
        <x:v>Normal</x:v>
      </x:c>
      <x:c r="L48" s="5"/>
    </x:row>
    <x:row r="49">
      <x:c r="A49" s="145" t="str">
        <x:v>A.WACC.KD.PRETAX</x:v>
      </x:c>
      <x:c r="B49" s="145" t="str">
        <x:v>Pretax cost of debt</x:v>
      </x:c>
      <x:c r="C49" s="145" t="str">
        <x:v>K.LEV.03 and credit profile</x:v>
      </x:c>
      <x:c r="D49" s="145" t="str">
        <x:v>%</x:v>
      </x:c>
      <x:c r="E49" s="207" t="n">
        <x:v>0.05</x:v>
      </x:c>
      <x:c r="F49" s="207" t="n">
        <x:v>0.05</x:v>
      </x:c>
      <x:c r="G49" s="207" t="n">
        <x:v>0.05</x:v>
      </x:c>
      <x:c r="H49" s="207" t="n">
        <x:v>0.05</x:v>
      </x:c>
      <x:c r="I49" s="207" t="n">
        <x:v>0.05</x:v>
      </x:c>
      <x:c r="J49" s="206" t="str">
        <x:v>No debt was outstanding at FY2026.  Pretax cost of debt is set at 5.0 percent for any normalized borrowing need.</x:v>
      </x:c>
      <x:c r="K49" s="206" t="str">
        <x:v>Normal</x:v>
      </x:c>
      <x:c r="L49" s="5"/>
    </x:row>
    <x:row r="50">
      <x:c r="A50" s="145" t="str">
        <x:v>A.WACC.WEIGHT.E</x:v>
      </x:c>
      <x:c r="B50" s="145" t="str">
        <x:v>Equity weight at market value</x:v>
      </x:c>
      <x:c r="C50" s="145" t="str">
        <x:v>Market cap / total cap</x:v>
      </x:c>
      <x:c r="D50" s="145" t="str">
        <x:v>%</x:v>
      </x:c>
      <x:c r="E50" s="207" t="n">
        <x:v>0.987</x:v>
      </x:c>
      <x:c r="F50" s="207" t="n">
        <x:v>0.987</x:v>
      </x:c>
      <x:c r="G50" s="207" t="n">
        <x:v>0.987</x:v>
      </x:c>
      <x:c r="H50" s="207" t="n">
        <x:v>0.987</x:v>
      </x:c>
      <x:c r="I50" s="207" t="n">
        <x:v>0.987</x:v>
      </x:c>
      <x:c r="J50" s="206" t="str">
        <x:v>Equity weight uses 17.0 billion dollars of latest filing market value versus operating lease liabilities as debt-like capital.</x:v>
      </x:c>
      <x:c r="K50" s="206" t="str">
        <x:v>Normal</x:v>
      </x:c>
      <x:c r="L50" s="5"/>
    </x:row>
    <x:row r="51">
      <x:c r="A51" s="145" t="str">
        <x:v>A.WACC.WEIGHT.D</x:v>
      </x:c>
      <x:c r="B51" s="145" t="str">
        <x:v>Debt weight at book value</x:v>
      </x:c>
      <x:c r="C51" s="145" t="str">
        <x:v>1 minus equity weight</x:v>
      </x:c>
      <x:c r="D51" s="145" t="str">
        <x:v>%</x:v>
      </x:c>
      <x:c r="E51" s="207" t="n">
        <x:v>0.013</x:v>
      </x:c>
      <x:c r="F51" s="207" t="n">
        <x:v>0.013</x:v>
      </x:c>
      <x:c r="G51" s="207" t="n">
        <x:v>0.013</x:v>
      </x:c>
      <x:c r="H51" s="207" t="n">
        <x:v>0.013</x:v>
      </x:c>
      <x:c r="I51" s="207" t="n">
        <x:v>0.013</x:v>
      </x:c>
      <x:c r="J51" s="206" t="str">
        <x:v>Debt-like weight reflects operating lease liabilities against total capitalization.  It is set to complement the equity weight.</x:v>
      </x:c>
      <x:c r="K51" s="206" t="str">
        <x:v>Normal</x:v>
      </x:c>
      <x:c r="L51" s="5"/>
    </x:row>
    <x:row r="52">
      <x:c r="A52" s="145" t="str">
        <x:v>A.WACC.TG</x:v>
      </x:c>
      <x:c r="B52" s="145" t="str">
        <x:v>Terminal growth rate</x:v>
      </x:c>
      <x:c r="C52" s="145" t="str">
        <x:v>Long-run nominal GDP bound</x:v>
      </x:c>
      <x:c r="D52" s="145" t="str">
        <x:v>%</x:v>
      </x:c>
      <x:c r="E52" s="207" t="n">
        <x:v>0.03</x:v>
      </x:c>
      <x:c r="F52" s="207" t="n">
        <x:v>0.03</x:v>
      </x:c>
      <x:c r="G52" s="207" t="n">
        <x:v>0.03</x:v>
      </x:c>
      <x:c r="H52" s="207" t="n">
        <x:v>0.03</x:v>
      </x:c>
      <x:c r="I52" s="207" t="n">
        <x:v>0.03</x:v>
      </x:c>
      <x:c r="J52" s="206" t="str">
        <x:v>Terminal growth is capped at a long-run nominal GDP style assumption.  It remains below WACC.</x:v>
      </x:c>
      <x:c r="K52" s="206" t="str">
        <x:v>Normal</x:v>
      </x:c>
      <x:c r="L52" s="5"/>
    </x:row>
    <x:row r="53">
      <x:c r="A53" s="145" t="str">
        <x:v>A.WACC.EXIT.MULT</x:v>
      </x:c>
      <x:c r="B53" s="145" t="str">
        <x:v>Exit EV/EBITDA multiple</x:v>
      </x:c>
      <x:c r="C53" s="145" t="str">
        <x:v>Long-run economics cross-check</x:v>
      </x:c>
      <x:c r="D53" s="145" t="str">
        <x:v>x</x:v>
      </x:c>
      <x:c r="E53" s="208" t="n">
        <x:v>11</x:v>
      </x:c>
      <x:c r="F53" s="208" t="n">
        <x:v>11</x:v>
      </x:c>
      <x:c r="G53" s="208" t="n">
        <x:v>11</x:v>
      </x:c>
      <x:c r="H53" s="208" t="n">
        <x:v>11</x:v>
      </x:c>
      <x:c r="I53" s="208" t="n">
        <x:v>11</x:v>
      </x:c>
      <x:c r="J53" s="206" t="str">
        <x:v>An 11.0x exit EBITDA multiple keeps the implied terminal growth within the long-run nominal GDP bound.  It is used as an economics cross-check rather than a current trading anchor.</x:v>
      </x:c>
      <x:c r="K53" s="206" t="str">
        <x:v>Lower Confidence</x:v>
      </x:c>
      <x:c r="L53" s="5"/>
    </x:row>
    <x:row r="54">
      <x:c r="A54" s="119"/>
      <x:c r="B54" s="119"/>
      <x:c r="C54" s="119"/>
      <x:c r="D54" s="119"/>
      <x:c r="E54" s="119"/>
      <x:c r="F54" s="119"/>
      <x:c r="G54" s="119"/>
      <x:c r="H54" s="119"/>
      <x:c r="I54" s="119"/>
      <x:c r="J54" s="119"/>
      <x:c r="K54" s="119"/>
      <x:c r="L54" s="5"/>
    </x:row>
    <x:row r="55">
      <x:c r="A55" s="119"/>
      <x:c r="B55" s="119"/>
      <x:c r="C55" s="119"/>
      <x:c r="D55" s="119"/>
      <x:c r="E55" s="119"/>
      <x:c r="F55" s="119"/>
      <x:c r="G55" s="119"/>
      <x:c r="H55" s="119"/>
      <x:c r="I55" s="119"/>
      <x:c r="J55" s="119"/>
      <x:c r="K55" s="119"/>
      <x:c r="L55" s="5"/>
    </x:row>
    <x:row r="56">
      <x:c r="A56" s="119"/>
      <x:c r="B56" s="119"/>
      <x:c r="C56" s="119"/>
      <x:c r="D56" s="119"/>
      <x:c r="E56" s="119"/>
      <x:c r="F56" s="119"/>
      <x:c r="G56" s="119"/>
      <x:c r="H56" s="119"/>
      <x:c r="I56" s="119"/>
      <x:c r="J56" s="119"/>
      <x:c r="K56" s="119"/>
      <x:c r="L56" s="5"/>
    </x:row>
    <x:row r="57">
      <x:c r="A57" s="119"/>
      <x:c r="B57" s="119"/>
      <x:c r="C57" s="119"/>
      <x:c r="D57" s="119"/>
      <x:c r="E57" s="119"/>
      <x:c r="F57" s="119"/>
      <x:c r="G57" s="119"/>
      <x:c r="H57" s="119"/>
      <x:c r="I57" s="119"/>
      <x:c r="J57" s="119"/>
      <x:c r="K57" s="119"/>
      <x:c r="L57" s="5"/>
    </x:row>
    <x:row r="58">
      <x:c r="A58" s="119"/>
      <x:c r="B58" s="119"/>
      <x:c r="C58" s="119"/>
      <x:c r="D58" s="119"/>
      <x:c r="E58" s="119"/>
      <x:c r="F58" s="119"/>
      <x:c r="G58" s="119"/>
      <x:c r="H58" s="119"/>
      <x:c r="I58" s="119"/>
      <x:c r="J58" s="119"/>
      <x:c r="K58" s="119"/>
      <x:c r="L58" s="5"/>
    </x:row>
    <x:row r="59">
      <x:c r="A59" s="119"/>
      <x:c r="B59" s="119"/>
      <x:c r="C59" s="119"/>
      <x:c r="D59" s="119"/>
      <x:c r="E59" s="119"/>
      <x:c r="F59" s="119"/>
      <x:c r="G59" s="119"/>
      <x:c r="H59" s="119"/>
      <x:c r="I59" s="119"/>
      <x:c r="J59" s="119"/>
      <x:c r="K59" s="119"/>
      <x:c r="L59" s="5"/>
    </x:row>
    <x:row r="60">
      <x:c r="A60" s="119"/>
      <x:c r="B60" s="119"/>
      <x:c r="C60" s="119"/>
      <x:c r="D60" s="119"/>
      <x:c r="E60" s="119"/>
      <x:c r="F60" s="119"/>
      <x:c r="G60" s="119"/>
      <x:c r="H60" s="119"/>
      <x:c r="I60" s="119"/>
      <x:c r="J60" s="119"/>
      <x:c r="K60" s="119"/>
      <x:c r="L60" s="5"/>
    </x:row>
    <x:row r="61">
      <x:c r="A61" s="119"/>
      <x:c r="B61" s="119"/>
      <x:c r="C61" s="119"/>
      <x:c r="D61" s="119"/>
      <x:c r="E61" s="119"/>
      <x:c r="F61" s="119"/>
      <x:c r="G61" s="119"/>
      <x:c r="H61" s="119"/>
      <x:c r="I61" s="119"/>
      <x:c r="J61" s="119"/>
      <x:c r="K61" s="119"/>
      <x:c r="L61" s="5"/>
    </x:row>
    <x:row r="62">
      <x:c r="A62" s="119"/>
      <x:c r="B62" s="119"/>
      <x:c r="C62" s="119"/>
      <x:c r="D62" s="119"/>
      <x:c r="E62" s="119"/>
      <x:c r="F62" s="119"/>
      <x:c r="G62" s="119"/>
      <x:c r="H62" s="119"/>
      <x:c r="I62" s="119"/>
      <x:c r="J62" s="119"/>
      <x:c r="K62" s="119"/>
      <x:c r="L62" s="5"/>
    </x:row>
    <x:row r="63">
      <x:c r="A63" s="119"/>
      <x:c r="B63" s="119"/>
      <x:c r="C63" s="119"/>
      <x:c r="D63" s="119"/>
      <x:c r="E63" s="119"/>
      <x:c r="F63" s="119"/>
      <x:c r="G63" s="119"/>
      <x:c r="H63" s="119"/>
      <x:c r="I63" s="119"/>
      <x:c r="J63" s="119"/>
      <x:c r="K63" s="119"/>
      <x:c r="L63" s="5"/>
    </x:row>
    <x:row r="64">
      <x:c r="A64" s="119"/>
      <x:c r="B64" s="119"/>
      <x:c r="C64" s="119"/>
      <x:c r="D64" s="119"/>
      <x:c r="E64" s="119"/>
      <x:c r="F64" s="119"/>
      <x:c r="G64" s="119"/>
      <x:c r="H64" s="119"/>
      <x:c r="I64" s="119"/>
      <x:c r="J64" s="119"/>
      <x:c r="K64" s="119"/>
      <x:c r="L64" s="5"/>
    </x:row>
    <x:row r="65">
      <x:c r="A65" s="119"/>
      <x:c r="B65" s="119"/>
      <x:c r="C65" s="119"/>
      <x:c r="D65" s="119"/>
      <x:c r="E65" s="119"/>
      <x:c r="F65" s="119"/>
      <x:c r="G65" s="119"/>
      <x:c r="H65" s="119"/>
      <x:c r="I65" s="119"/>
      <x:c r="J65" s="119"/>
      <x:c r="K65" s="119"/>
      <x:c r="L65" s="5"/>
    </x:row>
    <x:row r="66">
      <x:c r="A66" s="119"/>
      <x:c r="B66" s="119"/>
      <x:c r="C66" s="119"/>
      <x:c r="D66" s="119"/>
      <x:c r="E66" s="119"/>
      <x:c r="F66" s="119"/>
      <x:c r="G66" s="119"/>
      <x:c r="H66" s="119"/>
      <x:c r="I66" s="119"/>
      <x:c r="J66" s="119"/>
      <x:c r="K66" s="119"/>
      <x:c r="L66" s="5"/>
    </x:row>
    <x:row r="67">
      <x:c r="A67" s="119"/>
      <x:c r="B67" s="119"/>
      <x:c r="C67" s="119"/>
      <x:c r="D67" s="119"/>
      <x:c r="E67" s="119"/>
      <x:c r="F67" s="119"/>
      <x:c r="G67" s="119"/>
      <x:c r="H67" s="119"/>
      <x:c r="I67" s="119"/>
      <x:c r="J67" s="119"/>
      <x:c r="K67" s="119"/>
      <x:c r="L67" s="5"/>
    </x:row>
    <x:row r="68">
      <x:c r="A68" s="119"/>
      <x:c r="B68" s="119"/>
      <x:c r="C68" s="119"/>
      <x:c r="D68" s="119"/>
      <x:c r="E68" s="119"/>
      <x:c r="F68" s="119"/>
      <x:c r="G68" s="119"/>
      <x:c r="H68" s="119"/>
      <x:c r="I68" s="119"/>
      <x:c r="J68" s="119"/>
      <x:c r="K68" s="119"/>
      <x:c r="L68" s="5"/>
    </x:row>
    <x:row r="69">
      <x:c r="A69" s="119"/>
      <x:c r="B69" s="119"/>
      <x:c r="C69" s="119"/>
      <x:c r="D69" s="119"/>
      <x:c r="E69" s="119"/>
      <x:c r="F69" s="119"/>
      <x:c r="G69" s="119"/>
      <x:c r="H69" s="119"/>
      <x:c r="I69" s="119"/>
      <x:c r="J69" s="119"/>
      <x:c r="K69" s="119"/>
      <x:c r="L69" s="5"/>
    </x:row>
    <x:row r="70">
      <x:c r="A70" s="119"/>
      <x:c r="B70" s="119"/>
      <x:c r="C70" s="119"/>
      <x:c r="D70" s="119"/>
      <x:c r="E70" s="119"/>
      <x:c r="F70" s="119"/>
      <x:c r="G70" s="119"/>
      <x:c r="H70" s="119"/>
      <x:c r="I70" s="119"/>
      <x:c r="J70" s="119"/>
      <x:c r="K70" s="119"/>
      <x:c r="L70" s="5"/>
    </x:row>
    <x:row r="71">
      <x:c r="A71" s="119"/>
      <x:c r="B71" s="119"/>
      <x:c r="C71" s="119"/>
      <x:c r="D71" s="119"/>
      <x:c r="E71" s="119"/>
      <x:c r="F71" s="119"/>
      <x:c r="G71" s="119"/>
      <x:c r="H71" s="119"/>
      <x:c r="I71" s="119"/>
      <x:c r="J71" s="119"/>
      <x:c r="K71" s="119"/>
      <x:c r="L71" s="5"/>
    </x:row>
    <x:row r="72">
      <x:c r="A72" s="119"/>
      <x:c r="B72" s="119"/>
      <x:c r="C72" s="119"/>
      <x:c r="D72" s="119"/>
      <x:c r="E72" s="119"/>
      <x:c r="F72" s="119"/>
      <x:c r="G72" s="119"/>
      <x:c r="H72" s="119"/>
      <x:c r="I72" s="119"/>
      <x:c r="J72" s="119"/>
      <x:c r="K72" s="119"/>
      <x:c r="L72" s="5"/>
    </x:row>
    <x:row r="73">
      <x:c r="A73" s="119"/>
      <x:c r="B73" s="119"/>
      <x:c r="C73" s="119"/>
      <x:c r="D73" s="119"/>
      <x:c r="E73" s="119"/>
      <x:c r="F73" s="119"/>
      <x:c r="G73" s="119"/>
      <x:c r="H73" s="119"/>
      <x:c r="I73" s="119"/>
      <x:c r="J73" s="119"/>
      <x:c r="K73" s="119"/>
      <x:c r="L73" s="5"/>
    </x:row>
    <x:row r="74">
      <x:c r="A74" s="119"/>
      <x:c r="B74" s="119"/>
      <x:c r="C74" s="119"/>
      <x:c r="D74" s="119"/>
      <x:c r="E74" s="119"/>
      <x:c r="F74" s="119"/>
      <x:c r="G74" s="119"/>
      <x:c r="H74" s="119"/>
      <x:c r="I74" s="119"/>
      <x:c r="J74" s="119"/>
      <x:c r="K74" s="119"/>
      <x:c r="L74" s="5"/>
    </x:row>
    <x:row r="75">
      <x:c r="A75" s="119"/>
      <x:c r="B75" s="119"/>
      <x:c r="C75" s="119"/>
      <x:c r="D75" s="119"/>
      <x:c r="E75" s="119"/>
      <x:c r="F75" s="119"/>
      <x:c r="G75" s="119"/>
      <x:c r="H75" s="119"/>
      <x:c r="I75" s="119"/>
      <x:c r="J75" s="119"/>
      <x:c r="K75" s="119"/>
      <x:c r="L75" s="5"/>
    </x:row>
    <x:row r="76">
      <x:c r="A76" s="119"/>
      <x:c r="B76" s="119"/>
      <x:c r="C76" s="119"/>
      <x:c r="D76" s="119"/>
      <x:c r="E76" s="119"/>
      <x:c r="F76" s="119"/>
      <x:c r="G76" s="119"/>
      <x:c r="H76" s="119"/>
      <x:c r="I76" s="119"/>
      <x:c r="J76" s="119"/>
      <x:c r="K76" s="119"/>
      <x:c r="L76" s="5"/>
    </x:row>
    <x:row r="77">
      <x:c r="A77" s="119"/>
      <x:c r="B77" s="119"/>
      <x:c r="C77" s="119"/>
      <x:c r="D77" s="119"/>
      <x:c r="E77" s="119"/>
      <x:c r="F77" s="119"/>
      <x:c r="G77" s="119"/>
      <x:c r="H77" s="119"/>
      <x:c r="I77" s="119"/>
      <x:c r="J77" s="119"/>
      <x:c r="K77" s="119"/>
      <x:c r="L77" s="5"/>
    </x:row>
    <x:row r="78">
      <x:c r="A78" s="119"/>
      <x:c r="B78" s="119"/>
      <x:c r="C78" s="119"/>
      <x:c r="D78" s="119"/>
      <x:c r="E78" s="119"/>
      <x:c r="F78" s="119"/>
      <x:c r="G78" s="119"/>
      <x:c r="H78" s="119"/>
      <x:c r="I78" s="119"/>
      <x:c r="J78" s="119"/>
      <x:c r="K78" s="119"/>
      <x:c r="L78" s="5"/>
    </x:row>
    <x:row r="79">
      <x:c r="A79" s="119"/>
      <x:c r="B79" s="119"/>
      <x:c r="C79" s="119"/>
      <x:c r="D79" s="119"/>
      <x:c r="E79" s="119"/>
      <x:c r="F79" s="119"/>
      <x:c r="G79" s="119"/>
      <x:c r="H79" s="119"/>
      <x:c r="I79" s="119"/>
      <x:c r="J79" s="119"/>
      <x:c r="K79" s="119"/>
      <x:c r="L79" s="5"/>
    </x:row>
    <x:row r="80">
      <x:c r="A80" s="119"/>
      <x:c r="B80" s="119"/>
      <x:c r="C80" s="119"/>
      <x:c r="D80" s="119"/>
      <x:c r="E80" s="119"/>
      <x:c r="F80" s="119"/>
      <x:c r="G80" s="119"/>
      <x:c r="H80" s="119"/>
      <x:c r="I80" s="119"/>
      <x:c r="J80" s="119"/>
      <x:c r="K80" s="119"/>
      <x:c r="L80" s="5"/>
    </x:row>
  </x:sheetData>
  <x:conditionalFormatting sqref="K4:K53">
    <x:cfRule type="containsText" dxfId="0" priority="1" operator="containsText" text="Lower Confidence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6.43000030517578" hidden="0" customWidth="1"/>
    <x:col min="2" max="2" width="12.430000305175781" hidden="0" customWidth="1"/>
    <x:col min="3" max="3" width="12.430000305175781" hidden="0" customWidth="1"/>
    <x:col min="4" max="4" width="12.430000305175781" hidden="0" customWidth="1"/>
    <x:col min="5" max="5" width="12.430000305175781" hidden="0" customWidth="1"/>
    <x:col min="6" max="6" width="12.430000305175781" hidden="0" customWidth="1"/>
    <x:col min="7" max="7" width="12.430000305175781" hidden="0" customWidth="1"/>
  </x:cols>
  <x:sheetData>
    <x:row r="1">
      <x:c r="A1" s="4" t="str">
        <x:v>FYE: February.  Units: $ in millions except per-share data, shares in millions, ratios, and noted operating drivers.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>
      <x:c r="A3" s="144" t="str">
        <x:v>Line item</x:v>
      </x:c>
      <x:c r="B3" s="144" t="str">
        <x:v>FY2027E</x:v>
      </x:c>
      <x:c r="C3" s="144" t="str">
        <x:v>FY2028E</x:v>
      </x:c>
      <x:c r="D3" s="144" t="str">
        <x:v>FY2029E</x:v>
      </x:c>
      <x:c r="E3" s="144" t="str">
        <x:v>FY2030E</x:v>
      </x:c>
      <x:c r="F3" s="144" t="str">
        <x:v>FY2031E</x:v>
      </x:c>
      <x:c r="G3" s="144" t="str">
        <x:v>FY+1 vs FY0</x:v>
      </x:c>
      <x:c r="H3" s="119"/>
      <x:c r="I3" s="119"/>
      <x:c r="J3" s="119"/>
      <x:c r="K3" s="119"/>
      <x:c r="L3" s="5"/>
    </x:row>
    <x:row r="4">
      <x:c r="A4" s="214" t="str">
        <x:v>Product revenue</x:v>
      </x:c>
      <x:c r="B4" s="215"/>
      <x:c r="C4" s="215"/>
      <x:c r="D4" s="215"/>
      <x:c r="E4" s="215"/>
      <x:c r="F4" s="215"/>
      <x:c r="G4" s="214"/>
      <x:c r="H4" s="206"/>
      <x:c r="I4" s="206"/>
      <x:c r="J4" s="206"/>
      <x:c r="K4" s="206"/>
      <x:c r="L4" s="5"/>
    </x:row>
    <x:row r="5">
      <x:c r="A5" s="119" t="str">
        <x:v>Quantity</x:v>
      </x:c>
      <x:c r="B5" s="216" t="n">
        <x:f>Assumptions!$E$4</x:f>
        <x:v>2109.695</x:v>
      </x:c>
      <x:c r="C5" s="216" t="n">
        <x:f>Assumptions!$F$4</x:f>
        <x:v>2236.277</x:v>
      </x:c>
      <x:c r="D5" s="216" t="n">
        <x:f>Assumptions!$G$4</x:f>
        <x:v>2348.091</x:v>
      </x:c>
      <x:c r="E5" s="216" t="n">
        <x:f>Assumptions!$H$4</x:f>
        <x:v>2442.015</x:v>
      </x:c>
      <x:c r="F5" s="216" t="n">
        <x:f>Assumptions!$I$4</x:f>
        <x:v>2527.485</x:v>
      </x:c>
      <x:c r="G5" s="206"/>
      <x:c r="H5" s="206"/>
      <x:c r="I5" s="206"/>
      <x:c r="J5" s="206"/>
      <x:c r="K5" s="206"/>
      <x:c r="L5" s="5"/>
    </x:row>
    <x:row r="6">
      <x:c r="A6" s="119" t="str">
        <x:v>Quantity YoY growth</x:v>
      </x:c>
      <x:c r="B6" s="217" t="n">
        <x:f>B5/Historicals_IS!G4-1</x:f>
        <x:v>0.06999976669618468</x:v>
      </x:c>
      <x:c r="C6" s="217" t="n">
        <x:f>C5/B5-1</x:f>
        <x:v>0.06000014220064975</x:v>
      </x:c>
      <x:c r="D6" s="217" t="n">
        <x:f>D5/C5-1</x:f>
        <x:v>0.050000067075769206</x:v>
      </x:c>
      <x:c r="E6" s="217" t="n">
        <x:f>E5/D5-1</x:f>
        <x:v>0.040000153316034126</x:v>
      </x:c>
      <x:c r="F6" s="217" t="n">
        <x:f>F5/E5-1</x:f>
        <x:v>0.03499978501360568</x:v>
      </x:c>
      <x:c r="G6" s="217"/>
      <x:c r="H6" s="206"/>
      <x:c r="I6" s="206"/>
      <x:c r="J6" s="206"/>
      <x:c r="K6" s="206"/>
      <x:c r="L6" s="5"/>
    </x:row>
    <x:row r="7">
      <x:c r="A7" s="119" t="str">
        <x:v>Price per unit</x:v>
      </x:c>
      <x:c r="B7" s="216" t="n">
        <x:f>Assumptions!$E$5</x:f>
        <x:v>1.015</x:v>
      </x:c>
      <x:c r="C7" s="216" t="n">
        <x:f>Assumptions!$F$5</x:f>
        <x:v>1.03</x:v>
      </x:c>
      <x:c r="D7" s="216" t="n">
        <x:f>Assumptions!$G$5</x:f>
        <x:v>1.041</x:v>
      </x:c>
      <x:c r="E7" s="216" t="n">
        <x:f>Assumptions!$H$5</x:f>
        <x:v>1.051</x:v>
      </x:c>
      <x:c r="F7" s="216" t="n">
        <x:f>Assumptions!$I$5</x:f>
        <x:v>1.061</x:v>
      </x:c>
      <x:c r="G7" s="206"/>
      <x:c r="H7" s="206"/>
      <x:c r="I7" s="206"/>
      <x:c r="J7" s="206"/>
      <x:c r="K7" s="206"/>
      <x:c r="L7" s="5"/>
    </x:row>
    <x:row r="8">
      <x:c r="A8" s="119" t="str">
        <x:v>Price YoY growth</x:v>
      </x:c>
      <x:c r="B8" s="217" t="n">
        <x:f>B7/1-1</x:f>
        <x:v>0.014999999999999902</x:v>
      </x:c>
      <x:c r="C8" s="217" t="n">
        <x:f>C7/B7-1</x:f>
        <x:v>0.014778325123152802</x:v>
      </x:c>
      <x:c r="D8" s="217" t="n">
        <x:f>D7/C7-1</x:f>
        <x:v>0.010679611650485255</x:v>
      </x:c>
      <x:c r="E8" s="217" t="n">
        <x:f>E7/D7-1</x:f>
        <x:v>0.009606147934678289</x:v>
      </x:c>
      <x:c r="F8" s="217" t="n">
        <x:f>F7/E7-1</x:f>
        <x:v>0.009514747859181716</x:v>
      </x:c>
      <x:c r="G8" s="217"/>
      <x:c r="H8" s="206"/>
      <x:c r="I8" s="206"/>
      <x:c r="J8" s="206"/>
      <x:c r="K8" s="206"/>
      <x:c r="L8" s="5"/>
    </x:row>
    <x:row r="9">
      <x:c r="A9" s="119" t="str">
        <x:v>Revenue</x:v>
      </x:c>
      <x:c r="B9" s="216" t="n">
        <x:f>B5*B7</x:f>
        <x:v>2141.340425</x:v>
      </x:c>
      <x:c r="C9" s="216" t="n">
        <x:f>C5*C7</x:f>
        <x:v>2303.36531</x:v>
      </x:c>
      <x:c r="D9" s="216" t="n">
        <x:f>D5*D7</x:f>
        <x:v>2444.3627309999997</x:v>
      </x:c>
      <x:c r="E9" s="216" t="n">
        <x:f>E5*E7</x:f>
        <x:v>2566.5577649999996</x:v>
      </x:c>
      <x:c r="F9" s="216" t="n">
        <x:f>F5*F7</x:f>
        <x:v>2681.661585</x:v>
      </x:c>
      <x:c r="G9" s="206"/>
      <x:c r="H9" s="206"/>
      <x:c r="I9" s="206"/>
      <x:c r="J9" s="206"/>
      <x:c r="K9" s="206"/>
      <x:c r="L9" s="5"/>
    </x:row>
    <x:row r="10">
      <x:c r="A10" s="119" t="str">
        <x:v>Revenue YoY growth</x:v>
      </x:c>
      <x:c r="B10" s="217" t="n">
        <x:f>B9/Historicals_IS!G4-1</x:f>
        <x:v>0.08604976319662727</x:v>
      </x:c>
      <x:c r="C10" s="217" t="n">
        <x:f>C9/B9-1</x:f>
        <x:v>0.07566516893267927</x:v>
      </x:c>
      <x:c r="D10" s="217" t="n">
        <x:f>D9/C9-1</x:f>
        <x:v>0.06121366002512185</x:v>
      </x:c>
      <x:c r="E10" s="217" t="n">
        <x:f>E9/D9-1</x:f>
        <x:v>0.04999054864087604</x:v>
      </x:c>
      <x:c r="F10" s="217" t="n">
        <x:f>F9/E9-1</x:f>
        <x:v>0.04484754700231752</x:v>
      </x:c>
      <x:c r="G10" s="217"/>
      <x:c r="H10" s="206"/>
      <x:c r="I10" s="206"/>
      <x:c r="J10" s="206"/>
      <x:c r="K10" s="206"/>
      <x:c r="L10" s="5"/>
    </x:row>
    <x:row r="11">
      <x:c r="A11" s="214" t="str">
        <x:v>Subscription services revenue</x:v>
      </x:c>
      <x:c r="B11" s="215"/>
      <x:c r="C11" s="215"/>
      <x:c r="D11" s="215"/>
      <x:c r="E11" s="215"/>
      <x:c r="F11" s="215"/>
      <x:c r="G11" s="214"/>
      <x:c r="H11" s="206"/>
      <x:c r="I11" s="206"/>
      <x:c r="J11" s="206"/>
      <x:c r="K11" s="206"/>
      <x:c r="L11" s="5"/>
    </x:row>
    <x:row r="12">
      <x:c r="A12" s="119" t="str">
        <x:v>Quantity</x:v>
      </x:c>
      <x:c r="B12" s="216" t="n">
        <x:f>Assumptions!$E$6</x:f>
        <x:v>1877.193</x:v>
      </x:c>
      <x:c r="C12" s="216" t="n">
        <x:f>Assumptions!$F$6</x:f>
        <x:v>2064.912</x:v>
      </x:c>
      <x:c r="D12" s="216" t="n">
        <x:f>Assumptions!$G$6</x:f>
        <x:v>2250.755</x:v>
      </x:c>
      <x:c r="E12" s="216" t="n">
        <x:f>Assumptions!$H$6</x:f>
        <x:v>2430.815</x:v>
      </x:c>
      <x:c r="F12" s="216" t="n">
        <x:f>Assumptions!$I$6</x:f>
        <x:v>2600.972</x:v>
      </x:c>
      <x:c r="G12" s="206"/>
      <x:c r="H12" s="206"/>
      <x:c r="I12" s="206"/>
      <x:c r="J12" s="206"/>
      <x:c r="K12" s="206"/>
      <x:c r="L12" s="5"/>
    </x:row>
    <x:row r="13">
      <x:c r="A13" s="119" t="str">
        <x:v>Quantity YoY growth</x:v>
      </x:c>
      <x:c r="B13" s="217" t="n">
        <x:f>B12/Historicals_IS!G5-1</x:f>
        <x:v>0.1099999113037462</x:v>
      </x:c>
      <x:c r="C13" s="217" t="n">
        <x:f>C12/B12-1</x:f>
        <x:v>0.09999984018691732</x:v>
      </x:c>
      <x:c r="D13" s="217" t="n">
        <x:f>D12/C12-1</x:f>
        <x:v>0.09000044553956799</x:v>
      </x:c>
      <x:c r="E13" s="217" t="n">
        <x:f>E12/D12-1</x:f>
        <x:v>0.07999982228185654</x:v>
      </x:c>
      <x:c r="F13" s="217" t="n">
        <x:f>F12/E12-1</x:f>
        <x:v>0.06999997943076708</x:v>
      </x:c>
      <x:c r="G13" s="217"/>
      <x:c r="H13" s="206"/>
      <x:c r="I13" s="206"/>
      <x:c r="J13" s="206"/>
      <x:c r="K13" s="206"/>
      <x:c r="L13" s="5"/>
    </x:row>
    <x:row r="14">
      <x:c r="A14" s="119" t="str">
        <x:v>Price per unit</x:v>
      </x:c>
      <x:c r="B14" s="216" t="n">
        <x:f>Assumptions!$E$7</x:f>
        <x:v>1.025</x:v>
      </x:c>
      <x:c r="C14" s="216" t="n">
        <x:f>Assumptions!$F$7</x:f>
        <x:v>1.048</x:v>
      </x:c>
      <x:c r="D14" s="216" t="n">
        <x:f>Assumptions!$G$7</x:f>
        <x:v>1.069</x:v>
      </x:c>
      <x:c r="E14" s="216" t="n">
        <x:f>Assumptions!$H$7</x:f>
        <x:v>1.088</x:v>
      </x:c>
      <x:c r="F14" s="216" t="n">
        <x:f>Assumptions!$I$7</x:f>
        <x:v>1.104</x:v>
      </x:c>
      <x:c r="G14" s="206"/>
      <x:c r="H14" s="206"/>
      <x:c r="I14" s="206"/>
      <x:c r="J14" s="206"/>
      <x:c r="K14" s="206"/>
      <x:c r="L14" s="5"/>
    </x:row>
    <x:row r="15">
      <x:c r="A15" s="119" t="str">
        <x:v>Price YoY growth</x:v>
      </x:c>
      <x:c r="B15" s="217" t="n">
        <x:f>B14/1-1</x:f>
        <x:v>0.02499999999999991</x:v>
      </x:c>
      <x:c r="C15" s="217" t="n">
        <x:f>C14/B14-1</x:f>
        <x:v>0.022439024390243922</x:v>
      </x:c>
      <x:c r="D15" s="217" t="n">
        <x:f>D14/C14-1</x:f>
        <x:v>0.020038167938931206</x:v>
      </x:c>
      <x:c r="E15" s="217" t="n">
        <x:f>E14/D14-1</x:f>
        <x:v>0.017773620205799867</x:v>
      </x:c>
      <x:c r="F15" s="217" t="n">
        <x:f>F14/E14-1</x:f>
        <x:v>0.014705882352941124</x:v>
      </x:c>
      <x:c r="G15" s="217"/>
      <x:c r="H15" s="206"/>
      <x:c r="I15" s="206"/>
      <x:c r="J15" s="206"/>
      <x:c r="K15" s="206"/>
      <x:c r="L15" s="5"/>
    </x:row>
    <x:row r="16">
      <x:c r="A16" s="119" t="str">
        <x:v>Revenue</x:v>
      </x:c>
      <x:c r="B16" s="216" t="n">
        <x:f>B12*B14</x:f>
        <x:v>1924.122825</x:v>
      </x:c>
      <x:c r="C16" s="216" t="n">
        <x:f>C12*C14</x:f>
        <x:v>2164.027776</x:v>
      </x:c>
      <x:c r="D16" s="216" t="n">
        <x:f>D12*D14</x:f>
        <x:v>2406.057095</x:v>
      </x:c>
      <x:c r="E16" s="216" t="n">
        <x:f>E12*E14</x:f>
        <x:v>2644.72672</x:v>
      </x:c>
      <x:c r="F16" s="216" t="n">
        <x:f>F12*F14</x:f>
        <x:v>2871.4730880000006</x:v>
      </x:c>
      <x:c r="G16" s="206"/>
      <x:c r="H16" s="206"/>
      <x:c r="I16" s="206"/>
      <x:c r="J16" s="206"/>
      <x:c r="K16" s="206"/>
      <x:c r="L16" s="5"/>
    </x:row>
    <x:row r="17">
      <x:c r="A17" s="119" t="str">
        <x:v>Revenue YoY growth</x:v>
      </x:c>
      <x:c r="B17" s="217" t="n">
        <x:f>B16/Historicals_IS!G5-1</x:f>
        <x:v>0.13774990908633988</x:v>
      </x:c>
      <x:c r="C17" s="217" t="n">
        <x:f>C16/B16-1</x:f>
        <x:v>0.12468276343013596</x:v>
      </x:c>
      <x:c r="D17" s="217" t="n">
        <x:f>D16/C16-1</x:f>
        <x:v>0.11184205752079968</x:v>
      </x:c>
      <x:c r="E17" s="217" t="n">
        <x:f>E16/D16-1</x:f>
        <x:v>0.09919532894542549</x:v>
      </x:c>
      <x:c r="F17" s="217" t="n">
        <x:f>F16/E16-1</x:f>
        <x:v>0.08573527324592556</x:v>
      </x:c>
      <x:c r="G17" s="217"/>
      <x:c r="H17" s="206"/>
      <x:c r="I17" s="206"/>
      <x:c r="J17" s="206"/>
      <x:c r="K17" s="206"/>
      <x:c r="L17" s="5"/>
    </x:row>
    <x:row r="18">
      <x:c r="A18" s="119" t="str">
        <x:v>Total Revenue</x:v>
      </x:c>
      <x:c r="B18" s="216" t="n">
        <x:f>B9+B16</x:f>
        <x:v>4065.46325</x:v>
      </x:c>
      <x:c r="C18" s="216" t="n">
        <x:f>C9+C16</x:f>
        <x:v>4467.393086</x:v>
      </x:c>
      <x:c r="D18" s="216" t="n">
        <x:f>D9+D16</x:f>
        <x:v>4850.419825999999</x:v>
      </x:c>
      <x:c r="E18" s="216" t="n">
        <x:f>E9+E16</x:f>
        <x:v>5211.284485</x:v>
      </x:c>
      <x:c r="F18" s="216" t="n">
        <x:f>F9+F16</x:f>
        <x:v>5553.1346730000005</x:v>
      </x:c>
      <x:c r="G18" s="206"/>
      <x:c r="H18" s="206"/>
      <x:c r="I18" s="206"/>
      <x:c r="J18" s="206"/>
      <x:c r="K18" s="206"/>
      <x:c r="L18" s="5"/>
    </x:row>
    <x:row r="19">
      <x:c r="A19" s="119" t="str">
        <x:v>Product revenue mix</x:v>
      </x:c>
      <x:c r="B19" s="217" t="n">
        <x:f>B9/B18</x:f>
        <x:v>0.5267149875232545</x:v>
      </x:c>
      <x:c r="C19" s="217" t="n">
        <x:f>C9/C18</x:f>
        <x:v>0.5155949489240894</x:v>
      </x:c>
      <x:c r="D19" s="217" t="n">
        <x:f>D9/D18</x:f>
        <x:v>0.503948692832182</x:v>
      </x:c>
      <x:c r="E19" s="217" t="n">
        <x:f>E9/E18</x:f>
        <x:v>0.4925000299614231</x:v>
      </x:c>
      <x:c r="F19" s="217" t="n">
        <x:f>F9/F18</x:f>
        <x:v>0.48290951740078564</x:v>
      </x:c>
      <x:c r="G19" s="217"/>
      <x:c r="H19" s="206"/>
      <x:c r="I19" s="206"/>
      <x:c r="J19" s="206"/>
      <x:c r="K19" s="206"/>
      <x:c r="L19" s="5"/>
    </x:row>
    <x:row r="20">
      <x:c r="A20" s="119" t="str">
        <x:v>Subscription revenue mix</x:v>
      </x:c>
      <x:c r="B20" s="217" t="n">
        <x:f>B16/B18</x:f>
        <x:v>0.4732850124767454</x:v>
      </x:c>
      <x:c r="C20" s="217" t="n">
        <x:f>C16/C18</x:f>
        <x:v>0.4844050510759106</x:v>
      </x:c>
      <x:c r="D20" s="217" t="n">
        <x:f>D16/D18</x:f>
        <x:v>0.49605130716781803</x:v>
      </x:c>
      <x:c r="E20" s="217" t="n">
        <x:f>E16/E18</x:f>
        <x:v>0.5074999700385768</x:v>
      </x:c>
      <x:c r="F20" s="217" t="n">
        <x:f>F16/F18</x:f>
        <x:v>0.5170904825992143</x:v>
      </x:c>
      <x:c r="G20" s="217"/>
      <x:c r="H20" s="206"/>
      <x:c r="I20" s="206"/>
      <x:c r="J20" s="206"/>
      <x:c r="K20" s="206"/>
      <x:c r="L20" s="5"/>
    </x:row>
    <x:row r="21">
      <x:c r="A21" s="119" t="str">
        <x:v>FY+1 sanity vs FY0</x:v>
      </x:c>
      <x:c r="B21" s="217"/>
      <x:c r="C21" s="217"/>
      <x:c r="D21" s="217"/>
      <x:c r="E21" s="217"/>
      <x:c r="F21" s="217"/>
      <x:c r="G21" s="217" t="n">
        <x:f>ABS(B18/Historicals_IS!G6-1)</x:f>
        <x:v>0.10992014945767536</x:v>
      </x:c>
      <x:c r="H21" s="206"/>
      <x:c r="I21" s="206"/>
      <x:c r="J21" s="206"/>
      <x:c r="K21" s="206"/>
      <x:c r="L21" s="5"/>
    </x:row>
    <x:row r="22">
      <x:c r="A22" s="119"/>
      <x:c r="B22" s="206"/>
      <x:c r="C22" s="206"/>
      <x:c r="D22" s="206"/>
      <x:c r="E22" s="206"/>
      <x:c r="F22" s="206"/>
      <x:c r="G22" s="206"/>
      <x:c r="H22" s="206"/>
      <x:c r="I22" s="206"/>
      <x:c r="J22" s="206"/>
      <x:c r="K22" s="206"/>
      <x:c r="L22" s="5"/>
    </x:row>
    <x:row r="23">
      <x:c r="A23" s="119"/>
      <x:c r="B23" s="206"/>
      <x:c r="C23" s="206"/>
      <x:c r="D23" s="206"/>
      <x:c r="E23" s="206"/>
      <x:c r="F23" s="206"/>
      <x:c r="G23" s="206"/>
      <x:c r="H23" s="206"/>
      <x:c r="I23" s="206"/>
      <x:c r="J23" s="206"/>
      <x:c r="K23" s="206"/>
      <x:c r="L23" s="5"/>
    </x:row>
    <x:row r="24">
      <x:c r="A24" s="119"/>
      <x:c r="B24" s="206"/>
      <x:c r="C24" s="206"/>
      <x:c r="D24" s="206"/>
      <x:c r="E24" s="206"/>
      <x:c r="F24" s="206"/>
      <x:c r="G24" s="206"/>
      <x:c r="H24" s="206"/>
      <x:c r="I24" s="206"/>
      <x:c r="J24" s="206"/>
      <x:c r="K24" s="206"/>
      <x:c r="L24" s="5"/>
    </x:row>
    <x:row r="25">
      <x:c r="A25" s="119"/>
      <x:c r="B25" s="206"/>
      <x:c r="C25" s="206"/>
      <x:c r="D25" s="206"/>
      <x:c r="E25" s="206"/>
      <x:c r="F25" s="206"/>
      <x:c r="G25" s="206"/>
      <x:c r="H25" s="206"/>
      <x:c r="I25" s="206"/>
      <x:c r="J25" s="206"/>
      <x:c r="K25" s="206"/>
      <x:c r="L25" s="5"/>
    </x:row>
    <x:row r="26">
      <x:c r="A26" s="119"/>
      <x:c r="B26" s="206"/>
      <x:c r="C26" s="206"/>
      <x:c r="D26" s="206"/>
      <x:c r="E26" s="206"/>
      <x:c r="F26" s="206"/>
      <x:c r="G26" s="206"/>
      <x:c r="H26" s="206"/>
      <x:c r="I26" s="206"/>
      <x:c r="J26" s="206"/>
      <x:c r="K26" s="206"/>
      <x:c r="L26" s="5"/>
    </x:row>
    <x:row r="27">
      <x:c r="A27" s="119"/>
      <x:c r="B27" s="206"/>
      <x:c r="C27" s="206"/>
      <x:c r="D27" s="206"/>
      <x:c r="E27" s="206"/>
      <x:c r="F27" s="206"/>
      <x:c r="G27" s="206"/>
      <x:c r="H27" s="206"/>
      <x:c r="I27" s="206"/>
      <x:c r="J27" s="206"/>
      <x:c r="K27" s="206"/>
      <x:c r="L27" s="5"/>
    </x:row>
    <x:row r="28">
      <x:c r="A28" s="119"/>
      <x:c r="B28" s="206"/>
      <x:c r="C28" s="206"/>
      <x:c r="D28" s="206"/>
      <x:c r="E28" s="206"/>
      <x:c r="F28" s="206"/>
      <x:c r="G28" s="206"/>
      <x:c r="H28" s="206"/>
      <x:c r="I28" s="206"/>
      <x:c r="J28" s="206"/>
      <x:c r="K28" s="206"/>
      <x:c r="L28" s="5"/>
    </x:row>
    <x:row r="29">
      <x:c r="A29" s="119"/>
      <x:c r="B29" s="206"/>
      <x:c r="C29" s="206"/>
      <x:c r="D29" s="206"/>
      <x:c r="E29" s="206"/>
      <x:c r="F29" s="206"/>
      <x:c r="G29" s="206"/>
      <x:c r="H29" s="206"/>
      <x:c r="I29" s="206"/>
      <x:c r="J29" s="206"/>
      <x:c r="K29" s="206"/>
      <x:c r="L29" s="5"/>
    </x:row>
    <x:row r="30">
      <x:c r="A30" s="119"/>
      <x:c r="B30" s="206"/>
      <x:c r="C30" s="206"/>
      <x:c r="D30" s="206"/>
      <x:c r="E30" s="206"/>
      <x:c r="F30" s="206"/>
      <x:c r="G30" s="206"/>
      <x:c r="H30" s="206"/>
      <x:c r="I30" s="206"/>
      <x:c r="J30" s="206"/>
      <x:c r="K30" s="206"/>
      <x:c r="L30" s="5"/>
    </x:row>
    <x:row r="31">
      <x:c r="A31" s="119"/>
      <x:c r="B31" s="206"/>
      <x:c r="C31" s="206"/>
      <x:c r="D31" s="206"/>
      <x:c r="E31" s="206"/>
      <x:c r="F31" s="206"/>
      <x:c r="G31" s="206"/>
      <x:c r="H31" s="206"/>
      <x:c r="I31" s="206"/>
      <x:c r="J31" s="206"/>
      <x:c r="K31" s="206"/>
      <x:c r="L31" s="5"/>
    </x:row>
    <x:row r="32">
      <x:c r="A32" s="119"/>
      <x:c r="B32" s="206"/>
      <x:c r="C32" s="206"/>
      <x:c r="D32" s="206"/>
      <x:c r="E32" s="206"/>
      <x:c r="F32" s="206"/>
      <x:c r="G32" s="206"/>
      <x:c r="H32" s="206"/>
      <x:c r="I32" s="206"/>
      <x:c r="J32" s="206"/>
      <x:c r="K32" s="206"/>
      <x:c r="L32" s="5"/>
    </x:row>
    <x:row r="33">
      <x:c r="A33" s="119"/>
      <x:c r="B33" s="206"/>
      <x:c r="C33" s="206"/>
      <x:c r="D33" s="206"/>
      <x:c r="E33" s="206"/>
      <x:c r="F33" s="206"/>
      <x:c r="G33" s="206"/>
      <x:c r="H33" s="206"/>
      <x:c r="I33" s="206"/>
      <x:c r="J33" s="206"/>
      <x:c r="K33" s="206"/>
      <x:c r="L33" s="5"/>
    </x:row>
    <x:row r="34">
      <x:c r="A34" s="119"/>
      <x:c r="B34" s="206"/>
      <x:c r="C34" s="206"/>
      <x:c r="D34" s="206"/>
      <x:c r="E34" s="206"/>
      <x:c r="F34" s="206"/>
      <x:c r="G34" s="206"/>
      <x:c r="H34" s="206"/>
      <x:c r="I34" s="206"/>
      <x:c r="J34" s="206"/>
      <x:c r="K34" s="206"/>
      <x:c r="L34" s="5"/>
    </x:row>
    <x:row r="35">
      <x:c r="A35" s="119"/>
      <x:c r="B35" s="206"/>
      <x:c r="C35" s="206"/>
      <x:c r="D35" s="206"/>
      <x:c r="E35" s="206"/>
      <x:c r="F35" s="206"/>
      <x:c r="G35" s="206"/>
      <x:c r="H35" s="206"/>
      <x:c r="I35" s="206"/>
      <x:c r="J35" s="206"/>
      <x:c r="K35" s="206"/>
      <x:c r="L35" s="5"/>
    </x:row>
    <x:row r="36">
      <x:c r="A36" s="119"/>
      <x:c r="B36" s="206"/>
      <x:c r="C36" s="206"/>
      <x:c r="D36" s="206"/>
      <x:c r="E36" s="206"/>
      <x:c r="F36" s="206"/>
      <x:c r="G36" s="206"/>
      <x:c r="H36" s="206"/>
      <x:c r="I36" s="206"/>
      <x:c r="J36" s="206"/>
      <x:c r="K36" s="206"/>
      <x:c r="L36" s="5"/>
    </x:row>
    <x:row r="37">
      <x:c r="A37" s="119"/>
      <x:c r="B37" s="206"/>
      <x:c r="C37" s="206"/>
      <x:c r="D37" s="206"/>
      <x:c r="E37" s="206"/>
      <x:c r="F37" s="206"/>
      <x:c r="G37" s="206"/>
      <x:c r="H37" s="206"/>
      <x:c r="I37" s="206"/>
      <x:c r="J37" s="206"/>
      <x:c r="K37" s="206"/>
      <x:c r="L37" s="5"/>
    </x:row>
    <x:row r="38">
      <x:c r="A38" s="119"/>
      <x:c r="B38" s="206"/>
      <x:c r="C38" s="206"/>
      <x:c r="D38" s="206"/>
      <x:c r="E38" s="206"/>
      <x:c r="F38" s="206"/>
      <x:c r="G38" s="206"/>
      <x:c r="H38" s="206"/>
      <x:c r="I38" s="206"/>
      <x:c r="J38" s="206"/>
      <x:c r="K38" s="206"/>
      <x:c r="L38" s="5"/>
    </x:row>
    <x:row r="39">
      <x:c r="A39" s="119"/>
      <x:c r="B39" s="206"/>
      <x:c r="C39" s="206"/>
      <x:c r="D39" s="206"/>
      <x:c r="E39" s="206"/>
      <x:c r="F39" s="206"/>
      <x:c r="G39" s="206"/>
      <x:c r="H39" s="206"/>
      <x:c r="I39" s="206"/>
      <x:c r="J39" s="206"/>
      <x:c r="K39" s="206"/>
      <x:c r="L39" s="5"/>
    </x:row>
    <x:row r="40">
      <x:c r="A40" s="119"/>
      <x:c r="B40" s="206"/>
      <x:c r="C40" s="206"/>
      <x:c r="D40" s="206"/>
      <x:c r="E40" s="206"/>
      <x:c r="F40" s="206"/>
      <x:c r="G40" s="206"/>
      <x:c r="H40" s="206"/>
      <x:c r="I40" s="206"/>
      <x:c r="J40" s="206"/>
      <x:c r="K40" s="206"/>
      <x:c r="L40" s="5"/>
    </x:row>
    <x:row r="41">
      <x:c r="A41" s="119"/>
      <x:c r="B41" s="206"/>
      <x:c r="C41" s="206"/>
      <x:c r="D41" s="206"/>
      <x:c r="E41" s="206"/>
      <x:c r="F41" s="206"/>
      <x:c r="G41" s="206"/>
      <x:c r="H41" s="206"/>
      <x:c r="I41" s="206"/>
      <x:c r="J41" s="206"/>
      <x:c r="K41" s="206"/>
      <x:c r="L41" s="5"/>
    </x:row>
    <x:row r="42">
      <x:c r="A42" s="119"/>
      <x:c r="B42" s="206"/>
      <x:c r="C42" s="206"/>
      <x:c r="D42" s="206"/>
      <x:c r="E42" s="206"/>
      <x:c r="F42" s="206"/>
      <x:c r="G42" s="206"/>
      <x:c r="H42" s="206"/>
      <x:c r="I42" s="206"/>
      <x:c r="J42" s="206"/>
      <x:c r="K42" s="206"/>
      <x:c r="L42" s="5"/>
    </x:row>
    <x:row r="43">
      <x:c r="A43" s="119"/>
      <x:c r="B43" s="206"/>
      <x:c r="C43" s="206"/>
      <x:c r="D43" s="206"/>
      <x:c r="E43" s="206"/>
      <x:c r="F43" s="206"/>
      <x:c r="G43" s="206"/>
      <x:c r="H43" s="206"/>
      <x:c r="I43" s="206"/>
      <x:c r="J43" s="206"/>
      <x:c r="K43" s="206"/>
      <x:c r="L43" s="5"/>
    </x:row>
    <x:row r="44">
      <x:c r="A44" s="119"/>
      <x:c r="B44" s="206"/>
      <x:c r="C44" s="206"/>
      <x:c r="D44" s="206"/>
      <x:c r="E44" s="206"/>
      <x:c r="F44" s="206"/>
      <x:c r="G44" s="206"/>
      <x:c r="H44" s="206"/>
      <x:c r="I44" s="206"/>
      <x:c r="J44" s="206"/>
      <x:c r="K44" s="206"/>
      <x:c r="L44" s="5"/>
    </x:row>
    <x:row r="45">
      <x:c r="A45" s="119"/>
      <x:c r="B45" s="206"/>
      <x:c r="C45" s="206"/>
      <x:c r="D45" s="206"/>
      <x:c r="E45" s="206"/>
      <x:c r="F45" s="206"/>
      <x:c r="G45" s="206"/>
      <x:c r="H45" s="206"/>
      <x:c r="I45" s="206"/>
      <x:c r="J45" s="206"/>
      <x:c r="K45" s="206"/>
      <x:c r="L45" s="5"/>
    </x:row>
    <x:row r="46">
      <x:c r="A46" s="119"/>
      <x:c r="B46" s="206"/>
      <x:c r="C46" s="206"/>
      <x:c r="D46" s="206"/>
      <x:c r="E46" s="206"/>
      <x:c r="F46" s="206"/>
      <x:c r="G46" s="206"/>
      <x:c r="H46" s="206"/>
      <x:c r="I46" s="206"/>
      <x:c r="J46" s="206"/>
      <x:c r="K46" s="206"/>
      <x:c r="L46" s="5"/>
    </x:row>
    <x:row r="47">
      <x:c r="A47" s="119"/>
      <x:c r="B47" s="206"/>
      <x:c r="C47" s="206"/>
      <x:c r="D47" s="206"/>
      <x:c r="E47" s="206"/>
      <x:c r="F47" s="206"/>
      <x:c r="G47" s="206"/>
      <x:c r="H47" s="206"/>
      <x:c r="I47" s="206"/>
      <x:c r="J47" s="206"/>
      <x:c r="K47" s="206"/>
      <x:c r="L47" s="5"/>
    </x:row>
    <x:row r="48">
      <x:c r="A48" s="119"/>
      <x:c r="B48" s="206"/>
      <x:c r="C48" s="206"/>
      <x:c r="D48" s="206"/>
      <x:c r="E48" s="206"/>
      <x:c r="F48" s="206"/>
      <x:c r="G48" s="206"/>
      <x:c r="H48" s="206"/>
      <x:c r="I48" s="206"/>
      <x:c r="J48" s="206"/>
      <x:c r="K48" s="206"/>
      <x:c r="L48" s="5"/>
    </x:row>
    <x:row r="49">
      <x:c r="A49" s="119"/>
      <x:c r="B49" s="206"/>
      <x:c r="C49" s="206"/>
      <x:c r="D49" s="206"/>
      <x:c r="E49" s="206"/>
      <x:c r="F49" s="206"/>
      <x:c r="G49" s="206"/>
      <x:c r="H49" s="206"/>
      <x:c r="I49" s="206"/>
      <x:c r="J49" s="206"/>
      <x:c r="K49" s="206"/>
      <x:c r="L49" s="5"/>
    </x:row>
    <x:row r="50">
      <x:c r="A50" s="119"/>
      <x:c r="B50" s="206"/>
      <x:c r="C50" s="206"/>
      <x:c r="D50" s="206"/>
      <x:c r="E50" s="206"/>
      <x:c r="F50" s="206"/>
      <x:c r="G50" s="206"/>
      <x:c r="H50" s="206"/>
      <x:c r="I50" s="206"/>
      <x:c r="J50" s="206"/>
      <x:c r="K50" s="206"/>
      <x:c r="L50" s="5"/>
    </x:row>
    <x:row r="51">
      <x:c r="A51" s="119"/>
      <x:c r="B51" s="206"/>
      <x:c r="C51" s="206"/>
      <x:c r="D51" s="206"/>
      <x:c r="E51" s="206"/>
      <x:c r="F51" s="206"/>
      <x:c r="G51" s="206"/>
      <x:c r="H51" s="206"/>
      <x:c r="I51" s="206"/>
      <x:c r="J51" s="206"/>
      <x:c r="K51" s="206"/>
      <x:c r="L51" s="5"/>
    </x:row>
    <x:row r="52">
      <x:c r="A52" s="119"/>
      <x:c r="B52" s="206"/>
      <x:c r="C52" s="206"/>
      <x:c r="D52" s="206"/>
      <x:c r="E52" s="206"/>
      <x:c r="F52" s="206"/>
      <x:c r="G52" s="206"/>
      <x:c r="H52" s="206"/>
      <x:c r="I52" s="206"/>
      <x:c r="J52" s="206"/>
      <x:c r="K52" s="206"/>
      <x:c r="L52" s="5"/>
    </x:row>
    <x:row r="53">
      <x:c r="A53" s="119"/>
      <x:c r="B53" s="206"/>
      <x:c r="C53" s="206"/>
      <x:c r="D53" s="206"/>
      <x:c r="E53" s="206"/>
      <x:c r="F53" s="206"/>
      <x:c r="G53" s="206"/>
      <x:c r="H53" s="206"/>
      <x:c r="I53" s="206"/>
      <x:c r="J53" s="206"/>
      <x:c r="K53" s="206"/>
      <x:c r="L53" s="5"/>
    </x:row>
    <x:row r="54">
      <x:c r="A54" s="119"/>
      <x:c r="B54" s="206"/>
      <x:c r="C54" s="206"/>
      <x:c r="D54" s="206"/>
      <x:c r="E54" s="206"/>
      <x:c r="F54" s="206"/>
      <x:c r="G54" s="206"/>
      <x:c r="H54" s="206"/>
      <x:c r="I54" s="206"/>
      <x:c r="J54" s="206"/>
      <x:c r="K54" s="206"/>
      <x:c r="L54" s="5"/>
    </x:row>
    <x:row r="55">
      <x:c r="A55" s="119"/>
      <x:c r="B55" s="206"/>
      <x:c r="C55" s="206"/>
      <x:c r="D55" s="206"/>
      <x:c r="E55" s="206"/>
      <x:c r="F55" s="206"/>
      <x:c r="G55" s="206"/>
      <x:c r="H55" s="206"/>
      <x:c r="I55" s="206"/>
      <x:c r="J55" s="206"/>
      <x:c r="K55" s="206"/>
      <x:c r="L55" s="5"/>
    </x:row>
    <x:row r="56">
      <x:c r="A56" s="119"/>
      <x:c r="B56" s="206"/>
      <x:c r="C56" s="206"/>
      <x:c r="D56" s="206"/>
      <x:c r="E56" s="206"/>
      <x:c r="F56" s="206"/>
      <x:c r="G56" s="206"/>
      <x:c r="H56" s="206"/>
      <x:c r="I56" s="206"/>
      <x:c r="J56" s="206"/>
      <x:c r="K56" s="206"/>
      <x:c r="L56" s="5"/>
    </x:row>
    <x:row r="57">
      <x:c r="A57" s="119"/>
      <x:c r="B57" s="206"/>
      <x:c r="C57" s="206"/>
      <x:c r="D57" s="206"/>
      <x:c r="E57" s="206"/>
      <x:c r="F57" s="206"/>
      <x:c r="G57" s="206"/>
      <x:c r="H57" s="206"/>
      <x:c r="I57" s="206"/>
      <x:c r="J57" s="206"/>
      <x:c r="K57" s="206"/>
      <x:c r="L57" s="5"/>
    </x:row>
    <x:row r="58">
      <x:c r="A58" s="119"/>
      <x:c r="B58" s="206"/>
      <x:c r="C58" s="206"/>
      <x:c r="D58" s="206"/>
      <x:c r="E58" s="206"/>
      <x:c r="F58" s="206"/>
      <x:c r="G58" s="206"/>
      <x:c r="H58" s="206"/>
      <x:c r="I58" s="206"/>
      <x:c r="J58" s="206"/>
      <x:c r="K58" s="206"/>
      <x:c r="L58" s="5"/>
    </x:row>
    <x:row r="59">
      <x:c r="A59" s="119"/>
      <x:c r="B59" s="206"/>
      <x:c r="C59" s="206"/>
      <x:c r="D59" s="206"/>
      <x:c r="E59" s="206"/>
      <x:c r="F59" s="206"/>
      <x:c r="G59" s="206"/>
      <x:c r="H59" s="206"/>
      <x:c r="I59" s="206"/>
      <x:c r="J59" s="206"/>
      <x:c r="K59" s="206"/>
      <x:c r="L59" s="5"/>
    </x:row>
    <x:row r="60">
      <x:c r="A60" s="119"/>
      <x:c r="B60" s="206"/>
      <x:c r="C60" s="206"/>
      <x:c r="D60" s="206"/>
      <x:c r="E60" s="206"/>
      <x:c r="F60" s="206"/>
      <x:c r="G60" s="206"/>
      <x:c r="H60" s="206"/>
      <x:c r="I60" s="206"/>
      <x:c r="J60" s="206"/>
      <x:c r="K60" s="206"/>
      <x:c r="L60" s="5"/>
    </x:row>
    <x:row r="61">
      <x:c r="A61" s="119"/>
      <x:c r="B61" s="206"/>
      <x:c r="C61" s="206"/>
      <x:c r="D61" s="206"/>
      <x:c r="E61" s="206"/>
      <x:c r="F61" s="206"/>
      <x:c r="G61" s="206"/>
      <x:c r="H61" s="206"/>
      <x:c r="I61" s="206"/>
      <x:c r="J61" s="206"/>
      <x:c r="K61" s="206"/>
      <x:c r="L61" s="5"/>
    </x:row>
    <x:row r="62">
      <x:c r="A62" s="119"/>
      <x:c r="B62" s="206"/>
      <x:c r="C62" s="206"/>
      <x:c r="D62" s="206"/>
      <x:c r="E62" s="206"/>
      <x:c r="F62" s="206"/>
      <x:c r="G62" s="206"/>
      <x:c r="H62" s="206"/>
      <x:c r="I62" s="206"/>
      <x:c r="J62" s="206"/>
      <x:c r="K62" s="206"/>
      <x:c r="L62" s="5"/>
    </x:row>
    <x:row r="63">
      <x:c r="A63" s="119"/>
      <x:c r="B63" s="206"/>
      <x:c r="C63" s="206"/>
      <x:c r="D63" s="206"/>
      <x:c r="E63" s="206"/>
      <x:c r="F63" s="206"/>
      <x:c r="G63" s="206"/>
      <x:c r="H63" s="206"/>
      <x:c r="I63" s="206"/>
      <x:c r="J63" s="206"/>
      <x:c r="K63" s="206"/>
      <x:c r="L63" s="5"/>
    </x:row>
    <x:row r="64">
      <x:c r="A64" s="119"/>
      <x:c r="B64" s="206"/>
      <x:c r="C64" s="206"/>
      <x:c r="D64" s="206"/>
      <x:c r="E64" s="206"/>
      <x:c r="F64" s="206"/>
      <x:c r="G64" s="206"/>
      <x:c r="H64" s="206"/>
      <x:c r="I64" s="206"/>
      <x:c r="J64" s="206"/>
      <x:c r="K64" s="206"/>
      <x:c r="L64" s="5"/>
    </x:row>
    <x:row r="65">
      <x:c r="A65" s="119"/>
      <x:c r="B65" s="206"/>
      <x:c r="C65" s="206"/>
      <x:c r="D65" s="206"/>
      <x:c r="E65" s="206"/>
      <x:c r="F65" s="206"/>
      <x:c r="G65" s="206"/>
      <x:c r="H65" s="206"/>
      <x:c r="I65" s="206"/>
      <x:c r="J65" s="206"/>
      <x:c r="K65" s="206"/>
      <x:c r="L65" s="5"/>
    </x:row>
    <x:row r="66">
      <x:c r="A66" s="119"/>
      <x:c r="B66" s="206"/>
      <x:c r="C66" s="206"/>
      <x:c r="D66" s="206"/>
      <x:c r="E66" s="206"/>
      <x:c r="F66" s="206"/>
      <x:c r="G66" s="206"/>
      <x:c r="H66" s="206"/>
      <x:c r="I66" s="206"/>
      <x:c r="J66" s="206"/>
      <x:c r="K66" s="206"/>
      <x:c r="L66" s="5"/>
    </x:row>
    <x:row r="67">
      <x:c r="A67" s="119"/>
      <x:c r="B67" s="206"/>
      <x:c r="C67" s="206"/>
      <x:c r="D67" s="206"/>
      <x:c r="E67" s="206"/>
      <x:c r="F67" s="206"/>
      <x:c r="G67" s="206"/>
      <x:c r="H67" s="206"/>
      <x:c r="I67" s="206"/>
      <x:c r="J67" s="206"/>
      <x:c r="K67" s="206"/>
      <x:c r="L67" s="5"/>
    </x:row>
    <x:row r="68">
      <x:c r="A68" s="119"/>
      <x:c r="B68" s="206"/>
      <x:c r="C68" s="206"/>
      <x:c r="D68" s="206"/>
      <x:c r="E68" s="206"/>
      <x:c r="F68" s="206"/>
      <x:c r="G68" s="206"/>
      <x:c r="H68" s="206"/>
      <x:c r="I68" s="206"/>
      <x:c r="J68" s="206"/>
      <x:c r="K68" s="206"/>
      <x:c r="L68" s="5"/>
    </x:row>
    <x:row r="69">
      <x:c r="A69" s="119"/>
      <x:c r="B69" s="206"/>
      <x:c r="C69" s="206"/>
      <x:c r="D69" s="206"/>
      <x:c r="E69" s="206"/>
      <x:c r="F69" s="206"/>
      <x:c r="G69" s="206"/>
      <x:c r="H69" s="206"/>
      <x:c r="I69" s="206"/>
      <x:c r="J69" s="206"/>
      <x:c r="K69" s="206"/>
      <x:c r="L69" s="5"/>
    </x:row>
    <x:row r="70">
      <x:c r="A70" s="119"/>
      <x:c r="B70" s="206"/>
      <x:c r="C70" s="206"/>
      <x:c r="D70" s="206"/>
      <x:c r="E70" s="206"/>
      <x:c r="F70" s="206"/>
      <x:c r="G70" s="206"/>
      <x:c r="H70" s="206"/>
      <x:c r="I70" s="206"/>
      <x:c r="J70" s="206"/>
      <x:c r="K70" s="206"/>
      <x:c r="L70" s="5"/>
    </x:row>
    <x:row r="71">
      <x:c r="A71" s="119"/>
      <x:c r="B71" s="206"/>
      <x:c r="C71" s="206"/>
      <x:c r="D71" s="206"/>
      <x:c r="E71" s="206"/>
      <x:c r="F71" s="206"/>
      <x:c r="G71" s="206"/>
      <x:c r="H71" s="206"/>
      <x:c r="I71" s="206"/>
      <x:c r="J71" s="206"/>
      <x:c r="K71" s="206"/>
      <x:c r="L71" s="5"/>
    </x:row>
    <x:row r="72">
      <x:c r="A72" s="119"/>
      <x:c r="B72" s="206"/>
      <x:c r="C72" s="206"/>
      <x:c r="D72" s="206"/>
      <x:c r="E72" s="206"/>
      <x:c r="F72" s="206"/>
      <x:c r="G72" s="206"/>
      <x:c r="H72" s="206"/>
      <x:c r="I72" s="206"/>
      <x:c r="J72" s="206"/>
      <x:c r="K72" s="206"/>
      <x:c r="L72" s="5"/>
    </x:row>
    <x:row r="73">
      <x:c r="A73" s="119"/>
      <x:c r="B73" s="206"/>
      <x:c r="C73" s="206"/>
      <x:c r="D73" s="206"/>
      <x:c r="E73" s="206"/>
      <x:c r="F73" s="206"/>
      <x:c r="G73" s="206"/>
      <x:c r="H73" s="206"/>
      <x:c r="I73" s="206"/>
      <x:c r="J73" s="206"/>
      <x:c r="K73" s="206"/>
      <x:c r="L73" s="5"/>
    </x:row>
    <x:row r="74">
      <x:c r="A74" s="119"/>
      <x:c r="B74" s="206"/>
      <x:c r="C74" s="206"/>
      <x:c r="D74" s="206"/>
      <x:c r="E74" s="206"/>
      <x:c r="F74" s="206"/>
      <x:c r="G74" s="206"/>
      <x:c r="H74" s="206"/>
      <x:c r="I74" s="206"/>
      <x:c r="J74" s="206"/>
      <x:c r="K74" s="206"/>
      <x:c r="L74" s="5"/>
    </x:row>
    <x:row r="75">
      <x:c r="A75" s="119"/>
      <x:c r="B75" s="206"/>
      <x:c r="C75" s="206"/>
      <x:c r="D75" s="206"/>
      <x:c r="E75" s="206"/>
      <x:c r="F75" s="206"/>
      <x:c r="G75" s="206"/>
      <x:c r="H75" s="206"/>
      <x:c r="I75" s="206"/>
      <x:c r="J75" s="206"/>
      <x:c r="K75" s="206"/>
      <x:c r="L75" s="5"/>
    </x:row>
    <x:row r="76">
      <x:c r="A76" s="119"/>
      <x:c r="B76" s="206"/>
      <x:c r="C76" s="206"/>
      <x:c r="D76" s="206"/>
      <x:c r="E76" s="206"/>
      <x:c r="F76" s="206"/>
      <x:c r="G76" s="206"/>
      <x:c r="H76" s="206"/>
      <x:c r="I76" s="206"/>
      <x:c r="J76" s="206"/>
      <x:c r="K76" s="206"/>
      <x:c r="L76" s="5"/>
    </x:row>
    <x:row r="77">
      <x:c r="A77" s="119"/>
      <x:c r="B77" s="206"/>
      <x:c r="C77" s="206"/>
      <x:c r="D77" s="206"/>
      <x:c r="E77" s="206"/>
      <x:c r="F77" s="206"/>
      <x:c r="G77" s="206"/>
      <x:c r="H77" s="206"/>
      <x:c r="I77" s="206"/>
      <x:c r="J77" s="206"/>
      <x:c r="K77" s="206"/>
      <x:c r="L77" s="5"/>
    </x:row>
    <x:row r="78">
      <x:c r="A78" s="119"/>
      <x:c r="B78" s="206"/>
      <x:c r="C78" s="206"/>
      <x:c r="D78" s="206"/>
      <x:c r="E78" s="206"/>
      <x:c r="F78" s="206"/>
      <x:c r="G78" s="206"/>
      <x:c r="H78" s="206"/>
      <x:c r="I78" s="206"/>
      <x:c r="J78" s="206"/>
      <x:c r="K78" s="206"/>
      <x:c r="L78" s="5"/>
    </x:row>
    <x:row r="79">
      <x:c r="A79" s="119"/>
      <x:c r="B79" s="206"/>
      <x:c r="C79" s="206"/>
      <x:c r="D79" s="206"/>
      <x:c r="E79" s="206"/>
      <x:c r="F79" s="206"/>
      <x:c r="G79" s="206"/>
      <x:c r="H79" s="206"/>
      <x:c r="I79" s="206"/>
      <x:c r="J79" s="206"/>
      <x:c r="K79" s="206"/>
      <x:c r="L79" s="5"/>
    </x:row>
    <x:row r="80">
      <x:c r="A80" s="119"/>
      <x:c r="B80" s="206"/>
      <x:c r="C80" s="206"/>
      <x:c r="D80" s="206"/>
      <x:c r="E80" s="206"/>
      <x:c r="F80" s="206"/>
      <x:c r="G80" s="206"/>
      <x:c r="H80" s="206"/>
      <x:c r="I80" s="206"/>
      <x:c r="J80" s="206"/>
      <x:c r="K80" s="206"/>
      <x:c r="L80" s="5"/>
    </x:row>
    <x:row r="81">
      <x:c r="B81" s="260"/>
      <x:c r="C81" s="260"/>
      <x:c r="D81" s="260"/>
      <x:c r="E81" s="260"/>
      <x:c r="F81" s="260"/>
      <x:c r="G81" s="260"/>
      <x:c r="H81" s="260"/>
      <x:c r="I81" s="260"/>
      <x:c r="J81" s="260"/>
      <x:c r="K81" s="260"/>
    </x:row>
    <x:row r="82">
      <x:c r="B82" s="260"/>
      <x:c r="C82" s="260"/>
      <x:c r="D82" s="260"/>
      <x:c r="E82" s="260"/>
      <x:c r="F82" s="260"/>
      <x:c r="G82" s="260"/>
      <x:c r="H82" s="260"/>
      <x:c r="I82" s="260"/>
      <x:c r="J82" s="260"/>
      <x:c r="K82" s="260"/>
    </x:row>
    <x:row r="83">
      <x:c r="B83" s="260"/>
      <x:c r="C83" s="260"/>
      <x:c r="D83" s="260"/>
      <x:c r="E83" s="260"/>
      <x:c r="F83" s="260"/>
      <x:c r="G83" s="260"/>
      <x:c r="H83" s="260"/>
      <x:c r="I83" s="260"/>
      <x:c r="J83" s="260"/>
      <x:c r="K83" s="260"/>
    </x:row>
    <x:row r="84">
      <x:c r="B84" s="260"/>
      <x:c r="C84" s="260"/>
      <x:c r="D84" s="260"/>
      <x:c r="E84" s="260"/>
      <x:c r="F84" s="260"/>
      <x:c r="G84" s="260"/>
      <x:c r="H84" s="260"/>
      <x:c r="I84" s="260"/>
      <x:c r="J84" s="260"/>
      <x:c r="K84" s="260"/>
    </x:row>
    <x:row r="85">
      <x:c r="B85" s="260"/>
      <x:c r="C85" s="260"/>
      <x:c r="D85" s="260"/>
      <x:c r="E85" s="260"/>
      <x:c r="F85" s="260"/>
      <x:c r="G85" s="260"/>
      <x:c r="H85" s="260"/>
      <x:c r="I85" s="260"/>
      <x:c r="J85" s="260"/>
      <x:c r="K85" s="260"/>
    </x:row>
    <x:row r="86">
      <x:c r="B86" s="260"/>
      <x:c r="C86" s="260"/>
      <x:c r="D86" s="260"/>
      <x:c r="E86" s="260"/>
      <x:c r="F86" s="260"/>
      <x:c r="G86" s="260"/>
      <x:c r="H86" s="260"/>
      <x:c r="I86" s="260"/>
      <x:c r="J86" s="260"/>
      <x:c r="K86" s="260"/>
    </x:row>
    <x:row r="87">
      <x:c r="B87" s="260"/>
      <x:c r="C87" s="260"/>
      <x:c r="D87" s="260"/>
      <x:c r="E87" s="260"/>
      <x:c r="F87" s="260"/>
      <x:c r="G87" s="260"/>
      <x:c r="H87" s="260"/>
      <x:c r="I87" s="260"/>
      <x:c r="J87" s="260"/>
      <x:c r="K87" s="260"/>
    </x:row>
    <x:row r="88">
      <x:c r="B88" s="260"/>
      <x:c r="C88" s="260"/>
      <x:c r="D88" s="260"/>
      <x:c r="E88" s="260"/>
      <x:c r="F88" s="260"/>
      <x:c r="G88" s="260"/>
      <x:c r="H88" s="260"/>
      <x:c r="I88" s="260"/>
      <x:c r="J88" s="260"/>
      <x:c r="K88" s="260"/>
    </x:row>
    <x:row r="89">
      <x:c r="B89" s="260"/>
      <x:c r="C89" s="260"/>
      <x:c r="D89" s="260"/>
      <x:c r="E89" s="260"/>
      <x:c r="F89" s="260"/>
      <x:c r="G89" s="260"/>
      <x:c r="H89" s="260"/>
      <x:c r="I89" s="260"/>
      <x:c r="J89" s="260"/>
      <x:c r="K89" s="260"/>
    </x:row>
    <x:row r="90">
      <x:c r="B90" s="260"/>
      <x:c r="C90" s="260"/>
      <x:c r="D90" s="260"/>
      <x:c r="E90" s="260"/>
      <x:c r="F90" s="260"/>
      <x:c r="G90" s="260"/>
      <x:c r="H90" s="260"/>
      <x:c r="I90" s="260"/>
      <x:c r="J90" s="260"/>
      <x:c r="K90" s="260"/>
    </x:row>
    <x:row r="91">
      <x:c r="B91" s="260"/>
      <x:c r="C91" s="260"/>
      <x:c r="D91" s="260"/>
      <x:c r="E91" s="260"/>
      <x:c r="F91" s="260"/>
      <x:c r="G91" s="260"/>
      <x:c r="H91" s="260"/>
      <x:c r="I91" s="260"/>
      <x:c r="J91" s="260"/>
      <x:c r="K91" s="260"/>
    </x:row>
    <x:row r="92">
      <x:c r="B92" s="260"/>
      <x:c r="C92" s="260"/>
      <x:c r="D92" s="260"/>
      <x:c r="E92" s="260"/>
      <x:c r="F92" s="260"/>
      <x:c r="G92" s="260"/>
      <x:c r="H92" s="260"/>
      <x:c r="I92" s="260"/>
      <x:c r="J92" s="260"/>
      <x:c r="K92" s="260"/>
    </x:row>
    <x:row r="93">
      <x:c r="B93" s="260"/>
      <x:c r="C93" s="260"/>
      <x:c r="D93" s="260"/>
      <x:c r="E93" s="260"/>
      <x:c r="F93" s="260"/>
      <x:c r="G93" s="260"/>
      <x:c r="H93" s="260"/>
      <x:c r="I93" s="260"/>
      <x:c r="J93" s="260"/>
      <x:c r="K93" s="260"/>
    </x:row>
    <x:row r="94">
      <x:c r="B94" s="260"/>
      <x:c r="C94" s="260"/>
      <x:c r="D94" s="260"/>
      <x:c r="E94" s="260"/>
      <x:c r="F94" s="260"/>
      <x:c r="G94" s="260"/>
      <x:c r="H94" s="260"/>
      <x:c r="I94" s="260"/>
      <x:c r="J94" s="260"/>
      <x:c r="K94" s="260"/>
    </x:row>
    <x:row r="95">
      <x:c r="B95" s="260"/>
      <x:c r="C95" s="260"/>
      <x:c r="D95" s="260"/>
      <x:c r="E95" s="260"/>
      <x:c r="F95" s="260"/>
      <x:c r="G95" s="260"/>
      <x:c r="H95" s="260"/>
      <x:c r="I95" s="260"/>
      <x:c r="J95" s="260"/>
      <x:c r="K95" s="260"/>
    </x:row>
    <x:row r="96">
      <x:c r="B96" s="260"/>
      <x:c r="C96" s="260"/>
      <x:c r="D96" s="260"/>
      <x:c r="E96" s="260"/>
      <x:c r="F96" s="260"/>
      <x:c r="G96" s="260"/>
      <x:c r="H96" s="260"/>
      <x:c r="I96" s="260"/>
      <x:c r="J96" s="260"/>
      <x:c r="K96" s="260"/>
    </x:row>
    <x:row r="97">
      <x:c r="B97" s="260"/>
      <x:c r="C97" s="260"/>
      <x:c r="D97" s="260"/>
      <x:c r="E97" s="260"/>
      <x:c r="F97" s="260"/>
      <x:c r="G97" s="260"/>
      <x:c r="H97" s="260"/>
      <x:c r="I97" s="260"/>
      <x:c r="J97" s="260"/>
      <x:c r="K97" s="260"/>
    </x:row>
    <x:row r="98">
      <x:c r="B98" s="260"/>
      <x:c r="C98" s="260"/>
      <x:c r="D98" s="260"/>
      <x:c r="E98" s="260"/>
      <x:c r="F98" s="260"/>
      <x:c r="G98" s="260"/>
      <x:c r="H98" s="260"/>
      <x:c r="I98" s="260"/>
      <x:c r="J98" s="260"/>
      <x:c r="K98" s="260"/>
    </x:row>
    <x:row r="99">
      <x:c r="B99" s="260"/>
      <x:c r="C99" s="260"/>
      <x:c r="D99" s="260"/>
      <x:c r="E99" s="260"/>
      <x:c r="F99" s="260"/>
      <x:c r="G99" s="260"/>
      <x:c r="H99" s="260"/>
      <x:c r="I99" s="260"/>
      <x:c r="J99" s="260"/>
      <x:c r="K99" s="260"/>
    </x:row>
    <x:row r="100">
      <x:c r="B100" s="260"/>
      <x:c r="C100" s="260"/>
      <x:c r="D100" s="260"/>
      <x:c r="E100" s="260"/>
      <x:c r="F100" s="260"/>
      <x:c r="G100" s="260"/>
      <x:c r="H100" s="260"/>
      <x:c r="I100" s="260"/>
      <x:c r="J100" s="260"/>
      <x:c r="K100" s="260"/>
    </x:row>
    <x:row r="101">
      <x:c r="B101" s="260"/>
      <x:c r="C101" s="260"/>
      <x:c r="D101" s="260"/>
      <x:c r="E101" s="260"/>
      <x:c r="F101" s="260"/>
      <x:c r="G101" s="260"/>
      <x:c r="H101" s="260"/>
      <x:c r="I101" s="260"/>
      <x:c r="J101" s="260"/>
      <x:c r="K101" s="260"/>
    </x:row>
    <x:row r="102">
      <x:c r="B102" s="260"/>
      <x:c r="C102" s="260"/>
      <x:c r="D102" s="260"/>
      <x:c r="E102" s="260"/>
      <x:c r="F102" s="260"/>
      <x:c r="G102" s="260"/>
      <x:c r="H102" s="260"/>
      <x:c r="I102" s="260"/>
      <x:c r="J102" s="260"/>
      <x:c r="K102" s="260"/>
    </x:row>
    <x:row r="103">
      <x:c r="B103" s="260"/>
      <x:c r="C103" s="260"/>
      <x:c r="D103" s="260"/>
      <x:c r="E103" s="260"/>
      <x:c r="F103" s="260"/>
      <x:c r="G103" s="260"/>
      <x:c r="H103" s="260"/>
      <x:c r="I103" s="260"/>
      <x:c r="J103" s="260"/>
      <x:c r="K103" s="260"/>
    </x:row>
    <x:row r="104">
      <x:c r="B104" s="260"/>
      <x:c r="C104" s="260"/>
      <x:c r="D104" s="260"/>
      <x:c r="E104" s="260"/>
      <x:c r="F104" s="260"/>
      <x:c r="G104" s="260"/>
      <x:c r="H104" s="260"/>
      <x:c r="I104" s="260"/>
      <x:c r="J104" s="260"/>
      <x:c r="K104" s="260"/>
    </x:row>
    <x:row r="105">
      <x:c r="B105" s="260"/>
      <x:c r="C105" s="260"/>
      <x:c r="D105" s="260"/>
      <x:c r="E105" s="260"/>
      <x:c r="F105" s="260"/>
      <x:c r="G105" s="260"/>
      <x:c r="H105" s="260"/>
      <x:c r="I105" s="260"/>
      <x:c r="J105" s="260"/>
      <x:c r="K105" s="260"/>
    </x:row>
    <x:row r="106">
      <x:c r="B106" s="260"/>
      <x:c r="C106" s="260"/>
      <x:c r="D106" s="260"/>
      <x:c r="E106" s="260"/>
      <x:c r="F106" s="260"/>
      <x:c r="G106" s="260"/>
      <x:c r="H106" s="260"/>
      <x:c r="I106" s="260"/>
      <x:c r="J106" s="260"/>
      <x:c r="K106" s="260"/>
    </x:row>
    <x:row r="107">
      <x:c r="B107" s="260"/>
      <x:c r="C107" s="260"/>
      <x:c r="D107" s="260"/>
      <x:c r="E107" s="260"/>
      <x:c r="F107" s="260"/>
      <x:c r="G107" s="260"/>
      <x:c r="H107" s="260"/>
      <x:c r="I107" s="260"/>
      <x:c r="J107" s="260"/>
      <x:c r="K107" s="260"/>
    </x:row>
    <x:row r="108">
      <x:c r="B108" s="260"/>
      <x:c r="C108" s="260"/>
      <x:c r="D108" s="260"/>
      <x:c r="E108" s="260"/>
      <x:c r="F108" s="260"/>
      <x:c r="G108" s="260"/>
      <x:c r="H108" s="260"/>
      <x:c r="I108" s="260"/>
      <x:c r="J108" s="260"/>
      <x:c r="K108" s="260"/>
    </x:row>
    <x:row r="109">
      <x:c r="B109" s="260"/>
      <x:c r="C109" s="260"/>
      <x:c r="D109" s="260"/>
      <x:c r="E109" s="260"/>
      <x:c r="F109" s="260"/>
      <x:c r="G109" s="260"/>
      <x:c r="H109" s="260"/>
      <x:c r="I109" s="260"/>
      <x:c r="J109" s="260"/>
      <x:c r="K109" s="260"/>
    </x:row>
    <x:row r="110">
      <x:c r="B110" s="260"/>
      <x:c r="C110" s="260"/>
      <x:c r="D110" s="260"/>
      <x:c r="E110" s="260"/>
      <x:c r="F110" s="260"/>
      <x:c r="G110" s="260"/>
      <x:c r="H110" s="260"/>
      <x:c r="I110" s="260"/>
      <x:c r="J110" s="260"/>
      <x:c r="K110" s="260"/>
    </x:row>
    <x:row r="111">
      <x:c r="B111" s="260"/>
      <x:c r="C111" s="260"/>
      <x:c r="D111" s="260"/>
      <x:c r="E111" s="260"/>
      <x:c r="F111" s="260"/>
      <x:c r="G111" s="260"/>
      <x:c r="H111" s="260"/>
      <x:c r="I111" s="260"/>
      <x:c r="J111" s="260"/>
      <x:c r="K111" s="260"/>
    </x:row>
    <x:row r="112">
      <x:c r="B112" s="260"/>
      <x:c r="C112" s="260"/>
      <x:c r="D112" s="260"/>
      <x:c r="E112" s="260"/>
      <x:c r="F112" s="260"/>
      <x:c r="G112" s="260"/>
      <x:c r="H112" s="260"/>
      <x:c r="I112" s="260"/>
      <x:c r="J112" s="260"/>
      <x:c r="K112" s="260"/>
    </x:row>
    <x:row r="113">
      <x:c r="B113" s="260"/>
      <x:c r="C113" s="260"/>
      <x:c r="D113" s="260"/>
      <x:c r="E113" s="260"/>
      <x:c r="F113" s="260"/>
      <x:c r="G113" s="260"/>
      <x:c r="H113" s="260"/>
      <x:c r="I113" s="260"/>
      <x:c r="J113" s="260"/>
      <x:c r="K113" s="260"/>
    </x:row>
    <x:row r="114">
      <x:c r="B114" s="260"/>
      <x:c r="C114" s="260"/>
      <x:c r="D114" s="260"/>
      <x:c r="E114" s="260"/>
      <x:c r="F114" s="260"/>
      <x:c r="G114" s="260"/>
      <x:c r="H114" s="260"/>
      <x:c r="I114" s="260"/>
      <x:c r="J114" s="260"/>
      <x:c r="K114" s="260"/>
    </x:row>
    <x:row r="115">
      <x:c r="B115" s="260"/>
      <x:c r="C115" s="260"/>
      <x:c r="D115" s="260"/>
      <x:c r="E115" s="260"/>
      <x:c r="F115" s="260"/>
      <x:c r="G115" s="260"/>
      <x:c r="H115" s="260"/>
      <x:c r="I115" s="260"/>
      <x:c r="J115" s="260"/>
      <x:c r="K115" s="260"/>
    </x:row>
    <x:row r="116">
      <x:c r="B116" s="260"/>
      <x:c r="C116" s="260"/>
      <x:c r="D116" s="260"/>
      <x:c r="E116" s="260"/>
      <x:c r="F116" s="260"/>
      <x:c r="G116" s="260"/>
      <x:c r="H116" s="260"/>
      <x:c r="I116" s="260"/>
      <x:c r="J116" s="260"/>
      <x:c r="K116" s="260"/>
    </x:row>
    <x:row r="117">
      <x:c r="B117" s="260"/>
      <x:c r="C117" s="260"/>
      <x:c r="D117" s="260"/>
      <x:c r="E117" s="260"/>
      <x:c r="F117" s="260"/>
      <x:c r="G117" s="260"/>
      <x:c r="H117" s="260"/>
      <x:c r="I117" s="260"/>
      <x:c r="J117" s="260"/>
      <x:c r="K117" s="260"/>
    </x:row>
    <x:row r="118">
      <x:c r="B118" s="260"/>
      <x:c r="C118" s="260"/>
      <x:c r="D118" s="260"/>
      <x:c r="E118" s="260"/>
      <x:c r="F118" s="260"/>
      <x:c r="G118" s="260"/>
      <x:c r="H118" s="260"/>
      <x:c r="I118" s="260"/>
      <x:c r="J118" s="260"/>
      <x:c r="K118" s="260"/>
    </x:row>
    <x:row r="119">
      <x:c r="B119" s="260"/>
      <x:c r="C119" s="260"/>
      <x:c r="D119" s="260"/>
      <x:c r="E119" s="260"/>
      <x:c r="F119" s="260"/>
      <x:c r="G119" s="260"/>
      <x:c r="H119" s="260"/>
      <x:c r="I119" s="260"/>
      <x:c r="J119" s="260"/>
      <x:c r="K119" s="260"/>
    </x:row>
    <x:row r="120">
      <x:c r="B120" s="260"/>
      <x:c r="C120" s="260"/>
      <x:c r="D120" s="260"/>
      <x:c r="E120" s="260"/>
      <x:c r="F120" s="260"/>
      <x:c r="G120" s="260"/>
      <x:c r="H120" s="260"/>
      <x:c r="I120" s="260"/>
      <x:c r="J120" s="260"/>
      <x:c r="K120" s="260"/>
    </x:row>
  </x:sheetData>
  <x:conditionalFormatting sqref="G21:G21">
    <x:cfRule type="cellIs" dxfId="1" priority="1" operator="greaterThan">
      <x:formula>0.25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6.43000030517578" hidden="0" customWidth="1"/>
    <x:col min="2" max="2" width="12.430000305175781" hidden="0" customWidth="1"/>
    <x:col min="3" max="3" width="12.430000305175781" hidden="0" customWidth="1"/>
    <x:col min="4" max="4" width="12.430000305175781" hidden="0" customWidth="1"/>
    <x:col min="5" max="5" width="12.430000305175781" hidden="0" customWidth="1"/>
    <x:col min="6" max="6" width="12.430000305175781" hidden="0" customWidth="1"/>
    <x:col min="7" max="7" width="12.430000305175781" hidden="0" customWidth="1"/>
  </x:cols>
  <x:sheetData>
    <x:row r="1">
      <x:c r="A1" s="4" t="str">
        <x:v>FYE: February.  Units: $ in millions except per-share data, shares in millions, ratios, and noted operating drivers.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>
      <x:c r="A3" s="144" t="str">
        <x:v>Line item</x:v>
      </x:c>
      <x:c r="B3" s="144" t="str">
        <x:v>FY2027E</x:v>
      </x:c>
      <x:c r="C3" s="144" t="str">
        <x:v>FY2028E</x:v>
      </x:c>
      <x:c r="D3" s="144" t="str">
        <x:v>FY2029E</x:v>
      </x:c>
      <x:c r="E3" s="144" t="str">
        <x:v>FY2030E</x:v>
      </x:c>
      <x:c r="F3" s="144" t="str">
        <x:v>FY2031E</x:v>
      </x:c>
      <x:c r="G3" s="144" t="str">
        <x:v>FY+1 vs FY0</x:v>
      </x:c>
      <x:c r="H3" s="119"/>
      <x:c r="I3" s="119"/>
      <x:c r="J3" s="119"/>
      <x:c r="K3" s="119"/>
      <x:c r="L3" s="5"/>
    </x:row>
    <x:row r="4">
      <x:c r="A4" s="119" t="str">
        <x:v>Product variable COGS</x:v>
      </x:c>
      <x:c r="B4" s="206" t="n">
        <x:f>Revenue_Build!B5*Assumptions!$E$10</x:f>
        <x:v>706.6423402500001</x:v>
      </x:c>
      <x:c r="C4" s="206" t="n">
        <x:f>Revenue_Build!C5*Assumptions!$F$10</x:f>
        <x:v>755.50382168</x:v>
      </x:c>
      <x:c r="D4" s="206" t="n">
        <x:f>Revenue_Build!D5*Assumptions!$G$10</x:f>
        <x:v>794.40614712</x:v>
      </x:c>
      <x:c r="E4" s="206" t="n">
        <x:f>Revenue_Build!E5*Assumptions!$H$10</x:f>
        <x:v>826.4267163</x:v>
      </x:c>
      <x:c r="F4" s="206" t="n">
        <x:f>Revenue_Build!F5*Assumptions!$I$10</x:f>
        <x:v>858.1317072</x:v>
      </x:c>
      <x:c r="G4" s="206"/>
      <x:c r="H4" s="206"/>
      <x:c r="I4" s="206"/>
      <x:c r="J4" s="206"/>
      <x:c r="K4" s="206"/>
      <x:c r="L4" s="5"/>
    </x:row>
    <x:row r="5">
      <x:c r="A5" s="119" t="str">
        <x:v>Subscription variable COGS</x:v>
      </x:c>
      <x:c r="B5" s="206" t="n">
        <x:f>Revenue_Build!B12*Assumptions!$E$11</x:f>
        <x:v>490.64193441</x:v>
      </x:c>
      <x:c r="C5" s="206" t="n">
        <x:f>Revenue_Build!C12*Assumptions!$F$11</x:f>
        <x:v>547.49076768</x:v>
      </x:c>
      <x:c r="D5" s="206" t="n">
        <x:f>Revenue_Build!D12*Assumptions!$G$11</x:f>
        <x:v>601.51427375</x:v>
      </x:c>
      <x:c r="E5" s="206" t="n">
        <x:f>Revenue_Build!E12*Assumptions!$H$11</x:f>
        <x:v>655.8825033</x:v>
      </x:c>
      <x:c r="F5" s="206" t="n">
        <x:f>Revenue_Build!F12*Assumptions!$I$11</x:f>
        <x:v>703.5109065600001</x:v>
      </x:c>
      <x:c r="G5" s="206"/>
      <x:c r="H5" s="206"/>
      <x:c r="I5" s="206"/>
      <x:c r="J5" s="206"/>
      <x:c r="K5" s="206"/>
      <x:c r="L5" s="5"/>
    </x:row>
    <x:row r="6">
      <x:c r="A6" s="119" t="str">
        <x:v>Fixed COGS</x:v>
      </x:c>
      <x:c r="B6" s="206" t="n">
        <x:f>Assumptions!$E$12</x:f>
        <x:v>0</x:v>
      </x:c>
      <x:c r="C6" s="206" t="n">
        <x:f>Assumptions!$F$12</x:f>
        <x:v>0</x:v>
      </x:c>
      <x:c r="D6" s="206" t="n">
        <x:f>Assumptions!$G$12</x:f>
        <x:v>0</x:v>
      </x:c>
      <x:c r="E6" s="206" t="n">
        <x:f>Assumptions!$H$12</x:f>
        <x:v>0</x:v>
      </x:c>
      <x:c r="F6" s="206" t="n">
        <x:f>Assumptions!$I$12</x:f>
        <x:v>0</x:v>
      </x:c>
      <x:c r="G6" s="206"/>
      <x:c r="H6" s="206"/>
      <x:c r="I6" s="206"/>
      <x:c r="J6" s="206"/>
      <x:c r="K6" s="206"/>
      <x:c r="L6" s="5"/>
    </x:row>
    <x:row r="7">
      <x:c r="A7" s="119" t="str">
        <x:v>Total COGS</x:v>
      </x:c>
      <x:c r="B7" s="206" t="n">
        <x:f>SUM(B4:B6)</x:f>
        <x:v>1197.28427466</x:v>
      </x:c>
      <x:c r="C7" s="206" t="n">
        <x:f>SUM(C4:C6)</x:f>
        <x:v>1302.99458936</x:v>
      </x:c>
      <x:c r="D7" s="206" t="n">
        <x:f>SUM(D4:D6)</x:f>
        <x:v>1395.92042087</x:v>
      </x:c>
      <x:c r="E7" s="206" t="n">
        <x:f>SUM(E4:E6)</x:f>
        <x:v>1482.3092196</x:v>
      </x:c>
      <x:c r="F7" s="206" t="n">
        <x:f>SUM(F4:F6)</x:f>
        <x:v>1561.6426137600001</x:v>
      </x:c>
      <x:c r="G7" s="206"/>
      <x:c r="H7" s="206"/>
      <x:c r="I7" s="206"/>
      <x:c r="J7" s="206"/>
      <x:c r="K7" s="206"/>
      <x:c r="L7" s="5"/>
    </x:row>
    <x:row r="8">
      <x:c r="A8" s="119" t="str">
        <x:v>Implied gross margin</x:v>
      </x:c>
      <x:c r="B8" s="217" t="n">
        <x:f>1-B7/Revenue_Build!B18</x:f>
        <x:v>0.7054986846431339</x:v>
      </x:c>
      <x:c r="C8" s="217" t="n">
        <x:f>1-C7/Revenue_Build!C18</x:f>
        <x:v>0.708332227704934</x:v>
      </x:c>
      <x:c r="D8" s="217" t="n">
        <x:f>1-D7/Revenue_Build!D18</x:f>
        <x:v>0.7122062685404338</x:v>
      </x:c>
      <x:c r="E8" s="217" t="n">
        <x:f>1-E7/Revenue_Build!E18</x:f>
        <x:v>0.7155578007942892</x:v>
      </x:c>
      <x:c r="F8" s="217" t="n">
        <x:f>1-F7/Revenue_Build!F18</x:f>
        <x:v>0.718781786194941</x:v>
      </x:c>
      <x:c r="G8" s="217"/>
      <x:c r="H8" s="206"/>
      <x:c r="I8" s="206"/>
      <x:c r="J8" s="206"/>
      <x:c r="K8" s="206"/>
      <x:c r="L8" s="5"/>
    </x:row>
    <x:row r="9">
      <x:c r="A9" s="119" t="str">
        <x:v>R&amp;D</x:v>
      </x:c>
      <x:c r="B9" s="206" t="n">
        <x:f>Assumptions!$E$13*Assumptions!$E$14+Assumptions!$E$15</x:f>
        <x:v>1036.693</x:v>
      </x:c>
      <x:c r="C9" s="206" t="n">
        <x:f>Assumptions!$F$13*Assumptions!$F$14+Assumptions!$F$15</x:f>
        <x:v>1116.848</x:v>
      </x:c>
      <x:c r="D9" s="206" t="n">
        <x:f>Assumptions!$G$13*Assumptions!$G$14+Assumptions!$G$15</x:f>
        <x:v>1188.353</x:v>
      </x:c>
      <x:c r="E9" s="206" t="n">
        <x:f>Assumptions!$H$13*Assumptions!$H$14+Assumptions!$H$15</x:f>
        <x:v>1250.708</x:v>
      </x:c>
      <x:c r="F9" s="206" t="n">
        <x:f>Assumptions!$I$13*Assumptions!$I$14+Assumptions!$I$15</x:f>
        <x:v>1304.987</x:v>
      </x:c>
      <x:c r="G9" s="206"/>
      <x:c r="H9" s="206"/>
      <x:c r="I9" s="206"/>
      <x:c r="J9" s="206"/>
      <x:c r="K9" s="206"/>
      <x:c r="L9" s="5"/>
    </x:row>
    <x:row r="10">
      <x:c r="A10" s="119" t="str">
        <x:v>Sales and marketing</x:v>
      </x:c>
      <x:c r="B10" s="206" t="n">
        <x:f>Assumptions!$E$16*Assumptions!$E$17+Assumptions!$E$18</x:f>
        <x:v>1239.966</x:v>
      </x:c>
      <x:c r="C10" s="206" t="n">
        <x:f>Assumptions!$F$16*Assumptions!$F$17+Assumptions!$F$18</x:f>
        <x:v>1331.283</x:v>
      </x:c>
      <x:c r="D10" s="206" t="n">
        <x:f>Assumptions!$G$16*Assumptions!$G$17+Assumptions!$G$18</x:f>
        <x:v>1416.323</x:v>
      </x:c>
      <x:c r="E10" s="206" t="n">
        <x:f>Assumptions!$H$16*Assumptions!$H$17+Assumptions!$H$18</x:f>
        <x:v>1490.427</x:v>
      </x:c>
      <x:c r="F10" s="206" t="n">
        <x:f>Assumptions!$I$16*Assumptions!$I$17+Assumptions!$I$18</x:f>
        <x:v>1554.878</x:v>
      </x:c>
      <x:c r="G10" s="206"/>
      <x:c r="H10" s="206"/>
      <x:c r="I10" s="206"/>
      <x:c r="J10" s="206"/>
      <x:c r="K10" s="206"/>
      <x:c r="L10" s="5"/>
    </x:row>
    <x:row r="11">
      <x:c r="A11" s="119" t="str">
        <x:v>G&amp;A</x:v>
      </x:c>
      <x:c r="B11" s="206" t="n">
        <x:f>Assumptions!$E$19*Assumptions!$E$20+Assumptions!$E$21</x:f>
        <x:v>345.564</x:v>
      </x:c>
      <x:c r="C11" s="206" t="n">
        <x:f>Assumptions!$F$19*Assumptions!$F$20+Assumptions!$F$21</x:f>
        <x:v>370.794</x:v>
      </x:c>
      <x:c r="D11" s="206" t="n">
        <x:f>Assumptions!$G$19*Assumptions!$G$20+Assumptions!$G$21</x:f>
        <x:v>392.884</x:v>
      </x:c>
      <x:c r="E11" s="206" t="n">
        <x:f>Assumptions!$H$19*Assumptions!$H$20+Assumptions!$H$21</x:f>
        <x:v>411.691</x:v>
      </x:c>
      <x:c r="F11" s="206" t="n">
        <x:f>Assumptions!$I$19*Assumptions!$I$20+Assumptions!$I$21</x:f>
        <x:v>427.591</x:v>
      </x:c>
      <x:c r="G11" s="206"/>
      <x:c r="H11" s="206"/>
      <x:c r="I11" s="206"/>
      <x:c r="J11" s="206"/>
      <x:c r="K11" s="206"/>
      <x:c r="L11" s="5"/>
    </x:row>
    <x:row r="12">
      <x:c r="A12" s="119" t="str">
        <x:v>Total OpEx</x:v>
      </x:c>
      <x:c r="B12" s="206" t="n">
        <x:f>SUM(B9:B11)</x:f>
        <x:v>2622.2229999999995</x:v>
      </x:c>
      <x:c r="C12" s="206" t="n">
        <x:f>SUM(C9:C11)</x:f>
        <x:v>2818.9249999999997</x:v>
      </x:c>
      <x:c r="D12" s="206" t="n">
        <x:f>SUM(D9:D11)</x:f>
        <x:v>2997.5600000000004</x:v>
      </x:c>
      <x:c r="E12" s="206" t="n">
        <x:f>SUM(E9:E11)</x:f>
        <x:v>3152.826</x:v>
      </x:c>
      <x:c r="F12" s="206" t="n">
        <x:f>SUM(F9:F11)</x:f>
        <x:v>3287.4559999999997</x:v>
      </x:c>
      <x:c r="G12" s="206"/>
      <x:c r="H12" s="206"/>
      <x:c r="I12" s="206"/>
      <x:c r="J12" s="206"/>
      <x:c r="K12" s="206"/>
      <x:c r="L12" s="5"/>
    </x:row>
    <x:row r="13">
      <x:c r="A13" s="119" t="str">
        <x:v>SBC memo</x:v>
      </x:c>
      <x:c r="B13" s="206" t="n">
        <x:f>Assumptions!$E$22*(B12+B7)</x:f>
        <x:v>496.5359457057999</x:v>
      </x:c>
      <x:c r="C13" s="206" t="n">
        <x:f>Assumptions!$F$22*(C12+C7)</x:f>
        <x:v>515.23994867</x:v>
      </x:c>
      <x:c r="D13" s="206" t="n">
        <x:f>Assumptions!$G$22*(D12+D7)</x:f>
        <x:v>527.2176505044</x:v>
      </x:c>
      <x:c r="E13" s="206" t="n">
        <x:f>Assumptions!$H$22*(E12+E7)</x:f>
        <x:v>533.040550254</x:v>
      </x:c>
      <x:c r="F13" s="206" t="n">
        <x:f>Assumptions!$I$22*(F12+F7)</x:f>
        <x:v>533.4008475136</x:v>
      </x:c>
      <x:c r="G13" s="206"/>
      <x:c r="H13" s="206"/>
      <x:c r="I13" s="206"/>
      <x:c r="J13" s="206"/>
      <x:c r="K13" s="206"/>
      <x:c r="L13" s="5"/>
    </x:row>
    <x:row r="14">
      <x:c r="A14" s="119" t="str">
        <x:v>R&amp;D / revenue</x:v>
      </x:c>
      <x:c r="B14" s="217" t="n">
        <x:f>B9/Revenue_Build!B18</x:f>
        <x:v>0.2549999683307923</x:v>
      </x:c>
      <x:c r="C14" s="217" t="n">
        <x:f>C9/Revenue_Build!C18</x:f>
        <x:v>0.2499999392263016</x:v>
      </x:c>
      <x:c r="D14" s="217" t="n">
        <x:f>D9/Revenue_Build!D18</x:f>
        <x:v>0.24500002940570206</x:v>
      </x:c>
      <x:c r="E14" s="217" t="n">
        <x:f>E9/Revenue_Build!E18</x:f>
        <x:v>0.23999994696125287</x:v>
      </x:c>
      <x:c r="F14" s="217" t="n">
        <x:f>F9/Revenue_Build!F18</x:f>
        <x:v>0.23500006335970955</x:v>
      </x:c>
      <x:c r="G14" s="217"/>
      <x:c r="H14" s="206"/>
      <x:c r="I14" s="206"/>
      <x:c r="J14" s="206"/>
      <x:c r="K14" s="206"/>
      <x:c r="L14" s="5"/>
    </x:row>
    <x:row r="15">
      <x:c r="A15" s="119" t="str">
        <x:v>S&amp;M / revenue</x:v>
      </x:c>
      <x:c r="B15" s="217" t="n">
        <x:f>B10/Revenue_Build!B18</x:f>
        <x:v>0.30499992835994766</x:v>
      </x:c>
      <x:c r="C15" s="217" t="n">
        <x:f>C10/Revenue_Build!C18</x:f>
        <x:v>0.297999968745083</x:v>
      </x:c>
      <x:c r="D15" s="217" t="n">
        <x:f>D10/Revenue_Build!D18</x:f>
        <x:v>0.29200008469534905</x:v>
      </x:c>
      <x:c r="E15" s="217" t="n">
        <x:f>E10/Revenue_Build!E18</x:f>
        <x:v>0.2859999303991173</x:v>
      </x:c>
      <x:c r="F15" s="217" t="n">
        <x:f>F10/Revenue_Build!F18</x:f>
        <x:v>0.28000005250367893</x:v>
      </x:c>
      <x:c r="G15" s="217"/>
      <x:c r="H15" s="206"/>
      <x:c r="I15" s="206"/>
      <x:c r="J15" s="206"/>
      <x:c r="K15" s="206"/>
      <x:c r="L15" s="5"/>
    </x:row>
    <x:row r="16">
      <x:c r="A16" s="119" t="str">
        <x:v>G&amp;A / revenue</x:v>
      </x:c>
      <x:c r="B16" s="217" t="n">
        <x:f>B11/Revenue_Build!B18</x:f>
        <x:v>0.08499990745212124</x:v>
      </x:c>
      <x:c r="C16" s="217" t="n">
        <x:f>C11/Revenue_Build!C18</x:f>
        <x:v>0.08300008368683767</x:v>
      </x:c>
      <x:c r="D16" s="217" t="n">
        <x:f>D11/Revenue_Build!D18</x:f>
        <x:v>0.08099999878237346</x:v>
      </x:c>
      <x:c r="E16" s="217" t="n">
        <x:f>E11/Revenue_Build!E18</x:f>
        <x:v>0.0789999089830921</x:v>
      </x:c>
      <x:c r="F16" s="217" t="n">
        <x:f>F11/Revenue_Build!F18</x:f>
        <x:v>0.07699993340319986</x:v>
      </x:c>
      <x:c r="G16" s="217"/>
      <x:c r="H16" s="206"/>
      <x:c r="I16" s="206"/>
      <x:c r="J16" s="206"/>
      <x:c r="K16" s="206"/>
      <x:c r="L16" s="5"/>
    </x:row>
    <x:row r="17">
      <x:c r="A17" s="119" t="str">
        <x:v>FY+1 COGS sanity vs FY0</x:v>
      </x:c>
      <x:c r="B17" s="217"/>
      <x:c r="C17" s="217"/>
      <x:c r="D17" s="217"/>
      <x:c r="E17" s="217"/>
      <x:c r="F17" s="217"/>
      <x:c r="G17" s="217" t="n">
        <x:f>ABS(B7/Historicals_IS!G9-1)</x:f>
        <x:v>0.10359969643005273</x:v>
      </x:c>
      <x:c r="H17" s="206"/>
      <x:c r="I17" s="206"/>
      <x:c r="J17" s="206"/>
      <x:c r="K17" s="206"/>
      <x:c r="L17" s="5"/>
    </x:row>
    <x:row r="18">
      <x:c r="A18" s="119" t="str">
        <x:v>FY+1 OpEx sanity vs FY0</x:v>
      </x:c>
      <x:c r="B18" s="217"/>
      <x:c r="C18" s="217"/>
      <x:c r="D18" s="217"/>
      <x:c r="E18" s="217"/>
      <x:c r="F18" s="217"/>
      <x:c r="G18" s="217" t="n">
        <x:f>ABS(B12/Historicals_IS!G15-1)</x:f>
        <x:v>0.06458674446447743</x:v>
      </x:c>
      <x:c r="H18" s="206"/>
      <x:c r="I18" s="206"/>
      <x:c r="J18" s="206"/>
      <x:c r="K18" s="206"/>
      <x:c r="L18" s="5"/>
    </x:row>
    <x:row r="19">
      <x:c r="A19" s="119"/>
      <x:c r="B19" s="206"/>
      <x:c r="C19" s="206"/>
      <x:c r="D19" s="206"/>
      <x:c r="E19" s="206"/>
      <x:c r="F19" s="206"/>
      <x:c r="G19" s="206"/>
      <x:c r="H19" s="206"/>
      <x:c r="I19" s="206"/>
      <x:c r="J19" s="206"/>
      <x:c r="K19" s="206"/>
      <x:c r="L19" s="5"/>
    </x:row>
    <x:row r="20">
      <x:c r="A20" s="119"/>
      <x:c r="B20" s="206"/>
      <x:c r="C20" s="206"/>
      <x:c r="D20" s="206"/>
      <x:c r="E20" s="206"/>
      <x:c r="F20" s="206"/>
      <x:c r="G20" s="206"/>
      <x:c r="H20" s="206"/>
      <x:c r="I20" s="206"/>
      <x:c r="J20" s="206"/>
      <x:c r="K20" s="206"/>
      <x:c r="L20" s="5"/>
    </x:row>
    <x:row r="21">
      <x:c r="A21" s="119"/>
      <x:c r="B21" s="206"/>
      <x:c r="C21" s="206"/>
      <x:c r="D21" s="206"/>
      <x:c r="E21" s="206"/>
      <x:c r="F21" s="206"/>
      <x:c r="G21" s="206"/>
      <x:c r="H21" s="206"/>
      <x:c r="I21" s="206"/>
      <x:c r="J21" s="206"/>
      <x:c r="K21" s="206"/>
      <x:c r="L21" s="5"/>
    </x:row>
    <x:row r="22">
      <x:c r="A22" s="119"/>
      <x:c r="B22" s="206"/>
      <x:c r="C22" s="206"/>
      <x:c r="D22" s="206"/>
      <x:c r="E22" s="206"/>
      <x:c r="F22" s="206"/>
      <x:c r="G22" s="206"/>
      <x:c r="H22" s="206"/>
      <x:c r="I22" s="206"/>
      <x:c r="J22" s="206"/>
      <x:c r="K22" s="206"/>
      <x:c r="L22" s="5"/>
    </x:row>
    <x:row r="23">
      <x:c r="A23" s="119"/>
      <x:c r="B23" s="206"/>
      <x:c r="C23" s="206"/>
      <x:c r="D23" s="206"/>
      <x:c r="E23" s="206"/>
      <x:c r="F23" s="206"/>
      <x:c r="G23" s="206"/>
      <x:c r="H23" s="206"/>
      <x:c r="I23" s="206"/>
      <x:c r="J23" s="206"/>
      <x:c r="K23" s="206"/>
      <x:c r="L23" s="5"/>
    </x:row>
    <x:row r="24">
      <x:c r="A24" s="119"/>
      <x:c r="B24" s="206"/>
      <x:c r="C24" s="206"/>
      <x:c r="D24" s="206"/>
      <x:c r="E24" s="206"/>
      <x:c r="F24" s="206"/>
      <x:c r="G24" s="206"/>
      <x:c r="H24" s="206"/>
      <x:c r="I24" s="206"/>
      <x:c r="J24" s="206"/>
      <x:c r="K24" s="206"/>
      <x:c r="L24" s="5"/>
    </x:row>
    <x:row r="25">
      <x:c r="A25" s="119"/>
      <x:c r="B25" s="206"/>
      <x:c r="C25" s="206"/>
      <x:c r="D25" s="206"/>
      <x:c r="E25" s="206"/>
      <x:c r="F25" s="206"/>
      <x:c r="G25" s="206"/>
      <x:c r="H25" s="206"/>
      <x:c r="I25" s="206"/>
      <x:c r="J25" s="206"/>
      <x:c r="K25" s="206"/>
      <x:c r="L25" s="5"/>
    </x:row>
    <x:row r="26">
      <x:c r="A26" s="119"/>
      <x:c r="B26" s="206"/>
      <x:c r="C26" s="206"/>
      <x:c r="D26" s="206"/>
      <x:c r="E26" s="206"/>
      <x:c r="F26" s="206"/>
      <x:c r="G26" s="206"/>
      <x:c r="H26" s="206"/>
      <x:c r="I26" s="206"/>
      <x:c r="J26" s="206"/>
      <x:c r="K26" s="206"/>
      <x:c r="L26" s="5"/>
    </x:row>
    <x:row r="27">
      <x:c r="A27" s="119"/>
      <x:c r="B27" s="206"/>
      <x:c r="C27" s="206"/>
      <x:c r="D27" s="206"/>
      <x:c r="E27" s="206"/>
      <x:c r="F27" s="206"/>
      <x:c r="G27" s="206"/>
      <x:c r="H27" s="206"/>
      <x:c r="I27" s="206"/>
      <x:c r="J27" s="206"/>
      <x:c r="K27" s="206"/>
      <x:c r="L27" s="5"/>
    </x:row>
    <x:row r="28">
      <x:c r="A28" s="119"/>
      <x:c r="B28" s="206"/>
      <x:c r="C28" s="206"/>
      <x:c r="D28" s="206"/>
      <x:c r="E28" s="206"/>
      <x:c r="F28" s="206"/>
      <x:c r="G28" s="206"/>
      <x:c r="H28" s="206"/>
      <x:c r="I28" s="206"/>
      <x:c r="J28" s="206"/>
      <x:c r="K28" s="206"/>
      <x:c r="L28" s="5"/>
    </x:row>
    <x:row r="29">
      <x:c r="A29" s="119"/>
      <x:c r="B29" s="206"/>
      <x:c r="C29" s="206"/>
      <x:c r="D29" s="206"/>
      <x:c r="E29" s="206"/>
      <x:c r="F29" s="206"/>
      <x:c r="G29" s="206"/>
      <x:c r="H29" s="206"/>
      <x:c r="I29" s="206"/>
      <x:c r="J29" s="206"/>
      <x:c r="K29" s="206"/>
      <x:c r="L29" s="5"/>
    </x:row>
    <x:row r="30">
      <x:c r="A30" s="119"/>
      <x:c r="B30" s="206"/>
      <x:c r="C30" s="206"/>
      <x:c r="D30" s="206"/>
      <x:c r="E30" s="206"/>
      <x:c r="F30" s="206"/>
      <x:c r="G30" s="206"/>
      <x:c r="H30" s="206"/>
      <x:c r="I30" s="206"/>
      <x:c r="J30" s="206"/>
      <x:c r="K30" s="206"/>
      <x:c r="L30" s="5"/>
    </x:row>
    <x:row r="31">
      <x:c r="A31" s="119"/>
      <x:c r="B31" s="206"/>
      <x:c r="C31" s="206"/>
      <x:c r="D31" s="206"/>
      <x:c r="E31" s="206"/>
      <x:c r="F31" s="206"/>
      <x:c r="G31" s="206"/>
      <x:c r="H31" s="206"/>
      <x:c r="I31" s="206"/>
      <x:c r="J31" s="206"/>
      <x:c r="K31" s="206"/>
      <x:c r="L31" s="5"/>
    </x:row>
    <x:row r="32">
      <x:c r="A32" s="119"/>
      <x:c r="B32" s="206"/>
      <x:c r="C32" s="206"/>
      <x:c r="D32" s="206"/>
      <x:c r="E32" s="206"/>
      <x:c r="F32" s="206"/>
      <x:c r="G32" s="206"/>
      <x:c r="H32" s="206"/>
      <x:c r="I32" s="206"/>
      <x:c r="J32" s="206"/>
      <x:c r="K32" s="206"/>
      <x:c r="L32" s="5"/>
    </x:row>
    <x:row r="33">
      <x:c r="A33" s="119"/>
      <x:c r="B33" s="206"/>
      <x:c r="C33" s="206"/>
      <x:c r="D33" s="206"/>
      <x:c r="E33" s="206"/>
      <x:c r="F33" s="206"/>
      <x:c r="G33" s="206"/>
      <x:c r="H33" s="206"/>
      <x:c r="I33" s="206"/>
      <x:c r="J33" s="206"/>
      <x:c r="K33" s="206"/>
      <x:c r="L33" s="5"/>
    </x:row>
    <x:row r="34">
      <x:c r="A34" s="119"/>
      <x:c r="B34" s="206"/>
      <x:c r="C34" s="206"/>
      <x:c r="D34" s="206"/>
      <x:c r="E34" s="206"/>
      <x:c r="F34" s="206"/>
      <x:c r="G34" s="206"/>
      <x:c r="H34" s="206"/>
      <x:c r="I34" s="206"/>
      <x:c r="J34" s="206"/>
      <x:c r="K34" s="206"/>
      <x:c r="L34" s="5"/>
    </x:row>
    <x:row r="35">
      <x:c r="A35" s="119"/>
      <x:c r="B35" s="206"/>
      <x:c r="C35" s="206"/>
      <x:c r="D35" s="206"/>
      <x:c r="E35" s="206"/>
      <x:c r="F35" s="206"/>
      <x:c r="G35" s="206"/>
      <x:c r="H35" s="206"/>
      <x:c r="I35" s="206"/>
      <x:c r="J35" s="206"/>
      <x:c r="K35" s="206"/>
      <x:c r="L35" s="5"/>
    </x:row>
    <x:row r="36">
      <x:c r="A36" s="119"/>
      <x:c r="B36" s="206"/>
      <x:c r="C36" s="206"/>
      <x:c r="D36" s="206"/>
      <x:c r="E36" s="206"/>
      <x:c r="F36" s="206"/>
      <x:c r="G36" s="206"/>
      <x:c r="H36" s="206"/>
      <x:c r="I36" s="206"/>
      <x:c r="J36" s="206"/>
      <x:c r="K36" s="206"/>
      <x:c r="L36" s="5"/>
    </x:row>
    <x:row r="37">
      <x:c r="A37" s="119"/>
      <x:c r="B37" s="206"/>
      <x:c r="C37" s="206"/>
      <x:c r="D37" s="206"/>
      <x:c r="E37" s="206"/>
      <x:c r="F37" s="206"/>
      <x:c r="G37" s="206"/>
      <x:c r="H37" s="206"/>
      <x:c r="I37" s="206"/>
      <x:c r="J37" s="206"/>
      <x:c r="K37" s="206"/>
      <x:c r="L37" s="5"/>
    </x:row>
    <x:row r="38">
      <x:c r="A38" s="119"/>
      <x:c r="B38" s="206"/>
      <x:c r="C38" s="206"/>
      <x:c r="D38" s="206"/>
      <x:c r="E38" s="206"/>
      <x:c r="F38" s="206"/>
      <x:c r="G38" s="206"/>
      <x:c r="H38" s="206"/>
      <x:c r="I38" s="206"/>
      <x:c r="J38" s="206"/>
      <x:c r="K38" s="206"/>
      <x:c r="L38" s="5"/>
    </x:row>
    <x:row r="39">
      <x:c r="A39" s="119"/>
      <x:c r="B39" s="206"/>
      <x:c r="C39" s="206"/>
      <x:c r="D39" s="206"/>
      <x:c r="E39" s="206"/>
      <x:c r="F39" s="206"/>
      <x:c r="G39" s="206"/>
      <x:c r="H39" s="206"/>
      <x:c r="I39" s="206"/>
      <x:c r="J39" s="206"/>
      <x:c r="K39" s="206"/>
      <x:c r="L39" s="5"/>
    </x:row>
    <x:row r="40">
      <x:c r="A40" s="119"/>
      <x:c r="B40" s="206"/>
      <x:c r="C40" s="206"/>
      <x:c r="D40" s="206"/>
      <x:c r="E40" s="206"/>
      <x:c r="F40" s="206"/>
      <x:c r="G40" s="206"/>
      <x:c r="H40" s="206"/>
      <x:c r="I40" s="206"/>
      <x:c r="J40" s="206"/>
      <x:c r="K40" s="206"/>
      <x:c r="L40" s="5"/>
    </x:row>
    <x:row r="41">
      <x:c r="A41" s="119"/>
      <x:c r="B41" s="206"/>
      <x:c r="C41" s="206"/>
      <x:c r="D41" s="206"/>
      <x:c r="E41" s="206"/>
      <x:c r="F41" s="206"/>
      <x:c r="G41" s="206"/>
      <x:c r="H41" s="206"/>
      <x:c r="I41" s="206"/>
      <x:c r="J41" s="206"/>
      <x:c r="K41" s="206"/>
      <x:c r="L41" s="5"/>
    </x:row>
    <x:row r="42">
      <x:c r="A42" s="119"/>
      <x:c r="B42" s="206"/>
      <x:c r="C42" s="206"/>
      <x:c r="D42" s="206"/>
      <x:c r="E42" s="206"/>
      <x:c r="F42" s="206"/>
      <x:c r="G42" s="206"/>
      <x:c r="H42" s="206"/>
      <x:c r="I42" s="206"/>
      <x:c r="J42" s="206"/>
      <x:c r="K42" s="206"/>
      <x:c r="L42" s="5"/>
    </x:row>
    <x:row r="43">
      <x:c r="A43" s="119"/>
      <x:c r="B43" s="206"/>
      <x:c r="C43" s="206"/>
      <x:c r="D43" s="206"/>
      <x:c r="E43" s="206"/>
      <x:c r="F43" s="206"/>
      <x:c r="G43" s="206"/>
      <x:c r="H43" s="206"/>
      <x:c r="I43" s="206"/>
      <x:c r="J43" s="206"/>
      <x:c r="K43" s="206"/>
      <x:c r="L43" s="5"/>
    </x:row>
    <x:row r="44">
      <x:c r="A44" s="119"/>
      <x:c r="B44" s="206"/>
      <x:c r="C44" s="206"/>
      <x:c r="D44" s="206"/>
      <x:c r="E44" s="206"/>
      <x:c r="F44" s="206"/>
      <x:c r="G44" s="206"/>
      <x:c r="H44" s="206"/>
      <x:c r="I44" s="206"/>
      <x:c r="J44" s="206"/>
      <x:c r="K44" s="206"/>
      <x:c r="L44" s="5"/>
    </x:row>
    <x:row r="45">
      <x:c r="A45" s="119"/>
      <x:c r="B45" s="206"/>
      <x:c r="C45" s="206"/>
      <x:c r="D45" s="206"/>
      <x:c r="E45" s="206"/>
      <x:c r="F45" s="206"/>
      <x:c r="G45" s="206"/>
      <x:c r="H45" s="206"/>
      <x:c r="I45" s="206"/>
      <x:c r="J45" s="206"/>
      <x:c r="K45" s="206"/>
      <x:c r="L45" s="5"/>
    </x:row>
    <x:row r="46">
      <x:c r="A46" s="119"/>
      <x:c r="B46" s="206"/>
      <x:c r="C46" s="206"/>
      <x:c r="D46" s="206"/>
      <x:c r="E46" s="206"/>
      <x:c r="F46" s="206"/>
      <x:c r="G46" s="206"/>
      <x:c r="H46" s="206"/>
      <x:c r="I46" s="206"/>
      <x:c r="J46" s="206"/>
      <x:c r="K46" s="206"/>
      <x:c r="L46" s="5"/>
    </x:row>
    <x:row r="47">
      <x:c r="A47" s="119"/>
      <x:c r="B47" s="206"/>
      <x:c r="C47" s="206"/>
      <x:c r="D47" s="206"/>
      <x:c r="E47" s="206"/>
      <x:c r="F47" s="206"/>
      <x:c r="G47" s="206"/>
      <x:c r="H47" s="206"/>
      <x:c r="I47" s="206"/>
      <x:c r="J47" s="206"/>
      <x:c r="K47" s="206"/>
      <x:c r="L47" s="5"/>
    </x:row>
    <x:row r="48">
      <x:c r="A48" s="119"/>
      <x:c r="B48" s="206"/>
      <x:c r="C48" s="206"/>
      <x:c r="D48" s="206"/>
      <x:c r="E48" s="206"/>
      <x:c r="F48" s="206"/>
      <x:c r="G48" s="206"/>
      <x:c r="H48" s="206"/>
      <x:c r="I48" s="206"/>
      <x:c r="J48" s="206"/>
      <x:c r="K48" s="206"/>
      <x:c r="L48" s="5"/>
    </x:row>
    <x:row r="49">
      <x:c r="A49" s="119"/>
      <x:c r="B49" s="206"/>
      <x:c r="C49" s="206"/>
      <x:c r="D49" s="206"/>
      <x:c r="E49" s="206"/>
      <x:c r="F49" s="206"/>
      <x:c r="G49" s="206"/>
      <x:c r="H49" s="206"/>
      <x:c r="I49" s="206"/>
      <x:c r="J49" s="206"/>
      <x:c r="K49" s="206"/>
      <x:c r="L49" s="5"/>
    </x:row>
    <x:row r="50">
      <x:c r="A50" s="119"/>
      <x:c r="B50" s="206"/>
      <x:c r="C50" s="206"/>
      <x:c r="D50" s="206"/>
      <x:c r="E50" s="206"/>
      <x:c r="F50" s="206"/>
      <x:c r="G50" s="206"/>
      <x:c r="H50" s="206"/>
      <x:c r="I50" s="206"/>
      <x:c r="J50" s="206"/>
      <x:c r="K50" s="206"/>
      <x:c r="L50" s="5"/>
    </x:row>
    <x:row r="51">
      <x:c r="A51" s="119"/>
      <x:c r="B51" s="206"/>
      <x:c r="C51" s="206"/>
      <x:c r="D51" s="206"/>
      <x:c r="E51" s="206"/>
      <x:c r="F51" s="206"/>
      <x:c r="G51" s="206"/>
      <x:c r="H51" s="206"/>
      <x:c r="I51" s="206"/>
      <x:c r="J51" s="206"/>
      <x:c r="K51" s="206"/>
      <x:c r="L51" s="5"/>
    </x:row>
    <x:row r="52">
      <x:c r="A52" s="119"/>
      <x:c r="B52" s="206"/>
      <x:c r="C52" s="206"/>
      <x:c r="D52" s="206"/>
      <x:c r="E52" s="206"/>
      <x:c r="F52" s="206"/>
      <x:c r="G52" s="206"/>
      <x:c r="H52" s="206"/>
      <x:c r="I52" s="206"/>
      <x:c r="J52" s="206"/>
      <x:c r="K52" s="206"/>
      <x:c r="L52" s="5"/>
    </x:row>
    <x:row r="53">
      <x:c r="A53" s="119"/>
      <x:c r="B53" s="206"/>
      <x:c r="C53" s="206"/>
      <x:c r="D53" s="206"/>
      <x:c r="E53" s="206"/>
      <x:c r="F53" s="206"/>
      <x:c r="G53" s="206"/>
      <x:c r="H53" s="206"/>
      <x:c r="I53" s="206"/>
      <x:c r="J53" s="206"/>
      <x:c r="K53" s="206"/>
      <x:c r="L53" s="5"/>
    </x:row>
    <x:row r="54">
      <x:c r="A54" s="119"/>
      <x:c r="B54" s="206"/>
      <x:c r="C54" s="206"/>
      <x:c r="D54" s="206"/>
      <x:c r="E54" s="206"/>
      <x:c r="F54" s="206"/>
      <x:c r="G54" s="206"/>
      <x:c r="H54" s="206"/>
      <x:c r="I54" s="206"/>
      <x:c r="J54" s="206"/>
      <x:c r="K54" s="206"/>
      <x:c r="L54" s="5"/>
    </x:row>
    <x:row r="55">
      <x:c r="A55" s="119"/>
      <x:c r="B55" s="206"/>
      <x:c r="C55" s="206"/>
      <x:c r="D55" s="206"/>
      <x:c r="E55" s="206"/>
      <x:c r="F55" s="206"/>
      <x:c r="G55" s="206"/>
      <x:c r="H55" s="206"/>
      <x:c r="I55" s="206"/>
      <x:c r="J55" s="206"/>
      <x:c r="K55" s="206"/>
      <x:c r="L55" s="5"/>
    </x:row>
    <x:row r="56">
      <x:c r="A56" s="119"/>
      <x:c r="B56" s="206"/>
      <x:c r="C56" s="206"/>
      <x:c r="D56" s="206"/>
      <x:c r="E56" s="206"/>
      <x:c r="F56" s="206"/>
      <x:c r="G56" s="206"/>
      <x:c r="H56" s="206"/>
      <x:c r="I56" s="206"/>
      <x:c r="J56" s="206"/>
      <x:c r="K56" s="206"/>
      <x:c r="L56" s="5"/>
    </x:row>
    <x:row r="57">
      <x:c r="A57" s="119"/>
      <x:c r="B57" s="206"/>
      <x:c r="C57" s="206"/>
      <x:c r="D57" s="206"/>
      <x:c r="E57" s="206"/>
      <x:c r="F57" s="206"/>
      <x:c r="G57" s="206"/>
      <x:c r="H57" s="206"/>
      <x:c r="I57" s="206"/>
      <x:c r="J57" s="206"/>
      <x:c r="K57" s="206"/>
      <x:c r="L57" s="5"/>
    </x:row>
    <x:row r="58">
      <x:c r="A58" s="119"/>
      <x:c r="B58" s="206"/>
      <x:c r="C58" s="206"/>
      <x:c r="D58" s="206"/>
      <x:c r="E58" s="206"/>
      <x:c r="F58" s="206"/>
      <x:c r="G58" s="206"/>
      <x:c r="H58" s="206"/>
      <x:c r="I58" s="206"/>
      <x:c r="J58" s="206"/>
      <x:c r="K58" s="206"/>
      <x:c r="L58" s="5"/>
    </x:row>
    <x:row r="59">
      <x:c r="A59" s="119"/>
      <x:c r="B59" s="206"/>
      <x:c r="C59" s="206"/>
      <x:c r="D59" s="206"/>
      <x:c r="E59" s="206"/>
      <x:c r="F59" s="206"/>
      <x:c r="G59" s="206"/>
      <x:c r="H59" s="206"/>
      <x:c r="I59" s="206"/>
      <x:c r="J59" s="206"/>
      <x:c r="K59" s="206"/>
      <x:c r="L59" s="5"/>
    </x:row>
    <x:row r="60">
      <x:c r="A60" s="119"/>
      <x:c r="B60" s="206"/>
      <x:c r="C60" s="206"/>
      <x:c r="D60" s="206"/>
      <x:c r="E60" s="206"/>
      <x:c r="F60" s="206"/>
      <x:c r="G60" s="206"/>
      <x:c r="H60" s="206"/>
      <x:c r="I60" s="206"/>
      <x:c r="J60" s="206"/>
      <x:c r="K60" s="206"/>
      <x:c r="L60" s="5"/>
    </x:row>
    <x:row r="61">
      <x:c r="A61" s="119"/>
      <x:c r="B61" s="206"/>
      <x:c r="C61" s="206"/>
      <x:c r="D61" s="206"/>
      <x:c r="E61" s="206"/>
      <x:c r="F61" s="206"/>
      <x:c r="G61" s="206"/>
      <x:c r="H61" s="206"/>
      <x:c r="I61" s="206"/>
      <x:c r="J61" s="206"/>
      <x:c r="K61" s="206"/>
      <x:c r="L61" s="5"/>
    </x:row>
    <x:row r="62">
      <x:c r="A62" s="119"/>
      <x:c r="B62" s="206"/>
      <x:c r="C62" s="206"/>
      <x:c r="D62" s="206"/>
      <x:c r="E62" s="206"/>
      <x:c r="F62" s="206"/>
      <x:c r="G62" s="206"/>
      <x:c r="H62" s="206"/>
      <x:c r="I62" s="206"/>
      <x:c r="J62" s="206"/>
      <x:c r="K62" s="206"/>
      <x:c r="L62" s="5"/>
    </x:row>
    <x:row r="63">
      <x:c r="A63" s="119"/>
      <x:c r="B63" s="206"/>
      <x:c r="C63" s="206"/>
      <x:c r="D63" s="206"/>
      <x:c r="E63" s="206"/>
      <x:c r="F63" s="206"/>
      <x:c r="G63" s="206"/>
      <x:c r="H63" s="206"/>
      <x:c r="I63" s="206"/>
      <x:c r="J63" s="206"/>
      <x:c r="K63" s="206"/>
      <x:c r="L63" s="5"/>
    </x:row>
    <x:row r="64">
      <x:c r="A64" s="119"/>
      <x:c r="B64" s="206"/>
      <x:c r="C64" s="206"/>
      <x:c r="D64" s="206"/>
      <x:c r="E64" s="206"/>
      <x:c r="F64" s="206"/>
      <x:c r="G64" s="206"/>
      <x:c r="H64" s="206"/>
      <x:c r="I64" s="206"/>
      <x:c r="J64" s="206"/>
      <x:c r="K64" s="206"/>
      <x:c r="L64" s="5"/>
    </x:row>
    <x:row r="65">
      <x:c r="A65" s="119"/>
      <x:c r="B65" s="206"/>
      <x:c r="C65" s="206"/>
      <x:c r="D65" s="206"/>
      <x:c r="E65" s="206"/>
      <x:c r="F65" s="206"/>
      <x:c r="G65" s="206"/>
      <x:c r="H65" s="206"/>
      <x:c r="I65" s="206"/>
      <x:c r="J65" s="206"/>
      <x:c r="K65" s="206"/>
      <x:c r="L65" s="5"/>
    </x:row>
    <x:row r="66">
      <x:c r="A66" s="119"/>
      <x:c r="B66" s="206"/>
      <x:c r="C66" s="206"/>
      <x:c r="D66" s="206"/>
      <x:c r="E66" s="206"/>
      <x:c r="F66" s="206"/>
      <x:c r="G66" s="206"/>
      <x:c r="H66" s="206"/>
      <x:c r="I66" s="206"/>
      <x:c r="J66" s="206"/>
      <x:c r="K66" s="206"/>
      <x:c r="L66" s="5"/>
    </x:row>
    <x:row r="67">
      <x:c r="A67" s="119"/>
      <x:c r="B67" s="206"/>
      <x:c r="C67" s="206"/>
      <x:c r="D67" s="206"/>
      <x:c r="E67" s="206"/>
      <x:c r="F67" s="206"/>
      <x:c r="G67" s="206"/>
      <x:c r="H67" s="206"/>
      <x:c r="I67" s="206"/>
      <x:c r="J67" s="206"/>
      <x:c r="K67" s="206"/>
      <x:c r="L67" s="5"/>
    </x:row>
    <x:row r="68">
      <x:c r="A68" s="119"/>
      <x:c r="B68" s="206"/>
      <x:c r="C68" s="206"/>
      <x:c r="D68" s="206"/>
      <x:c r="E68" s="206"/>
      <x:c r="F68" s="206"/>
      <x:c r="G68" s="206"/>
      <x:c r="H68" s="206"/>
      <x:c r="I68" s="206"/>
      <x:c r="J68" s="206"/>
      <x:c r="K68" s="206"/>
      <x:c r="L68" s="5"/>
    </x:row>
    <x:row r="69">
      <x:c r="A69" s="119"/>
      <x:c r="B69" s="206"/>
      <x:c r="C69" s="206"/>
      <x:c r="D69" s="206"/>
      <x:c r="E69" s="206"/>
      <x:c r="F69" s="206"/>
      <x:c r="G69" s="206"/>
      <x:c r="H69" s="206"/>
      <x:c r="I69" s="206"/>
      <x:c r="J69" s="206"/>
      <x:c r="K69" s="206"/>
      <x:c r="L69" s="5"/>
    </x:row>
    <x:row r="70">
      <x:c r="A70" s="119"/>
      <x:c r="B70" s="206"/>
      <x:c r="C70" s="206"/>
      <x:c r="D70" s="206"/>
      <x:c r="E70" s="206"/>
      <x:c r="F70" s="206"/>
      <x:c r="G70" s="206"/>
      <x:c r="H70" s="206"/>
      <x:c r="I70" s="206"/>
      <x:c r="J70" s="206"/>
      <x:c r="K70" s="206"/>
      <x:c r="L70" s="5"/>
    </x:row>
    <x:row r="71">
      <x:c r="A71" s="119"/>
      <x:c r="B71" s="206"/>
      <x:c r="C71" s="206"/>
      <x:c r="D71" s="206"/>
      <x:c r="E71" s="206"/>
      <x:c r="F71" s="206"/>
      <x:c r="G71" s="206"/>
      <x:c r="H71" s="206"/>
      <x:c r="I71" s="206"/>
      <x:c r="J71" s="206"/>
      <x:c r="K71" s="206"/>
      <x:c r="L71" s="5"/>
    </x:row>
    <x:row r="72">
      <x:c r="A72" s="119"/>
      <x:c r="B72" s="206"/>
      <x:c r="C72" s="206"/>
      <x:c r="D72" s="206"/>
      <x:c r="E72" s="206"/>
      <x:c r="F72" s="206"/>
      <x:c r="G72" s="206"/>
      <x:c r="H72" s="206"/>
      <x:c r="I72" s="206"/>
      <x:c r="J72" s="206"/>
      <x:c r="K72" s="206"/>
      <x:c r="L72" s="5"/>
    </x:row>
    <x:row r="73">
      <x:c r="A73" s="119"/>
      <x:c r="B73" s="206"/>
      <x:c r="C73" s="206"/>
      <x:c r="D73" s="206"/>
      <x:c r="E73" s="206"/>
      <x:c r="F73" s="206"/>
      <x:c r="G73" s="206"/>
      <x:c r="H73" s="206"/>
      <x:c r="I73" s="206"/>
      <x:c r="J73" s="206"/>
      <x:c r="K73" s="206"/>
      <x:c r="L73" s="5"/>
    </x:row>
    <x:row r="74">
      <x:c r="A74" s="119"/>
      <x:c r="B74" s="206"/>
      <x:c r="C74" s="206"/>
      <x:c r="D74" s="206"/>
      <x:c r="E74" s="206"/>
      <x:c r="F74" s="206"/>
      <x:c r="G74" s="206"/>
      <x:c r="H74" s="206"/>
      <x:c r="I74" s="206"/>
      <x:c r="J74" s="206"/>
      <x:c r="K74" s="206"/>
      <x:c r="L74" s="5"/>
    </x:row>
    <x:row r="75">
      <x:c r="A75" s="119"/>
      <x:c r="B75" s="206"/>
      <x:c r="C75" s="206"/>
      <x:c r="D75" s="206"/>
      <x:c r="E75" s="206"/>
      <x:c r="F75" s="206"/>
      <x:c r="G75" s="206"/>
      <x:c r="H75" s="206"/>
      <x:c r="I75" s="206"/>
      <x:c r="J75" s="206"/>
      <x:c r="K75" s="206"/>
      <x:c r="L75" s="5"/>
    </x:row>
    <x:row r="76">
      <x:c r="A76" s="119"/>
      <x:c r="B76" s="206"/>
      <x:c r="C76" s="206"/>
      <x:c r="D76" s="206"/>
      <x:c r="E76" s="206"/>
      <x:c r="F76" s="206"/>
      <x:c r="G76" s="206"/>
      <x:c r="H76" s="206"/>
      <x:c r="I76" s="206"/>
      <x:c r="J76" s="206"/>
      <x:c r="K76" s="206"/>
      <x:c r="L76" s="5"/>
    </x:row>
    <x:row r="77">
      <x:c r="A77" s="119"/>
      <x:c r="B77" s="206"/>
      <x:c r="C77" s="206"/>
      <x:c r="D77" s="206"/>
      <x:c r="E77" s="206"/>
      <x:c r="F77" s="206"/>
      <x:c r="G77" s="206"/>
      <x:c r="H77" s="206"/>
      <x:c r="I77" s="206"/>
      <x:c r="J77" s="206"/>
      <x:c r="K77" s="206"/>
      <x:c r="L77" s="5"/>
    </x:row>
    <x:row r="78">
      <x:c r="A78" s="119"/>
      <x:c r="B78" s="206"/>
      <x:c r="C78" s="206"/>
      <x:c r="D78" s="206"/>
      <x:c r="E78" s="206"/>
      <x:c r="F78" s="206"/>
      <x:c r="G78" s="206"/>
      <x:c r="H78" s="206"/>
      <x:c r="I78" s="206"/>
      <x:c r="J78" s="206"/>
      <x:c r="K78" s="206"/>
      <x:c r="L78" s="5"/>
    </x:row>
    <x:row r="79">
      <x:c r="A79" s="119"/>
      <x:c r="B79" s="206"/>
      <x:c r="C79" s="206"/>
      <x:c r="D79" s="206"/>
      <x:c r="E79" s="206"/>
      <x:c r="F79" s="206"/>
      <x:c r="G79" s="206"/>
      <x:c r="H79" s="206"/>
      <x:c r="I79" s="206"/>
      <x:c r="J79" s="206"/>
      <x:c r="K79" s="206"/>
      <x:c r="L79" s="5"/>
    </x:row>
    <x:row r="80">
      <x:c r="A80" s="119"/>
      <x:c r="B80" s="206"/>
      <x:c r="C80" s="206"/>
      <x:c r="D80" s="206"/>
      <x:c r="E80" s="206"/>
      <x:c r="F80" s="206"/>
      <x:c r="G80" s="206"/>
      <x:c r="H80" s="206"/>
      <x:c r="I80" s="206"/>
      <x:c r="J80" s="206"/>
      <x:c r="K80" s="206"/>
      <x:c r="L80" s="5"/>
    </x:row>
    <x:row r="81">
      <x:c r="B81" s="260"/>
      <x:c r="C81" s="260"/>
      <x:c r="D81" s="260"/>
      <x:c r="E81" s="260"/>
      <x:c r="F81" s="260"/>
      <x:c r="G81" s="260"/>
      <x:c r="H81" s="260"/>
      <x:c r="I81" s="260"/>
      <x:c r="J81" s="260"/>
      <x:c r="K81" s="260"/>
    </x:row>
    <x:row r="82">
      <x:c r="B82" s="260"/>
      <x:c r="C82" s="260"/>
      <x:c r="D82" s="260"/>
      <x:c r="E82" s="260"/>
      <x:c r="F82" s="260"/>
      <x:c r="G82" s="260"/>
      <x:c r="H82" s="260"/>
      <x:c r="I82" s="260"/>
      <x:c r="J82" s="260"/>
      <x:c r="K82" s="260"/>
    </x:row>
    <x:row r="83">
      <x:c r="B83" s="260"/>
      <x:c r="C83" s="260"/>
      <x:c r="D83" s="260"/>
      <x:c r="E83" s="260"/>
      <x:c r="F83" s="260"/>
      <x:c r="G83" s="260"/>
      <x:c r="H83" s="260"/>
      <x:c r="I83" s="260"/>
      <x:c r="J83" s="260"/>
      <x:c r="K83" s="260"/>
    </x:row>
    <x:row r="84">
      <x:c r="B84" s="260"/>
      <x:c r="C84" s="260"/>
      <x:c r="D84" s="260"/>
      <x:c r="E84" s="260"/>
      <x:c r="F84" s="260"/>
      <x:c r="G84" s="260"/>
      <x:c r="H84" s="260"/>
      <x:c r="I84" s="260"/>
      <x:c r="J84" s="260"/>
      <x:c r="K84" s="260"/>
    </x:row>
    <x:row r="85">
      <x:c r="B85" s="260"/>
      <x:c r="C85" s="260"/>
      <x:c r="D85" s="260"/>
      <x:c r="E85" s="260"/>
      <x:c r="F85" s="260"/>
      <x:c r="G85" s="260"/>
      <x:c r="H85" s="260"/>
      <x:c r="I85" s="260"/>
      <x:c r="J85" s="260"/>
      <x:c r="K85" s="260"/>
    </x:row>
    <x:row r="86">
      <x:c r="B86" s="260"/>
      <x:c r="C86" s="260"/>
      <x:c r="D86" s="260"/>
      <x:c r="E86" s="260"/>
      <x:c r="F86" s="260"/>
      <x:c r="G86" s="260"/>
      <x:c r="H86" s="260"/>
      <x:c r="I86" s="260"/>
      <x:c r="J86" s="260"/>
      <x:c r="K86" s="260"/>
    </x:row>
    <x:row r="87">
      <x:c r="B87" s="260"/>
      <x:c r="C87" s="260"/>
      <x:c r="D87" s="260"/>
      <x:c r="E87" s="260"/>
      <x:c r="F87" s="260"/>
      <x:c r="G87" s="260"/>
      <x:c r="H87" s="260"/>
      <x:c r="I87" s="260"/>
      <x:c r="J87" s="260"/>
      <x:c r="K87" s="260"/>
    </x:row>
    <x:row r="88">
      <x:c r="B88" s="260"/>
      <x:c r="C88" s="260"/>
      <x:c r="D88" s="260"/>
      <x:c r="E88" s="260"/>
      <x:c r="F88" s="260"/>
      <x:c r="G88" s="260"/>
      <x:c r="H88" s="260"/>
      <x:c r="I88" s="260"/>
      <x:c r="J88" s="260"/>
      <x:c r="K88" s="260"/>
    </x:row>
    <x:row r="89">
      <x:c r="B89" s="260"/>
      <x:c r="C89" s="260"/>
      <x:c r="D89" s="260"/>
      <x:c r="E89" s="260"/>
      <x:c r="F89" s="260"/>
      <x:c r="G89" s="260"/>
      <x:c r="H89" s="260"/>
      <x:c r="I89" s="260"/>
      <x:c r="J89" s="260"/>
      <x:c r="K89" s="260"/>
    </x:row>
    <x:row r="90">
      <x:c r="B90" s="260"/>
      <x:c r="C90" s="260"/>
      <x:c r="D90" s="260"/>
      <x:c r="E90" s="260"/>
      <x:c r="F90" s="260"/>
      <x:c r="G90" s="260"/>
      <x:c r="H90" s="260"/>
      <x:c r="I90" s="260"/>
      <x:c r="J90" s="260"/>
      <x:c r="K90" s="260"/>
    </x:row>
    <x:row r="91">
      <x:c r="B91" s="260"/>
      <x:c r="C91" s="260"/>
      <x:c r="D91" s="260"/>
      <x:c r="E91" s="260"/>
      <x:c r="F91" s="260"/>
      <x:c r="G91" s="260"/>
      <x:c r="H91" s="260"/>
      <x:c r="I91" s="260"/>
      <x:c r="J91" s="260"/>
      <x:c r="K91" s="260"/>
    </x:row>
    <x:row r="92">
      <x:c r="B92" s="260"/>
      <x:c r="C92" s="260"/>
      <x:c r="D92" s="260"/>
      <x:c r="E92" s="260"/>
      <x:c r="F92" s="260"/>
      <x:c r="G92" s="260"/>
      <x:c r="H92" s="260"/>
      <x:c r="I92" s="260"/>
      <x:c r="J92" s="260"/>
      <x:c r="K92" s="260"/>
    </x:row>
    <x:row r="93">
      <x:c r="B93" s="260"/>
      <x:c r="C93" s="260"/>
      <x:c r="D93" s="260"/>
      <x:c r="E93" s="260"/>
      <x:c r="F93" s="260"/>
      <x:c r="G93" s="260"/>
      <x:c r="H93" s="260"/>
      <x:c r="I93" s="260"/>
      <x:c r="J93" s="260"/>
      <x:c r="K93" s="260"/>
    </x:row>
    <x:row r="94">
      <x:c r="B94" s="260"/>
      <x:c r="C94" s="260"/>
      <x:c r="D94" s="260"/>
      <x:c r="E94" s="260"/>
      <x:c r="F94" s="260"/>
      <x:c r="G94" s="260"/>
      <x:c r="H94" s="260"/>
      <x:c r="I94" s="260"/>
      <x:c r="J94" s="260"/>
      <x:c r="K94" s="260"/>
    </x:row>
    <x:row r="95">
      <x:c r="B95" s="260"/>
      <x:c r="C95" s="260"/>
      <x:c r="D95" s="260"/>
      <x:c r="E95" s="260"/>
      <x:c r="F95" s="260"/>
      <x:c r="G95" s="260"/>
      <x:c r="H95" s="260"/>
      <x:c r="I95" s="260"/>
      <x:c r="J95" s="260"/>
      <x:c r="K95" s="260"/>
    </x:row>
    <x:row r="96">
      <x:c r="B96" s="260"/>
      <x:c r="C96" s="260"/>
      <x:c r="D96" s="260"/>
      <x:c r="E96" s="260"/>
      <x:c r="F96" s="260"/>
      <x:c r="G96" s="260"/>
      <x:c r="H96" s="260"/>
      <x:c r="I96" s="260"/>
      <x:c r="J96" s="260"/>
      <x:c r="K96" s="260"/>
    </x:row>
    <x:row r="97">
      <x:c r="B97" s="260"/>
      <x:c r="C97" s="260"/>
      <x:c r="D97" s="260"/>
      <x:c r="E97" s="260"/>
      <x:c r="F97" s="260"/>
      <x:c r="G97" s="260"/>
      <x:c r="H97" s="260"/>
      <x:c r="I97" s="260"/>
      <x:c r="J97" s="260"/>
      <x:c r="K97" s="260"/>
    </x:row>
    <x:row r="98">
      <x:c r="B98" s="260"/>
      <x:c r="C98" s="260"/>
      <x:c r="D98" s="260"/>
      <x:c r="E98" s="260"/>
      <x:c r="F98" s="260"/>
      <x:c r="G98" s="260"/>
      <x:c r="H98" s="260"/>
      <x:c r="I98" s="260"/>
      <x:c r="J98" s="260"/>
      <x:c r="K98" s="260"/>
    </x:row>
    <x:row r="99">
      <x:c r="B99" s="260"/>
      <x:c r="C99" s="260"/>
      <x:c r="D99" s="260"/>
      <x:c r="E99" s="260"/>
      <x:c r="F99" s="260"/>
      <x:c r="G99" s="260"/>
      <x:c r="H99" s="260"/>
      <x:c r="I99" s="260"/>
      <x:c r="J99" s="260"/>
      <x:c r="K99" s="260"/>
    </x:row>
    <x:row r="100">
      <x:c r="B100" s="260"/>
      <x:c r="C100" s="260"/>
      <x:c r="D100" s="260"/>
      <x:c r="E100" s="260"/>
      <x:c r="F100" s="260"/>
      <x:c r="G100" s="260"/>
      <x:c r="H100" s="260"/>
      <x:c r="I100" s="260"/>
      <x:c r="J100" s="260"/>
      <x:c r="K100" s="260"/>
    </x:row>
    <x:row r="101">
      <x:c r="B101" s="260"/>
      <x:c r="C101" s="260"/>
      <x:c r="D101" s="260"/>
      <x:c r="E101" s="260"/>
      <x:c r="F101" s="260"/>
      <x:c r="G101" s="260"/>
      <x:c r="H101" s="260"/>
      <x:c r="I101" s="260"/>
      <x:c r="J101" s="260"/>
      <x:c r="K101" s="260"/>
    </x:row>
    <x:row r="102">
      <x:c r="B102" s="260"/>
      <x:c r="C102" s="260"/>
      <x:c r="D102" s="260"/>
      <x:c r="E102" s="260"/>
      <x:c r="F102" s="260"/>
      <x:c r="G102" s="260"/>
      <x:c r="H102" s="260"/>
      <x:c r="I102" s="260"/>
      <x:c r="J102" s="260"/>
      <x:c r="K102" s="260"/>
    </x:row>
    <x:row r="103">
      <x:c r="B103" s="260"/>
      <x:c r="C103" s="260"/>
      <x:c r="D103" s="260"/>
      <x:c r="E103" s="260"/>
      <x:c r="F103" s="260"/>
      <x:c r="G103" s="260"/>
      <x:c r="H103" s="260"/>
      <x:c r="I103" s="260"/>
      <x:c r="J103" s="260"/>
      <x:c r="K103" s="260"/>
    </x:row>
    <x:row r="104">
      <x:c r="B104" s="260"/>
      <x:c r="C104" s="260"/>
      <x:c r="D104" s="260"/>
      <x:c r="E104" s="260"/>
      <x:c r="F104" s="260"/>
      <x:c r="G104" s="260"/>
      <x:c r="H104" s="260"/>
      <x:c r="I104" s="260"/>
      <x:c r="J104" s="260"/>
      <x:c r="K104" s="260"/>
    </x:row>
    <x:row r="105">
      <x:c r="B105" s="260"/>
      <x:c r="C105" s="260"/>
      <x:c r="D105" s="260"/>
      <x:c r="E105" s="260"/>
      <x:c r="F105" s="260"/>
      <x:c r="G105" s="260"/>
      <x:c r="H105" s="260"/>
      <x:c r="I105" s="260"/>
      <x:c r="J105" s="260"/>
      <x:c r="K105" s="260"/>
    </x:row>
    <x:row r="106">
      <x:c r="B106" s="260"/>
      <x:c r="C106" s="260"/>
      <x:c r="D106" s="260"/>
      <x:c r="E106" s="260"/>
      <x:c r="F106" s="260"/>
      <x:c r="G106" s="260"/>
      <x:c r="H106" s="260"/>
      <x:c r="I106" s="260"/>
      <x:c r="J106" s="260"/>
      <x:c r="K106" s="260"/>
    </x:row>
    <x:row r="107">
      <x:c r="B107" s="260"/>
      <x:c r="C107" s="260"/>
      <x:c r="D107" s="260"/>
      <x:c r="E107" s="260"/>
      <x:c r="F107" s="260"/>
      <x:c r="G107" s="260"/>
      <x:c r="H107" s="260"/>
      <x:c r="I107" s="260"/>
      <x:c r="J107" s="260"/>
      <x:c r="K107" s="260"/>
    </x:row>
    <x:row r="108">
      <x:c r="B108" s="260"/>
      <x:c r="C108" s="260"/>
      <x:c r="D108" s="260"/>
      <x:c r="E108" s="260"/>
      <x:c r="F108" s="260"/>
      <x:c r="G108" s="260"/>
      <x:c r="H108" s="260"/>
      <x:c r="I108" s="260"/>
      <x:c r="J108" s="260"/>
      <x:c r="K108" s="260"/>
    </x:row>
    <x:row r="109">
      <x:c r="B109" s="260"/>
      <x:c r="C109" s="260"/>
      <x:c r="D109" s="260"/>
      <x:c r="E109" s="260"/>
      <x:c r="F109" s="260"/>
      <x:c r="G109" s="260"/>
      <x:c r="H109" s="260"/>
      <x:c r="I109" s="260"/>
      <x:c r="J109" s="260"/>
      <x:c r="K109" s="260"/>
    </x:row>
    <x:row r="110">
      <x:c r="B110" s="260"/>
      <x:c r="C110" s="260"/>
      <x:c r="D110" s="260"/>
      <x:c r="E110" s="260"/>
      <x:c r="F110" s="260"/>
      <x:c r="G110" s="260"/>
      <x:c r="H110" s="260"/>
      <x:c r="I110" s="260"/>
      <x:c r="J110" s="260"/>
      <x:c r="K110" s="260"/>
    </x:row>
    <x:row r="111">
      <x:c r="B111" s="260"/>
      <x:c r="C111" s="260"/>
      <x:c r="D111" s="260"/>
      <x:c r="E111" s="260"/>
      <x:c r="F111" s="260"/>
      <x:c r="G111" s="260"/>
      <x:c r="H111" s="260"/>
      <x:c r="I111" s="260"/>
      <x:c r="J111" s="260"/>
      <x:c r="K111" s="260"/>
    </x:row>
    <x:row r="112">
      <x:c r="B112" s="260"/>
      <x:c r="C112" s="260"/>
      <x:c r="D112" s="260"/>
      <x:c r="E112" s="260"/>
      <x:c r="F112" s="260"/>
      <x:c r="G112" s="260"/>
      <x:c r="H112" s="260"/>
      <x:c r="I112" s="260"/>
      <x:c r="J112" s="260"/>
      <x:c r="K112" s="260"/>
    </x:row>
    <x:row r="113">
      <x:c r="B113" s="260"/>
      <x:c r="C113" s="260"/>
      <x:c r="D113" s="260"/>
      <x:c r="E113" s="260"/>
      <x:c r="F113" s="260"/>
      <x:c r="G113" s="260"/>
      <x:c r="H113" s="260"/>
      <x:c r="I113" s="260"/>
      <x:c r="J113" s="260"/>
      <x:c r="K113" s="260"/>
    </x:row>
    <x:row r="114">
      <x:c r="B114" s="260"/>
      <x:c r="C114" s="260"/>
      <x:c r="D114" s="260"/>
      <x:c r="E114" s="260"/>
      <x:c r="F114" s="260"/>
      <x:c r="G114" s="260"/>
      <x:c r="H114" s="260"/>
      <x:c r="I114" s="260"/>
      <x:c r="J114" s="260"/>
      <x:c r="K114" s="260"/>
    </x:row>
    <x:row r="115">
      <x:c r="B115" s="260"/>
      <x:c r="C115" s="260"/>
      <x:c r="D115" s="260"/>
      <x:c r="E115" s="260"/>
      <x:c r="F115" s="260"/>
      <x:c r="G115" s="260"/>
      <x:c r="H115" s="260"/>
      <x:c r="I115" s="260"/>
      <x:c r="J115" s="260"/>
      <x:c r="K115" s="260"/>
    </x:row>
    <x:row r="116">
      <x:c r="B116" s="260"/>
      <x:c r="C116" s="260"/>
      <x:c r="D116" s="260"/>
      <x:c r="E116" s="260"/>
      <x:c r="F116" s="260"/>
      <x:c r="G116" s="260"/>
      <x:c r="H116" s="260"/>
      <x:c r="I116" s="260"/>
      <x:c r="J116" s="260"/>
      <x:c r="K116" s="260"/>
    </x:row>
    <x:row r="117">
      <x:c r="B117" s="260"/>
      <x:c r="C117" s="260"/>
      <x:c r="D117" s="260"/>
      <x:c r="E117" s="260"/>
      <x:c r="F117" s="260"/>
      <x:c r="G117" s="260"/>
      <x:c r="H117" s="260"/>
      <x:c r="I117" s="260"/>
      <x:c r="J117" s="260"/>
      <x:c r="K117" s="260"/>
    </x:row>
    <x:row r="118">
      <x:c r="B118" s="260"/>
      <x:c r="C118" s="260"/>
      <x:c r="D118" s="260"/>
      <x:c r="E118" s="260"/>
      <x:c r="F118" s="260"/>
      <x:c r="G118" s="260"/>
      <x:c r="H118" s="260"/>
      <x:c r="I118" s="260"/>
      <x:c r="J118" s="260"/>
      <x:c r="K118" s="260"/>
    </x:row>
    <x:row r="119">
      <x:c r="B119" s="260"/>
      <x:c r="C119" s="260"/>
      <x:c r="D119" s="260"/>
      <x:c r="E119" s="260"/>
      <x:c r="F119" s="260"/>
      <x:c r="G119" s="260"/>
      <x:c r="H119" s="260"/>
      <x:c r="I119" s="260"/>
      <x:c r="J119" s="260"/>
      <x:c r="K119" s="260"/>
    </x:row>
    <x:row r="120">
      <x:c r="B120" s="260"/>
      <x:c r="C120" s="260"/>
      <x:c r="D120" s="260"/>
      <x:c r="E120" s="260"/>
      <x:c r="F120" s="260"/>
      <x:c r="G120" s="260"/>
      <x:c r="H120" s="260"/>
      <x:c r="I120" s="260"/>
      <x:c r="J120" s="260"/>
      <x:c r="K120" s="260"/>
    </x:row>
  </x:sheetData>
  <x:conditionalFormatting sqref="G17:G18">
    <x:cfRule type="cellIs" dxfId="2" priority="1" operator="greaterThan">
      <x:formula>0.25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7.86000061035156" hidden="0" customWidth="1"/>
    <x:col min="2" max="2" width="12.859999656677246" hidden="0" customWidth="1"/>
    <x:col min="3" max="3" width="12.859999656677246" hidden="0" customWidth="1"/>
    <x:col min="4" max="4" width="12.859999656677246" hidden="0" customWidth="1"/>
    <x:col min="5" max="5" width="12.859999656677246" hidden="0" customWidth="1"/>
    <x:col min="6" max="6" width="12.859999656677246" hidden="0" customWidth="1"/>
  </x:cols>
  <x:sheetData>
    <x:row r="1">
      <x:c r="A1" s="4" t="str">
        <x:v>FYE: February.  Units: $ in millions except per-share data, shares in millions, ratios, and noted operating drivers.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>
      <x:c r="A3" s="144" t="str">
        <x:v>Line item</x:v>
      </x:c>
      <x:c r="B3" s="144" t="str">
        <x:v>FY2027E</x:v>
      </x:c>
      <x:c r="C3" s="144" t="str">
        <x:v>FY2028E</x:v>
      </x:c>
      <x:c r="D3" s="144" t="str">
        <x:v>FY2029E</x:v>
      </x:c>
      <x:c r="E3" s="144" t="str">
        <x:v>FY2030E</x:v>
      </x:c>
      <x:c r="F3" s="144" t="str">
        <x:v>FY2031E</x:v>
      </x:c>
      <x:c r="G3" s="119"/>
      <x:c r="H3" s="119"/>
      <x:c r="I3" s="119"/>
      <x:c r="J3" s="119"/>
      <x:c r="K3" s="119"/>
      <x:c r="L3" s="5"/>
    </x:row>
    <x:row r="4">
      <x:c r="A4" s="119" t="str">
        <x:v>Revenue</x:v>
      </x:c>
      <x:c r="B4" s="216" t="n">
        <x:f>Revenue_Build!B18</x:f>
        <x:v>4065.46325</x:v>
      </x:c>
      <x:c r="C4" s="216" t="n">
        <x:f>Revenue_Build!C18</x:f>
        <x:v>4467.393086</x:v>
      </x:c>
      <x:c r="D4" s="216" t="n">
        <x:f>Revenue_Build!D18</x:f>
        <x:v>4850.419825999999</x:v>
      </x:c>
      <x:c r="E4" s="216" t="n">
        <x:f>Revenue_Build!E18</x:f>
        <x:v>5211.284485</x:v>
      </x:c>
      <x:c r="F4" s="216" t="n">
        <x:f>Revenue_Build!F18</x:f>
        <x:v>5553.1346730000005</x:v>
      </x:c>
      <x:c r="G4" s="206"/>
      <x:c r="H4" s="206"/>
      <x:c r="I4" s="206"/>
      <x:c r="J4" s="206"/>
      <x:c r="K4" s="206"/>
      <x:c r="L4" s="5"/>
    </x:row>
    <x:row r="5">
      <x:c r="A5" s="119" t="str">
        <x:v>COGS</x:v>
      </x:c>
      <x:c r="B5" s="216" t="n">
        <x:f>Cost_Build!B7</x:f>
        <x:v>1197.28427466</x:v>
      </x:c>
      <x:c r="C5" s="216" t="n">
        <x:f>Cost_Build!C7</x:f>
        <x:v>1302.99458936</x:v>
      </x:c>
      <x:c r="D5" s="216" t="n">
        <x:f>Cost_Build!D7</x:f>
        <x:v>1395.92042087</x:v>
      </x:c>
      <x:c r="E5" s="216" t="n">
        <x:f>Cost_Build!E7</x:f>
        <x:v>1482.3092196</x:v>
      </x:c>
      <x:c r="F5" s="216" t="n">
        <x:f>Cost_Build!F7</x:f>
        <x:v>1561.6426137600001</x:v>
      </x:c>
      <x:c r="G5" s="206"/>
      <x:c r="H5" s="206"/>
      <x:c r="I5" s="206"/>
      <x:c r="J5" s="206"/>
      <x:c r="K5" s="206"/>
      <x:c r="L5" s="5"/>
    </x:row>
    <x:row r="6">
      <x:c r="A6" s="119" t="str">
        <x:v>OpEx</x:v>
      </x:c>
      <x:c r="B6" s="216" t="n">
        <x:f>Cost_Build!B12</x:f>
        <x:v>2622.2229999999995</x:v>
      </x:c>
      <x:c r="C6" s="216" t="n">
        <x:f>Cost_Build!C12</x:f>
        <x:v>2818.9249999999997</x:v>
      </x:c>
      <x:c r="D6" s="216" t="n">
        <x:f>Cost_Build!D12</x:f>
        <x:v>2997.5600000000004</x:v>
      </x:c>
      <x:c r="E6" s="216" t="n">
        <x:f>Cost_Build!E12</x:f>
        <x:v>3152.826</x:v>
      </x:c>
      <x:c r="F6" s="216" t="n">
        <x:f>Cost_Build!F12</x:f>
        <x:v>3287.4559999999997</x:v>
      </x:c>
      <x:c r="G6" s="206"/>
      <x:c r="H6" s="206"/>
      <x:c r="I6" s="206"/>
      <x:c r="J6" s="206"/>
      <x:c r="K6" s="206"/>
      <x:c r="L6" s="5"/>
    </x:row>
    <x:row r="7">
      <x:c r="A7" s="119" t="str">
        <x:v>Accounts receivable</x:v>
      </x:c>
      <x:c r="B7" s="216" t="n">
        <x:f>Assumptions!$E$23*B4/365</x:f>
        <x:v>1046.996015068493</x:v>
      </x:c>
      <x:c r="C7" s="216" t="n">
        <x:f>Assumptions!$F$23*C4/365</x:f>
        <x:v>1126.0278463342465</x:v>
      </x:c>
      <x:c r="D7" s="216" t="n">
        <x:f>Assumptions!$G$23*D4/365</x:f>
        <x:v>1195.99392969863</x:v>
      </x:c>
      <x:c r="E7" s="216" t="n">
        <x:f>Assumptions!$H$23*E4/365</x:f>
        <x:v>1256.4192730958905</x:v>
      </x:c>
      <x:c r="F7" s="216" t="n">
        <x:f>Assumptions!$I$23*F4/365</x:f>
        <x:v>1308.4098133643838</x:v>
      </x:c>
      <x:c r="G7" s="206"/>
      <x:c r="H7" s="206"/>
      <x:c r="I7" s="206"/>
      <x:c r="J7" s="206"/>
      <x:c r="K7" s="206"/>
      <x:c r="L7" s="5"/>
    </x:row>
    <x:row r="8">
      <x:c r="A8" s="119" t="str">
        <x:v>Inventory</x:v>
      </x:c>
      <x:c r="B8" s="216" t="n">
        <x:f>Assumptions!$E$24*B5/365</x:f>
        <x:v>78.72554134750685</x:v>
      </x:c>
      <x:c r="C8" s="216" t="n">
        <x:f>Assumptions!$F$24*C5/365</x:f>
        <x:v>82.10650837063014</x:v>
      </x:c>
      <x:c r="D8" s="216" t="n">
        <x:f>Assumptions!$G$24*D5/365</x:f>
        <x:v>84.1376692031233</x:v>
      </x:c>
      <x:c r="E8" s="216" t="n">
        <x:f>Assumptions!$H$24*E5/365</x:f>
        <x:v>85.28354414136986</x:v>
      </x:c>
      <x:c r="F8" s="216" t="n">
        <x:f>Assumptions!$I$24*F5/365</x:f>
        <x:v>89.84793120263015</x:v>
      </x:c>
      <x:c r="G8" s="206"/>
      <x:c r="H8" s="206"/>
      <x:c r="I8" s="206"/>
      <x:c r="J8" s="206"/>
      <x:c r="K8" s="206"/>
      <x:c r="L8" s="5"/>
    </x:row>
    <x:row r="9">
      <x:c r="A9" s="119" t="str">
        <x:v>Deferred commissions, current</x:v>
      </x:c>
      <x:c r="B9" s="216" t="n">
        <x:f>B4*0.038052</x:f>
        <x:v>154.699007589</x:v>
      </x:c>
      <x:c r="C9" s="216" t="n">
        <x:f>C4*0.038052</x:f>
        <x:v>169.993241708472</x:v>
      </x:c>
      <x:c r="D9" s="216" t="n">
        <x:f>D4*0.038052</x:f>
        <x:v>184.56817521895198</x:v>
      </x:c>
      <x:c r="E9" s="216" t="n">
        <x:f>E4*0.038052</x:f>
        <x:v>198.29979722322003</x:v>
      </x:c>
      <x:c r="F9" s="216" t="n">
        <x:f>F4*0.038052</x:f>
        <x:v>211.30788057699604</x:v>
      </x:c>
      <x:c r="G9" s="206"/>
      <x:c r="H9" s="206"/>
      <x:c r="I9" s="206"/>
      <x:c r="J9" s="206"/>
      <x:c r="K9" s="206"/>
      <x:c r="L9" s="5"/>
    </x:row>
    <x:row r="10">
      <x:c r="A10" s="119" t="str">
        <x:v>Prepaid expenses and other current assets</x:v>
      </x:c>
      <x:c r="B10" s="216" t="n">
        <x:f>Assumptions!$E$27*B6</x:f>
        <x:v>367.11121999999995</x:v>
      </x:c>
      <x:c r="C10" s="216" t="n">
        <x:f>Assumptions!$F$27*C6</x:f>
        <x:v>389.01165</x:v>
      </x:c>
      <x:c r="D10" s="216" t="n">
        <x:f>Assumptions!$G$27*D6</x:f>
        <x:v>407.66816000000006</x:v>
      </x:c>
      <x:c r="E10" s="216" t="n">
        <x:f>Assumptions!$H$27*E6</x:f>
        <x:v>422.47868400000004</x:v>
      </x:c>
      <x:c r="F10" s="216" t="n">
        <x:f>Assumptions!$I$27*F6</x:f>
        <x:v>433.944192</x:v>
      </x:c>
      <x:c r="G10" s="206"/>
      <x:c r="H10" s="206"/>
      <x:c r="I10" s="206"/>
      <x:c r="J10" s="206"/>
      <x:c r="K10" s="206"/>
      <x:c r="L10" s="5"/>
    </x:row>
    <x:row r="11">
      <x:c r="A11" s="119" t="str">
        <x:v>Accounts payable</x:v>
      </x:c>
      <x:c r="B11" s="216" t="n">
        <x:f>Assumptions!$E$25*B5/365</x:f>
        <x:v>164.0115444739726</x:v>
      </x:c>
      <x:c r="C11" s="216" t="n">
        <x:f>Assumptions!$F$25*C5/365</x:f>
        <x:v>174.92256131134246</x:v>
      </x:c>
      <x:c r="D11" s="216" t="n">
        <x:f>Assumptions!$G$25*D5/365</x:f>
        <x:v>183.5730964431781</x:v>
      </x:c>
      <x:c r="E11" s="216" t="n">
        <x:f>Assumptions!$H$25*E5/365</x:f>
        <x:v>190.87269403068493</x:v>
      </x:c>
      <x:c r="F11" s="216" t="n">
        <x:f>Assumptions!$I$25*F5/365</x:f>
        <x:v>196.80975406290412</x:v>
      </x:c>
      <x:c r="G11" s="206"/>
      <x:c r="H11" s="206"/>
      <x:c r="I11" s="206"/>
      <x:c r="J11" s="206"/>
      <x:c r="K11" s="206"/>
      <x:c r="L11" s="5"/>
    </x:row>
    <x:row r="12">
      <x:c r="A12" s="119" t="str">
        <x:v>Accrued compensation and other liabilities</x:v>
      </x:c>
      <x:c r="B12" s="216" t="n">
        <x:f>Assumptions!$E$28*B6</x:f>
        <x:v>563.7779449999999</x:v>
      </x:c>
      <x:c r="C12" s="216" t="n">
        <x:f>Assumptions!$F$28*C6</x:f>
        <x:v>603.2499499999999</x:v>
      </x:c>
      <x:c r="D12" s="216" t="n">
        <x:f>Assumptions!$G$28*D6</x:f>
        <x:v>638.4802800000001</x:v>
      </x:c>
      <x:c r="E12" s="216" t="n">
        <x:f>Assumptions!$H$28*E6</x:f>
        <x:v>668.399112</x:v>
      </x:c>
      <x:c r="F12" s="216" t="n">
        <x:f>Assumptions!$I$28*F6</x:f>
        <x:v>693.6532159999999</x:v>
      </x:c>
      <x:c r="G12" s="206"/>
      <x:c r="H12" s="206"/>
      <x:c r="I12" s="206"/>
      <x:c r="J12" s="206"/>
      <x:c r="K12" s="206"/>
      <x:c r="L12" s="5"/>
    </x:row>
    <x:row r="13">
      <x:c r="A13" s="119" t="str">
        <x:v>Deferred revenue</x:v>
      </x:c>
      <x:c r="B13" s="216" t="n">
        <x:f>Assumptions!$E$26*B4</x:f>
        <x:v>2418.9506337499997</x:v>
      </x:c>
      <x:c r="C13" s="216" t="n">
        <x:f>Assumptions!$F$26*C4</x:f>
        <x:v>2658.09888617</x:v>
      </x:c>
      <x:c r="D13" s="216" t="n">
        <x:f>Assumptions!$G$26*D4</x:f>
        <x:v>2861.7476973399994</x:v>
      </x:c>
      <x:c r="E13" s="216" t="n">
        <x:f>Assumptions!$H$26*E4</x:f>
        <x:v>3048.6014237249997</x:v>
      </x:c>
      <x:c r="F13" s="216" t="n">
        <x:f>Assumptions!$I$26*F4</x:f>
        <x:v>3220.81811034</x:v>
      </x:c>
      <x:c r="G13" s="206"/>
      <x:c r="H13" s="206"/>
      <x:c r="I13" s="206"/>
      <x:c r="J13" s="206"/>
      <x:c r="K13" s="206"/>
      <x:c r="L13" s="5"/>
    </x:row>
    <x:row r="14">
      <x:c r="A14" s="119" t="str">
        <x:v>Net working capital</x:v>
      </x:c>
      <x:c r="B14" s="216" t="n">
        <x:f>SUM(B7:B10)-B11-B12-B13</x:f>
        <x:v>-1499.2083392189725</x:v>
      </x:c>
      <x:c r="C14" s="216" t="n">
        <x:f>SUM(C7:C10)-C11-C12-C13</x:f>
        <x:v>-1669.1321510679936</x:v>
      </x:c>
      <x:c r="D14" s="216" t="n">
        <x:f>SUM(D7:D10)-D11-D12-D13</x:f>
        <x:v>-1811.4331396624725</x:v>
      </x:c>
      <x:c r="E14" s="216" t="n">
        <x:f>SUM(E7:E10)-E11-E12-E13</x:f>
        <x:v>-1945.391931295204</x:v>
      </x:c>
      <x:c r="F14" s="216" t="n">
        <x:f>SUM(F7:F10)-F11-F12-F13</x:f>
        <x:v>-2067.7712632588946</x:v>
      </x:c>
      <x:c r="G14" s="206"/>
      <x:c r="H14" s="206"/>
      <x:c r="I14" s="206"/>
      <x:c r="J14" s="206"/>
      <x:c r="K14" s="206"/>
      <x:c r="L14" s="5"/>
    </x:row>
    <x:row r="15">
      <x:c r="A15" s="119" t="str">
        <x:v>Change in NWC</x:v>
      </x:c>
      <x:c r="B15" s="216" t="n">
        <x:f>B14--1396.179</x:f>
        <x:v>-103.02933921897238</x:v>
      </x:c>
      <x:c r="C15" s="216" t="n">
        <x:f>C14-B14</x:f>
        <x:v>-169.92381184902115</x:v>
      </x:c>
      <x:c r="D15" s="216" t="n">
        <x:f>D14-C14</x:f>
        <x:v>-142.3009885944789</x:v>
      </x:c>
      <x:c r="E15" s="216" t="n">
        <x:f>E14-D14</x:f>
        <x:v>-133.9587916327314</x:v>
      </x:c>
      <x:c r="F15" s="216" t="n">
        <x:f>F14-E14</x:f>
        <x:v>-122.37933196369067</x:v>
      </x:c>
      <x:c r="G15" s="206"/>
      <x:c r="H15" s="206"/>
      <x:c r="I15" s="206"/>
      <x:c r="J15" s="206"/>
      <x:c r="K15" s="206"/>
      <x:c r="L15" s="5"/>
    </x:row>
    <x:row r="16">
      <x:c r="A16" s="119" t="str">
        <x:v>Beginning net PP&amp;E</x:v>
      </x:c>
      <x:c r="B16" s="216" t="n">
        <x:f>Historicals_BS!G11</x:f>
        <x:v>587.022</x:v>
      </x:c>
      <x:c r="C16" s="216" t="n">
        <x:f>B19</x:f>
        <x:v>732.979854</x:v>
      </x:c>
      <x:c r="D16" s="216" t="n">
        <x:f>C19</x:f>
        <x:v>866.919799606</x:v>
      </x:c>
      <x:c r="E16" s="216" t="n">
        <x:f>D19</x:f>
        <x:v>989.7192375244999</x:v>
      </x:c>
      <x:c r="F16" s="216" t="n">
        <x:f>E19</x:f>
        <x:v>1101.8680576083752</x:v>
      </x:c>
      <x:c r="G16" s="206"/>
      <x:c r="H16" s="206"/>
      <x:c r="I16" s="206"/>
      <x:c r="J16" s="206"/>
      <x:c r="K16" s="206"/>
      <x:c r="L16" s="5"/>
    </x:row>
    <x:row r="17">
      <x:c r="A17" s="119" t="str">
        <x:v>Capex</x:v>
      </x:c>
      <x:c r="B17" s="216" t="n">
        <x:f>Assumptions!$E$30*B4+Assumptions!$E$31</x:f>
        <x:v>292.713354</x:v>
      </x:c>
      <x:c r="C17" s="216" t="n">
        <x:f>Assumptions!$F$30*C4+Assumptions!$F$31</x:f>
        <x:v>317.18490910599996</x:v>
      </x:c>
      <x:c r="D17" s="216" t="n">
        <x:f>Assumptions!$G$30*D4+Assumptions!$G$31</x:f>
        <x:v>339.52938782</x:v>
      </x:c>
      <x:c r="E17" s="216" t="n">
        <x:f>Assumptions!$H$30*E4+Assumptions!$H$31</x:f>
        <x:v>359.57862946500006</x:v>
      </x:c>
      <x:c r="F17" s="216" t="n">
        <x:f>Assumptions!$I$30*F4+Assumptions!$I$31</x:f>
        <x:v>377.61315776400005</x:v>
      </x:c>
      <x:c r="G17" s="206"/>
      <x:c r="H17" s="206"/>
      <x:c r="I17" s="206"/>
      <x:c r="J17" s="206"/>
      <x:c r="K17" s="206"/>
      <x:c r="L17" s="5"/>
    </x:row>
    <x:row r="18">
      <x:c r="A18" s="119" t="str">
        <x:v>Depreciation</x:v>
      </x:c>
      <x:c r="B18" s="216" t="n">
        <x:f>B16/Assumptions!$E$32</x:f>
        <x:v>146.7555</x:v>
      </x:c>
      <x:c r="C18" s="216" t="n">
        <x:f>C16/Assumptions!$F$32</x:f>
        <x:v>183.2449635</x:v>
      </x:c>
      <x:c r="D18" s="216" t="n">
        <x:f>D16/Assumptions!$G$32</x:f>
        <x:v>216.7299499015</x:v>
      </x:c>
      <x:c r="E18" s="216" t="n">
        <x:f>E16/Assumptions!$H$32</x:f>
        <x:v>247.42980938112498</x:v>
      </x:c>
      <x:c r="F18" s="216" t="n">
        <x:f>F16/Assumptions!$I$32</x:f>
        <x:v>275.4670144020938</x:v>
      </x:c>
      <x:c r="G18" s="206"/>
      <x:c r="H18" s="206"/>
      <x:c r="I18" s="206"/>
      <x:c r="J18" s="206"/>
      <x:c r="K18" s="206"/>
      <x:c r="L18" s="5"/>
    </x:row>
    <x:row r="19">
      <x:c r="A19" s="119" t="str">
        <x:v>Ending net PP&amp;E</x:v>
      </x:c>
      <x:c r="B19" s="216" t="n">
        <x:f>B16+B17-B18</x:f>
        <x:v>732.979854</x:v>
      </x:c>
      <x:c r="C19" s="216" t="n">
        <x:f>C16+C17-C18</x:f>
        <x:v>866.919799606</x:v>
      </x:c>
      <x:c r="D19" s="216" t="n">
        <x:f>D16+D17-D18</x:f>
        <x:v>989.7192375244999</x:v>
      </x:c>
      <x:c r="E19" s="216" t="n">
        <x:f>E16+E17-E18</x:f>
        <x:v>1101.8680576083752</x:v>
      </x:c>
      <x:c r="F19" s="216" t="n">
        <x:f>F16+F17-F18</x:f>
        <x:v>1204.0142009702815</x:v>
      </x:c>
      <x:c r="G19" s="206"/>
      <x:c r="H19" s="206"/>
      <x:c r="I19" s="206"/>
      <x:c r="J19" s="206"/>
      <x:c r="K19" s="206"/>
      <x:c r="L19" s="5"/>
    </x:row>
    <x:row r="20">
      <x:c r="A20" s="119" t="str">
        <x:v>Beginning debt</x:v>
      </x:c>
      <x:c r="B20" s="216" t="n">
        <x:f>Historicals_BS!G24+Historicals_BS!G26</x:f>
        <x:v>0</x:v>
      </x:c>
      <x:c r="C20" s="216" t="n">
        <x:f>B23</x:f>
        <x:v>0</x:v>
      </x:c>
      <x:c r="D20" s="216" t="n">
        <x:f>C23</x:f>
        <x:v>0</x:v>
      </x:c>
      <x:c r="E20" s="216" t="n">
        <x:f>D23</x:f>
        <x:v>0</x:v>
      </x:c>
      <x:c r="F20" s="216" t="n">
        <x:f>E23</x:f>
        <x:v>0</x:v>
      </x:c>
      <x:c r="G20" s="206"/>
      <x:c r="H20" s="206"/>
      <x:c r="I20" s="206"/>
      <x:c r="J20" s="206"/>
      <x:c r="K20" s="206"/>
      <x:c r="L20" s="5"/>
    </x:row>
    <x:row r="21">
      <x:c r="A21" s="119" t="str">
        <x:v>Debt issuance</x:v>
      </x:c>
      <x:c r="B21" s="216" t="n">
        <x:f>Assumptions!$E$36</x:f>
        <x:v>0</x:v>
      </x:c>
      <x:c r="C21" s="216" t="n">
        <x:f>Assumptions!$F$36</x:f>
        <x:v>0</x:v>
      </x:c>
      <x:c r="D21" s="216" t="n">
        <x:f>Assumptions!$G$36</x:f>
        <x:v>0</x:v>
      </x:c>
      <x:c r="E21" s="216" t="n">
        <x:f>Assumptions!$H$36</x:f>
        <x:v>0</x:v>
      </x:c>
      <x:c r="F21" s="216" t="n">
        <x:f>Assumptions!$I$36</x:f>
        <x:v>0</x:v>
      </x:c>
      <x:c r="G21" s="206"/>
      <x:c r="H21" s="206"/>
      <x:c r="I21" s="206"/>
      <x:c r="J21" s="206"/>
      <x:c r="K21" s="206"/>
      <x:c r="L21" s="5"/>
    </x:row>
    <x:row r="22">
      <x:c r="A22" s="119" t="str">
        <x:v>Debt repayment</x:v>
      </x:c>
      <x:c r="B22" s="216" t="n">
        <x:f>Assumptions!$E$34</x:f>
        <x:v>0</x:v>
      </x:c>
      <x:c r="C22" s="216" t="n">
        <x:f>Assumptions!$F$34</x:f>
        <x:v>0</x:v>
      </x:c>
      <x:c r="D22" s="216" t="n">
        <x:f>Assumptions!$G$34</x:f>
        <x:v>0</x:v>
      </x:c>
      <x:c r="E22" s="216" t="n">
        <x:f>Assumptions!$H$34</x:f>
        <x:v>0</x:v>
      </x:c>
      <x:c r="F22" s="216" t="n">
        <x:f>Assumptions!$I$34</x:f>
        <x:v>0</x:v>
      </x:c>
      <x:c r="G22" s="206"/>
      <x:c r="H22" s="206"/>
      <x:c r="I22" s="206"/>
      <x:c r="J22" s="206"/>
      <x:c r="K22" s="206"/>
      <x:c r="L22" s="5"/>
    </x:row>
    <x:row r="23">
      <x:c r="A23" s="119" t="str">
        <x:v>Ending debt</x:v>
      </x:c>
      <x:c r="B23" s="216" t="n">
        <x:f>B20+B21-B22</x:f>
        <x:v>0</x:v>
      </x:c>
      <x:c r="C23" s="216" t="n">
        <x:f>C20+C21-C22</x:f>
        <x:v>0</x:v>
      </x:c>
      <x:c r="D23" s="216" t="n">
        <x:f>D20+D21-D22</x:f>
        <x:v>0</x:v>
      </x:c>
      <x:c r="E23" s="216" t="n">
        <x:f>E20+E21-E22</x:f>
        <x:v>0</x:v>
      </x:c>
      <x:c r="F23" s="216" t="n">
        <x:f>F20+F21-F22</x:f>
        <x:v>0</x:v>
      </x:c>
      <x:c r="G23" s="206"/>
      <x:c r="H23" s="206"/>
      <x:c r="I23" s="206"/>
      <x:c r="J23" s="206"/>
      <x:c r="K23" s="206"/>
      <x:c r="L23" s="5"/>
    </x:row>
    <x:row r="24">
      <x:c r="A24" s="119" t="str">
        <x:v>Interest expense</x:v>
      </x:c>
      <x:c r="B24" s="216" t="n">
        <x:f>((B20+B23)/2)*Assumptions!$E$35</x:f>
        <x:v>0</x:v>
      </x:c>
      <x:c r="C24" s="216" t="n">
        <x:f>((C20+C23)/2)*Assumptions!$F$35</x:f>
        <x:v>0</x:v>
      </x:c>
      <x:c r="D24" s="216" t="n">
        <x:f>((D20+D23)/2)*Assumptions!$G$35</x:f>
        <x:v>0</x:v>
      </x:c>
      <x:c r="E24" s="216" t="n">
        <x:f>((E20+E23)/2)*Assumptions!$H$35</x:f>
        <x:v>0</x:v>
      </x:c>
      <x:c r="F24" s="216" t="n">
        <x:f>((F20+F23)/2)*Assumptions!$I$35</x:f>
        <x:v>0</x:v>
      </x:c>
      <x:c r="G24" s="206"/>
      <x:c r="H24" s="206"/>
      <x:c r="I24" s="206"/>
      <x:c r="J24" s="206"/>
      <x:c r="K24" s="206"/>
      <x:c r="L24" s="5"/>
    </x:row>
    <x:row r="25">
      <x:c r="A25" s="119" t="str">
        <x:v>Operating income</x:v>
      </x:c>
      <x:c r="B25" s="216" t="n">
        <x:f>B4-B5-B6</x:f>
        <x:v>245.95597534000035</x:v>
      </x:c>
      <x:c r="C25" s="216" t="n">
        <x:f>C4-C5-C6</x:f>
        <x:v>345.4734966400006</x:v>
      </x:c>
      <x:c r="D25" s="216" t="n">
        <x:f>D4-D5-D6</x:f>
        <x:v>456.9394051299987</x:v>
      </x:c>
      <x:c r="E25" s="216" t="n">
        <x:f>E4-E5-E6</x:f>
        <x:v>576.1492654000003</x:v>
      </x:c>
      <x:c r="F25" s="216" t="n">
        <x:f>F4-F5-F6</x:f>
        <x:v>704.0360592400007</x:v>
      </x:c>
      <x:c r="G25" s="206"/>
      <x:c r="H25" s="206"/>
      <x:c r="I25" s="206"/>
      <x:c r="J25" s="206"/>
      <x:c r="K25" s="206"/>
      <x:c r="L25" s="5"/>
    </x:row>
    <x:row r="26">
      <x:c r="A26" s="119" t="str">
        <x:v>Pretax income</x:v>
      </x:c>
      <x:c r="B26" s="216" t="n">
        <x:f>B25-B24</x:f>
        <x:v>245.95597534000035</x:v>
      </x:c>
      <x:c r="C26" s="216" t="n">
        <x:f>C25-C24</x:f>
        <x:v>345.4734966400006</x:v>
      </x:c>
      <x:c r="D26" s="216" t="n">
        <x:f>D25-D24</x:f>
        <x:v>456.9394051299987</x:v>
      </x:c>
      <x:c r="E26" s="216" t="n">
        <x:f>E25-E24</x:f>
        <x:v>576.1492654000003</x:v>
      </x:c>
      <x:c r="F26" s="216" t="n">
        <x:f>F25-F24</x:f>
        <x:v>704.0360592400007</x:v>
      </x:c>
      <x:c r="G26" s="206"/>
      <x:c r="H26" s="206"/>
      <x:c r="I26" s="206"/>
      <x:c r="J26" s="206"/>
      <x:c r="K26" s="206"/>
      <x:c r="L26" s="5"/>
    </x:row>
    <x:row r="27">
      <x:c r="A27" s="119" t="str">
        <x:v>Income tax expense</x:v>
      </x:c>
      <x:c r="B27" s="216" t="n">
        <x:f>MAX(0,B26*Assumptions!$E$42)</x:f>
        <x:v>46.73163531460007</x:v>
      </x:c>
      <x:c r="C27" s="216" t="n">
        <x:f>MAX(0,C26*Assumptions!$F$42)</x:f>
        <x:v>67.36733184480012</x:v>
      </x:c>
      <x:c r="D27" s="216" t="n">
        <x:f>MAX(0,D26*Assumptions!$G$42)</x:f>
        <x:v>91.38788102599975</x:v>
      </x:c>
      <x:c r="E27" s="216" t="n">
        <x:f>MAX(0,E26*Assumptions!$H$42)</x:f>
        <x:v>118.11059940700007</x:v>
      </x:c>
      <x:c r="F27" s="216" t="n">
        <x:f>MAX(0,F26*Assumptions!$I$42)</x:f>
        <x:v>147.84757244040014</x:v>
      </x:c>
      <x:c r="G27" s="206"/>
      <x:c r="H27" s="206"/>
      <x:c r="I27" s="206"/>
      <x:c r="J27" s="206"/>
      <x:c r="K27" s="206"/>
      <x:c r="L27" s="5"/>
    </x:row>
    <x:row r="28">
      <x:c r="A28" s="119" t="str">
        <x:v>Net income</x:v>
      </x:c>
      <x:c r="B28" s="216" t="n">
        <x:f>B26-B27</x:f>
        <x:v>199.2243400254003</x:v>
      </x:c>
      <x:c r="C28" s="216" t="n">
        <x:f>C26-C27</x:f>
        <x:v>278.10616479520047</x:v>
      </x:c>
      <x:c r="D28" s="216" t="n">
        <x:f>D26-D27</x:f>
        <x:v>365.551524103999</x:v>
      </x:c>
      <x:c r="E28" s="216" t="n">
        <x:f>E26-E27</x:f>
        <x:v>458.0386659930003</x:v>
      </x:c>
      <x:c r="F28" s="216" t="n">
        <x:f>F26-F27</x:f>
        <x:v>556.1884867996005</x:v>
      </x:c>
      <x:c r="G28" s="206"/>
      <x:c r="H28" s="206"/>
      <x:c r="I28" s="206"/>
      <x:c r="J28" s="206"/>
      <x:c r="K28" s="206"/>
      <x:c r="L28" s="5"/>
    </x:row>
    <x:row r="29">
      <x:c r="A29" s="119" t="str">
        <x:v>SBC</x:v>
      </x:c>
      <x:c r="B29" s="216" t="n">
        <x:f>Cost_Build!B13</x:f>
        <x:v>496.5359457057999</x:v>
      </x:c>
      <x:c r="C29" s="216" t="n">
        <x:f>Cost_Build!C13</x:f>
        <x:v>515.23994867</x:v>
      </x:c>
      <x:c r="D29" s="216" t="n">
        <x:f>Cost_Build!D13</x:f>
        <x:v>527.2176505044</x:v>
      </x:c>
      <x:c r="E29" s="216" t="n">
        <x:f>Cost_Build!E13</x:f>
        <x:v>533.040550254</x:v>
      </x:c>
      <x:c r="F29" s="216" t="n">
        <x:f>Cost_Build!F13</x:f>
        <x:v>533.4008475136</x:v>
      </x:c>
      <x:c r="G29" s="206"/>
      <x:c r="H29" s="206"/>
      <x:c r="I29" s="206"/>
      <x:c r="J29" s="206"/>
      <x:c r="K29" s="206"/>
      <x:c r="L29" s="5"/>
    </x:row>
    <x:row r="30">
      <x:c r="A30" s="119" t="str">
        <x:v>Cash flow before financing</x:v>
      </x:c>
      <x:c r="B30" s="216" t="n">
        <x:f>B28+B18+B29-B15-B17</x:f>
        <x:v>652.8317709501727</x:v>
      </x:c>
      <x:c r="C30" s="216" t="n">
        <x:f>C28+C18+C29-C15-C17</x:f>
        <x:v>829.3299797082217</x:v>
      </x:c>
      <x:c r="D30" s="216" t="n">
        <x:f>D28+D18+D29-D15-D17</x:f>
        <x:v>912.2707252843779</x:v>
      </x:c>
      <x:c r="E30" s="216" t="n">
        <x:f>E28+E18+E29-E15-E17</x:f>
        <x:v>1012.8891877958566</x:v>
      </x:c>
      <x:c r="F30" s="216" t="n">
        <x:f>F28+F18+F29-F15-F17</x:f>
        <x:v>1109.8225229149848</x:v>
      </x:c>
      <x:c r="G30" s="206"/>
      <x:c r="H30" s="206"/>
      <x:c r="I30" s="206"/>
      <x:c r="J30" s="206"/>
      <x:c r="K30" s="206"/>
      <x:c r="L30" s="5"/>
    </x:row>
    <x:row r="31">
      <x:c r="A31" s="119" t="str">
        <x:v>Buybacks</x:v>
      </x:c>
      <x:c r="B31" s="216" t="n">
        <x:f>Assumptions!$E$40</x:f>
        <x:v>0</x:v>
      </x:c>
      <x:c r="C31" s="216" t="n">
        <x:f>Assumptions!$F$40</x:f>
        <x:v>0</x:v>
      </x:c>
      <x:c r="D31" s="216" t="n">
        <x:f>Assumptions!$G$40</x:f>
        <x:v>0</x:v>
      </x:c>
      <x:c r="E31" s="216" t="n">
        <x:f>Assumptions!$H$40</x:f>
        <x:v>0</x:v>
      </x:c>
      <x:c r="F31" s="216" t="n">
        <x:f>Assumptions!$I$40</x:f>
        <x:v>0</x:v>
      </x:c>
      <x:c r="G31" s="206"/>
      <x:c r="H31" s="206"/>
      <x:c r="I31" s="206"/>
      <x:c r="J31" s="206"/>
      <x:c r="K31" s="206"/>
      <x:c r="L31" s="5"/>
    </x:row>
    <x:row r="32">
      <x:c r="A32" s="119" t="str">
        <x:v>Dividends</x:v>
      </x:c>
      <x:c r="B32" s="216" t="n">
        <x:f>Assumptions!$E$41</x:f>
        <x:v>0</x:v>
      </x:c>
      <x:c r="C32" s="216" t="n">
        <x:f>Assumptions!$F$41</x:f>
        <x:v>0</x:v>
      </x:c>
      <x:c r="D32" s="216" t="n">
        <x:f>Assumptions!$G$41</x:f>
        <x:v>0</x:v>
      </x:c>
      <x:c r="E32" s="216" t="n">
        <x:f>Assumptions!$H$41</x:f>
        <x:v>0</x:v>
      </x:c>
      <x:c r="F32" s="216" t="n">
        <x:f>Assumptions!$I$41</x:f>
        <x:v>0</x:v>
      </x:c>
      <x:c r="G32" s="206"/>
      <x:c r="H32" s="206"/>
      <x:c r="I32" s="206"/>
      <x:c r="J32" s="206"/>
      <x:c r="K32" s="206"/>
      <x:c r="L32" s="5"/>
    </x:row>
    <x:row r="33">
      <x:c r="A33" s="119" t="str">
        <x:v>Ending cash</x:v>
      </x:c>
      <x:c r="B33" s="216" t="n">
        <x:f>Historicals_BS!G4+B30+B21-B22-B31-B32</x:f>
        <x:v>1507.7047709501726</x:v>
      </x:c>
      <x:c r="C33" s="216" t="n">
        <x:f>B33+C30+C21-C22-C31-C32</x:f>
        <x:v>2337.0347506583944</x:v>
      </x:c>
      <x:c r="D33" s="216" t="n">
        <x:f>C33+D30+D21-D22-D31-D32</x:f>
        <x:v>3249.3054759427723</x:v>
      </x:c>
      <x:c r="E33" s="216" t="n">
        <x:f>D33+E30+E21-E22-E31-E32</x:f>
        <x:v>4262.194663738629</x:v>
      </x:c>
      <x:c r="F33" s="216" t="n">
        <x:f>E33+F30+F21-F22-F31-F32</x:f>
        <x:v>5372.017186653614</x:v>
      </x:c>
      <x:c r="G33" s="206"/>
      <x:c r="H33" s="206"/>
      <x:c r="I33" s="206"/>
      <x:c r="J33" s="206"/>
      <x:c r="K33" s="206"/>
      <x:c r="L33" s="5"/>
    </x:row>
    <x:row r="34">
      <x:c r="A34" s="119" t="str">
        <x:v>Common stock and APIC</x:v>
      </x:c>
      <x:c r="B34" s="216" t="n">
        <x:f>Historicals_BS!G31+B29-B31</x:f>
        <x:v>3121.3259457057998</x:v>
      </x:c>
      <x:c r="C34" s="216" t="n">
        <x:f>B34+C29-C31</x:f>
        <x:v>3636.5658943758</x:v>
      </x:c>
      <x:c r="D34" s="216" t="n">
        <x:f>C34+D29-D31</x:f>
        <x:v>4163.7835448802</x:v>
      </x:c>
      <x:c r="E34" s="216" t="n">
        <x:f>D34+E29-E31</x:f>
        <x:v>4696.8240951341995</x:v>
      </x:c>
      <x:c r="F34" s="216" t="n">
        <x:f>E34+F29-F31</x:f>
        <x:v>5230.224942647799</x:v>
      </x:c>
      <x:c r="G34" s="206"/>
      <x:c r="H34" s="206"/>
      <x:c r="I34" s="206"/>
      <x:c r="J34" s="206"/>
      <x:c r="K34" s="206"/>
      <x:c r="L34" s="5"/>
    </x:row>
    <x:row r="35">
      <x:c r="A35" s="119" t="str">
        <x:v>Retained earnings</x:v>
      </x:c>
      <x:c r="B35" s="216" t="n">
        <x:f>Historicals_BS!G32+B28-B32</x:f>
        <x:v>-981.6066599745996</x:v>
      </x:c>
      <x:c r="C35" s="216" t="n">
        <x:f>B35+C28-C32</x:f>
        <x:v>-703.5004951793991</x:v>
      </x:c>
      <x:c r="D35" s="216" t="n">
        <x:f>C35+D28-D32</x:f>
        <x:v>-337.9489710754001</x:v>
      </x:c>
      <x:c r="E35" s="216" t="n">
        <x:f>D35+E28-E32</x:f>
        <x:v>120.08969491760018</x:v>
      </x:c>
      <x:c r="F35" s="216" t="n">
        <x:f>E35+F28-F32</x:f>
        <x:v>676.2781817172006</x:v>
      </x:c>
      <x:c r="G35" s="206"/>
      <x:c r="H35" s="206"/>
      <x:c r="I35" s="206"/>
      <x:c r="J35" s="206"/>
      <x:c r="K35" s="206"/>
      <x:c r="L35" s="5"/>
    </x:row>
    <x:row r="36">
      <x:c r="A36" s="119" t="str">
        <x:v>Diluted shares</x:v>
      </x:c>
      <x:c r="B36" s="261" t="n">
        <x:f>Historicals_IS!G23*(1+Assumptions!$E$39)</x:f>
        <x:v>344.363968</x:v>
      </x:c>
      <x:c r="C36" s="261" t="n">
        <x:f>B36*(1+Assumptions!$F$39)</x:f>
        <x:v>345.741423872</x:v>
      </x:c>
      <x:c r="D36" s="261" t="n">
        <x:f>C36*(1+Assumptions!$G$39)</x:f>
        <x:v>346.77864814361595</x:v>
      </x:c>
      <x:c r="E36" s="261" t="n">
        <x:f>D36*(1+Assumptions!$H$39)</x:f>
        <x:v>347.81898408804676</x:v>
      </x:c>
      <x:c r="F36" s="261" t="n">
        <x:f>E36*(1+Assumptions!$I$39)</x:f>
        <x:v>348.86244104031084</x:v>
      </x:c>
      <x:c r="G36" s="206"/>
      <x:c r="H36" s="206"/>
      <x:c r="I36" s="206"/>
      <x:c r="J36" s="206"/>
      <x:c r="K36" s="206"/>
      <x:c r="L36" s="5"/>
    </x:row>
    <x:row r="37">
      <x:c r="A37" s="119"/>
      <x:c r="B37" s="206"/>
      <x:c r="C37" s="206"/>
      <x:c r="D37" s="206"/>
      <x:c r="E37" s="206"/>
      <x:c r="F37" s="206"/>
      <x:c r="G37" s="206"/>
      <x:c r="H37" s="206"/>
      <x:c r="I37" s="206"/>
      <x:c r="J37" s="206"/>
      <x:c r="K37" s="206"/>
      <x:c r="L37" s="5"/>
    </x:row>
    <x:row r="38">
      <x:c r="A38" s="119"/>
      <x:c r="B38" s="206"/>
      <x:c r="C38" s="206"/>
      <x:c r="D38" s="206"/>
      <x:c r="E38" s="206"/>
      <x:c r="F38" s="206"/>
      <x:c r="G38" s="206"/>
      <x:c r="H38" s="206"/>
      <x:c r="I38" s="206"/>
      <x:c r="J38" s="206"/>
      <x:c r="K38" s="206"/>
      <x:c r="L38" s="5"/>
    </x:row>
    <x:row r="39">
      <x:c r="A39" s="119"/>
      <x:c r="B39" s="206"/>
      <x:c r="C39" s="206"/>
      <x:c r="D39" s="206"/>
      <x:c r="E39" s="206"/>
      <x:c r="F39" s="206"/>
      <x:c r="G39" s="206"/>
      <x:c r="H39" s="206"/>
      <x:c r="I39" s="206"/>
      <x:c r="J39" s="206"/>
      <x:c r="K39" s="206"/>
      <x:c r="L39" s="5"/>
    </x:row>
    <x:row r="40">
      <x:c r="A40" s="119"/>
      <x:c r="B40" s="206"/>
      <x:c r="C40" s="206"/>
      <x:c r="D40" s="206"/>
      <x:c r="E40" s="206"/>
      <x:c r="F40" s="206"/>
      <x:c r="G40" s="206"/>
      <x:c r="H40" s="206"/>
      <x:c r="I40" s="206"/>
      <x:c r="J40" s="206"/>
      <x:c r="K40" s="206"/>
      <x:c r="L40" s="5"/>
    </x:row>
    <x:row r="41">
      <x:c r="A41" s="119"/>
      <x:c r="B41" s="206"/>
      <x:c r="C41" s="206"/>
      <x:c r="D41" s="206"/>
      <x:c r="E41" s="206"/>
      <x:c r="F41" s="206"/>
      <x:c r="G41" s="206"/>
      <x:c r="H41" s="206"/>
      <x:c r="I41" s="206"/>
      <x:c r="J41" s="206"/>
      <x:c r="K41" s="206"/>
      <x:c r="L41" s="5"/>
    </x:row>
    <x:row r="42">
      <x:c r="A42" s="119"/>
      <x:c r="B42" s="206"/>
      <x:c r="C42" s="206"/>
      <x:c r="D42" s="206"/>
      <x:c r="E42" s="206"/>
      <x:c r="F42" s="206"/>
      <x:c r="G42" s="206"/>
      <x:c r="H42" s="206"/>
      <x:c r="I42" s="206"/>
      <x:c r="J42" s="206"/>
      <x:c r="K42" s="206"/>
      <x:c r="L42" s="5"/>
    </x:row>
    <x:row r="43">
      <x:c r="A43" s="119"/>
      <x:c r="B43" s="206"/>
      <x:c r="C43" s="206"/>
      <x:c r="D43" s="206"/>
      <x:c r="E43" s="206"/>
      <x:c r="F43" s="206"/>
      <x:c r="G43" s="206"/>
      <x:c r="H43" s="206"/>
      <x:c r="I43" s="206"/>
      <x:c r="J43" s="206"/>
      <x:c r="K43" s="206"/>
      <x:c r="L43" s="5"/>
    </x:row>
    <x:row r="44">
      <x:c r="A44" s="119"/>
      <x:c r="B44" s="206"/>
      <x:c r="C44" s="206"/>
      <x:c r="D44" s="206"/>
      <x:c r="E44" s="206"/>
      <x:c r="F44" s="206"/>
      <x:c r="G44" s="206"/>
      <x:c r="H44" s="206"/>
      <x:c r="I44" s="206"/>
      <x:c r="J44" s="206"/>
      <x:c r="K44" s="206"/>
      <x:c r="L44" s="5"/>
    </x:row>
    <x:row r="45">
      <x:c r="A45" s="119"/>
      <x:c r="B45" s="206"/>
      <x:c r="C45" s="206"/>
      <x:c r="D45" s="206"/>
      <x:c r="E45" s="206"/>
      <x:c r="F45" s="206"/>
      <x:c r="G45" s="206"/>
      <x:c r="H45" s="206"/>
      <x:c r="I45" s="206"/>
      <x:c r="J45" s="206"/>
      <x:c r="K45" s="206"/>
      <x:c r="L45" s="5"/>
    </x:row>
    <x:row r="46">
      <x:c r="A46" s="119"/>
      <x:c r="B46" s="206"/>
      <x:c r="C46" s="206"/>
      <x:c r="D46" s="206"/>
      <x:c r="E46" s="206"/>
      <x:c r="F46" s="206"/>
      <x:c r="G46" s="206"/>
      <x:c r="H46" s="206"/>
      <x:c r="I46" s="206"/>
      <x:c r="J46" s="206"/>
      <x:c r="K46" s="206"/>
      <x:c r="L46" s="5"/>
    </x:row>
    <x:row r="47">
      <x:c r="A47" s="119"/>
      <x:c r="B47" s="206"/>
      <x:c r="C47" s="206"/>
      <x:c r="D47" s="206"/>
      <x:c r="E47" s="206"/>
      <x:c r="F47" s="206"/>
      <x:c r="G47" s="206"/>
      <x:c r="H47" s="206"/>
      <x:c r="I47" s="206"/>
      <x:c r="J47" s="206"/>
      <x:c r="K47" s="206"/>
      <x:c r="L47" s="5"/>
    </x:row>
    <x:row r="48">
      <x:c r="A48" s="119"/>
      <x:c r="B48" s="206"/>
      <x:c r="C48" s="206"/>
      <x:c r="D48" s="206"/>
      <x:c r="E48" s="206"/>
      <x:c r="F48" s="206"/>
      <x:c r="G48" s="206"/>
      <x:c r="H48" s="206"/>
      <x:c r="I48" s="206"/>
      <x:c r="J48" s="206"/>
      <x:c r="K48" s="206"/>
      <x:c r="L48" s="5"/>
    </x:row>
    <x:row r="49">
      <x:c r="A49" s="119"/>
      <x:c r="B49" s="206"/>
      <x:c r="C49" s="206"/>
      <x:c r="D49" s="206"/>
      <x:c r="E49" s="206"/>
      <x:c r="F49" s="206"/>
      <x:c r="G49" s="206"/>
      <x:c r="H49" s="206"/>
      <x:c r="I49" s="206"/>
      <x:c r="J49" s="206"/>
      <x:c r="K49" s="206"/>
      <x:c r="L49" s="5"/>
    </x:row>
    <x:row r="50">
      <x:c r="A50" s="119"/>
      <x:c r="B50" s="206"/>
      <x:c r="C50" s="206"/>
      <x:c r="D50" s="206"/>
      <x:c r="E50" s="206"/>
      <x:c r="F50" s="206"/>
      <x:c r="G50" s="206"/>
      <x:c r="H50" s="206"/>
      <x:c r="I50" s="206"/>
      <x:c r="J50" s="206"/>
      <x:c r="K50" s="206"/>
      <x:c r="L50" s="5"/>
    </x:row>
    <x:row r="51">
      <x:c r="A51" s="119"/>
      <x:c r="B51" s="206"/>
      <x:c r="C51" s="206"/>
      <x:c r="D51" s="206"/>
      <x:c r="E51" s="206"/>
      <x:c r="F51" s="206"/>
      <x:c r="G51" s="206"/>
      <x:c r="H51" s="206"/>
      <x:c r="I51" s="206"/>
      <x:c r="J51" s="206"/>
      <x:c r="K51" s="206"/>
      <x:c r="L51" s="5"/>
    </x:row>
    <x:row r="52">
      <x:c r="A52" s="119"/>
      <x:c r="B52" s="206"/>
      <x:c r="C52" s="206"/>
      <x:c r="D52" s="206"/>
      <x:c r="E52" s="206"/>
      <x:c r="F52" s="206"/>
      <x:c r="G52" s="206"/>
      <x:c r="H52" s="206"/>
      <x:c r="I52" s="206"/>
      <x:c r="J52" s="206"/>
      <x:c r="K52" s="206"/>
      <x:c r="L52" s="5"/>
    </x:row>
    <x:row r="53">
      <x:c r="A53" s="119"/>
      <x:c r="B53" s="206"/>
      <x:c r="C53" s="206"/>
      <x:c r="D53" s="206"/>
      <x:c r="E53" s="206"/>
      <x:c r="F53" s="206"/>
      <x:c r="G53" s="206"/>
      <x:c r="H53" s="206"/>
      <x:c r="I53" s="206"/>
      <x:c r="J53" s="206"/>
      <x:c r="K53" s="206"/>
      <x:c r="L53" s="5"/>
    </x:row>
    <x:row r="54">
      <x:c r="A54" s="119"/>
      <x:c r="B54" s="206"/>
      <x:c r="C54" s="206"/>
      <x:c r="D54" s="206"/>
      <x:c r="E54" s="206"/>
      <x:c r="F54" s="206"/>
      <x:c r="G54" s="206"/>
      <x:c r="H54" s="206"/>
      <x:c r="I54" s="206"/>
      <x:c r="J54" s="206"/>
      <x:c r="K54" s="206"/>
      <x:c r="L54" s="5"/>
    </x:row>
    <x:row r="55">
      <x:c r="A55" s="119"/>
      <x:c r="B55" s="206"/>
      <x:c r="C55" s="206"/>
      <x:c r="D55" s="206"/>
      <x:c r="E55" s="206"/>
      <x:c r="F55" s="206"/>
      <x:c r="G55" s="206"/>
      <x:c r="H55" s="206"/>
      <x:c r="I55" s="206"/>
      <x:c r="J55" s="206"/>
      <x:c r="K55" s="206"/>
      <x:c r="L55" s="5"/>
    </x:row>
    <x:row r="56">
      <x:c r="A56" s="119"/>
      <x:c r="B56" s="206"/>
      <x:c r="C56" s="206"/>
      <x:c r="D56" s="206"/>
      <x:c r="E56" s="206"/>
      <x:c r="F56" s="206"/>
      <x:c r="G56" s="206"/>
      <x:c r="H56" s="206"/>
      <x:c r="I56" s="206"/>
      <x:c r="J56" s="206"/>
      <x:c r="K56" s="206"/>
      <x:c r="L56" s="5"/>
    </x:row>
    <x:row r="57">
      <x:c r="A57" s="119"/>
      <x:c r="B57" s="206"/>
      <x:c r="C57" s="206"/>
      <x:c r="D57" s="206"/>
      <x:c r="E57" s="206"/>
      <x:c r="F57" s="206"/>
      <x:c r="G57" s="206"/>
      <x:c r="H57" s="206"/>
      <x:c r="I57" s="206"/>
      <x:c r="J57" s="206"/>
      <x:c r="K57" s="206"/>
      <x:c r="L57" s="5"/>
    </x:row>
    <x:row r="58">
      <x:c r="A58" s="119"/>
      <x:c r="B58" s="206"/>
      <x:c r="C58" s="206"/>
      <x:c r="D58" s="206"/>
      <x:c r="E58" s="206"/>
      <x:c r="F58" s="206"/>
      <x:c r="G58" s="206"/>
      <x:c r="H58" s="206"/>
      <x:c r="I58" s="206"/>
      <x:c r="J58" s="206"/>
      <x:c r="K58" s="206"/>
      <x:c r="L58" s="5"/>
    </x:row>
    <x:row r="59">
      <x:c r="A59" s="119"/>
      <x:c r="B59" s="206"/>
      <x:c r="C59" s="206"/>
      <x:c r="D59" s="206"/>
      <x:c r="E59" s="206"/>
      <x:c r="F59" s="206"/>
      <x:c r="G59" s="206"/>
      <x:c r="H59" s="206"/>
      <x:c r="I59" s="206"/>
      <x:c r="J59" s="206"/>
      <x:c r="K59" s="206"/>
      <x:c r="L59" s="5"/>
    </x:row>
    <x:row r="60">
      <x:c r="A60" s="119"/>
      <x:c r="B60" s="206"/>
      <x:c r="C60" s="206"/>
      <x:c r="D60" s="206"/>
      <x:c r="E60" s="206"/>
      <x:c r="F60" s="206"/>
      <x:c r="G60" s="206"/>
      <x:c r="H60" s="206"/>
      <x:c r="I60" s="206"/>
      <x:c r="J60" s="206"/>
      <x:c r="K60" s="206"/>
      <x:c r="L60" s="5"/>
    </x:row>
    <x:row r="61">
      <x:c r="A61" s="119"/>
      <x:c r="B61" s="206"/>
      <x:c r="C61" s="206"/>
      <x:c r="D61" s="206"/>
      <x:c r="E61" s="206"/>
      <x:c r="F61" s="206"/>
      <x:c r="G61" s="206"/>
      <x:c r="H61" s="206"/>
      <x:c r="I61" s="206"/>
      <x:c r="J61" s="206"/>
      <x:c r="K61" s="206"/>
      <x:c r="L61" s="5"/>
    </x:row>
    <x:row r="62">
      <x:c r="A62" s="119"/>
      <x:c r="B62" s="206"/>
      <x:c r="C62" s="206"/>
      <x:c r="D62" s="206"/>
      <x:c r="E62" s="206"/>
      <x:c r="F62" s="206"/>
      <x:c r="G62" s="206"/>
      <x:c r="H62" s="206"/>
      <x:c r="I62" s="206"/>
      <x:c r="J62" s="206"/>
      <x:c r="K62" s="206"/>
      <x:c r="L62" s="5"/>
    </x:row>
    <x:row r="63">
      <x:c r="A63" s="119"/>
      <x:c r="B63" s="206"/>
      <x:c r="C63" s="206"/>
      <x:c r="D63" s="206"/>
      <x:c r="E63" s="206"/>
      <x:c r="F63" s="206"/>
      <x:c r="G63" s="206"/>
      <x:c r="H63" s="206"/>
      <x:c r="I63" s="206"/>
      <x:c r="J63" s="206"/>
      <x:c r="K63" s="206"/>
      <x:c r="L63" s="5"/>
    </x:row>
    <x:row r="64">
      <x:c r="A64" s="119"/>
      <x:c r="B64" s="206"/>
      <x:c r="C64" s="206"/>
      <x:c r="D64" s="206"/>
      <x:c r="E64" s="206"/>
      <x:c r="F64" s="206"/>
      <x:c r="G64" s="206"/>
      <x:c r="H64" s="206"/>
      <x:c r="I64" s="206"/>
      <x:c r="J64" s="206"/>
      <x:c r="K64" s="206"/>
      <x:c r="L64" s="5"/>
    </x:row>
    <x:row r="65">
      <x:c r="A65" s="119"/>
      <x:c r="B65" s="206"/>
      <x:c r="C65" s="206"/>
      <x:c r="D65" s="206"/>
      <x:c r="E65" s="206"/>
      <x:c r="F65" s="206"/>
      <x:c r="G65" s="206"/>
      <x:c r="H65" s="206"/>
      <x:c r="I65" s="206"/>
      <x:c r="J65" s="206"/>
      <x:c r="K65" s="206"/>
      <x:c r="L65" s="5"/>
    </x:row>
    <x:row r="66">
      <x:c r="A66" s="119"/>
      <x:c r="B66" s="206"/>
      <x:c r="C66" s="206"/>
      <x:c r="D66" s="206"/>
      <x:c r="E66" s="206"/>
      <x:c r="F66" s="206"/>
      <x:c r="G66" s="206"/>
      <x:c r="H66" s="206"/>
      <x:c r="I66" s="206"/>
      <x:c r="J66" s="206"/>
      <x:c r="K66" s="206"/>
      <x:c r="L66" s="5"/>
    </x:row>
    <x:row r="67">
      <x:c r="A67" s="119"/>
      <x:c r="B67" s="206"/>
      <x:c r="C67" s="206"/>
      <x:c r="D67" s="206"/>
      <x:c r="E67" s="206"/>
      <x:c r="F67" s="206"/>
      <x:c r="G67" s="206"/>
      <x:c r="H67" s="206"/>
      <x:c r="I67" s="206"/>
      <x:c r="J67" s="206"/>
      <x:c r="K67" s="206"/>
      <x:c r="L67" s="5"/>
    </x:row>
    <x:row r="68">
      <x:c r="A68" s="119"/>
      <x:c r="B68" s="206"/>
      <x:c r="C68" s="206"/>
      <x:c r="D68" s="206"/>
      <x:c r="E68" s="206"/>
      <x:c r="F68" s="206"/>
      <x:c r="G68" s="206"/>
      <x:c r="H68" s="206"/>
      <x:c r="I68" s="206"/>
      <x:c r="J68" s="206"/>
      <x:c r="K68" s="206"/>
      <x:c r="L68" s="5"/>
    </x:row>
    <x:row r="69">
      <x:c r="A69" s="119"/>
      <x:c r="B69" s="206"/>
      <x:c r="C69" s="206"/>
      <x:c r="D69" s="206"/>
      <x:c r="E69" s="206"/>
      <x:c r="F69" s="206"/>
      <x:c r="G69" s="206"/>
      <x:c r="H69" s="206"/>
      <x:c r="I69" s="206"/>
      <x:c r="J69" s="206"/>
      <x:c r="K69" s="206"/>
      <x:c r="L69" s="5"/>
    </x:row>
    <x:row r="70">
      <x:c r="A70" s="119"/>
      <x:c r="B70" s="206"/>
      <x:c r="C70" s="206"/>
      <x:c r="D70" s="206"/>
      <x:c r="E70" s="206"/>
      <x:c r="F70" s="206"/>
      <x:c r="G70" s="206"/>
      <x:c r="H70" s="206"/>
      <x:c r="I70" s="206"/>
      <x:c r="J70" s="206"/>
      <x:c r="K70" s="206"/>
      <x:c r="L70" s="5"/>
    </x:row>
    <x:row r="71">
      <x:c r="A71" s="119"/>
      <x:c r="B71" s="206"/>
      <x:c r="C71" s="206"/>
      <x:c r="D71" s="206"/>
      <x:c r="E71" s="206"/>
      <x:c r="F71" s="206"/>
      <x:c r="G71" s="206"/>
      <x:c r="H71" s="206"/>
      <x:c r="I71" s="206"/>
      <x:c r="J71" s="206"/>
      <x:c r="K71" s="206"/>
      <x:c r="L71" s="5"/>
    </x:row>
    <x:row r="72">
      <x:c r="A72" s="119"/>
      <x:c r="B72" s="206"/>
      <x:c r="C72" s="206"/>
      <x:c r="D72" s="206"/>
      <x:c r="E72" s="206"/>
      <x:c r="F72" s="206"/>
      <x:c r="G72" s="206"/>
      <x:c r="H72" s="206"/>
      <x:c r="I72" s="206"/>
      <x:c r="J72" s="206"/>
      <x:c r="K72" s="206"/>
      <x:c r="L72" s="5"/>
    </x:row>
    <x:row r="73">
      <x:c r="A73" s="119"/>
      <x:c r="B73" s="206"/>
      <x:c r="C73" s="206"/>
      <x:c r="D73" s="206"/>
      <x:c r="E73" s="206"/>
      <x:c r="F73" s="206"/>
      <x:c r="G73" s="206"/>
      <x:c r="H73" s="206"/>
      <x:c r="I73" s="206"/>
      <x:c r="J73" s="206"/>
      <x:c r="K73" s="206"/>
      <x:c r="L73" s="5"/>
    </x:row>
    <x:row r="74">
      <x:c r="A74" s="119"/>
      <x:c r="B74" s="206"/>
      <x:c r="C74" s="206"/>
      <x:c r="D74" s="206"/>
      <x:c r="E74" s="206"/>
      <x:c r="F74" s="206"/>
      <x:c r="G74" s="206"/>
      <x:c r="H74" s="206"/>
      <x:c r="I74" s="206"/>
      <x:c r="J74" s="206"/>
      <x:c r="K74" s="206"/>
      <x:c r="L74" s="5"/>
    </x:row>
    <x:row r="75">
      <x:c r="A75" s="119"/>
      <x:c r="B75" s="206"/>
      <x:c r="C75" s="206"/>
      <x:c r="D75" s="206"/>
      <x:c r="E75" s="206"/>
      <x:c r="F75" s="206"/>
      <x:c r="G75" s="206"/>
      <x:c r="H75" s="206"/>
      <x:c r="I75" s="206"/>
      <x:c r="J75" s="206"/>
      <x:c r="K75" s="206"/>
      <x:c r="L75" s="5"/>
    </x:row>
    <x:row r="76">
      <x:c r="A76" s="119"/>
      <x:c r="B76" s="206"/>
      <x:c r="C76" s="206"/>
      <x:c r="D76" s="206"/>
      <x:c r="E76" s="206"/>
      <x:c r="F76" s="206"/>
      <x:c r="G76" s="206"/>
      <x:c r="H76" s="206"/>
      <x:c r="I76" s="206"/>
      <x:c r="J76" s="206"/>
      <x:c r="K76" s="206"/>
      <x:c r="L76" s="5"/>
    </x:row>
    <x:row r="77">
      <x:c r="A77" s="119"/>
      <x:c r="B77" s="206"/>
      <x:c r="C77" s="206"/>
      <x:c r="D77" s="206"/>
      <x:c r="E77" s="206"/>
      <x:c r="F77" s="206"/>
      <x:c r="G77" s="206"/>
      <x:c r="H77" s="206"/>
      <x:c r="I77" s="206"/>
      <x:c r="J77" s="206"/>
      <x:c r="K77" s="206"/>
      <x:c r="L77" s="5"/>
    </x:row>
    <x:row r="78">
      <x:c r="A78" s="119"/>
      <x:c r="B78" s="206"/>
      <x:c r="C78" s="206"/>
      <x:c r="D78" s="206"/>
      <x:c r="E78" s="206"/>
      <x:c r="F78" s="206"/>
      <x:c r="G78" s="206"/>
      <x:c r="H78" s="206"/>
      <x:c r="I78" s="206"/>
      <x:c r="J78" s="206"/>
      <x:c r="K78" s="206"/>
      <x:c r="L78" s="5"/>
    </x:row>
    <x:row r="79">
      <x:c r="A79" s="119"/>
      <x:c r="B79" s="206"/>
      <x:c r="C79" s="206"/>
      <x:c r="D79" s="206"/>
      <x:c r="E79" s="206"/>
      <x:c r="F79" s="206"/>
      <x:c r="G79" s="206"/>
      <x:c r="H79" s="206"/>
      <x:c r="I79" s="206"/>
      <x:c r="J79" s="206"/>
      <x:c r="K79" s="206"/>
      <x:c r="L79" s="5"/>
    </x:row>
    <x:row r="80">
      <x:c r="A80" s="119"/>
      <x:c r="B80" s="206"/>
      <x:c r="C80" s="206"/>
      <x:c r="D80" s="206"/>
      <x:c r="E80" s="206"/>
      <x:c r="F80" s="206"/>
      <x:c r="G80" s="206"/>
      <x:c r="H80" s="206"/>
      <x:c r="I80" s="206"/>
      <x:c r="J80" s="206"/>
      <x:c r="K80" s="206"/>
      <x:c r="L80" s="5"/>
    </x:row>
    <x:row r="81">
      <x:c r="B81" s="260"/>
      <x:c r="C81" s="260"/>
      <x:c r="D81" s="260"/>
      <x:c r="E81" s="260"/>
      <x:c r="F81" s="260"/>
      <x:c r="G81" s="260"/>
      <x:c r="H81" s="260"/>
      <x:c r="I81" s="260"/>
      <x:c r="J81" s="260"/>
      <x:c r="K81" s="260"/>
    </x:row>
    <x:row r="82">
      <x:c r="B82" s="260"/>
      <x:c r="C82" s="260"/>
      <x:c r="D82" s="260"/>
      <x:c r="E82" s="260"/>
      <x:c r="F82" s="260"/>
      <x:c r="G82" s="260"/>
      <x:c r="H82" s="260"/>
      <x:c r="I82" s="260"/>
      <x:c r="J82" s="260"/>
      <x:c r="K82" s="260"/>
    </x:row>
    <x:row r="83">
      <x:c r="B83" s="260"/>
      <x:c r="C83" s="260"/>
      <x:c r="D83" s="260"/>
      <x:c r="E83" s="260"/>
      <x:c r="F83" s="260"/>
      <x:c r="G83" s="260"/>
      <x:c r="H83" s="260"/>
      <x:c r="I83" s="260"/>
      <x:c r="J83" s="260"/>
      <x:c r="K83" s="260"/>
    </x:row>
    <x:row r="84">
      <x:c r="B84" s="260"/>
      <x:c r="C84" s="260"/>
      <x:c r="D84" s="260"/>
      <x:c r="E84" s="260"/>
      <x:c r="F84" s="260"/>
      <x:c r="G84" s="260"/>
      <x:c r="H84" s="260"/>
      <x:c r="I84" s="260"/>
      <x:c r="J84" s="260"/>
      <x:c r="K84" s="260"/>
    </x:row>
    <x:row r="85">
      <x:c r="B85" s="260"/>
      <x:c r="C85" s="260"/>
      <x:c r="D85" s="260"/>
      <x:c r="E85" s="260"/>
      <x:c r="F85" s="260"/>
      <x:c r="G85" s="260"/>
      <x:c r="H85" s="260"/>
      <x:c r="I85" s="260"/>
      <x:c r="J85" s="260"/>
      <x:c r="K85" s="260"/>
    </x:row>
    <x:row r="86">
      <x:c r="B86" s="260"/>
      <x:c r="C86" s="260"/>
      <x:c r="D86" s="260"/>
      <x:c r="E86" s="260"/>
      <x:c r="F86" s="260"/>
      <x:c r="G86" s="260"/>
      <x:c r="H86" s="260"/>
      <x:c r="I86" s="260"/>
      <x:c r="J86" s="260"/>
      <x:c r="K86" s="260"/>
    </x:row>
    <x:row r="87">
      <x:c r="B87" s="260"/>
      <x:c r="C87" s="260"/>
      <x:c r="D87" s="260"/>
      <x:c r="E87" s="260"/>
      <x:c r="F87" s="260"/>
      <x:c r="G87" s="260"/>
      <x:c r="H87" s="260"/>
      <x:c r="I87" s="260"/>
      <x:c r="J87" s="260"/>
      <x:c r="K87" s="260"/>
    </x:row>
    <x:row r="88">
      <x:c r="B88" s="260"/>
      <x:c r="C88" s="260"/>
      <x:c r="D88" s="260"/>
      <x:c r="E88" s="260"/>
      <x:c r="F88" s="260"/>
      <x:c r="G88" s="260"/>
      <x:c r="H88" s="260"/>
      <x:c r="I88" s="260"/>
      <x:c r="J88" s="260"/>
      <x:c r="K88" s="260"/>
    </x:row>
    <x:row r="89">
      <x:c r="B89" s="260"/>
      <x:c r="C89" s="260"/>
      <x:c r="D89" s="260"/>
      <x:c r="E89" s="260"/>
      <x:c r="F89" s="260"/>
      <x:c r="G89" s="260"/>
      <x:c r="H89" s="260"/>
      <x:c r="I89" s="260"/>
      <x:c r="J89" s="260"/>
      <x:c r="K89" s="260"/>
    </x:row>
    <x:row r="90">
      <x:c r="B90" s="260"/>
      <x:c r="C90" s="260"/>
      <x:c r="D90" s="260"/>
      <x:c r="E90" s="260"/>
      <x:c r="F90" s="260"/>
      <x:c r="G90" s="260"/>
      <x:c r="H90" s="260"/>
      <x:c r="I90" s="260"/>
      <x:c r="J90" s="260"/>
      <x:c r="K90" s="260"/>
    </x:row>
    <x:row r="91">
      <x:c r="B91" s="260"/>
      <x:c r="C91" s="260"/>
      <x:c r="D91" s="260"/>
      <x:c r="E91" s="260"/>
      <x:c r="F91" s="260"/>
      <x:c r="G91" s="260"/>
      <x:c r="H91" s="260"/>
      <x:c r="I91" s="260"/>
      <x:c r="J91" s="260"/>
      <x:c r="K91" s="260"/>
    </x:row>
    <x:row r="92">
      <x:c r="B92" s="260"/>
      <x:c r="C92" s="260"/>
      <x:c r="D92" s="260"/>
      <x:c r="E92" s="260"/>
      <x:c r="F92" s="260"/>
      <x:c r="G92" s="260"/>
      <x:c r="H92" s="260"/>
      <x:c r="I92" s="260"/>
      <x:c r="J92" s="260"/>
      <x:c r="K92" s="260"/>
    </x:row>
    <x:row r="93">
      <x:c r="B93" s="260"/>
      <x:c r="C93" s="260"/>
      <x:c r="D93" s="260"/>
      <x:c r="E93" s="260"/>
      <x:c r="F93" s="260"/>
      <x:c r="G93" s="260"/>
      <x:c r="H93" s="260"/>
      <x:c r="I93" s="260"/>
      <x:c r="J93" s="260"/>
      <x:c r="K93" s="260"/>
    </x:row>
    <x:row r="94">
      <x:c r="B94" s="260"/>
      <x:c r="C94" s="260"/>
      <x:c r="D94" s="260"/>
      <x:c r="E94" s="260"/>
      <x:c r="F94" s="260"/>
      <x:c r="G94" s="260"/>
      <x:c r="H94" s="260"/>
      <x:c r="I94" s="260"/>
      <x:c r="J94" s="260"/>
      <x:c r="K94" s="260"/>
    </x:row>
    <x:row r="95">
      <x:c r="B95" s="260"/>
      <x:c r="C95" s="260"/>
      <x:c r="D95" s="260"/>
      <x:c r="E95" s="260"/>
      <x:c r="F95" s="260"/>
      <x:c r="G95" s="260"/>
      <x:c r="H95" s="260"/>
      <x:c r="I95" s="260"/>
      <x:c r="J95" s="260"/>
      <x:c r="K95" s="260"/>
    </x:row>
    <x:row r="96">
      <x:c r="B96" s="260"/>
      <x:c r="C96" s="260"/>
      <x:c r="D96" s="260"/>
      <x:c r="E96" s="260"/>
      <x:c r="F96" s="260"/>
      <x:c r="G96" s="260"/>
      <x:c r="H96" s="260"/>
      <x:c r="I96" s="260"/>
      <x:c r="J96" s="260"/>
      <x:c r="K96" s="260"/>
    </x:row>
    <x:row r="97">
      <x:c r="B97" s="260"/>
      <x:c r="C97" s="260"/>
      <x:c r="D97" s="260"/>
      <x:c r="E97" s="260"/>
      <x:c r="F97" s="260"/>
      <x:c r="G97" s="260"/>
      <x:c r="H97" s="260"/>
      <x:c r="I97" s="260"/>
      <x:c r="J97" s="260"/>
      <x:c r="K97" s="260"/>
    </x:row>
    <x:row r="98">
      <x:c r="B98" s="260"/>
      <x:c r="C98" s="260"/>
      <x:c r="D98" s="260"/>
      <x:c r="E98" s="260"/>
      <x:c r="F98" s="260"/>
      <x:c r="G98" s="260"/>
      <x:c r="H98" s="260"/>
      <x:c r="I98" s="260"/>
      <x:c r="J98" s="260"/>
      <x:c r="K98" s="260"/>
    </x:row>
    <x:row r="99">
      <x:c r="B99" s="260"/>
      <x:c r="C99" s="260"/>
      <x:c r="D99" s="260"/>
      <x:c r="E99" s="260"/>
      <x:c r="F99" s="260"/>
      <x:c r="G99" s="260"/>
      <x:c r="H99" s="260"/>
      <x:c r="I99" s="260"/>
      <x:c r="J99" s="260"/>
      <x:c r="K99" s="260"/>
    </x:row>
    <x:row r="100">
      <x:c r="B100" s="260"/>
      <x:c r="C100" s="260"/>
      <x:c r="D100" s="260"/>
      <x:c r="E100" s="260"/>
      <x:c r="F100" s="260"/>
      <x:c r="G100" s="260"/>
      <x:c r="H100" s="260"/>
      <x:c r="I100" s="260"/>
      <x:c r="J100" s="260"/>
      <x:c r="K100" s="260"/>
    </x:row>
    <x:row r="101">
      <x:c r="B101" s="260"/>
      <x:c r="C101" s="260"/>
      <x:c r="D101" s="260"/>
      <x:c r="E101" s="260"/>
      <x:c r="F101" s="260"/>
      <x:c r="G101" s="260"/>
      <x:c r="H101" s="260"/>
      <x:c r="I101" s="260"/>
      <x:c r="J101" s="260"/>
      <x:c r="K101" s="260"/>
    </x:row>
    <x:row r="102">
      <x:c r="B102" s="260"/>
      <x:c r="C102" s="260"/>
      <x:c r="D102" s="260"/>
      <x:c r="E102" s="260"/>
      <x:c r="F102" s="260"/>
      <x:c r="G102" s="260"/>
      <x:c r="H102" s="260"/>
      <x:c r="I102" s="260"/>
      <x:c r="J102" s="260"/>
      <x:c r="K102" s="260"/>
    </x:row>
    <x:row r="103">
      <x:c r="B103" s="260"/>
      <x:c r="C103" s="260"/>
      <x:c r="D103" s="260"/>
      <x:c r="E103" s="260"/>
      <x:c r="F103" s="260"/>
      <x:c r="G103" s="260"/>
      <x:c r="H103" s="260"/>
      <x:c r="I103" s="260"/>
      <x:c r="J103" s="260"/>
      <x:c r="K103" s="260"/>
    </x:row>
    <x:row r="104">
      <x:c r="B104" s="260"/>
      <x:c r="C104" s="260"/>
      <x:c r="D104" s="260"/>
      <x:c r="E104" s="260"/>
      <x:c r="F104" s="260"/>
      <x:c r="G104" s="260"/>
      <x:c r="H104" s="260"/>
      <x:c r="I104" s="260"/>
      <x:c r="J104" s="260"/>
      <x:c r="K104" s="260"/>
    </x:row>
    <x:row r="105">
      <x:c r="B105" s="260"/>
      <x:c r="C105" s="260"/>
      <x:c r="D105" s="260"/>
      <x:c r="E105" s="260"/>
      <x:c r="F105" s="260"/>
      <x:c r="G105" s="260"/>
      <x:c r="H105" s="260"/>
      <x:c r="I105" s="260"/>
      <x:c r="J105" s="260"/>
      <x:c r="K105" s="260"/>
    </x:row>
    <x:row r="106">
      <x:c r="B106" s="260"/>
      <x:c r="C106" s="260"/>
      <x:c r="D106" s="260"/>
      <x:c r="E106" s="260"/>
      <x:c r="F106" s="260"/>
      <x:c r="G106" s="260"/>
      <x:c r="H106" s="260"/>
      <x:c r="I106" s="260"/>
      <x:c r="J106" s="260"/>
      <x:c r="K106" s="260"/>
    </x:row>
    <x:row r="107">
      <x:c r="B107" s="260"/>
      <x:c r="C107" s="260"/>
      <x:c r="D107" s="260"/>
      <x:c r="E107" s="260"/>
      <x:c r="F107" s="260"/>
      <x:c r="G107" s="260"/>
      <x:c r="H107" s="260"/>
      <x:c r="I107" s="260"/>
      <x:c r="J107" s="260"/>
      <x:c r="K107" s="260"/>
    </x:row>
    <x:row r="108">
      <x:c r="B108" s="260"/>
      <x:c r="C108" s="260"/>
      <x:c r="D108" s="260"/>
      <x:c r="E108" s="260"/>
      <x:c r="F108" s="260"/>
      <x:c r="G108" s="260"/>
      <x:c r="H108" s="260"/>
      <x:c r="I108" s="260"/>
      <x:c r="J108" s="260"/>
      <x:c r="K108" s="260"/>
    </x:row>
    <x:row r="109">
      <x:c r="B109" s="260"/>
      <x:c r="C109" s="260"/>
      <x:c r="D109" s="260"/>
      <x:c r="E109" s="260"/>
      <x:c r="F109" s="260"/>
      <x:c r="G109" s="260"/>
      <x:c r="H109" s="260"/>
      <x:c r="I109" s="260"/>
      <x:c r="J109" s="260"/>
      <x:c r="K109" s="260"/>
    </x:row>
    <x:row r="110">
      <x:c r="B110" s="260"/>
      <x:c r="C110" s="260"/>
      <x:c r="D110" s="260"/>
      <x:c r="E110" s="260"/>
      <x:c r="F110" s="260"/>
      <x:c r="G110" s="260"/>
      <x:c r="H110" s="260"/>
      <x:c r="I110" s="260"/>
      <x:c r="J110" s="260"/>
      <x:c r="K110" s="260"/>
    </x:row>
    <x:row r="111">
      <x:c r="B111" s="260"/>
      <x:c r="C111" s="260"/>
      <x:c r="D111" s="260"/>
      <x:c r="E111" s="260"/>
      <x:c r="F111" s="260"/>
      <x:c r="G111" s="260"/>
      <x:c r="H111" s="260"/>
      <x:c r="I111" s="260"/>
      <x:c r="J111" s="260"/>
      <x:c r="K111" s="260"/>
    </x:row>
    <x:row r="112">
      <x:c r="B112" s="260"/>
      <x:c r="C112" s="260"/>
      <x:c r="D112" s="260"/>
      <x:c r="E112" s="260"/>
      <x:c r="F112" s="260"/>
      <x:c r="G112" s="260"/>
      <x:c r="H112" s="260"/>
      <x:c r="I112" s="260"/>
      <x:c r="J112" s="260"/>
      <x:c r="K112" s="260"/>
    </x:row>
    <x:row r="113">
      <x:c r="B113" s="260"/>
      <x:c r="C113" s="260"/>
      <x:c r="D113" s="260"/>
      <x:c r="E113" s="260"/>
      <x:c r="F113" s="260"/>
      <x:c r="G113" s="260"/>
      <x:c r="H113" s="260"/>
      <x:c r="I113" s="260"/>
      <x:c r="J113" s="260"/>
      <x:c r="K113" s="260"/>
    </x:row>
    <x:row r="114">
      <x:c r="B114" s="260"/>
      <x:c r="C114" s="260"/>
      <x:c r="D114" s="260"/>
      <x:c r="E114" s="260"/>
      <x:c r="F114" s="260"/>
      <x:c r="G114" s="260"/>
      <x:c r="H114" s="260"/>
      <x:c r="I114" s="260"/>
      <x:c r="J114" s="260"/>
      <x:c r="K114" s="260"/>
    </x:row>
    <x:row r="115">
      <x:c r="B115" s="260"/>
      <x:c r="C115" s="260"/>
      <x:c r="D115" s="260"/>
      <x:c r="E115" s="260"/>
      <x:c r="F115" s="260"/>
      <x:c r="G115" s="260"/>
      <x:c r="H115" s="260"/>
      <x:c r="I115" s="260"/>
      <x:c r="J115" s="260"/>
      <x:c r="K115" s="260"/>
    </x:row>
    <x:row r="116">
      <x:c r="B116" s="260"/>
      <x:c r="C116" s="260"/>
      <x:c r="D116" s="260"/>
      <x:c r="E116" s="260"/>
      <x:c r="F116" s="260"/>
      <x:c r="G116" s="260"/>
      <x:c r="H116" s="260"/>
      <x:c r="I116" s="260"/>
      <x:c r="J116" s="260"/>
      <x:c r="K116" s="260"/>
    </x:row>
    <x:row r="117">
      <x:c r="B117" s="260"/>
      <x:c r="C117" s="260"/>
      <x:c r="D117" s="260"/>
      <x:c r="E117" s="260"/>
      <x:c r="F117" s="260"/>
      <x:c r="G117" s="260"/>
      <x:c r="H117" s="260"/>
      <x:c r="I117" s="260"/>
      <x:c r="J117" s="260"/>
      <x:c r="K117" s="260"/>
    </x:row>
    <x:row r="118">
      <x:c r="B118" s="260"/>
      <x:c r="C118" s="260"/>
      <x:c r="D118" s="260"/>
      <x:c r="E118" s="260"/>
      <x:c r="F118" s="260"/>
      <x:c r="G118" s="260"/>
      <x:c r="H118" s="260"/>
      <x:c r="I118" s="260"/>
      <x:c r="J118" s="260"/>
      <x:c r="K118" s="260"/>
    </x:row>
    <x:row r="119">
      <x:c r="B119" s="260"/>
      <x:c r="C119" s="260"/>
      <x:c r="D119" s="260"/>
      <x:c r="E119" s="260"/>
      <x:c r="F119" s="260"/>
      <x:c r="G119" s="260"/>
      <x:c r="H119" s="260"/>
      <x:c r="I119" s="260"/>
      <x:c r="J119" s="260"/>
      <x:c r="K119" s="260"/>
    </x:row>
    <x:row r="120">
      <x:c r="B120" s="260"/>
      <x:c r="C120" s="260"/>
      <x:c r="D120" s="260"/>
      <x:c r="E120" s="260"/>
      <x:c r="F120" s="260"/>
      <x:c r="G120" s="260"/>
      <x:c r="H120" s="260"/>
      <x:c r="I120" s="260"/>
      <x:c r="J120" s="260"/>
      <x:c r="K120" s="260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40.709999084472656" hidden="0" customWidth="1"/>
    <x:col min="2" max="2" width="12.859999656677246" hidden="0" customWidth="1"/>
    <x:col min="3" max="3" width="12.859999656677246" hidden="0" customWidth="1"/>
    <x:col min="4" max="4" width="12.859999656677246" hidden="0" customWidth="1"/>
    <x:col min="5" max="5" width="12.859999656677246" hidden="0" customWidth="1"/>
    <x:col min="6" max="6" width="12.859999656677246" hidden="0" customWidth="1"/>
  </x:cols>
  <x:sheetData>
    <x:row r="1">
      <x:c r="A1" s="4" t="str">
        <x:v>FYE: February.  Units: $ in millions except per-share data, shares in millions, ratios, and noted operating drivers.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>
      <x:c r="A3" s="144" t="str">
        <x:v>Line item</x:v>
      </x:c>
      <x:c r="B3" s="144" t="str">
        <x:v>FY2027E</x:v>
      </x:c>
      <x:c r="C3" s="144" t="str">
        <x:v>FY2028E</x:v>
      </x:c>
      <x:c r="D3" s="144" t="str">
        <x:v>FY2029E</x:v>
      </x:c>
      <x:c r="E3" s="144" t="str">
        <x:v>FY2030E</x:v>
      </x:c>
      <x:c r="F3" s="144" t="str">
        <x:v>FY2031E</x:v>
      </x:c>
      <x:c r="G3" s="119"/>
      <x:c r="H3" s="119"/>
      <x:c r="I3" s="119"/>
      <x:c r="J3" s="119"/>
      <x:c r="K3" s="119"/>
      <x:c r="L3" s="5"/>
    </x:row>
    <x:row r="4">
      <x:c r="A4" s="119" t="str">
        <x:v>Product revenue</x:v>
      </x:c>
      <x:c r="B4" s="216" t="n">
        <x:f>Revenue_Build!B9</x:f>
        <x:v>2141.340425</x:v>
      </x:c>
      <x:c r="C4" s="216" t="n">
        <x:f>Revenue_Build!C9</x:f>
        <x:v>2303.36531</x:v>
      </x:c>
      <x:c r="D4" s="216" t="n">
        <x:f>Revenue_Build!D9</x:f>
        <x:v>2444.3627309999997</x:v>
      </x:c>
      <x:c r="E4" s="216" t="n">
        <x:f>Revenue_Build!E9</x:f>
        <x:v>2566.5577649999996</x:v>
      </x:c>
      <x:c r="F4" s="216" t="n">
        <x:f>Revenue_Build!F9</x:f>
        <x:v>2681.661585</x:v>
      </x:c>
      <x:c r="G4" s="206"/>
      <x:c r="H4" s="206"/>
      <x:c r="I4" s="206"/>
      <x:c r="J4" s="206"/>
      <x:c r="K4" s="206"/>
      <x:c r="L4" s="5"/>
    </x:row>
    <x:row r="5">
      <x:c r="A5" s="119" t="str">
        <x:v>Service / subscription revenue</x:v>
      </x:c>
      <x:c r="B5" s="216" t="n">
        <x:f>Revenue_Build!B16</x:f>
        <x:v>1924.122825</x:v>
      </x:c>
      <x:c r="C5" s="216" t="n">
        <x:f>Revenue_Build!C16</x:f>
        <x:v>2164.027776</x:v>
      </x:c>
      <x:c r="D5" s="216" t="n">
        <x:f>Revenue_Build!D16</x:f>
        <x:v>2406.057095</x:v>
      </x:c>
      <x:c r="E5" s="216" t="n">
        <x:f>Revenue_Build!E16</x:f>
        <x:v>2644.72672</x:v>
      </x:c>
      <x:c r="F5" s="216" t="n">
        <x:f>Revenue_Build!F16</x:f>
        <x:v>2871.4730880000006</x:v>
      </x:c>
      <x:c r="G5" s="206"/>
      <x:c r="H5" s="206"/>
      <x:c r="I5" s="206"/>
      <x:c r="J5" s="206"/>
      <x:c r="K5" s="206"/>
      <x:c r="L5" s="5"/>
    </x:row>
    <x:row r="6">
      <x:c r="A6" s="119" t="str">
        <x:v>Total revenue</x:v>
      </x:c>
      <x:c r="B6" s="216" t="n">
        <x:f>SUM(B4:B5)</x:f>
        <x:v>4065.46325</x:v>
      </x:c>
      <x:c r="C6" s="216" t="n">
        <x:f>SUM(C4:C5)</x:f>
        <x:v>4467.393086</x:v>
      </x:c>
      <x:c r="D6" s="216" t="n">
        <x:f>SUM(D4:D5)</x:f>
        <x:v>4850.419825999999</x:v>
      </x:c>
      <x:c r="E6" s="216" t="n">
        <x:f>SUM(E4:E5)</x:f>
        <x:v>5211.284485</x:v>
      </x:c>
      <x:c r="F6" s="216" t="n">
        <x:f>SUM(F4:F5)</x:f>
        <x:v>5553.1346730000005</x:v>
      </x:c>
      <x:c r="G6" s="206"/>
      <x:c r="H6" s="206"/>
      <x:c r="I6" s="206"/>
      <x:c r="J6" s="206"/>
      <x:c r="K6" s="206"/>
      <x:c r="L6" s="5"/>
    </x:row>
    <x:row r="7">
      <x:c r="A7" s="119" t="str">
        <x:v>Cost of revenue - Product</x:v>
      </x:c>
      <x:c r="B7" s="216" t="n">
        <x:f>Cost_Build!B4</x:f>
        <x:v>706.6423402500001</x:v>
      </x:c>
      <x:c r="C7" s="216" t="n">
        <x:f>Cost_Build!C4</x:f>
        <x:v>755.50382168</x:v>
      </x:c>
      <x:c r="D7" s="216" t="n">
        <x:f>Cost_Build!D4</x:f>
        <x:v>794.40614712</x:v>
      </x:c>
      <x:c r="E7" s="216" t="n">
        <x:f>Cost_Build!E4</x:f>
        <x:v>826.4267163</x:v>
      </x:c>
      <x:c r="F7" s="216" t="n">
        <x:f>Cost_Build!F4</x:f>
        <x:v>858.1317072</x:v>
      </x:c>
      <x:c r="G7" s="206"/>
      <x:c r="H7" s="206"/>
      <x:c r="I7" s="206"/>
      <x:c r="J7" s="206"/>
      <x:c r="K7" s="206"/>
      <x:c r="L7" s="5"/>
    </x:row>
    <x:row r="8">
      <x:c r="A8" s="119" t="str">
        <x:v>Cost of revenue - Service / subscription</x:v>
      </x:c>
      <x:c r="B8" s="216" t="n">
        <x:f>Cost_Build!B5</x:f>
        <x:v>490.64193441</x:v>
      </x:c>
      <x:c r="C8" s="216" t="n">
        <x:f>Cost_Build!C5</x:f>
        <x:v>547.49076768</x:v>
      </x:c>
      <x:c r="D8" s="216" t="n">
        <x:f>Cost_Build!D5</x:f>
        <x:v>601.51427375</x:v>
      </x:c>
      <x:c r="E8" s="216" t="n">
        <x:f>Cost_Build!E5</x:f>
        <x:v>655.8825033</x:v>
      </x:c>
      <x:c r="F8" s="216" t="n">
        <x:f>Cost_Build!F5</x:f>
        <x:v>703.5109065600001</x:v>
      </x:c>
      <x:c r="G8" s="206"/>
      <x:c r="H8" s="206"/>
      <x:c r="I8" s="206"/>
      <x:c r="J8" s="206"/>
      <x:c r="K8" s="206"/>
      <x:c r="L8" s="5"/>
    </x:row>
    <x:row r="9">
      <x:c r="A9" s="119" t="str">
        <x:v>Total cost of revenue</x:v>
      </x:c>
      <x:c r="B9" s="216" t="n">
        <x:f>SUM(B7:B8)</x:f>
        <x:v>1197.28427466</x:v>
      </x:c>
      <x:c r="C9" s="216" t="n">
        <x:f>SUM(C7:C8)</x:f>
        <x:v>1302.99458936</x:v>
      </x:c>
      <x:c r="D9" s="216" t="n">
        <x:f>SUM(D7:D8)</x:f>
        <x:v>1395.92042087</x:v>
      </x:c>
      <x:c r="E9" s="216" t="n">
        <x:f>SUM(E7:E8)</x:f>
        <x:v>1482.3092196</x:v>
      </x:c>
      <x:c r="F9" s="216" t="n">
        <x:f>SUM(F7:F8)</x:f>
        <x:v>1561.6426137600001</x:v>
      </x:c>
      <x:c r="G9" s="206"/>
      <x:c r="H9" s="206"/>
      <x:c r="I9" s="206"/>
      <x:c r="J9" s="206"/>
      <x:c r="K9" s="206"/>
      <x:c r="L9" s="5"/>
    </x:row>
    <x:row r="10">
      <x:c r="A10" s="119" t="str">
        <x:v>Gross profit</x:v>
      </x:c>
      <x:c r="B10" s="216" t="n">
        <x:f>B6-B9</x:f>
        <x:v>2868.17897534</x:v>
      </x:c>
      <x:c r="C10" s="216" t="n">
        <x:f>C6-C9</x:f>
        <x:v>3164.3984966400003</x:v>
      </x:c>
      <x:c r="D10" s="216" t="n">
        <x:f>D6-D9</x:f>
        <x:v>3454.499405129999</x:v>
      </x:c>
      <x:c r="E10" s="216" t="n">
        <x:f>E6-E9</x:f>
        <x:v>3728.9752654000004</x:v>
      </x:c>
      <x:c r="F10" s="216" t="n">
        <x:f>F6-F9</x:f>
        <x:v>3991.4920592400003</x:v>
      </x:c>
      <x:c r="G10" s="206"/>
      <x:c r="H10" s="206"/>
      <x:c r="I10" s="206"/>
      <x:c r="J10" s="206"/>
      <x:c r="K10" s="206"/>
      <x:c r="L10" s="5"/>
    </x:row>
    <x:row r="11">
      <x:c r="A11" s="119" t="str">
        <x:v>Research and development</x:v>
      </x:c>
      <x:c r="B11" s="216" t="n">
        <x:f>Cost_Build!B9</x:f>
        <x:v>1036.693</x:v>
      </x:c>
      <x:c r="C11" s="216" t="n">
        <x:f>Cost_Build!C9</x:f>
        <x:v>1116.848</x:v>
      </x:c>
      <x:c r="D11" s="216" t="n">
        <x:f>Cost_Build!D9</x:f>
        <x:v>1188.353</x:v>
      </x:c>
      <x:c r="E11" s="216" t="n">
        <x:f>Cost_Build!E9</x:f>
        <x:v>1250.708</x:v>
      </x:c>
      <x:c r="F11" s="216" t="n">
        <x:f>Cost_Build!F9</x:f>
        <x:v>1304.987</x:v>
      </x:c>
      <x:c r="G11" s="206"/>
      <x:c r="H11" s="206"/>
      <x:c r="I11" s="206"/>
      <x:c r="J11" s="206"/>
      <x:c r="K11" s="206"/>
      <x:c r="L11" s="5"/>
    </x:row>
    <x:row r="12">
      <x:c r="A12" s="119" t="str">
        <x:v>Sales and marketing</x:v>
      </x:c>
      <x:c r="B12" s="216" t="n">
        <x:f>Cost_Build!B10</x:f>
        <x:v>1239.966</x:v>
      </x:c>
      <x:c r="C12" s="216" t="n">
        <x:f>Cost_Build!C10</x:f>
        <x:v>1331.283</x:v>
      </x:c>
      <x:c r="D12" s="216" t="n">
        <x:f>Cost_Build!D10</x:f>
        <x:v>1416.323</x:v>
      </x:c>
      <x:c r="E12" s="216" t="n">
        <x:f>Cost_Build!E10</x:f>
        <x:v>1490.427</x:v>
      </x:c>
      <x:c r="F12" s="216" t="n">
        <x:f>Cost_Build!F10</x:f>
        <x:v>1554.878</x:v>
      </x:c>
      <x:c r="G12" s="206"/>
      <x:c r="H12" s="206"/>
      <x:c r="I12" s="206"/>
      <x:c r="J12" s="206"/>
      <x:c r="K12" s="206"/>
      <x:c r="L12" s="5"/>
    </x:row>
    <x:row r="13">
      <x:c r="A13" s="119" t="str">
        <x:v>General and administrative</x:v>
      </x:c>
      <x:c r="B13" s="216" t="n">
        <x:f>Cost_Build!B11</x:f>
        <x:v>345.564</x:v>
      </x:c>
      <x:c r="C13" s="216" t="n">
        <x:f>Cost_Build!C11</x:f>
        <x:v>370.794</x:v>
      </x:c>
      <x:c r="D13" s="216" t="n">
        <x:f>Cost_Build!D11</x:f>
        <x:v>392.884</x:v>
      </x:c>
      <x:c r="E13" s="216" t="n">
        <x:f>Cost_Build!E11</x:f>
        <x:v>411.691</x:v>
      </x:c>
      <x:c r="F13" s="216" t="n">
        <x:f>Cost_Build!F11</x:f>
        <x:v>427.591</x:v>
      </x:c>
      <x:c r="G13" s="206"/>
      <x:c r="H13" s="206"/>
      <x:c r="I13" s="206"/>
      <x:c r="J13" s="206"/>
      <x:c r="K13" s="206"/>
      <x:c r="L13" s="5"/>
    </x:row>
    <x:row r="14">
      <x:c r="A14" s="119" t="str">
        <x:v>Restructuring / impairment / other</x:v>
      </x:c>
      <x:c r="B14" s="216" t="n">
        <x:f>Assumptions!$E$9*0</x:f>
        <x:v>0</x:v>
      </x:c>
      <x:c r="C14" s="216" t="n">
        <x:f>Assumptions!$F$9*0</x:f>
        <x:v>0</x:v>
      </x:c>
      <x:c r="D14" s="216" t="n">
        <x:f>Assumptions!$G$9*0</x:f>
        <x:v>0</x:v>
      </x:c>
      <x:c r="E14" s="216" t="n">
        <x:f>Assumptions!$H$9*0</x:f>
        <x:v>0</x:v>
      </x:c>
      <x:c r="F14" s="216" t="n">
        <x:f>Assumptions!$I$9*0</x:f>
        <x:v>0</x:v>
      </x:c>
      <x:c r="G14" s="206"/>
      <x:c r="H14" s="206"/>
      <x:c r="I14" s="206"/>
      <x:c r="J14" s="206"/>
      <x:c r="K14" s="206"/>
      <x:c r="L14" s="5"/>
    </x:row>
    <x:row r="15">
      <x:c r="A15" s="119" t="str">
        <x:v>Total operating expenses</x:v>
      </x:c>
      <x:c r="B15" s="216" t="n">
        <x:f>SUM(B11:B14)</x:f>
        <x:v>2622.2229999999995</x:v>
      </x:c>
      <x:c r="C15" s="216" t="n">
        <x:f>SUM(C11:C14)</x:f>
        <x:v>2818.9249999999997</x:v>
      </x:c>
      <x:c r="D15" s="216" t="n">
        <x:f>SUM(D11:D14)</x:f>
        <x:v>2997.5600000000004</x:v>
      </x:c>
      <x:c r="E15" s="216" t="n">
        <x:f>SUM(E11:E14)</x:f>
        <x:v>3152.826</x:v>
      </x:c>
      <x:c r="F15" s="216" t="n">
        <x:f>SUM(F11:F14)</x:f>
        <x:v>3287.4559999999997</x:v>
      </x:c>
      <x:c r="G15" s="206"/>
      <x:c r="H15" s="206"/>
      <x:c r="I15" s="206"/>
      <x:c r="J15" s="206"/>
      <x:c r="K15" s="206"/>
      <x:c r="L15" s="5"/>
    </x:row>
    <x:row r="16">
      <x:c r="A16" s="119" t="str">
        <x:v>Operating income</x:v>
      </x:c>
      <x:c r="B16" s="216" t="n">
        <x:f>B10-B15</x:f>
        <x:v>245.95597534000035</x:v>
      </x:c>
      <x:c r="C16" s="216" t="n">
        <x:f>C10-C15</x:f>
        <x:v>345.4734966400006</x:v>
      </x:c>
      <x:c r="D16" s="216" t="n">
        <x:f>D10-D15</x:f>
        <x:v>456.9394051299987</x:v>
      </x:c>
      <x:c r="E16" s="216" t="n">
        <x:f>E10-E15</x:f>
        <x:v>576.1492654000003</x:v>
      </x:c>
      <x:c r="F16" s="216" t="n">
        <x:f>F10-F15</x:f>
        <x:v>704.0360592400007</x:v>
      </x:c>
      <x:c r="G16" s="206"/>
      <x:c r="H16" s="206"/>
      <x:c r="I16" s="206"/>
      <x:c r="J16" s="206"/>
      <x:c r="K16" s="206"/>
      <x:c r="L16" s="5"/>
    </x:row>
    <x:row r="17">
      <x:c r="A17" s="119" t="str">
        <x:v>Interest income</x:v>
      </x:c>
      <x:c r="B17" s="216" t="n">
        <x:f>Assumptions!$E$9*0</x:f>
        <x:v>0</x:v>
      </x:c>
      <x:c r="C17" s="216" t="n">
        <x:f>Assumptions!$F$9*0</x:f>
        <x:v>0</x:v>
      </x:c>
      <x:c r="D17" s="216" t="n">
        <x:f>Assumptions!$G$9*0</x:f>
        <x:v>0</x:v>
      </x:c>
      <x:c r="E17" s="216" t="n">
        <x:f>Assumptions!$H$9*0</x:f>
        <x:v>0</x:v>
      </x:c>
      <x:c r="F17" s="216" t="n">
        <x:f>Assumptions!$I$9*0</x:f>
        <x:v>0</x:v>
      </x:c>
      <x:c r="G17" s="206"/>
      <x:c r="H17" s="206"/>
      <x:c r="I17" s="206"/>
      <x:c r="J17" s="206"/>
      <x:c r="K17" s="206"/>
      <x:c r="L17" s="5"/>
    </x:row>
    <x:row r="18">
      <x:c r="A18" s="119" t="str">
        <x:v>Interest expense</x:v>
      </x:c>
      <x:c r="B18" s="216" t="n">
        <x:f>WC_PPE_Debt!B24</x:f>
        <x:v>0</x:v>
      </x:c>
      <x:c r="C18" s="216" t="n">
        <x:f>WC_PPE_Debt!C24</x:f>
        <x:v>0</x:v>
      </x:c>
      <x:c r="D18" s="216" t="n">
        <x:f>WC_PPE_Debt!D24</x:f>
        <x:v>0</x:v>
      </x:c>
      <x:c r="E18" s="216" t="n">
        <x:f>WC_PPE_Debt!E24</x:f>
        <x:v>0</x:v>
      </x:c>
      <x:c r="F18" s="216" t="n">
        <x:f>WC_PPE_Debt!F24</x:f>
        <x:v>0</x:v>
      </x:c>
      <x:c r="G18" s="206"/>
      <x:c r="H18" s="206"/>
      <x:c r="I18" s="206"/>
      <x:c r="J18" s="206"/>
      <x:c r="K18" s="206"/>
      <x:c r="L18" s="5"/>
    </x:row>
    <x:row r="19">
      <x:c r="A19" s="119" t="str">
        <x:v>Other income / expense, net</x:v>
      </x:c>
      <x:c r="B19" s="216" t="n">
        <x:f>B17-B18</x:f>
        <x:v>0</x:v>
      </x:c>
      <x:c r="C19" s="216" t="n">
        <x:f>C17-C18</x:f>
        <x:v>0</x:v>
      </x:c>
      <x:c r="D19" s="216" t="n">
        <x:f>D17-D18</x:f>
        <x:v>0</x:v>
      </x:c>
      <x:c r="E19" s="216" t="n">
        <x:f>E17-E18</x:f>
        <x:v>0</x:v>
      </x:c>
      <x:c r="F19" s="216" t="n">
        <x:f>F17-F18</x:f>
        <x:v>0</x:v>
      </x:c>
      <x:c r="G19" s="206"/>
      <x:c r="H19" s="206"/>
      <x:c r="I19" s="206"/>
      <x:c r="J19" s="206"/>
      <x:c r="K19" s="206"/>
      <x:c r="L19" s="5"/>
    </x:row>
    <x:row r="20">
      <x:c r="A20" s="119" t="str">
        <x:v>Pretax income</x:v>
      </x:c>
      <x:c r="B20" s="216" t="n">
        <x:f>B16+B19</x:f>
        <x:v>245.95597534000035</x:v>
      </x:c>
      <x:c r="C20" s="216" t="n">
        <x:f>C16+C19</x:f>
        <x:v>345.4734966400006</x:v>
      </x:c>
      <x:c r="D20" s="216" t="n">
        <x:f>D16+D19</x:f>
        <x:v>456.9394051299987</x:v>
      </x:c>
      <x:c r="E20" s="216" t="n">
        <x:f>E16+E19</x:f>
        <x:v>576.1492654000003</x:v>
      </x:c>
      <x:c r="F20" s="216" t="n">
        <x:f>F16+F19</x:f>
        <x:v>704.0360592400007</x:v>
      </x:c>
      <x:c r="G20" s="206"/>
      <x:c r="H20" s="206"/>
      <x:c r="I20" s="206"/>
      <x:c r="J20" s="206"/>
      <x:c r="K20" s="206"/>
      <x:c r="L20" s="5"/>
    </x:row>
    <x:row r="21">
      <x:c r="A21" s="119" t="str">
        <x:v>Income tax expense</x:v>
      </x:c>
      <x:c r="B21" s="216" t="n">
        <x:f>MAX(0,B20*Assumptions!$E$42)</x:f>
        <x:v>46.73163531460007</x:v>
      </x:c>
      <x:c r="C21" s="216" t="n">
        <x:f>MAX(0,C20*Assumptions!$F$42)</x:f>
        <x:v>67.36733184480012</x:v>
      </x:c>
      <x:c r="D21" s="216" t="n">
        <x:f>MAX(0,D20*Assumptions!$G$42)</x:f>
        <x:v>91.38788102599975</x:v>
      </x:c>
      <x:c r="E21" s="216" t="n">
        <x:f>MAX(0,E20*Assumptions!$H$42)</x:f>
        <x:v>118.11059940700007</x:v>
      </x:c>
      <x:c r="F21" s="216" t="n">
        <x:f>MAX(0,F20*Assumptions!$I$42)</x:f>
        <x:v>147.84757244040014</x:v>
      </x:c>
      <x:c r="G21" s="206"/>
      <x:c r="H21" s="206"/>
      <x:c r="I21" s="206"/>
      <x:c r="J21" s="206"/>
      <x:c r="K21" s="206"/>
      <x:c r="L21" s="5"/>
    </x:row>
    <x:row r="22">
      <x:c r="A22" s="119" t="str">
        <x:v>Net income</x:v>
      </x:c>
      <x:c r="B22" s="216" t="n">
        <x:f>B20-B21</x:f>
        <x:v>199.2243400254003</x:v>
      </x:c>
      <x:c r="C22" s="216" t="n">
        <x:f>C20-C21</x:f>
        <x:v>278.10616479520047</x:v>
      </x:c>
      <x:c r="D22" s="216" t="n">
        <x:f>D20-D21</x:f>
        <x:v>365.551524103999</x:v>
      </x:c>
      <x:c r="E22" s="216" t="n">
        <x:f>E20-E21</x:f>
        <x:v>458.0386659930003</x:v>
      </x:c>
      <x:c r="F22" s="216" t="n">
        <x:f>F20-F21</x:f>
        <x:v>556.1884867996005</x:v>
      </x:c>
      <x:c r="G22" s="206"/>
      <x:c r="H22" s="206"/>
      <x:c r="I22" s="206"/>
      <x:c r="J22" s="206"/>
      <x:c r="K22" s="206"/>
      <x:c r="L22" s="5"/>
    </x:row>
    <x:row r="23">
      <x:c r="A23" s="119" t="str">
        <x:v>Diluted weighted average shares</x:v>
      </x:c>
      <x:c r="B23" s="261" t="n">
        <x:f>WC_PPE_Debt!B36</x:f>
        <x:v>344.363968</x:v>
      </x:c>
      <x:c r="C23" s="261" t="n">
        <x:f>WC_PPE_Debt!C36</x:f>
        <x:v>345.741423872</x:v>
      </x:c>
      <x:c r="D23" s="261" t="n">
        <x:f>WC_PPE_Debt!D36</x:f>
        <x:v>346.77864814361595</x:v>
      </x:c>
      <x:c r="E23" s="261" t="n">
        <x:f>WC_PPE_Debt!E36</x:f>
        <x:v>347.81898408804676</x:v>
      </x:c>
      <x:c r="F23" s="261" t="n">
        <x:f>WC_PPE_Debt!F36</x:f>
        <x:v>348.86244104031084</x:v>
      </x:c>
      <x:c r="G23" s="206"/>
      <x:c r="H23" s="206"/>
      <x:c r="I23" s="206"/>
      <x:c r="J23" s="206"/>
      <x:c r="K23" s="206"/>
      <x:c r="L23" s="5"/>
    </x:row>
    <x:row r="24">
      <x:c r="A24" s="119" t="str">
        <x:v>Diluted EPS</x:v>
      </x:c>
      <x:c r="B24" s="262" t="n">
        <x:f>B22/B23</x:f>
        <x:v>0.5785284133600188</x:v>
      </x:c>
      <x:c r="C24" s="262" t="n">
        <x:f>C22/C23</x:f>
        <x:v>0.8043761770882295</x:v>
      </x:c>
      <x:c r="D24" s="262" t="n">
        <x:f>D22/D23</x:f>
        <x:v>1.0541350399192062</x:v>
      </x:c>
      <x:c r="E24" s="262" t="n">
        <x:f>E22/E23</x:f>
        <x:v>1.3168880565675292</x:v>
      </x:c>
      <x:c r="F24" s="262" t="n">
        <x:f>F22/F23</x:f>
        <x:v>1.5942916788091075</x:v>
      </x:c>
      <x:c r="G24" s="206"/>
      <x:c r="H24" s="206"/>
      <x:c r="I24" s="206"/>
      <x:c r="J24" s="206"/>
      <x:c r="K24" s="206"/>
      <x:c r="L24" s="5"/>
    </x:row>
    <x:row r="25">
      <x:c r="A25" s="119"/>
      <x:c r="B25" s="206"/>
      <x:c r="C25" s="206"/>
      <x:c r="D25" s="206"/>
      <x:c r="E25" s="206"/>
      <x:c r="F25" s="206"/>
      <x:c r="G25" s="206"/>
      <x:c r="H25" s="206"/>
      <x:c r="I25" s="206"/>
      <x:c r="J25" s="206"/>
      <x:c r="K25" s="206"/>
      <x:c r="L25" s="5"/>
    </x:row>
    <x:row r="26">
      <x:c r="A26" s="119"/>
      <x:c r="B26" s="206"/>
      <x:c r="C26" s="206"/>
      <x:c r="D26" s="206"/>
      <x:c r="E26" s="206"/>
      <x:c r="F26" s="206"/>
      <x:c r="G26" s="206"/>
      <x:c r="H26" s="206"/>
      <x:c r="I26" s="206"/>
      <x:c r="J26" s="206"/>
      <x:c r="K26" s="206"/>
      <x:c r="L26" s="5"/>
    </x:row>
    <x:row r="27">
      <x:c r="A27" s="119"/>
      <x:c r="B27" s="206"/>
      <x:c r="C27" s="206"/>
      <x:c r="D27" s="206"/>
      <x:c r="E27" s="206"/>
      <x:c r="F27" s="206"/>
      <x:c r="G27" s="206"/>
      <x:c r="H27" s="206"/>
      <x:c r="I27" s="206"/>
      <x:c r="J27" s="206"/>
      <x:c r="K27" s="206"/>
      <x:c r="L27" s="5"/>
    </x:row>
    <x:row r="28">
      <x:c r="A28" s="119"/>
      <x:c r="B28" s="206"/>
      <x:c r="C28" s="206"/>
      <x:c r="D28" s="206"/>
      <x:c r="E28" s="206"/>
      <x:c r="F28" s="206"/>
      <x:c r="G28" s="206"/>
      <x:c r="H28" s="206"/>
      <x:c r="I28" s="206"/>
      <x:c r="J28" s="206"/>
      <x:c r="K28" s="206"/>
      <x:c r="L28" s="5"/>
    </x:row>
    <x:row r="29">
      <x:c r="A29" s="119"/>
      <x:c r="B29" s="206"/>
      <x:c r="C29" s="206"/>
      <x:c r="D29" s="206"/>
      <x:c r="E29" s="206"/>
      <x:c r="F29" s="206"/>
      <x:c r="G29" s="206"/>
      <x:c r="H29" s="206"/>
      <x:c r="I29" s="206"/>
      <x:c r="J29" s="206"/>
      <x:c r="K29" s="206"/>
      <x:c r="L29" s="5"/>
    </x:row>
    <x:row r="30">
      <x:c r="A30" s="119"/>
      <x:c r="B30" s="206"/>
      <x:c r="C30" s="206"/>
      <x:c r="D30" s="206"/>
      <x:c r="E30" s="206"/>
      <x:c r="F30" s="206"/>
      <x:c r="G30" s="206"/>
      <x:c r="H30" s="206"/>
      <x:c r="I30" s="206"/>
      <x:c r="J30" s="206"/>
      <x:c r="K30" s="206"/>
      <x:c r="L30" s="5"/>
    </x:row>
    <x:row r="31">
      <x:c r="A31" s="119"/>
      <x:c r="B31" s="206"/>
      <x:c r="C31" s="206"/>
      <x:c r="D31" s="206"/>
      <x:c r="E31" s="206"/>
      <x:c r="F31" s="206"/>
      <x:c r="G31" s="206"/>
      <x:c r="H31" s="206"/>
      <x:c r="I31" s="206"/>
      <x:c r="J31" s="206"/>
      <x:c r="K31" s="206"/>
      <x:c r="L31" s="5"/>
    </x:row>
    <x:row r="32">
      <x:c r="A32" s="119"/>
      <x:c r="B32" s="206"/>
      <x:c r="C32" s="206"/>
      <x:c r="D32" s="206"/>
      <x:c r="E32" s="206"/>
      <x:c r="F32" s="206"/>
      <x:c r="G32" s="206"/>
      <x:c r="H32" s="206"/>
      <x:c r="I32" s="206"/>
      <x:c r="J32" s="206"/>
      <x:c r="K32" s="206"/>
      <x:c r="L32" s="5"/>
    </x:row>
    <x:row r="33">
      <x:c r="A33" s="119"/>
      <x:c r="B33" s="206"/>
      <x:c r="C33" s="206"/>
      <x:c r="D33" s="206"/>
      <x:c r="E33" s="206"/>
      <x:c r="F33" s="206"/>
      <x:c r="G33" s="206"/>
      <x:c r="H33" s="206"/>
      <x:c r="I33" s="206"/>
      <x:c r="J33" s="206"/>
      <x:c r="K33" s="206"/>
      <x:c r="L33" s="5"/>
    </x:row>
    <x:row r="34">
      <x:c r="A34" s="119"/>
      <x:c r="B34" s="206"/>
      <x:c r="C34" s="206"/>
      <x:c r="D34" s="206"/>
      <x:c r="E34" s="206"/>
      <x:c r="F34" s="206"/>
      <x:c r="G34" s="206"/>
      <x:c r="H34" s="206"/>
      <x:c r="I34" s="206"/>
      <x:c r="J34" s="206"/>
      <x:c r="K34" s="206"/>
      <x:c r="L34" s="5"/>
    </x:row>
    <x:row r="35">
      <x:c r="A35" s="119"/>
      <x:c r="B35" s="206"/>
      <x:c r="C35" s="206"/>
      <x:c r="D35" s="206"/>
      <x:c r="E35" s="206"/>
      <x:c r="F35" s="206"/>
      <x:c r="G35" s="206"/>
      <x:c r="H35" s="206"/>
      <x:c r="I35" s="206"/>
      <x:c r="J35" s="206"/>
      <x:c r="K35" s="206"/>
      <x:c r="L35" s="5"/>
    </x:row>
    <x:row r="36">
      <x:c r="A36" s="119"/>
      <x:c r="B36" s="206"/>
      <x:c r="C36" s="206"/>
      <x:c r="D36" s="206"/>
      <x:c r="E36" s="206"/>
      <x:c r="F36" s="206"/>
      <x:c r="G36" s="206"/>
      <x:c r="H36" s="206"/>
      <x:c r="I36" s="206"/>
      <x:c r="J36" s="206"/>
      <x:c r="K36" s="206"/>
      <x:c r="L36" s="5"/>
    </x:row>
    <x:row r="37">
      <x:c r="A37" s="119"/>
      <x:c r="B37" s="206"/>
      <x:c r="C37" s="206"/>
      <x:c r="D37" s="206"/>
      <x:c r="E37" s="206"/>
      <x:c r="F37" s="206"/>
      <x:c r="G37" s="206"/>
      <x:c r="H37" s="206"/>
      <x:c r="I37" s="206"/>
      <x:c r="J37" s="206"/>
      <x:c r="K37" s="206"/>
      <x:c r="L37" s="5"/>
    </x:row>
    <x:row r="38">
      <x:c r="A38" s="119"/>
      <x:c r="B38" s="206"/>
      <x:c r="C38" s="206"/>
      <x:c r="D38" s="206"/>
      <x:c r="E38" s="206"/>
      <x:c r="F38" s="206"/>
      <x:c r="G38" s="206"/>
      <x:c r="H38" s="206"/>
      <x:c r="I38" s="206"/>
      <x:c r="J38" s="206"/>
      <x:c r="K38" s="206"/>
      <x:c r="L38" s="5"/>
    </x:row>
    <x:row r="39">
      <x:c r="A39" s="119"/>
      <x:c r="B39" s="206"/>
      <x:c r="C39" s="206"/>
      <x:c r="D39" s="206"/>
      <x:c r="E39" s="206"/>
      <x:c r="F39" s="206"/>
      <x:c r="G39" s="206"/>
      <x:c r="H39" s="206"/>
      <x:c r="I39" s="206"/>
      <x:c r="J39" s="206"/>
      <x:c r="K39" s="206"/>
      <x:c r="L39" s="5"/>
    </x:row>
    <x:row r="40">
      <x:c r="A40" s="119"/>
      <x:c r="B40" s="206"/>
      <x:c r="C40" s="206"/>
      <x:c r="D40" s="206"/>
      <x:c r="E40" s="206"/>
      <x:c r="F40" s="206"/>
      <x:c r="G40" s="206"/>
      <x:c r="H40" s="206"/>
      <x:c r="I40" s="206"/>
      <x:c r="J40" s="206"/>
      <x:c r="K40" s="206"/>
      <x:c r="L40" s="5"/>
    </x:row>
    <x:row r="41">
      <x:c r="A41" s="119"/>
      <x:c r="B41" s="206"/>
      <x:c r="C41" s="206"/>
      <x:c r="D41" s="206"/>
      <x:c r="E41" s="206"/>
      <x:c r="F41" s="206"/>
      <x:c r="G41" s="206"/>
      <x:c r="H41" s="206"/>
      <x:c r="I41" s="206"/>
      <x:c r="J41" s="206"/>
      <x:c r="K41" s="206"/>
      <x:c r="L41" s="5"/>
    </x:row>
    <x:row r="42">
      <x:c r="A42" s="119"/>
      <x:c r="B42" s="206"/>
      <x:c r="C42" s="206"/>
      <x:c r="D42" s="206"/>
      <x:c r="E42" s="206"/>
      <x:c r="F42" s="206"/>
      <x:c r="G42" s="206"/>
      <x:c r="H42" s="206"/>
      <x:c r="I42" s="206"/>
      <x:c r="J42" s="206"/>
      <x:c r="K42" s="206"/>
      <x:c r="L42" s="5"/>
    </x:row>
    <x:row r="43">
      <x:c r="A43" s="119"/>
      <x:c r="B43" s="206"/>
      <x:c r="C43" s="206"/>
      <x:c r="D43" s="206"/>
      <x:c r="E43" s="206"/>
      <x:c r="F43" s="206"/>
      <x:c r="G43" s="206"/>
      <x:c r="H43" s="206"/>
      <x:c r="I43" s="206"/>
      <x:c r="J43" s="206"/>
      <x:c r="K43" s="206"/>
      <x:c r="L43" s="5"/>
    </x:row>
    <x:row r="44">
      <x:c r="A44" s="119"/>
      <x:c r="B44" s="206"/>
      <x:c r="C44" s="206"/>
      <x:c r="D44" s="206"/>
      <x:c r="E44" s="206"/>
      <x:c r="F44" s="206"/>
      <x:c r="G44" s="206"/>
      <x:c r="H44" s="206"/>
      <x:c r="I44" s="206"/>
      <x:c r="J44" s="206"/>
      <x:c r="K44" s="206"/>
      <x:c r="L44" s="5"/>
    </x:row>
    <x:row r="45">
      <x:c r="A45" s="119"/>
      <x:c r="B45" s="206"/>
      <x:c r="C45" s="206"/>
      <x:c r="D45" s="206"/>
      <x:c r="E45" s="206"/>
      <x:c r="F45" s="206"/>
      <x:c r="G45" s="206"/>
      <x:c r="H45" s="206"/>
      <x:c r="I45" s="206"/>
      <x:c r="J45" s="206"/>
      <x:c r="K45" s="206"/>
      <x:c r="L45" s="5"/>
    </x:row>
    <x:row r="46">
      <x:c r="A46" s="119"/>
      <x:c r="B46" s="206"/>
      <x:c r="C46" s="206"/>
      <x:c r="D46" s="206"/>
      <x:c r="E46" s="206"/>
      <x:c r="F46" s="206"/>
      <x:c r="G46" s="206"/>
      <x:c r="H46" s="206"/>
      <x:c r="I46" s="206"/>
      <x:c r="J46" s="206"/>
      <x:c r="K46" s="206"/>
      <x:c r="L46" s="5"/>
    </x:row>
    <x:row r="47">
      <x:c r="A47" s="119"/>
      <x:c r="B47" s="206"/>
      <x:c r="C47" s="206"/>
      <x:c r="D47" s="206"/>
      <x:c r="E47" s="206"/>
      <x:c r="F47" s="206"/>
      <x:c r="G47" s="206"/>
      <x:c r="H47" s="206"/>
      <x:c r="I47" s="206"/>
      <x:c r="J47" s="206"/>
      <x:c r="K47" s="206"/>
      <x:c r="L47" s="5"/>
    </x:row>
    <x:row r="48">
      <x:c r="A48" s="119"/>
      <x:c r="B48" s="206"/>
      <x:c r="C48" s="206"/>
      <x:c r="D48" s="206"/>
      <x:c r="E48" s="206"/>
      <x:c r="F48" s="206"/>
      <x:c r="G48" s="206"/>
      <x:c r="H48" s="206"/>
      <x:c r="I48" s="206"/>
      <x:c r="J48" s="206"/>
      <x:c r="K48" s="206"/>
      <x:c r="L48" s="5"/>
    </x:row>
    <x:row r="49">
      <x:c r="A49" s="119"/>
      <x:c r="B49" s="206"/>
      <x:c r="C49" s="206"/>
      <x:c r="D49" s="206"/>
      <x:c r="E49" s="206"/>
      <x:c r="F49" s="206"/>
      <x:c r="G49" s="206"/>
      <x:c r="H49" s="206"/>
      <x:c r="I49" s="206"/>
      <x:c r="J49" s="206"/>
      <x:c r="K49" s="206"/>
      <x:c r="L49" s="5"/>
    </x:row>
    <x:row r="50">
      <x:c r="A50" s="119"/>
      <x:c r="B50" s="206"/>
      <x:c r="C50" s="206"/>
      <x:c r="D50" s="206"/>
      <x:c r="E50" s="206"/>
      <x:c r="F50" s="206"/>
      <x:c r="G50" s="206"/>
      <x:c r="H50" s="206"/>
      <x:c r="I50" s="206"/>
      <x:c r="J50" s="206"/>
      <x:c r="K50" s="206"/>
      <x:c r="L50" s="5"/>
    </x:row>
    <x:row r="51">
      <x:c r="A51" s="119"/>
      <x:c r="B51" s="206"/>
      <x:c r="C51" s="206"/>
      <x:c r="D51" s="206"/>
      <x:c r="E51" s="206"/>
      <x:c r="F51" s="206"/>
      <x:c r="G51" s="206"/>
      <x:c r="H51" s="206"/>
      <x:c r="I51" s="206"/>
      <x:c r="J51" s="206"/>
      <x:c r="K51" s="206"/>
      <x:c r="L51" s="5"/>
    </x:row>
    <x:row r="52">
      <x:c r="A52" s="119"/>
      <x:c r="B52" s="206"/>
      <x:c r="C52" s="206"/>
      <x:c r="D52" s="206"/>
      <x:c r="E52" s="206"/>
      <x:c r="F52" s="206"/>
      <x:c r="G52" s="206"/>
      <x:c r="H52" s="206"/>
      <x:c r="I52" s="206"/>
      <x:c r="J52" s="206"/>
      <x:c r="K52" s="206"/>
      <x:c r="L52" s="5"/>
    </x:row>
    <x:row r="53">
      <x:c r="A53" s="119"/>
      <x:c r="B53" s="206"/>
      <x:c r="C53" s="206"/>
      <x:c r="D53" s="206"/>
      <x:c r="E53" s="206"/>
      <x:c r="F53" s="206"/>
      <x:c r="G53" s="206"/>
      <x:c r="H53" s="206"/>
      <x:c r="I53" s="206"/>
      <x:c r="J53" s="206"/>
      <x:c r="K53" s="206"/>
      <x:c r="L53" s="5"/>
    </x:row>
    <x:row r="54">
      <x:c r="A54" s="119"/>
      <x:c r="B54" s="206"/>
      <x:c r="C54" s="206"/>
      <x:c r="D54" s="206"/>
      <x:c r="E54" s="206"/>
      <x:c r="F54" s="206"/>
      <x:c r="G54" s="206"/>
      <x:c r="H54" s="206"/>
      <x:c r="I54" s="206"/>
      <x:c r="J54" s="206"/>
      <x:c r="K54" s="206"/>
      <x:c r="L54" s="5"/>
    </x:row>
    <x:row r="55">
      <x:c r="A55" s="119"/>
      <x:c r="B55" s="206"/>
      <x:c r="C55" s="206"/>
      <x:c r="D55" s="206"/>
      <x:c r="E55" s="206"/>
      <x:c r="F55" s="206"/>
      <x:c r="G55" s="206"/>
      <x:c r="H55" s="206"/>
      <x:c r="I55" s="206"/>
      <x:c r="J55" s="206"/>
      <x:c r="K55" s="206"/>
      <x:c r="L55" s="5"/>
    </x:row>
    <x:row r="56">
      <x:c r="A56" s="119"/>
      <x:c r="B56" s="206"/>
      <x:c r="C56" s="206"/>
      <x:c r="D56" s="206"/>
      <x:c r="E56" s="206"/>
      <x:c r="F56" s="206"/>
      <x:c r="G56" s="206"/>
      <x:c r="H56" s="206"/>
      <x:c r="I56" s="206"/>
      <x:c r="J56" s="206"/>
      <x:c r="K56" s="206"/>
      <x:c r="L56" s="5"/>
    </x:row>
    <x:row r="57">
      <x:c r="A57" s="119"/>
      <x:c r="B57" s="206"/>
      <x:c r="C57" s="206"/>
      <x:c r="D57" s="206"/>
      <x:c r="E57" s="206"/>
      <x:c r="F57" s="206"/>
      <x:c r="G57" s="206"/>
      <x:c r="H57" s="206"/>
      <x:c r="I57" s="206"/>
      <x:c r="J57" s="206"/>
      <x:c r="K57" s="206"/>
      <x:c r="L57" s="5"/>
    </x:row>
    <x:row r="58">
      <x:c r="A58" s="119"/>
      <x:c r="B58" s="206"/>
      <x:c r="C58" s="206"/>
      <x:c r="D58" s="206"/>
      <x:c r="E58" s="206"/>
      <x:c r="F58" s="206"/>
      <x:c r="G58" s="206"/>
      <x:c r="H58" s="206"/>
      <x:c r="I58" s="206"/>
      <x:c r="J58" s="206"/>
      <x:c r="K58" s="206"/>
      <x:c r="L58" s="5"/>
    </x:row>
    <x:row r="59">
      <x:c r="A59" s="119"/>
      <x:c r="B59" s="206"/>
      <x:c r="C59" s="206"/>
      <x:c r="D59" s="206"/>
      <x:c r="E59" s="206"/>
      <x:c r="F59" s="206"/>
      <x:c r="G59" s="206"/>
      <x:c r="H59" s="206"/>
      <x:c r="I59" s="206"/>
      <x:c r="J59" s="206"/>
      <x:c r="K59" s="206"/>
      <x:c r="L59" s="5"/>
    </x:row>
    <x:row r="60">
      <x:c r="A60" s="119"/>
      <x:c r="B60" s="206"/>
      <x:c r="C60" s="206"/>
      <x:c r="D60" s="206"/>
      <x:c r="E60" s="206"/>
      <x:c r="F60" s="206"/>
      <x:c r="G60" s="206"/>
      <x:c r="H60" s="206"/>
      <x:c r="I60" s="206"/>
      <x:c r="J60" s="206"/>
      <x:c r="K60" s="206"/>
      <x:c r="L60" s="5"/>
    </x:row>
    <x:row r="61">
      <x:c r="A61" s="119"/>
      <x:c r="B61" s="206"/>
      <x:c r="C61" s="206"/>
      <x:c r="D61" s="206"/>
      <x:c r="E61" s="206"/>
      <x:c r="F61" s="206"/>
      <x:c r="G61" s="206"/>
      <x:c r="H61" s="206"/>
      <x:c r="I61" s="206"/>
      <x:c r="J61" s="206"/>
      <x:c r="K61" s="206"/>
      <x:c r="L61" s="5"/>
    </x:row>
    <x:row r="62">
      <x:c r="A62" s="119"/>
      <x:c r="B62" s="206"/>
      <x:c r="C62" s="206"/>
      <x:c r="D62" s="206"/>
      <x:c r="E62" s="206"/>
      <x:c r="F62" s="206"/>
      <x:c r="G62" s="206"/>
      <x:c r="H62" s="206"/>
      <x:c r="I62" s="206"/>
      <x:c r="J62" s="206"/>
      <x:c r="K62" s="206"/>
      <x:c r="L62" s="5"/>
    </x:row>
    <x:row r="63">
      <x:c r="A63" s="119"/>
      <x:c r="B63" s="206"/>
      <x:c r="C63" s="206"/>
      <x:c r="D63" s="206"/>
      <x:c r="E63" s="206"/>
      <x:c r="F63" s="206"/>
      <x:c r="G63" s="206"/>
      <x:c r="H63" s="206"/>
      <x:c r="I63" s="206"/>
      <x:c r="J63" s="206"/>
      <x:c r="K63" s="206"/>
      <x:c r="L63" s="5"/>
    </x:row>
    <x:row r="64">
      <x:c r="A64" s="119"/>
      <x:c r="B64" s="206"/>
      <x:c r="C64" s="206"/>
      <x:c r="D64" s="206"/>
      <x:c r="E64" s="206"/>
      <x:c r="F64" s="206"/>
      <x:c r="G64" s="206"/>
      <x:c r="H64" s="206"/>
      <x:c r="I64" s="206"/>
      <x:c r="J64" s="206"/>
      <x:c r="K64" s="206"/>
      <x:c r="L64" s="5"/>
    </x:row>
    <x:row r="65">
      <x:c r="A65" s="119"/>
      <x:c r="B65" s="206"/>
      <x:c r="C65" s="206"/>
      <x:c r="D65" s="206"/>
      <x:c r="E65" s="206"/>
      <x:c r="F65" s="206"/>
      <x:c r="G65" s="206"/>
      <x:c r="H65" s="206"/>
      <x:c r="I65" s="206"/>
      <x:c r="J65" s="206"/>
      <x:c r="K65" s="206"/>
      <x:c r="L65" s="5"/>
    </x:row>
    <x:row r="66">
      <x:c r="A66" s="119"/>
      <x:c r="B66" s="206"/>
      <x:c r="C66" s="206"/>
      <x:c r="D66" s="206"/>
      <x:c r="E66" s="206"/>
      <x:c r="F66" s="206"/>
      <x:c r="G66" s="206"/>
      <x:c r="H66" s="206"/>
      <x:c r="I66" s="206"/>
      <x:c r="J66" s="206"/>
      <x:c r="K66" s="206"/>
      <x:c r="L66" s="5"/>
    </x:row>
    <x:row r="67">
      <x:c r="A67" s="119"/>
      <x:c r="B67" s="206"/>
      <x:c r="C67" s="206"/>
      <x:c r="D67" s="206"/>
      <x:c r="E67" s="206"/>
      <x:c r="F67" s="206"/>
      <x:c r="G67" s="206"/>
      <x:c r="H67" s="206"/>
      <x:c r="I67" s="206"/>
      <x:c r="J67" s="206"/>
      <x:c r="K67" s="206"/>
      <x:c r="L67" s="5"/>
    </x:row>
    <x:row r="68">
      <x:c r="A68" s="119"/>
      <x:c r="B68" s="206"/>
      <x:c r="C68" s="206"/>
      <x:c r="D68" s="206"/>
      <x:c r="E68" s="206"/>
      <x:c r="F68" s="206"/>
      <x:c r="G68" s="206"/>
      <x:c r="H68" s="206"/>
      <x:c r="I68" s="206"/>
      <x:c r="J68" s="206"/>
      <x:c r="K68" s="206"/>
      <x:c r="L68" s="5"/>
    </x:row>
    <x:row r="69">
      <x:c r="A69" s="119"/>
      <x:c r="B69" s="206"/>
      <x:c r="C69" s="206"/>
      <x:c r="D69" s="206"/>
      <x:c r="E69" s="206"/>
      <x:c r="F69" s="206"/>
      <x:c r="G69" s="206"/>
      <x:c r="H69" s="206"/>
      <x:c r="I69" s="206"/>
      <x:c r="J69" s="206"/>
      <x:c r="K69" s="206"/>
      <x:c r="L69" s="5"/>
    </x:row>
    <x:row r="70">
      <x:c r="A70" s="119"/>
      <x:c r="B70" s="206"/>
      <x:c r="C70" s="206"/>
      <x:c r="D70" s="206"/>
      <x:c r="E70" s="206"/>
      <x:c r="F70" s="206"/>
      <x:c r="G70" s="206"/>
      <x:c r="H70" s="206"/>
      <x:c r="I70" s="206"/>
      <x:c r="J70" s="206"/>
      <x:c r="K70" s="206"/>
      <x:c r="L70" s="5"/>
    </x:row>
    <x:row r="71">
      <x:c r="A71" s="119"/>
      <x:c r="B71" s="206"/>
      <x:c r="C71" s="206"/>
      <x:c r="D71" s="206"/>
      <x:c r="E71" s="206"/>
      <x:c r="F71" s="206"/>
      <x:c r="G71" s="206"/>
      <x:c r="H71" s="206"/>
      <x:c r="I71" s="206"/>
      <x:c r="J71" s="206"/>
      <x:c r="K71" s="206"/>
      <x:c r="L71" s="5"/>
    </x:row>
    <x:row r="72">
      <x:c r="A72" s="119"/>
      <x:c r="B72" s="206"/>
      <x:c r="C72" s="206"/>
      <x:c r="D72" s="206"/>
      <x:c r="E72" s="206"/>
      <x:c r="F72" s="206"/>
      <x:c r="G72" s="206"/>
      <x:c r="H72" s="206"/>
      <x:c r="I72" s="206"/>
      <x:c r="J72" s="206"/>
      <x:c r="K72" s="206"/>
      <x:c r="L72" s="5"/>
    </x:row>
    <x:row r="73">
      <x:c r="A73" s="119"/>
      <x:c r="B73" s="206"/>
      <x:c r="C73" s="206"/>
      <x:c r="D73" s="206"/>
      <x:c r="E73" s="206"/>
      <x:c r="F73" s="206"/>
      <x:c r="G73" s="206"/>
      <x:c r="H73" s="206"/>
      <x:c r="I73" s="206"/>
      <x:c r="J73" s="206"/>
      <x:c r="K73" s="206"/>
      <x:c r="L73" s="5"/>
    </x:row>
    <x:row r="74">
      <x:c r="A74" s="119"/>
      <x:c r="B74" s="206"/>
      <x:c r="C74" s="206"/>
      <x:c r="D74" s="206"/>
      <x:c r="E74" s="206"/>
      <x:c r="F74" s="206"/>
      <x:c r="G74" s="206"/>
      <x:c r="H74" s="206"/>
      <x:c r="I74" s="206"/>
      <x:c r="J74" s="206"/>
      <x:c r="K74" s="206"/>
      <x:c r="L74" s="5"/>
    </x:row>
    <x:row r="75">
      <x:c r="A75" s="119"/>
      <x:c r="B75" s="206"/>
      <x:c r="C75" s="206"/>
      <x:c r="D75" s="206"/>
      <x:c r="E75" s="206"/>
      <x:c r="F75" s="206"/>
      <x:c r="G75" s="206"/>
      <x:c r="H75" s="206"/>
      <x:c r="I75" s="206"/>
      <x:c r="J75" s="206"/>
      <x:c r="K75" s="206"/>
      <x:c r="L75" s="5"/>
    </x:row>
    <x:row r="76">
      <x:c r="A76" s="119"/>
      <x:c r="B76" s="206"/>
      <x:c r="C76" s="206"/>
      <x:c r="D76" s="206"/>
      <x:c r="E76" s="206"/>
      <x:c r="F76" s="206"/>
      <x:c r="G76" s="206"/>
      <x:c r="H76" s="206"/>
      <x:c r="I76" s="206"/>
      <x:c r="J76" s="206"/>
      <x:c r="K76" s="206"/>
      <x:c r="L76" s="5"/>
    </x:row>
    <x:row r="77">
      <x:c r="A77" s="119"/>
      <x:c r="B77" s="206"/>
      <x:c r="C77" s="206"/>
      <x:c r="D77" s="206"/>
      <x:c r="E77" s="206"/>
      <x:c r="F77" s="206"/>
      <x:c r="G77" s="206"/>
      <x:c r="H77" s="206"/>
      <x:c r="I77" s="206"/>
      <x:c r="J77" s="206"/>
      <x:c r="K77" s="206"/>
      <x:c r="L77" s="5"/>
    </x:row>
    <x:row r="78">
      <x:c r="A78" s="119"/>
      <x:c r="B78" s="206"/>
      <x:c r="C78" s="206"/>
      <x:c r="D78" s="206"/>
      <x:c r="E78" s="206"/>
      <x:c r="F78" s="206"/>
      <x:c r="G78" s="206"/>
      <x:c r="H78" s="206"/>
      <x:c r="I78" s="206"/>
      <x:c r="J78" s="206"/>
      <x:c r="K78" s="206"/>
      <x:c r="L78" s="5"/>
    </x:row>
    <x:row r="79">
      <x:c r="A79" s="119"/>
      <x:c r="B79" s="206"/>
      <x:c r="C79" s="206"/>
      <x:c r="D79" s="206"/>
      <x:c r="E79" s="206"/>
      <x:c r="F79" s="206"/>
      <x:c r="G79" s="206"/>
      <x:c r="H79" s="206"/>
      <x:c r="I79" s="206"/>
      <x:c r="J79" s="206"/>
      <x:c r="K79" s="206"/>
      <x:c r="L79" s="5"/>
    </x:row>
    <x:row r="80">
      <x:c r="A80" s="119"/>
      <x:c r="B80" s="206"/>
      <x:c r="C80" s="206"/>
      <x:c r="D80" s="206"/>
      <x:c r="E80" s="206"/>
      <x:c r="F80" s="206"/>
      <x:c r="G80" s="206"/>
      <x:c r="H80" s="206"/>
      <x:c r="I80" s="206"/>
      <x:c r="J80" s="206"/>
      <x:c r="K80" s="206"/>
      <x:c r="L80" s="5"/>
    </x:row>
    <x:row r="81">
      <x:c r="B81" s="260"/>
      <x:c r="C81" s="260"/>
      <x:c r="D81" s="260"/>
      <x:c r="E81" s="260"/>
      <x:c r="F81" s="260"/>
      <x:c r="G81" s="260"/>
      <x:c r="H81" s="260"/>
      <x:c r="I81" s="260"/>
      <x:c r="J81" s="260"/>
      <x:c r="K81" s="260"/>
    </x:row>
    <x:row r="82">
      <x:c r="B82" s="260"/>
      <x:c r="C82" s="260"/>
      <x:c r="D82" s="260"/>
      <x:c r="E82" s="260"/>
      <x:c r="F82" s="260"/>
      <x:c r="G82" s="260"/>
      <x:c r="H82" s="260"/>
      <x:c r="I82" s="260"/>
      <x:c r="J82" s="260"/>
      <x:c r="K82" s="260"/>
    </x:row>
    <x:row r="83">
      <x:c r="B83" s="260"/>
      <x:c r="C83" s="260"/>
      <x:c r="D83" s="260"/>
      <x:c r="E83" s="260"/>
      <x:c r="F83" s="260"/>
      <x:c r="G83" s="260"/>
      <x:c r="H83" s="260"/>
      <x:c r="I83" s="260"/>
      <x:c r="J83" s="260"/>
      <x:c r="K83" s="260"/>
    </x:row>
    <x:row r="84">
      <x:c r="B84" s="260"/>
      <x:c r="C84" s="260"/>
      <x:c r="D84" s="260"/>
      <x:c r="E84" s="260"/>
      <x:c r="F84" s="260"/>
      <x:c r="G84" s="260"/>
      <x:c r="H84" s="260"/>
      <x:c r="I84" s="260"/>
      <x:c r="J84" s="260"/>
      <x:c r="K84" s="260"/>
    </x:row>
    <x:row r="85">
      <x:c r="B85" s="260"/>
      <x:c r="C85" s="260"/>
      <x:c r="D85" s="260"/>
      <x:c r="E85" s="260"/>
      <x:c r="F85" s="260"/>
      <x:c r="G85" s="260"/>
      <x:c r="H85" s="260"/>
      <x:c r="I85" s="260"/>
      <x:c r="J85" s="260"/>
      <x:c r="K85" s="260"/>
    </x:row>
    <x:row r="86">
      <x:c r="B86" s="260"/>
      <x:c r="C86" s="260"/>
      <x:c r="D86" s="260"/>
      <x:c r="E86" s="260"/>
      <x:c r="F86" s="260"/>
      <x:c r="G86" s="260"/>
      <x:c r="H86" s="260"/>
      <x:c r="I86" s="260"/>
      <x:c r="J86" s="260"/>
      <x:c r="K86" s="260"/>
    </x:row>
    <x:row r="87">
      <x:c r="B87" s="260"/>
      <x:c r="C87" s="260"/>
      <x:c r="D87" s="260"/>
      <x:c r="E87" s="260"/>
      <x:c r="F87" s="260"/>
      <x:c r="G87" s="260"/>
      <x:c r="H87" s="260"/>
      <x:c r="I87" s="260"/>
      <x:c r="J87" s="260"/>
      <x:c r="K87" s="260"/>
    </x:row>
    <x:row r="88">
      <x:c r="B88" s="260"/>
      <x:c r="C88" s="260"/>
      <x:c r="D88" s="260"/>
      <x:c r="E88" s="260"/>
      <x:c r="F88" s="260"/>
      <x:c r="G88" s="260"/>
      <x:c r="H88" s="260"/>
      <x:c r="I88" s="260"/>
      <x:c r="J88" s="260"/>
      <x:c r="K88" s="260"/>
    </x:row>
    <x:row r="89">
      <x:c r="B89" s="260"/>
      <x:c r="C89" s="260"/>
      <x:c r="D89" s="260"/>
      <x:c r="E89" s="260"/>
      <x:c r="F89" s="260"/>
      <x:c r="G89" s="260"/>
      <x:c r="H89" s="260"/>
      <x:c r="I89" s="260"/>
      <x:c r="J89" s="260"/>
      <x:c r="K89" s="260"/>
    </x:row>
    <x:row r="90">
      <x:c r="B90" s="260"/>
      <x:c r="C90" s="260"/>
      <x:c r="D90" s="260"/>
      <x:c r="E90" s="260"/>
      <x:c r="F90" s="260"/>
      <x:c r="G90" s="260"/>
      <x:c r="H90" s="260"/>
      <x:c r="I90" s="260"/>
      <x:c r="J90" s="260"/>
      <x:c r="K90" s="260"/>
    </x:row>
    <x:row r="91">
      <x:c r="B91" s="260"/>
      <x:c r="C91" s="260"/>
      <x:c r="D91" s="260"/>
      <x:c r="E91" s="260"/>
      <x:c r="F91" s="260"/>
      <x:c r="G91" s="260"/>
      <x:c r="H91" s="260"/>
      <x:c r="I91" s="260"/>
      <x:c r="J91" s="260"/>
      <x:c r="K91" s="260"/>
    </x:row>
    <x:row r="92">
      <x:c r="B92" s="260"/>
      <x:c r="C92" s="260"/>
      <x:c r="D92" s="260"/>
      <x:c r="E92" s="260"/>
      <x:c r="F92" s="260"/>
      <x:c r="G92" s="260"/>
      <x:c r="H92" s="260"/>
      <x:c r="I92" s="260"/>
      <x:c r="J92" s="260"/>
      <x:c r="K92" s="260"/>
    </x:row>
    <x:row r="93">
      <x:c r="B93" s="260"/>
      <x:c r="C93" s="260"/>
      <x:c r="D93" s="260"/>
      <x:c r="E93" s="260"/>
      <x:c r="F93" s="260"/>
      <x:c r="G93" s="260"/>
      <x:c r="H93" s="260"/>
      <x:c r="I93" s="260"/>
      <x:c r="J93" s="260"/>
      <x:c r="K93" s="260"/>
    </x:row>
    <x:row r="94">
      <x:c r="B94" s="260"/>
      <x:c r="C94" s="260"/>
      <x:c r="D94" s="260"/>
      <x:c r="E94" s="260"/>
      <x:c r="F94" s="260"/>
      <x:c r="G94" s="260"/>
      <x:c r="H94" s="260"/>
      <x:c r="I94" s="260"/>
      <x:c r="J94" s="260"/>
      <x:c r="K94" s="260"/>
    </x:row>
    <x:row r="95">
      <x:c r="B95" s="260"/>
      <x:c r="C95" s="260"/>
      <x:c r="D95" s="260"/>
      <x:c r="E95" s="260"/>
      <x:c r="F95" s="260"/>
      <x:c r="G95" s="260"/>
      <x:c r="H95" s="260"/>
      <x:c r="I95" s="260"/>
      <x:c r="J95" s="260"/>
      <x:c r="K95" s="260"/>
    </x:row>
    <x:row r="96">
      <x:c r="B96" s="260"/>
      <x:c r="C96" s="260"/>
      <x:c r="D96" s="260"/>
      <x:c r="E96" s="260"/>
      <x:c r="F96" s="260"/>
      <x:c r="G96" s="260"/>
      <x:c r="H96" s="260"/>
      <x:c r="I96" s="260"/>
      <x:c r="J96" s="260"/>
      <x:c r="K96" s="260"/>
    </x:row>
    <x:row r="97">
      <x:c r="B97" s="260"/>
      <x:c r="C97" s="260"/>
      <x:c r="D97" s="260"/>
      <x:c r="E97" s="260"/>
      <x:c r="F97" s="260"/>
      <x:c r="G97" s="260"/>
      <x:c r="H97" s="260"/>
      <x:c r="I97" s="260"/>
      <x:c r="J97" s="260"/>
      <x:c r="K97" s="260"/>
    </x:row>
    <x:row r="98">
      <x:c r="B98" s="260"/>
      <x:c r="C98" s="260"/>
      <x:c r="D98" s="260"/>
      <x:c r="E98" s="260"/>
      <x:c r="F98" s="260"/>
      <x:c r="G98" s="260"/>
      <x:c r="H98" s="260"/>
      <x:c r="I98" s="260"/>
      <x:c r="J98" s="260"/>
      <x:c r="K98" s="260"/>
    </x:row>
    <x:row r="99">
      <x:c r="B99" s="260"/>
      <x:c r="C99" s="260"/>
      <x:c r="D99" s="260"/>
      <x:c r="E99" s="260"/>
      <x:c r="F99" s="260"/>
      <x:c r="G99" s="260"/>
      <x:c r="H99" s="260"/>
      <x:c r="I99" s="260"/>
      <x:c r="J99" s="260"/>
      <x:c r="K99" s="260"/>
    </x:row>
    <x:row r="100">
      <x:c r="B100" s="260"/>
      <x:c r="C100" s="260"/>
      <x:c r="D100" s="260"/>
      <x:c r="E100" s="260"/>
      <x:c r="F100" s="260"/>
      <x:c r="G100" s="260"/>
      <x:c r="H100" s="260"/>
      <x:c r="I100" s="260"/>
      <x:c r="J100" s="260"/>
      <x:c r="K100" s="260"/>
    </x:row>
    <x:row r="101">
      <x:c r="B101" s="260"/>
      <x:c r="C101" s="260"/>
      <x:c r="D101" s="260"/>
      <x:c r="E101" s="260"/>
      <x:c r="F101" s="260"/>
      <x:c r="G101" s="260"/>
      <x:c r="H101" s="260"/>
      <x:c r="I101" s="260"/>
      <x:c r="J101" s="260"/>
      <x:c r="K101" s="260"/>
    </x:row>
    <x:row r="102">
      <x:c r="B102" s="260"/>
      <x:c r="C102" s="260"/>
      <x:c r="D102" s="260"/>
      <x:c r="E102" s="260"/>
      <x:c r="F102" s="260"/>
      <x:c r="G102" s="260"/>
      <x:c r="H102" s="260"/>
      <x:c r="I102" s="260"/>
      <x:c r="J102" s="260"/>
      <x:c r="K102" s="260"/>
    </x:row>
    <x:row r="103">
      <x:c r="B103" s="260"/>
      <x:c r="C103" s="260"/>
      <x:c r="D103" s="260"/>
      <x:c r="E103" s="260"/>
      <x:c r="F103" s="260"/>
      <x:c r="G103" s="260"/>
      <x:c r="H103" s="260"/>
      <x:c r="I103" s="260"/>
      <x:c r="J103" s="260"/>
      <x:c r="K103" s="260"/>
    </x:row>
    <x:row r="104">
      <x:c r="B104" s="260"/>
      <x:c r="C104" s="260"/>
      <x:c r="D104" s="260"/>
      <x:c r="E104" s="260"/>
      <x:c r="F104" s="260"/>
      <x:c r="G104" s="260"/>
      <x:c r="H104" s="260"/>
      <x:c r="I104" s="260"/>
      <x:c r="J104" s="260"/>
      <x:c r="K104" s="260"/>
    </x:row>
    <x:row r="105">
      <x:c r="B105" s="260"/>
      <x:c r="C105" s="260"/>
      <x:c r="D105" s="260"/>
      <x:c r="E105" s="260"/>
      <x:c r="F105" s="260"/>
      <x:c r="G105" s="260"/>
      <x:c r="H105" s="260"/>
      <x:c r="I105" s="260"/>
      <x:c r="J105" s="260"/>
      <x:c r="K105" s="260"/>
    </x:row>
    <x:row r="106">
      <x:c r="B106" s="260"/>
      <x:c r="C106" s="260"/>
      <x:c r="D106" s="260"/>
      <x:c r="E106" s="260"/>
      <x:c r="F106" s="260"/>
      <x:c r="G106" s="260"/>
      <x:c r="H106" s="260"/>
      <x:c r="I106" s="260"/>
      <x:c r="J106" s="260"/>
      <x:c r="K106" s="260"/>
    </x:row>
    <x:row r="107">
      <x:c r="B107" s="260"/>
      <x:c r="C107" s="260"/>
      <x:c r="D107" s="260"/>
      <x:c r="E107" s="260"/>
      <x:c r="F107" s="260"/>
      <x:c r="G107" s="260"/>
      <x:c r="H107" s="260"/>
      <x:c r="I107" s="260"/>
      <x:c r="J107" s="260"/>
      <x:c r="K107" s="260"/>
    </x:row>
    <x:row r="108">
      <x:c r="B108" s="260"/>
      <x:c r="C108" s="260"/>
      <x:c r="D108" s="260"/>
      <x:c r="E108" s="260"/>
      <x:c r="F108" s="260"/>
      <x:c r="G108" s="260"/>
      <x:c r="H108" s="260"/>
      <x:c r="I108" s="260"/>
      <x:c r="J108" s="260"/>
      <x:c r="K108" s="260"/>
    </x:row>
    <x:row r="109">
      <x:c r="B109" s="260"/>
      <x:c r="C109" s="260"/>
      <x:c r="D109" s="260"/>
      <x:c r="E109" s="260"/>
      <x:c r="F109" s="260"/>
      <x:c r="G109" s="260"/>
      <x:c r="H109" s="260"/>
      <x:c r="I109" s="260"/>
      <x:c r="J109" s="260"/>
      <x:c r="K109" s="260"/>
    </x:row>
    <x:row r="110">
      <x:c r="B110" s="260"/>
      <x:c r="C110" s="260"/>
      <x:c r="D110" s="260"/>
      <x:c r="E110" s="260"/>
      <x:c r="F110" s="260"/>
      <x:c r="G110" s="260"/>
      <x:c r="H110" s="260"/>
      <x:c r="I110" s="260"/>
      <x:c r="J110" s="260"/>
      <x:c r="K110" s="260"/>
    </x:row>
    <x:row r="111">
      <x:c r="B111" s="260"/>
      <x:c r="C111" s="260"/>
      <x:c r="D111" s="260"/>
      <x:c r="E111" s="260"/>
      <x:c r="F111" s="260"/>
      <x:c r="G111" s="260"/>
      <x:c r="H111" s="260"/>
      <x:c r="I111" s="260"/>
      <x:c r="J111" s="260"/>
      <x:c r="K111" s="260"/>
    </x:row>
    <x:row r="112">
      <x:c r="B112" s="260"/>
      <x:c r="C112" s="260"/>
      <x:c r="D112" s="260"/>
      <x:c r="E112" s="260"/>
      <x:c r="F112" s="260"/>
      <x:c r="G112" s="260"/>
      <x:c r="H112" s="260"/>
      <x:c r="I112" s="260"/>
      <x:c r="J112" s="260"/>
      <x:c r="K112" s="260"/>
    </x:row>
    <x:row r="113">
      <x:c r="B113" s="260"/>
      <x:c r="C113" s="260"/>
      <x:c r="D113" s="260"/>
      <x:c r="E113" s="260"/>
      <x:c r="F113" s="260"/>
      <x:c r="G113" s="260"/>
      <x:c r="H113" s="260"/>
      <x:c r="I113" s="260"/>
      <x:c r="J113" s="260"/>
      <x:c r="K113" s="260"/>
    </x:row>
    <x:row r="114">
      <x:c r="B114" s="260"/>
      <x:c r="C114" s="260"/>
      <x:c r="D114" s="260"/>
      <x:c r="E114" s="260"/>
      <x:c r="F114" s="260"/>
      <x:c r="G114" s="260"/>
      <x:c r="H114" s="260"/>
      <x:c r="I114" s="260"/>
      <x:c r="J114" s="260"/>
      <x:c r="K114" s="260"/>
    </x:row>
    <x:row r="115">
      <x:c r="B115" s="260"/>
      <x:c r="C115" s="260"/>
      <x:c r="D115" s="260"/>
      <x:c r="E115" s="260"/>
      <x:c r="F115" s="260"/>
      <x:c r="G115" s="260"/>
      <x:c r="H115" s="260"/>
      <x:c r="I115" s="260"/>
      <x:c r="J115" s="260"/>
      <x:c r="K115" s="260"/>
    </x:row>
    <x:row r="116">
      <x:c r="B116" s="260"/>
      <x:c r="C116" s="260"/>
      <x:c r="D116" s="260"/>
      <x:c r="E116" s="260"/>
      <x:c r="F116" s="260"/>
      <x:c r="G116" s="260"/>
      <x:c r="H116" s="260"/>
      <x:c r="I116" s="260"/>
      <x:c r="J116" s="260"/>
      <x:c r="K116" s="260"/>
    </x:row>
    <x:row r="117">
      <x:c r="B117" s="260"/>
      <x:c r="C117" s="260"/>
      <x:c r="D117" s="260"/>
      <x:c r="E117" s="260"/>
      <x:c r="F117" s="260"/>
      <x:c r="G117" s="260"/>
      <x:c r="H117" s="260"/>
      <x:c r="I117" s="260"/>
      <x:c r="J117" s="260"/>
      <x:c r="K117" s="260"/>
    </x:row>
    <x:row r="118">
      <x:c r="B118" s="260"/>
      <x:c r="C118" s="260"/>
      <x:c r="D118" s="260"/>
      <x:c r="E118" s="260"/>
      <x:c r="F118" s="260"/>
      <x:c r="G118" s="260"/>
      <x:c r="H118" s="260"/>
      <x:c r="I118" s="260"/>
      <x:c r="J118" s="260"/>
      <x:c r="K118" s="260"/>
    </x:row>
    <x:row r="119">
      <x:c r="B119" s="260"/>
      <x:c r="C119" s="260"/>
      <x:c r="D119" s="260"/>
      <x:c r="E119" s="260"/>
      <x:c r="F119" s="260"/>
      <x:c r="G119" s="260"/>
      <x:c r="H119" s="260"/>
      <x:c r="I119" s="260"/>
      <x:c r="J119" s="260"/>
      <x:c r="K119" s="260"/>
    </x:row>
    <x:row r="120">
      <x:c r="B120" s="260"/>
      <x:c r="C120" s="260"/>
      <x:c r="D120" s="260"/>
      <x:c r="E120" s="260"/>
      <x:c r="F120" s="260"/>
      <x:c r="G120" s="260"/>
      <x:c r="H120" s="260"/>
      <x:c r="I120" s="260"/>
      <x:c r="J120" s="260"/>
      <x:c r="K120" s="260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43.56999969482422" hidden="0" customWidth="1"/>
    <x:col min="2" max="2" width="12.859999656677246" hidden="0" customWidth="1"/>
    <x:col min="3" max="3" width="12.859999656677246" hidden="0" customWidth="1"/>
    <x:col min="4" max="4" width="12.859999656677246" hidden="0" customWidth="1"/>
    <x:col min="5" max="5" width="12.859999656677246" hidden="0" customWidth="1"/>
    <x:col min="6" max="6" width="12.859999656677246" hidden="0" customWidth="1"/>
  </x:cols>
  <x:sheetData>
    <x:row r="1">
      <x:c r="A1" s="4" t="str">
        <x:v>FYE: February.  Units: $ in millions except per-share data, shares in millions, ratios, and noted operating drivers.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>
      <x:c r="A3" s="144" t="str">
        <x:v>Line item</x:v>
      </x:c>
      <x:c r="B3" s="144" t="str">
        <x:v>FY2027E</x:v>
      </x:c>
      <x:c r="C3" s="144" t="str">
        <x:v>FY2028E</x:v>
      </x:c>
      <x:c r="D3" s="144" t="str">
        <x:v>FY2029E</x:v>
      </x:c>
      <x:c r="E3" s="144" t="str">
        <x:v>FY2030E</x:v>
      </x:c>
      <x:c r="F3" s="144" t="str">
        <x:v>FY2031E</x:v>
      </x:c>
      <x:c r="G3" s="119"/>
      <x:c r="H3" s="119"/>
      <x:c r="I3" s="119"/>
      <x:c r="J3" s="119"/>
      <x:c r="K3" s="119"/>
      <x:c r="L3" s="5"/>
    </x:row>
    <x:row r="4">
      <x:c r="A4" s="119" t="str">
        <x:v>Cash and equivalents</x:v>
      </x:c>
      <x:c r="B4" s="216" t="n">
        <x:f>WC_PPE_Debt!B33</x:f>
        <x:v>1507.7047709501726</x:v>
      </x:c>
      <x:c r="C4" s="216" t="n">
        <x:f>WC_PPE_Debt!C33</x:f>
        <x:v>2337.0347506583944</x:v>
      </x:c>
      <x:c r="D4" s="216" t="n">
        <x:f>WC_PPE_Debt!D33</x:f>
        <x:v>3249.3054759427723</x:v>
      </x:c>
      <x:c r="E4" s="216" t="n">
        <x:f>WC_PPE_Debt!E33</x:f>
        <x:v>4262.194663738629</x:v>
      </x:c>
      <x:c r="F4" s="216" t="n">
        <x:f>WC_PPE_Debt!F33</x:f>
        <x:v>5372.017186653614</x:v>
      </x:c>
      <x:c r="G4" s="206"/>
      <x:c r="H4" s="206"/>
      <x:c r="I4" s="206"/>
      <x:c r="J4" s="206"/>
      <x:c r="K4" s="206"/>
      <x:c r="L4" s="5"/>
    </x:row>
    <x:row r="5">
      <x:c r="A5" s="119" t="str">
        <x:v>Short-term investments</x:v>
      </x:c>
      <x:c r="B5" s="216" t="n">
        <x:f>Historicals_BS!G5</x:f>
        <x:v>692.446</x:v>
      </x:c>
      <x:c r="C5" s="216" t="n">
        <x:f>B5</x:f>
        <x:v>692.446</x:v>
      </x:c>
      <x:c r="D5" s="216" t="n">
        <x:f>C5</x:f>
        <x:v>692.446</x:v>
      </x:c>
      <x:c r="E5" s="216" t="n">
        <x:f>D5</x:f>
        <x:v>692.446</x:v>
      </x:c>
      <x:c r="F5" s="216" t="n">
        <x:f>E5</x:f>
        <x:v>692.446</x:v>
      </x:c>
      <x:c r="G5" s="206"/>
      <x:c r="H5" s="206"/>
      <x:c r="I5" s="206"/>
      <x:c r="J5" s="206"/>
      <x:c r="K5" s="206"/>
      <x:c r="L5" s="5"/>
    </x:row>
    <x:row r="6">
      <x:c r="A6" s="119" t="str">
        <x:v>Accounts receivable, net</x:v>
      </x:c>
      <x:c r="B6" s="216" t="n">
        <x:f>WC_PPE_Debt!B7</x:f>
        <x:v>1046.996015068493</x:v>
      </x:c>
      <x:c r="C6" s="216" t="n">
        <x:f>WC_PPE_Debt!C7</x:f>
        <x:v>1126.0278463342465</x:v>
      </x:c>
      <x:c r="D6" s="216" t="n">
        <x:f>WC_PPE_Debt!D7</x:f>
        <x:v>1195.99392969863</x:v>
      </x:c>
      <x:c r="E6" s="216" t="n">
        <x:f>WC_PPE_Debt!E7</x:f>
        <x:v>1256.4192730958905</x:v>
      </x:c>
      <x:c r="F6" s="216" t="n">
        <x:f>WC_PPE_Debt!F7</x:f>
        <x:v>1308.4098133643838</x:v>
      </x:c>
      <x:c r="G6" s="206"/>
      <x:c r="H6" s="206"/>
      <x:c r="I6" s="206"/>
      <x:c r="J6" s="206"/>
      <x:c r="K6" s="206"/>
      <x:c r="L6" s="5"/>
    </x:row>
    <x:row r="7">
      <x:c r="A7" s="119" t="str">
        <x:v>Inventory</x:v>
      </x:c>
      <x:c r="B7" s="216" t="n">
        <x:f>WC_PPE_Debt!B8</x:f>
        <x:v>78.72554134750685</x:v>
      </x:c>
      <x:c r="C7" s="216" t="n">
        <x:f>WC_PPE_Debt!C8</x:f>
        <x:v>82.10650837063014</x:v>
      </x:c>
      <x:c r="D7" s="216" t="n">
        <x:f>WC_PPE_Debt!D8</x:f>
        <x:v>84.1376692031233</x:v>
      </x:c>
      <x:c r="E7" s="216" t="n">
        <x:f>WC_PPE_Debt!E8</x:f>
        <x:v>85.28354414136986</x:v>
      </x:c>
      <x:c r="F7" s="216" t="n">
        <x:f>WC_PPE_Debt!F8</x:f>
        <x:v>89.84793120263015</x:v>
      </x:c>
      <x:c r="G7" s="206"/>
      <x:c r="H7" s="206"/>
      <x:c r="I7" s="206"/>
      <x:c r="J7" s="206"/>
      <x:c r="K7" s="206"/>
      <x:c r="L7" s="5"/>
    </x:row>
    <x:row r="8">
      <x:c r="A8" s="119" t="str">
        <x:v>Deferred commissions, current</x:v>
      </x:c>
      <x:c r="B8" s="216" t="n">
        <x:f>WC_PPE_Debt!B9</x:f>
        <x:v>154.699007589</x:v>
      </x:c>
      <x:c r="C8" s="216" t="n">
        <x:f>WC_PPE_Debt!C9</x:f>
        <x:v>169.993241708472</x:v>
      </x:c>
      <x:c r="D8" s="216" t="n">
        <x:f>WC_PPE_Debt!D9</x:f>
        <x:v>184.56817521895198</x:v>
      </x:c>
      <x:c r="E8" s="216" t="n">
        <x:f>WC_PPE_Debt!E9</x:f>
        <x:v>198.29979722322003</x:v>
      </x:c>
      <x:c r="F8" s="216" t="n">
        <x:f>WC_PPE_Debt!F9</x:f>
        <x:v>211.30788057699604</x:v>
      </x:c>
      <x:c r="G8" s="206"/>
      <x:c r="H8" s="206"/>
      <x:c r="I8" s="206"/>
      <x:c r="J8" s="206"/>
      <x:c r="K8" s="206"/>
      <x:c r="L8" s="5"/>
    </x:row>
    <x:row r="9">
      <x:c r="A9" s="119" t="str">
        <x:v>Prepaid expenses and other current assets</x:v>
      </x:c>
      <x:c r="B9" s="216" t="n">
        <x:f>WC_PPE_Debt!B10</x:f>
        <x:v>367.11121999999995</x:v>
      </x:c>
      <x:c r="C9" s="216" t="n">
        <x:f>WC_PPE_Debt!C10</x:f>
        <x:v>389.01165</x:v>
      </x:c>
      <x:c r="D9" s="216" t="n">
        <x:f>WC_PPE_Debt!D10</x:f>
        <x:v>407.66816000000006</x:v>
      </x:c>
      <x:c r="E9" s="216" t="n">
        <x:f>WC_PPE_Debt!E10</x:f>
        <x:v>422.47868400000004</x:v>
      </x:c>
      <x:c r="F9" s="216" t="n">
        <x:f>WC_PPE_Debt!F10</x:f>
        <x:v>433.944192</x:v>
      </x:c>
      <x:c r="G9" s="206"/>
      <x:c r="H9" s="206"/>
      <x:c r="I9" s="206"/>
      <x:c r="J9" s="206"/>
      <x:c r="K9" s="206"/>
      <x:c r="L9" s="5"/>
    </x:row>
    <x:row r="10">
      <x:c r="A10" s="119" t="str">
        <x:v>Total current assets</x:v>
      </x:c>
      <x:c r="B10" s="216" t="n">
        <x:f>SUM(B4:B9)</x:f>
        <x:v>3847.6825549551722</x:v>
      </x:c>
      <x:c r="C10" s="216" t="n">
        <x:f>SUM(C4:C9)</x:f>
        <x:v>4796.619997071743</x:v>
      </x:c>
      <x:c r="D10" s="216" t="n">
        <x:f>SUM(D4:D9)</x:f>
        <x:v>5814.119410063478</x:v>
      </x:c>
      <x:c r="E10" s="216" t="n">
        <x:f>SUM(E4:E9)</x:f>
        <x:v>6917.121962199109</x:v>
      </x:c>
      <x:c r="F10" s="216" t="n">
        <x:f>SUM(F4:F9)</x:f>
        <x:v>8107.973003797624</x:v>
      </x:c>
      <x:c r="G10" s="206"/>
      <x:c r="H10" s="206"/>
      <x:c r="I10" s="206"/>
      <x:c r="J10" s="206"/>
      <x:c r="K10" s="206"/>
      <x:c r="L10" s="5"/>
    </x:row>
    <x:row r="11">
      <x:c r="A11" s="119" t="str">
        <x:v>PP&amp;E, net</x:v>
      </x:c>
      <x:c r="B11" s="216" t="n">
        <x:f>WC_PPE_Debt!B19</x:f>
        <x:v>732.979854</x:v>
      </x:c>
      <x:c r="C11" s="216" t="n">
        <x:f>WC_PPE_Debt!C19</x:f>
        <x:v>866.919799606</x:v>
      </x:c>
      <x:c r="D11" s="216" t="n">
        <x:f>WC_PPE_Debt!D19</x:f>
        <x:v>989.7192375244999</x:v>
      </x:c>
      <x:c r="E11" s="216" t="n">
        <x:f>WC_PPE_Debt!E19</x:f>
        <x:v>1101.8680576083752</x:v>
      </x:c>
      <x:c r="F11" s="216" t="n">
        <x:f>WC_PPE_Debt!F19</x:f>
        <x:v>1204.0142009702815</x:v>
      </x:c>
      <x:c r="G11" s="206"/>
      <x:c r="H11" s="206"/>
      <x:c r="I11" s="206"/>
      <x:c r="J11" s="206"/>
      <x:c r="K11" s="206"/>
      <x:c r="L11" s="5"/>
    </x:row>
    <x:row r="12">
      <x:c r="A12" s="119" t="str">
        <x:v>Operating lease ROU assets</x:v>
      </x:c>
      <x:c r="B12" s="216" t="n">
        <x:f>Historicals_BS!G12</x:f>
        <x:v>185.975</x:v>
      </x:c>
      <x:c r="C12" s="216" t="n">
        <x:f>B12</x:f>
        <x:v>185.975</x:v>
      </x:c>
      <x:c r="D12" s="216" t="n">
        <x:f>C12</x:f>
        <x:v>185.975</x:v>
      </x:c>
      <x:c r="E12" s="216" t="n">
        <x:f>D12</x:f>
        <x:v>185.975</x:v>
      </x:c>
      <x:c r="F12" s="216" t="n">
        <x:f>E12</x:f>
        <x:v>185.975</x:v>
      </x:c>
      <x:c r="G12" s="206"/>
      <x:c r="H12" s="206"/>
      <x:c r="I12" s="206"/>
      <x:c r="J12" s="206"/>
      <x:c r="K12" s="206"/>
      <x:c r="L12" s="5"/>
    </x:row>
    <x:row r="13">
      <x:c r="A13" s="119" t="str">
        <x:v>Deferred commissions, non-current</x:v>
      </x:c>
      <x:c r="B13" s="216" t="n">
        <x:f>Historicals_BS!G13</x:f>
        <x:v>280.19</x:v>
      </x:c>
      <x:c r="C13" s="216" t="n">
        <x:f>B13</x:f>
        <x:v>280.19</x:v>
      </x:c>
      <x:c r="D13" s="216" t="n">
        <x:f>C13</x:f>
        <x:v>280.19</x:v>
      </x:c>
      <x:c r="E13" s="216" t="n">
        <x:f>D13</x:f>
        <x:v>280.19</x:v>
      </x:c>
      <x:c r="F13" s="216" t="n">
        <x:f>E13</x:f>
        <x:v>280.19</x:v>
      </x:c>
      <x:c r="G13" s="206"/>
      <x:c r="H13" s="206"/>
      <x:c r="I13" s="206"/>
      <x:c r="J13" s="206"/>
      <x:c r="K13" s="206"/>
      <x:c r="L13" s="5"/>
    </x:row>
    <x:row r="14">
      <x:c r="A14" s="119" t="str">
        <x:v>Goodwill</x:v>
      </x:c>
      <x:c r="B14" s="216" t="n">
        <x:f>Historicals_BS!G14</x:f>
        <x:v>365.075</x:v>
      </x:c>
      <x:c r="C14" s="216" t="n">
        <x:f>B14</x:f>
        <x:v>365.075</x:v>
      </x:c>
      <x:c r="D14" s="216" t="n">
        <x:f>C14</x:f>
        <x:v>365.075</x:v>
      </x:c>
      <x:c r="E14" s="216" t="n">
        <x:f>D14</x:f>
        <x:v>365.075</x:v>
      </x:c>
      <x:c r="F14" s="216" t="n">
        <x:f>E14</x:f>
        <x:v>365.075</x:v>
      </x:c>
      <x:c r="G14" s="206"/>
      <x:c r="H14" s="206"/>
      <x:c r="I14" s="206"/>
      <x:c r="J14" s="206"/>
      <x:c r="K14" s="206"/>
      <x:c r="L14" s="5"/>
    </x:row>
    <x:row r="15">
      <x:c r="A15" s="119" t="str">
        <x:v>Intangible assets, net</x:v>
      </x:c>
      <x:c r="B15" s="216" t="n">
        <x:f>Historicals_BS!G15</x:f>
        <x:v>7.346</x:v>
      </x:c>
      <x:c r="C15" s="216" t="n">
        <x:f>B15</x:f>
        <x:v>7.346</x:v>
      </x:c>
      <x:c r="D15" s="216" t="n">
        <x:f>C15</x:f>
        <x:v>7.346</x:v>
      </x:c>
      <x:c r="E15" s="216" t="n">
        <x:f>D15</x:f>
        <x:v>7.346</x:v>
      </x:c>
      <x:c r="F15" s="216" t="n">
        <x:f>E15</x:f>
        <x:v>7.346</x:v>
      </x:c>
      <x:c r="G15" s="206"/>
      <x:c r="H15" s="206"/>
      <x:c r="I15" s="206"/>
      <x:c r="J15" s="206"/>
      <x:c r="K15" s="206"/>
      <x:c r="L15" s="5"/>
    </x:row>
    <x:row r="16">
      <x:c r="A16" s="119" t="str">
        <x:v>Restricted cash</x:v>
      </x:c>
      <x:c r="B16" s="216" t="n">
        <x:f>Historicals_BS!G16</x:f>
        <x:v>7.687</x:v>
      </x:c>
      <x:c r="C16" s="216" t="n">
        <x:f>B16</x:f>
        <x:v>7.687</x:v>
      </x:c>
      <x:c r="D16" s="216" t="n">
        <x:f>C16</x:f>
        <x:v>7.687</x:v>
      </x:c>
      <x:c r="E16" s="216" t="n">
        <x:f>D16</x:f>
        <x:v>7.687</x:v>
      </x:c>
      <x:c r="F16" s="216" t="n">
        <x:f>E16</x:f>
        <x:v>7.687</x:v>
      </x:c>
      <x:c r="G16" s="206"/>
      <x:c r="H16" s="206"/>
      <x:c r="I16" s="206"/>
      <x:c r="J16" s="206"/>
      <x:c r="K16" s="206"/>
      <x:c r="L16" s="5"/>
    </x:row>
    <x:row r="17">
      <x:c r="A17" s="119" t="str">
        <x:v>Other non-current assets</x:v>
      </x:c>
      <x:c r="B17" s="216" t="n">
        <x:f>Historicals_BS!G17</x:f>
        <x:v>177.472</x:v>
      </x:c>
      <x:c r="C17" s="216" t="n">
        <x:f>B17</x:f>
        <x:v>177.472</x:v>
      </x:c>
      <x:c r="D17" s="216" t="n">
        <x:f>C17</x:f>
        <x:v>177.472</x:v>
      </x:c>
      <x:c r="E17" s="216" t="n">
        <x:f>D17</x:f>
        <x:v>177.472</x:v>
      </x:c>
      <x:c r="F17" s="216" t="n">
        <x:f>E17</x:f>
        <x:v>177.472</x:v>
      </x:c>
      <x:c r="G17" s="206"/>
      <x:c r="H17" s="206"/>
      <x:c r="I17" s="206"/>
      <x:c r="J17" s="206"/>
      <x:c r="K17" s="206"/>
      <x:c r="L17" s="5"/>
    </x:row>
    <x:row r="18">
      <x:c r="A18" s="119" t="str">
        <x:v>Total assets</x:v>
      </x:c>
      <x:c r="B18" s="216" t="n">
        <x:f>B10+SUM(B11:B17)</x:f>
        <x:v>5604.407408955172</x:v>
      </x:c>
      <x:c r="C18" s="216" t="n">
        <x:f>C10+SUM(C11:C17)</x:f>
        <x:v>6687.284796677743</x:v>
      </x:c>
      <x:c r="D18" s="216" t="n">
        <x:f>D10+SUM(D11:D17)</x:f>
        <x:v>7827.583647587979</x:v>
      </x:c>
      <x:c r="E18" s="216" t="n">
        <x:f>E10+SUM(E11:E17)</x:f>
        <x:v>9042.735019807484</x:v>
      </x:c>
      <x:c r="F18" s="216" t="n">
        <x:f>F10+SUM(F11:F17)</x:f>
        <x:v>10335.732204767906</x:v>
      </x:c>
      <x:c r="G18" s="206"/>
      <x:c r="H18" s="206"/>
      <x:c r="I18" s="206"/>
      <x:c r="J18" s="206"/>
      <x:c r="K18" s="206"/>
      <x:c r="L18" s="5"/>
    </x:row>
    <x:row r="19">
      <x:c r="A19" s="119" t="str">
        <x:v>Accounts payable</x:v>
      </x:c>
      <x:c r="B19" s="216" t="n">
        <x:f>WC_PPE_Debt!B11</x:f>
        <x:v>164.0115444739726</x:v>
      </x:c>
      <x:c r="C19" s="216" t="n">
        <x:f>WC_PPE_Debt!C11</x:f>
        <x:v>174.92256131134246</x:v>
      </x:c>
      <x:c r="D19" s="216" t="n">
        <x:f>WC_PPE_Debt!D11</x:f>
        <x:v>183.5730964431781</x:v>
      </x:c>
      <x:c r="E19" s="216" t="n">
        <x:f>WC_PPE_Debt!E11</x:f>
        <x:v>190.87269403068493</x:v>
      </x:c>
      <x:c r="F19" s="216" t="n">
        <x:f>WC_PPE_Debt!F11</x:f>
        <x:v>196.80975406290412</x:v>
      </x:c>
      <x:c r="G19" s="206"/>
      <x:c r="H19" s="206"/>
      <x:c r="I19" s="206"/>
      <x:c r="J19" s="206"/>
      <x:c r="K19" s="206"/>
      <x:c r="L19" s="5"/>
    </x:row>
    <x:row r="20">
      <x:c r="A20" s="119" t="str">
        <x:v>Accrued compensation and benefits</x:v>
      </x:c>
      <x:c r="B20" s="216" t="n">
        <x:f>WC_PPE_Debt!B12*0.653202</x:f>
        <x:v>368.26088122988995</x:v>
      </x:c>
      <x:c r="C20" s="216" t="n">
        <x:f>WC_PPE_Debt!C12*0.653202</x:f>
        <x:v>394.0440738398999</x:v>
      </x:c>
      <x:c r="D20" s="216" t="n">
        <x:f>WC_PPE_Debt!D12*0.653202</x:f>
        <x:v>417.05659585656</x:v>
      </x:c>
      <x:c r="E20" s="216" t="n">
        <x:f>WC_PPE_Debt!E12*0.653202</x:f>
        <x:v>436.5996367566239</x:v>
      </x:c>
      <x:c r="F20" s="216" t="n">
        <x:f>WC_PPE_Debt!F12*0.653202</x:f>
        <x:v>453.0956679976319</x:v>
      </x:c>
      <x:c r="G20" s="206"/>
      <x:c r="H20" s="206"/>
      <x:c r="I20" s="206"/>
      <x:c r="J20" s="206"/>
      <x:c r="K20" s="206"/>
      <x:c r="L20" s="5"/>
    </x:row>
    <x:row r="21">
      <x:c r="A21" s="119" t="str">
        <x:v>Accrued expenses and other liabilities</x:v>
      </x:c>
      <x:c r="B21" s="216" t="n">
        <x:f>WC_PPE_Debt!B12*(1-0.653202)</x:f>
        <x:v>195.51706377011</x:v>
      </x:c>
      <x:c r="C21" s="216" t="n">
        <x:f>WC_PPE_Debt!C12*(1-0.653202)</x:f>
        <x:v>209.2058761601</x:v>
      </x:c>
      <x:c r="D21" s="216" t="n">
        <x:f>WC_PPE_Debt!D12*(1-0.653202)</x:f>
        <x:v>221.42368414344006</x:v>
      </x:c>
      <x:c r="E21" s="216" t="n">
        <x:f>WC_PPE_Debt!E12*(1-0.653202)</x:f>
        <x:v>231.799475243376</x:v>
      </x:c>
      <x:c r="F21" s="216" t="n">
        <x:f>WC_PPE_Debt!F12*(1-0.653202)</x:f>
        <x:v>240.557548002368</x:v>
      </x:c>
      <x:c r="G21" s="206"/>
      <x:c r="H21" s="206"/>
      <x:c r="I21" s="206"/>
      <x:c r="J21" s="206"/>
      <x:c r="K21" s="206"/>
      <x:c r="L21" s="5"/>
    </x:row>
    <x:row r="22">
      <x:c r="A22" s="119" t="str">
        <x:v>Deferred revenue, current</x:v>
      </x:c>
      <x:c r="B22" s="216" t="n">
        <x:f>WC_PPE_Debt!B13*0.530216</x:f>
        <x:v>1282.5663292243898</x:v>
      </x:c>
      <x:c r="C22" s="216" t="n">
        <x:f>WC_PPE_Debt!C13*0.530216</x:f>
        <x:v>1409.3665590295127</x:v>
      </x:c>
      <x:c r="D22" s="216" t="n">
        <x:f>WC_PPE_Debt!D13*0.530216</x:f>
        <x:v>1517.344417092825</x:v>
      </x:c>
      <x:c r="E22" s="216" t="n">
        <x:f>WC_PPE_Debt!E13*0.530216</x:f>
        <x:v>1616.4172524817745</x:v>
      </x:c>
      <x:c r="F22" s="216" t="n">
        <x:f>WC_PPE_Debt!F13*0.530216</x:f>
        <x:v>1707.7292951920335</x:v>
      </x:c>
      <x:c r="G22" s="206"/>
      <x:c r="H22" s="206"/>
      <x:c r="I22" s="206"/>
      <x:c r="J22" s="206"/>
      <x:c r="K22" s="206"/>
      <x:c r="L22" s="5"/>
    </x:row>
    <x:row r="23">
      <x:c r="A23" s="119" t="str">
        <x:v>Operating lease liabilities, current</x:v>
      </x:c>
      <x:c r="B23" s="216" t="n">
        <x:f>Historicals_BS!G23</x:f>
        <x:v>44.08</x:v>
      </x:c>
      <x:c r="C23" s="216" t="n">
        <x:f>B23</x:f>
        <x:v>44.08</x:v>
      </x:c>
      <x:c r="D23" s="216" t="n">
        <x:f>C23</x:f>
        <x:v>44.08</x:v>
      </x:c>
      <x:c r="E23" s="216" t="n">
        <x:f>D23</x:f>
        <x:v>44.08</x:v>
      </x:c>
      <x:c r="F23" s="216" t="n">
        <x:f>E23</x:f>
        <x:v>44.08</x:v>
      </x:c>
      <x:c r="G23" s="206"/>
      <x:c r="H23" s="206"/>
      <x:c r="I23" s="206"/>
      <x:c r="J23" s="206"/>
      <x:c r="K23" s="206"/>
      <x:c r="L23" s="5"/>
    </x:row>
    <x:row r="24">
      <x:c r="A24" s="119" t="str">
        <x:v>Short-term debt / current portion of LTD</x:v>
      </x:c>
      <x:c r="B24" s="216" t="n">
        <x:f>WC_PPE_Debt!B23</x:f>
        <x:v>0</x:v>
      </x:c>
      <x:c r="C24" s="216" t="n">
        <x:f>WC_PPE_Debt!C23</x:f>
        <x:v>0</x:v>
      </x:c>
      <x:c r="D24" s="216" t="n">
        <x:f>WC_PPE_Debt!D23</x:f>
        <x:v>0</x:v>
      </x:c>
      <x:c r="E24" s="216" t="n">
        <x:f>WC_PPE_Debt!E23</x:f>
        <x:v>0</x:v>
      </x:c>
      <x:c r="F24" s="216" t="n">
        <x:f>WC_PPE_Debt!F23</x:f>
        <x:v>0</x:v>
      </x:c>
      <x:c r="G24" s="206"/>
      <x:c r="H24" s="206"/>
      <x:c r="I24" s="206"/>
      <x:c r="J24" s="206"/>
      <x:c r="K24" s="206"/>
      <x:c r="L24" s="5"/>
    </x:row>
    <x:row r="25">
      <x:c r="A25" s="119" t="str">
        <x:v>Total current liabilities</x:v>
      </x:c>
      <x:c r="B25" s="216" t="n">
        <x:f>SUM(B19:B24)</x:f>
        <x:v>2054.4358186983623</x:v>
      </x:c>
      <x:c r="C25" s="216" t="n">
        <x:f>SUM(C19:C24)</x:f>
        <x:v>2231.6190703408547</x:v>
      </x:c>
      <x:c r="D25" s="216" t="n">
        <x:f>SUM(D19:D24)</x:f>
        <x:v>2383.477793536003</x:v>
      </x:c>
      <x:c r="E25" s="216" t="n">
        <x:f>SUM(E19:E24)</x:f>
        <x:v>2519.769058512459</x:v>
      </x:c>
      <x:c r="F25" s="216" t="n">
        <x:f>SUM(F19:F24)</x:f>
        <x:v>2642.2722652549373</x:v>
      </x:c>
      <x:c r="G25" s="206"/>
      <x:c r="H25" s="206"/>
      <x:c r="I25" s="206"/>
      <x:c r="J25" s="206"/>
      <x:c r="K25" s="206"/>
      <x:c r="L25" s="5"/>
    </x:row>
    <x:row r="26">
      <x:c r="A26" s="119" t="str">
        <x:v>Long-term debt</x:v>
      </x:c>
      <x:c r="B26" s="216" t="n">
        <x:f>Assumptions!$E$36*0</x:f>
        <x:v>0</x:v>
      </x:c>
      <x:c r="C26" s="216" t="n">
        <x:f>Assumptions!$F$36*0</x:f>
        <x:v>0</x:v>
      </x:c>
      <x:c r="D26" s="216" t="n">
        <x:f>Assumptions!$G$36*0</x:f>
        <x:v>0</x:v>
      </x:c>
      <x:c r="E26" s="216" t="n">
        <x:f>Assumptions!$H$36*0</x:f>
        <x:v>0</x:v>
      </x:c>
      <x:c r="F26" s="216" t="n">
        <x:f>Assumptions!$I$36*0</x:f>
        <x:v>0</x:v>
      </x:c>
      <x:c r="G26" s="206"/>
      <x:c r="H26" s="206"/>
      <x:c r="I26" s="206"/>
      <x:c r="J26" s="206"/>
      <x:c r="K26" s="206"/>
      <x:c r="L26" s="5"/>
    </x:row>
    <x:row r="27">
      <x:c r="A27" s="119" t="str">
        <x:v>Operating lease liabilities, non-current</x:v>
      </x:c>
      <x:c r="B27" s="216" t="n">
        <x:f>Historicals_BS!G27</x:f>
        <x:v>172.063</x:v>
      </x:c>
      <x:c r="C27" s="216" t="n">
        <x:f>B27</x:f>
        <x:v>172.063</x:v>
      </x:c>
      <x:c r="D27" s="216" t="n">
        <x:f>C27</x:f>
        <x:v>172.063</x:v>
      </x:c>
      <x:c r="E27" s="216" t="n">
        <x:f>D27</x:f>
        <x:v>172.063</x:v>
      </x:c>
      <x:c r="F27" s="216" t="n">
        <x:f>E27</x:f>
        <x:v>172.063</x:v>
      </x:c>
      <x:c r="G27" s="206"/>
      <x:c r="H27" s="206"/>
      <x:c r="I27" s="206"/>
      <x:c r="J27" s="206"/>
      <x:c r="K27" s="206"/>
      <x:c r="L27" s="5"/>
    </x:row>
    <x:row r="28">
      <x:c r="A28" s="119" t="str">
        <x:v>Deferred revenue, non-current</x:v>
      </x:c>
      <x:c r="B28" s="216" t="n">
        <x:f>WC_PPE_Debt!B13*(1-0.530216)</x:f>
        <x:v>1136.3843045256099</x:v>
      </x:c>
      <x:c r="C28" s="216" t="n">
        <x:f>WC_PPE_Debt!C13*(1-0.530216)</x:f>
        <x:v>1248.732327140487</x:v>
      </x:c>
      <x:c r="D28" s="216" t="n">
        <x:f>WC_PPE_Debt!D13*(1-0.530216)</x:f>
        <x:v>1344.4032802471743</x:v>
      </x:c>
      <x:c r="E28" s="216" t="n">
        <x:f>WC_PPE_Debt!E13*(1-0.530216)</x:f>
        <x:v>1432.1841712432251</x:v>
      </x:c>
      <x:c r="F28" s="216" t="n">
        <x:f>WC_PPE_Debt!F13*(1-0.530216)</x:f>
        <x:v>1513.0888151479667</x:v>
      </x:c>
      <x:c r="G28" s="206"/>
      <x:c r="H28" s="206"/>
      <x:c r="I28" s="206"/>
      <x:c r="J28" s="206"/>
      <x:c r="K28" s="206"/>
      <x:c r="L28" s="5"/>
    </x:row>
    <x:row r="29">
      <x:c r="A29" s="119" t="str">
        <x:v>Other non-current liabilities</x:v>
      </x:c>
      <x:c r="B29" s="216" t="n">
        <x:f>Historicals_BS!G29</x:f>
        <x:v>100.096</x:v>
      </x:c>
      <x:c r="C29" s="216" t="n">
        <x:f>B29</x:f>
        <x:v>100.096</x:v>
      </x:c>
      <x:c r="D29" s="216" t="n">
        <x:f>C29</x:f>
        <x:v>100.096</x:v>
      </x:c>
      <x:c r="E29" s="216" t="n">
        <x:f>D29</x:f>
        <x:v>100.096</x:v>
      </x:c>
      <x:c r="F29" s="216" t="n">
        <x:f>E29</x:f>
        <x:v>100.096</x:v>
      </x:c>
      <x:c r="G29" s="206"/>
      <x:c r="H29" s="206"/>
      <x:c r="I29" s="206"/>
      <x:c r="J29" s="206"/>
      <x:c r="K29" s="206"/>
      <x:c r="L29" s="5"/>
    </x:row>
    <x:row r="30">
      <x:c r="A30" s="119" t="str">
        <x:v>Total liabilities</x:v>
      </x:c>
      <x:c r="B30" s="216" t="n">
        <x:f>B25+SUM(B26:B29)</x:f>
        <x:v>3462.9791232239722</x:v>
      </x:c>
      <x:c r="C30" s="216" t="n">
        <x:f>C25+SUM(C26:C29)</x:f>
        <x:v>3752.510397481342</x:v>
      </x:c>
      <x:c r="D30" s="216" t="n">
        <x:f>D25+SUM(D26:D29)</x:f>
        <x:v>4000.0400737831774</x:v>
      </x:c>
      <x:c r="E30" s="216" t="n">
        <x:f>E25+SUM(E26:E29)</x:f>
        <x:v>4224.112229755685</x:v>
      </x:c>
      <x:c r="F30" s="216" t="n">
        <x:f>F25+SUM(F26:F29)</x:f>
        <x:v>4427.520080402905</x:v>
      </x:c>
      <x:c r="G30" s="206"/>
      <x:c r="H30" s="206"/>
      <x:c r="I30" s="206"/>
      <x:c r="J30" s="206"/>
      <x:c r="K30" s="206"/>
      <x:c r="L30" s="5"/>
    </x:row>
    <x:row r="31">
      <x:c r="A31" s="119" t="str">
        <x:v>Common stock and APIC</x:v>
      </x:c>
      <x:c r="B31" s="216" t="n">
        <x:f>WC_PPE_Debt!B34</x:f>
        <x:v>3121.3259457057998</x:v>
      </x:c>
      <x:c r="C31" s="216" t="n">
        <x:f>WC_PPE_Debt!C34</x:f>
        <x:v>3636.5658943758</x:v>
      </x:c>
      <x:c r="D31" s="216" t="n">
        <x:f>WC_PPE_Debt!D34</x:f>
        <x:v>4163.7835448802</x:v>
      </x:c>
      <x:c r="E31" s="216" t="n">
        <x:f>WC_PPE_Debt!E34</x:f>
        <x:v>4696.8240951341995</x:v>
      </x:c>
      <x:c r="F31" s="216" t="n">
        <x:f>WC_PPE_Debt!F34</x:f>
        <x:v>5230.224942647799</x:v>
      </x:c>
      <x:c r="G31" s="206"/>
      <x:c r="H31" s="206"/>
      <x:c r="I31" s="206"/>
      <x:c r="J31" s="206"/>
      <x:c r="K31" s="206"/>
      <x:c r="L31" s="5"/>
    </x:row>
    <x:row r="32">
      <x:c r="A32" s="119" t="str">
        <x:v>Retained earnings / accumulated deficit</x:v>
      </x:c>
      <x:c r="B32" s="216" t="n">
        <x:f>WC_PPE_Debt!B35</x:f>
        <x:v>-981.6066599745996</x:v>
      </x:c>
      <x:c r="C32" s="216" t="n">
        <x:f>WC_PPE_Debt!C35</x:f>
        <x:v>-703.5004951793991</x:v>
      </x:c>
      <x:c r="D32" s="216" t="n">
        <x:f>WC_PPE_Debt!D35</x:f>
        <x:v>-337.9489710754001</x:v>
      </x:c>
      <x:c r="E32" s="216" t="n">
        <x:f>WC_PPE_Debt!E35</x:f>
        <x:v>120.08969491760018</x:v>
      </x:c>
      <x:c r="F32" s="216" t="n">
        <x:f>WC_PPE_Debt!F35</x:f>
        <x:v>676.2781817172006</x:v>
      </x:c>
      <x:c r="G32" s="206"/>
      <x:c r="H32" s="206"/>
      <x:c r="I32" s="206"/>
      <x:c r="J32" s="206"/>
      <x:c r="K32" s="206"/>
      <x:c r="L32" s="5"/>
    </x:row>
    <x:row r="33">
      <x:c r="A33" s="119" t="str">
        <x:v>Accumulated OCI</x:v>
      </x:c>
      <x:c r="B33" s="216" t="n">
        <x:f>Historicals_BS!G33</x:f>
        <x:v>1.709</x:v>
      </x:c>
      <x:c r="C33" s="216" t="n">
        <x:f>B33</x:f>
        <x:v>1.709</x:v>
      </x:c>
      <x:c r="D33" s="216" t="n">
        <x:f>C33</x:f>
        <x:v>1.709</x:v>
      </x:c>
      <x:c r="E33" s="216" t="n">
        <x:f>D33</x:f>
        <x:v>1.709</x:v>
      </x:c>
      <x:c r="F33" s="216" t="n">
        <x:f>E33</x:f>
        <x:v>1.709</x:v>
      </x:c>
      <x:c r="G33" s="206"/>
      <x:c r="H33" s="206"/>
      <x:c r="I33" s="206"/>
      <x:c r="J33" s="206"/>
      <x:c r="K33" s="206"/>
      <x:c r="L33" s="5"/>
    </x:row>
    <x:row r="34">
      <x:c r="A34" s="119" t="str">
        <x:v>Treasury stock</x:v>
      </x:c>
      <x:c r="B34" s="216" t="n">
        <x:f>Assumptions!$E$40*0</x:f>
        <x:v>0</x:v>
      </x:c>
      <x:c r="C34" s="216" t="n">
        <x:f>Assumptions!$F$40*0</x:f>
        <x:v>0</x:v>
      </x:c>
      <x:c r="D34" s="216" t="n">
        <x:f>Assumptions!$G$40*0</x:f>
        <x:v>0</x:v>
      </x:c>
      <x:c r="E34" s="216" t="n">
        <x:f>Assumptions!$H$40*0</x:f>
        <x:v>0</x:v>
      </x:c>
      <x:c r="F34" s="216" t="n">
        <x:f>Assumptions!$I$40*0</x:f>
        <x:v>0</x:v>
      </x:c>
      <x:c r="G34" s="206"/>
      <x:c r="H34" s="206"/>
      <x:c r="I34" s="206"/>
      <x:c r="J34" s="206"/>
      <x:c r="K34" s="206"/>
      <x:c r="L34" s="5"/>
    </x:row>
    <x:row r="35">
      <x:c r="A35" s="119" t="str">
        <x:v>Total stockholders' equity</x:v>
      </x:c>
      <x:c r="B35" s="216" t="n">
        <x:f>SUM(B31:B34)</x:f>
        <x:v>2141.4282857312</x:v>
      </x:c>
      <x:c r="C35" s="216" t="n">
        <x:f>SUM(C31:C34)</x:f>
        <x:v>2934.7743991964007</x:v>
      </x:c>
      <x:c r="D35" s="216" t="n">
        <x:f>SUM(D31:D34)</x:f>
        <x:v>3827.5435738047995</x:v>
      </x:c>
      <x:c r="E35" s="216" t="n">
        <x:f>SUM(E31:E34)</x:f>
        <x:v>4818.6227900518</x:v>
      </x:c>
      <x:c r="F35" s="216" t="n">
        <x:f>SUM(F31:F34)</x:f>
        <x:v>5908.212124365</x:v>
      </x:c>
      <x:c r="G35" s="206"/>
      <x:c r="H35" s="206"/>
      <x:c r="I35" s="206"/>
      <x:c r="J35" s="206"/>
      <x:c r="K35" s="206"/>
      <x:c r="L35" s="5"/>
    </x:row>
    <x:row r="36">
      <x:c r="A36" s="119" t="str">
        <x:v>Total liabilities and stockholders' equity</x:v>
      </x:c>
      <x:c r="B36" s="216" t="n">
        <x:f>B30+B35</x:f>
        <x:v>5604.407408955172</x:v>
      </x:c>
      <x:c r="C36" s="216" t="n">
        <x:f>C30+C35</x:f>
        <x:v>6687.284796677743</x:v>
      </x:c>
      <x:c r="D36" s="216" t="n">
        <x:f>D30+D35</x:f>
        <x:v>7827.583647587977</x:v>
      </x:c>
      <x:c r="E36" s="216" t="n">
        <x:f>E30+E35</x:f>
        <x:v>9042.735019807486</x:v>
      </x:c>
      <x:c r="F36" s="216" t="n">
        <x:f>F30+F35</x:f>
        <x:v>10335.732204767904</x:v>
      </x:c>
      <x:c r="G36" s="206"/>
      <x:c r="H36" s="206"/>
      <x:c r="I36" s="206"/>
      <x:c r="J36" s="206"/>
      <x:c r="K36" s="206"/>
      <x:c r="L36" s="5"/>
    </x:row>
    <x:row r="37">
      <x:c r="A37" s="119"/>
      <x:c r="B37" s="206"/>
      <x:c r="C37" s="206"/>
      <x:c r="D37" s="206"/>
      <x:c r="E37" s="206"/>
      <x:c r="F37" s="206"/>
      <x:c r="G37" s="206"/>
      <x:c r="H37" s="206"/>
      <x:c r="I37" s="206"/>
      <x:c r="J37" s="206"/>
      <x:c r="K37" s="206"/>
      <x:c r="L37" s="5"/>
    </x:row>
    <x:row r="38">
      <x:c r="A38" s="119"/>
      <x:c r="B38" s="206"/>
      <x:c r="C38" s="206"/>
      <x:c r="D38" s="206"/>
      <x:c r="E38" s="206"/>
      <x:c r="F38" s="206"/>
      <x:c r="G38" s="206"/>
      <x:c r="H38" s="206"/>
      <x:c r="I38" s="206"/>
      <x:c r="J38" s="206"/>
      <x:c r="K38" s="206"/>
      <x:c r="L38" s="5"/>
    </x:row>
    <x:row r="39">
      <x:c r="A39" s="119"/>
      <x:c r="B39" s="206"/>
      <x:c r="C39" s="206"/>
      <x:c r="D39" s="206"/>
      <x:c r="E39" s="206"/>
      <x:c r="F39" s="206"/>
      <x:c r="G39" s="206"/>
      <x:c r="H39" s="206"/>
      <x:c r="I39" s="206"/>
      <x:c r="J39" s="206"/>
      <x:c r="K39" s="206"/>
      <x:c r="L39" s="5"/>
    </x:row>
    <x:row r="40">
      <x:c r="A40" s="119"/>
      <x:c r="B40" s="206"/>
      <x:c r="C40" s="206"/>
      <x:c r="D40" s="206"/>
      <x:c r="E40" s="206"/>
      <x:c r="F40" s="206"/>
      <x:c r="G40" s="206"/>
      <x:c r="H40" s="206"/>
      <x:c r="I40" s="206"/>
      <x:c r="J40" s="206"/>
      <x:c r="K40" s="206"/>
      <x:c r="L40" s="5"/>
    </x:row>
    <x:row r="41">
      <x:c r="A41" s="119"/>
      <x:c r="B41" s="206"/>
      <x:c r="C41" s="206"/>
      <x:c r="D41" s="206"/>
      <x:c r="E41" s="206"/>
      <x:c r="F41" s="206"/>
      <x:c r="G41" s="206"/>
      <x:c r="H41" s="206"/>
      <x:c r="I41" s="206"/>
      <x:c r="J41" s="206"/>
      <x:c r="K41" s="206"/>
      <x:c r="L41" s="5"/>
    </x:row>
    <x:row r="42">
      <x:c r="A42" s="119"/>
      <x:c r="B42" s="206"/>
      <x:c r="C42" s="206"/>
      <x:c r="D42" s="206"/>
      <x:c r="E42" s="206"/>
      <x:c r="F42" s="206"/>
      <x:c r="G42" s="206"/>
      <x:c r="H42" s="206"/>
      <x:c r="I42" s="206"/>
      <x:c r="J42" s="206"/>
      <x:c r="K42" s="206"/>
      <x:c r="L42" s="5"/>
    </x:row>
    <x:row r="43">
      <x:c r="A43" s="119"/>
      <x:c r="B43" s="206"/>
      <x:c r="C43" s="206"/>
      <x:c r="D43" s="206"/>
      <x:c r="E43" s="206"/>
      <x:c r="F43" s="206"/>
      <x:c r="G43" s="206"/>
      <x:c r="H43" s="206"/>
      <x:c r="I43" s="206"/>
      <x:c r="J43" s="206"/>
      <x:c r="K43" s="206"/>
      <x:c r="L43" s="5"/>
    </x:row>
    <x:row r="44">
      <x:c r="A44" s="119"/>
      <x:c r="B44" s="206"/>
      <x:c r="C44" s="206"/>
      <x:c r="D44" s="206"/>
      <x:c r="E44" s="206"/>
      <x:c r="F44" s="206"/>
      <x:c r="G44" s="206"/>
      <x:c r="H44" s="206"/>
      <x:c r="I44" s="206"/>
      <x:c r="J44" s="206"/>
      <x:c r="K44" s="206"/>
      <x:c r="L44" s="5"/>
    </x:row>
    <x:row r="45">
      <x:c r="A45" s="119"/>
      <x:c r="B45" s="206"/>
      <x:c r="C45" s="206"/>
      <x:c r="D45" s="206"/>
      <x:c r="E45" s="206"/>
      <x:c r="F45" s="206"/>
      <x:c r="G45" s="206"/>
      <x:c r="H45" s="206"/>
      <x:c r="I45" s="206"/>
      <x:c r="J45" s="206"/>
      <x:c r="K45" s="206"/>
      <x:c r="L45" s="5"/>
    </x:row>
    <x:row r="46">
      <x:c r="A46" s="119"/>
      <x:c r="B46" s="206"/>
      <x:c r="C46" s="206"/>
      <x:c r="D46" s="206"/>
      <x:c r="E46" s="206"/>
      <x:c r="F46" s="206"/>
      <x:c r="G46" s="206"/>
      <x:c r="H46" s="206"/>
      <x:c r="I46" s="206"/>
      <x:c r="J46" s="206"/>
      <x:c r="K46" s="206"/>
      <x:c r="L46" s="5"/>
    </x:row>
    <x:row r="47">
      <x:c r="A47" s="119"/>
      <x:c r="B47" s="206"/>
      <x:c r="C47" s="206"/>
      <x:c r="D47" s="206"/>
      <x:c r="E47" s="206"/>
      <x:c r="F47" s="206"/>
      <x:c r="G47" s="206"/>
      <x:c r="H47" s="206"/>
      <x:c r="I47" s="206"/>
      <x:c r="J47" s="206"/>
      <x:c r="K47" s="206"/>
      <x:c r="L47" s="5"/>
    </x:row>
    <x:row r="48">
      <x:c r="A48" s="119"/>
      <x:c r="B48" s="206"/>
      <x:c r="C48" s="206"/>
      <x:c r="D48" s="206"/>
      <x:c r="E48" s="206"/>
      <x:c r="F48" s="206"/>
      <x:c r="G48" s="206"/>
      <x:c r="H48" s="206"/>
      <x:c r="I48" s="206"/>
      <x:c r="J48" s="206"/>
      <x:c r="K48" s="206"/>
      <x:c r="L48" s="5"/>
    </x:row>
    <x:row r="49">
      <x:c r="A49" s="119"/>
      <x:c r="B49" s="206"/>
      <x:c r="C49" s="206"/>
      <x:c r="D49" s="206"/>
      <x:c r="E49" s="206"/>
      <x:c r="F49" s="206"/>
      <x:c r="G49" s="206"/>
      <x:c r="H49" s="206"/>
      <x:c r="I49" s="206"/>
      <x:c r="J49" s="206"/>
      <x:c r="K49" s="206"/>
      <x:c r="L49" s="5"/>
    </x:row>
    <x:row r="50">
      <x:c r="A50" s="119"/>
      <x:c r="B50" s="206"/>
      <x:c r="C50" s="206"/>
      <x:c r="D50" s="206"/>
      <x:c r="E50" s="206"/>
      <x:c r="F50" s="206"/>
      <x:c r="G50" s="206"/>
      <x:c r="H50" s="206"/>
      <x:c r="I50" s="206"/>
      <x:c r="J50" s="206"/>
      <x:c r="K50" s="206"/>
      <x:c r="L50" s="5"/>
    </x:row>
    <x:row r="51">
      <x:c r="A51" s="119"/>
      <x:c r="B51" s="206"/>
      <x:c r="C51" s="206"/>
      <x:c r="D51" s="206"/>
      <x:c r="E51" s="206"/>
      <x:c r="F51" s="206"/>
      <x:c r="G51" s="206"/>
      <x:c r="H51" s="206"/>
      <x:c r="I51" s="206"/>
      <x:c r="J51" s="206"/>
      <x:c r="K51" s="206"/>
      <x:c r="L51" s="5"/>
    </x:row>
    <x:row r="52">
      <x:c r="A52" s="119"/>
      <x:c r="B52" s="206"/>
      <x:c r="C52" s="206"/>
      <x:c r="D52" s="206"/>
      <x:c r="E52" s="206"/>
      <x:c r="F52" s="206"/>
      <x:c r="G52" s="206"/>
      <x:c r="H52" s="206"/>
      <x:c r="I52" s="206"/>
      <x:c r="J52" s="206"/>
      <x:c r="K52" s="206"/>
      <x:c r="L52" s="5"/>
    </x:row>
    <x:row r="53">
      <x:c r="A53" s="119"/>
      <x:c r="B53" s="206"/>
      <x:c r="C53" s="206"/>
      <x:c r="D53" s="206"/>
      <x:c r="E53" s="206"/>
      <x:c r="F53" s="206"/>
      <x:c r="G53" s="206"/>
      <x:c r="H53" s="206"/>
      <x:c r="I53" s="206"/>
      <x:c r="J53" s="206"/>
      <x:c r="K53" s="206"/>
      <x:c r="L53" s="5"/>
    </x:row>
    <x:row r="54">
      <x:c r="A54" s="119"/>
      <x:c r="B54" s="206"/>
      <x:c r="C54" s="206"/>
      <x:c r="D54" s="206"/>
      <x:c r="E54" s="206"/>
      <x:c r="F54" s="206"/>
      <x:c r="G54" s="206"/>
      <x:c r="H54" s="206"/>
      <x:c r="I54" s="206"/>
      <x:c r="J54" s="206"/>
      <x:c r="K54" s="206"/>
      <x:c r="L54" s="5"/>
    </x:row>
    <x:row r="55">
      <x:c r="A55" s="119"/>
      <x:c r="B55" s="206"/>
      <x:c r="C55" s="206"/>
      <x:c r="D55" s="206"/>
      <x:c r="E55" s="206"/>
      <x:c r="F55" s="206"/>
      <x:c r="G55" s="206"/>
      <x:c r="H55" s="206"/>
      <x:c r="I55" s="206"/>
      <x:c r="J55" s="206"/>
      <x:c r="K55" s="206"/>
      <x:c r="L55" s="5"/>
    </x:row>
    <x:row r="56">
      <x:c r="A56" s="119"/>
      <x:c r="B56" s="206"/>
      <x:c r="C56" s="206"/>
      <x:c r="D56" s="206"/>
      <x:c r="E56" s="206"/>
      <x:c r="F56" s="206"/>
      <x:c r="G56" s="206"/>
      <x:c r="H56" s="206"/>
      <x:c r="I56" s="206"/>
      <x:c r="J56" s="206"/>
      <x:c r="K56" s="206"/>
      <x:c r="L56" s="5"/>
    </x:row>
    <x:row r="57">
      <x:c r="A57" s="119"/>
      <x:c r="B57" s="206"/>
      <x:c r="C57" s="206"/>
      <x:c r="D57" s="206"/>
      <x:c r="E57" s="206"/>
      <x:c r="F57" s="206"/>
      <x:c r="G57" s="206"/>
      <x:c r="H57" s="206"/>
      <x:c r="I57" s="206"/>
      <x:c r="J57" s="206"/>
      <x:c r="K57" s="206"/>
      <x:c r="L57" s="5"/>
    </x:row>
    <x:row r="58">
      <x:c r="A58" s="119"/>
      <x:c r="B58" s="206"/>
      <x:c r="C58" s="206"/>
      <x:c r="D58" s="206"/>
      <x:c r="E58" s="206"/>
      <x:c r="F58" s="206"/>
      <x:c r="G58" s="206"/>
      <x:c r="H58" s="206"/>
      <x:c r="I58" s="206"/>
      <x:c r="J58" s="206"/>
      <x:c r="K58" s="206"/>
      <x:c r="L58" s="5"/>
    </x:row>
    <x:row r="59">
      <x:c r="A59" s="119"/>
      <x:c r="B59" s="206"/>
      <x:c r="C59" s="206"/>
      <x:c r="D59" s="206"/>
      <x:c r="E59" s="206"/>
      <x:c r="F59" s="206"/>
      <x:c r="G59" s="206"/>
      <x:c r="H59" s="206"/>
      <x:c r="I59" s="206"/>
      <x:c r="J59" s="206"/>
      <x:c r="K59" s="206"/>
      <x:c r="L59" s="5"/>
    </x:row>
    <x:row r="60">
      <x:c r="A60" s="119"/>
      <x:c r="B60" s="206"/>
      <x:c r="C60" s="206"/>
      <x:c r="D60" s="206"/>
      <x:c r="E60" s="206"/>
      <x:c r="F60" s="206"/>
      <x:c r="G60" s="206"/>
      <x:c r="H60" s="206"/>
      <x:c r="I60" s="206"/>
      <x:c r="J60" s="206"/>
      <x:c r="K60" s="206"/>
      <x:c r="L60" s="5"/>
    </x:row>
    <x:row r="61">
      <x:c r="A61" s="119"/>
      <x:c r="B61" s="206"/>
      <x:c r="C61" s="206"/>
      <x:c r="D61" s="206"/>
      <x:c r="E61" s="206"/>
      <x:c r="F61" s="206"/>
      <x:c r="G61" s="206"/>
      <x:c r="H61" s="206"/>
      <x:c r="I61" s="206"/>
      <x:c r="J61" s="206"/>
      <x:c r="K61" s="206"/>
      <x:c r="L61" s="5"/>
    </x:row>
    <x:row r="62">
      <x:c r="A62" s="119"/>
      <x:c r="B62" s="206"/>
      <x:c r="C62" s="206"/>
      <x:c r="D62" s="206"/>
      <x:c r="E62" s="206"/>
      <x:c r="F62" s="206"/>
      <x:c r="G62" s="206"/>
      <x:c r="H62" s="206"/>
      <x:c r="I62" s="206"/>
      <x:c r="J62" s="206"/>
      <x:c r="K62" s="206"/>
      <x:c r="L62" s="5"/>
    </x:row>
    <x:row r="63">
      <x:c r="A63" s="119"/>
      <x:c r="B63" s="206"/>
      <x:c r="C63" s="206"/>
      <x:c r="D63" s="206"/>
      <x:c r="E63" s="206"/>
      <x:c r="F63" s="206"/>
      <x:c r="G63" s="206"/>
      <x:c r="H63" s="206"/>
      <x:c r="I63" s="206"/>
      <x:c r="J63" s="206"/>
      <x:c r="K63" s="206"/>
      <x:c r="L63" s="5"/>
    </x:row>
    <x:row r="64">
      <x:c r="A64" s="119"/>
      <x:c r="B64" s="206"/>
      <x:c r="C64" s="206"/>
      <x:c r="D64" s="206"/>
      <x:c r="E64" s="206"/>
      <x:c r="F64" s="206"/>
      <x:c r="G64" s="206"/>
      <x:c r="H64" s="206"/>
      <x:c r="I64" s="206"/>
      <x:c r="J64" s="206"/>
      <x:c r="K64" s="206"/>
      <x:c r="L64" s="5"/>
    </x:row>
    <x:row r="65">
      <x:c r="A65" s="119"/>
      <x:c r="B65" s="206"/>
      <x:c r="C65" s="206"/>
      <x:c r="D65" s="206"/>
      <x:c r="E65" s="206"/>
      <x:c r="F65" s="206"/>
      <x:c r="G65" s="206"/>
      <x:c r="H65" s="206"/>
      <x:c r="I65" s="206"/>
      <x:c r="J65" s="206"/>
      <x:c r="K65" s="206"/>
      <x:c r="L65" s="5"/>
    </x:row>
    <x:row r="66">
      <x:c r="A66" s="119"/>
      <x:c r="B66" s="206"/>
      <x:c r="C66" s="206"/>
      <x:c r="D66" s="206"/>
      <x:c r="E66" s="206"/>
      <x:c r="F66" s="206"/>
      <x:c r="G66" s="206"/>
      <x:c r="H66" s="206"/>
      <x:c r="I66" s="206"/>
      <x:c r="J66" s="206"/>
      <x:c r="K66" s="206"/>
      <x:c r="L66" s="5"/>
    </x:row>
    <x:row r="67">
      <x:c r="A67" s="119"/>
      <x:c r="B67" s="206"/>
      <x:c r="C67" s="206"/>
      <x:c r="D67" s="206"/>
      <x:c r="E67" s="206"/>
      <x:c r="F67" s="206"/>
      <x:c r="G67" s="206"/>
      <x:c r="H67" s="206"/>
      <x:c r="I67" s="206"/>
      <x:c r="J67" s="206"/>
      <x:c r="K67" s="206"/>
      <x:c r="L67" s="5"/>
    </x:row>
    <x:row r="68">
      <x:c r="A68" s="119"/>
      <x:c r="B68" s="206"/>
      <x:c r="C68" s="206"/>
      <x:c r="D68" s="206"/>
      <x:c r="E68" s="206"/>
      <x:c r="F68" s="206"/>
      <x:c r="G68" s="206"/>
      <x:c r="H68" s="206"/>
      <x:c r="I68" s="206"/>
      <x:c r="J68" s="206"/>
      <x:c r="K68" s="206"/>
      <x:c r="L68" s="5"/>
    </x:row>
    <x:row r="69">
      <x:c r="A69" s="119"/>
      <x:c r="B69" s="206"/>
      <x:c r="C69" s="206"/>
      <x:c r="D69" s="206"/>
      <x:c r="E69" s="206"/>
      <x:c r="F69" s="206"/>
      <x:c r="G69" s="206"/>
      <x:c r="H69" s="206"/>
      <x:c r="I69" s="206"/>
      <x:c r="J69" s="206"/>
      <x:c r="K69" s="206"/>
      <x:c r="L69" s="5"/>
    </x:row>
    <x:row r="70">
      <x:c r="A70" s="119"/>
      <x:c r="B70" s="206"/>
      <x:c r="C70" s="206"/>
      <x:c r="D70" s="206"/>
      <x:c r="E70" s="206"/>
      <x:c r="F70" s="206"/>
      <x:c r="G70" s="206"/>
      <x:c r="H70" s="206"/>
      <x:c r="I70" s="206"/>
      <x:c r="J70" s="206"/>
      <x:c r="K70" s="206"/>
      <x:c r="L70" s="5"/>
    </x:row>
    <x:row r="71">
      <x:c r="A71" s="119"/>
      <x:c r="B71" s="206"/>
      <x:c r="C71" s="206"/>
      <x:c r="D71" s="206"/>
      <x:c r="E71" s="206"/>
      <x:c r="F71" s="206"/>
      <x:c r="G71" s="206"/>
      <x:c r="H71" s="206"/>
      <x:c r="I71" s="206"/>
      <x:c r="J71" s="206"/>
      <x:c r="K71" s="206"/>
      <x:c r="L71" s="5"/>
    </x:row>
    <x:row r="72">
      <x:c r="A72" s="119"/>
      <x:c r="B72" s="206"/>
      <x:c r="C72" s="206"/>
      <x:c r="D72" s="206"/>
      <x:c r="E72" s="206"/>
      <x:c r="F72" s="206"/>
      <x:c r="G72" s="206"/>
      <x:c r="H72" s="206"/>
      <x:c r="I72" s="206"/>
      <x:c r="J72" s="206"/>
      <x:c r="K72" s="206"/>
      <x:c r="L72" s="5"/>
    </x:row>
    <x:row r="73">
      <x:c r="A73" s="119"/>
      <x:c r="B73" s="206"/>
      <x:c r="C73" s="206"/>
      <x:c r="D73" s="206"/>
      <x:c r="E73" s="206"/>
      <x:c r="F73" s="206"/>
      <x:c r="G73" s="206"/>
      <x:c r="H73" s="206"/>
      <x:c r="I73" s="206"/>
      <x:c r="J73" s="206"/>
      <x:c r="K73" s="206"/>
      <x:c r="L73" s="5"/>
    </x:row>
    <x:row r="74">
      <x:c r="A74" s="119"/>
      <x:c r="B74" s="206"/>
      <x:c r="C74" s="206"/>
      <x:c r="D74" s="206"/>
      <x:c r="E74" s="206"/>
      <x:c r="F74" s="206"/>
      <x:c r="G74" s="206"/>
      <x:c r="H74" s="206"/>
      <x:c r="I74" s="206"/>
      <x:c r="J74" s="206"/>
      <x:c r="K74" s="206"/>
      <x:c r="L74" s="5"/>
    </x:row>
    <x:row r="75">
      <x:c r="A75" s="119"/>
      <x:c r="B75" s="206"/>
      <x:c r="C75" s="206"/>
      <x:c r="D75" s="206"/>
      <x:c r="E75" s="206"/>
      <x:c r="F75" s="206"/>
      <x:c r="G75" s="206"/>
      <x:c r="H75" s="206"/>
      <x:c r="I75" s="206"/>
      <x:c r="J75" s="206"/>
      <x:c r="K75" s="206"/>
      <x:c r="L75" s="5"/>
    </x:row>
    <x:row r="76">
      <x:c r="A76" s="119"/>
      <x:c r="B76" s="206"/>
      <x:c r="C76" s="206"/>
      <x:c r="D76" s="206"/>
      <x:c r="E76" s="206"/>
      <x:c r="F76" s="206"/>
      <x:c r="G76" s="206"/>
      <x:c r="H76" s="206"/>
      <x:c r="I76" s="206"/>
      <x:c r="J76" s="206"/>
      <x:c r="K76" s="206"/>
      <x:c r="L76" s="5"/>
    </x:row>
    <x:row r="77">
      <x:c r="A77" s="119"/>
      <x:c r="B77" s="206"/>
      <x:c r="C77" s="206"/>
      <x:c r="D77" s="206"/>
      <x:c r="E77" s="206"/>
      <x:c r="F77" s="206"/>
      <x:c r="G77" s="206"/>
      <x:c r="H77" s="206"/>
      <x:c r="I77" s="206"/>
      <x:c r="J77" s="206"/>
      <x:c r="K77" s="206"/>
      <x:c r="L77" s="5"/>
    </x:row>
    <x:row r="78">
      <x:c r="A78" s="119"/>
      <x:c r="B78" s="206"/>
      <x:c r="C78" s="206"/>
      <x:c r="D78" s="206"/>
      <x:c r="E78" s="206"/>
      <x:c r="F78" s="206"/>
      <x:c r="G78" s="206"/>
      <x:c r="H78" s="206"/>
      <x:c r="I78" s="206"/>
      <x:c r="J78" s="206"/>
      <x:c r="K78" s="206"/>
      <x:c r="L78" s="5"/>
    </x:row>
    <x:row r="79">
      <x:c r="A79" s="119"/>
      <x:c r="B79" s="206"/>
      <x:c r="C79" s="206"/>
      <x:c r="D79" s="206"/>
      <x:c r="E79" s="206"/>
      <x:c r="F79" s="206"/>
      <x:c r="G79" s="206"/>
      <x:c r="H79" s="206"/>
      <x:c r="I79" s="206"/>
      <x:c r="J79" s="206"/>
      <x:c r="K79" s="206"/>
      <x:c r="L79" s="5"/>
    </x:row>
    <x:row r="80">
      <x:c r="A80" s="119"/>
      <x:c r="B80" s="206"/>
      <x:c r="C80" s="206"/>
      <x:c r="D80" s="206"/>
      <x:c r="E80" s="206"/>
      <x:c r="F80" s="206"/>
      <x:c r="G80" s="206"/>
      <x:c r="H80" s="206"/>
      <x:c r="I80" s="206"/>
      <x:c r="J80" s="206"/>
      <x:c r="K80" s="206"/>
      <x:c r="L80" s="5"/>
    </x:row>
    <x:row r="81">
      <x:c r="B81" s="260"/>
      <x:c r="C81" s="260"/>
      <x:c r="D81" s="260"/>
      <x:c r="E81" s="260"/>
      <x:c r="F81" s="260"/>
      <x:c r="G81" s="260"/>
      <x:c r="H81" s="260"/>
      <x:c r="I81" s="260"/>
      <x:c r="J81" s="260"/>
      <x:c r="K81" s="260"/>
    </x:row>
    <x:row r="82">
      <x:c r="B82" s="260"/>
      <x:c r="C82" s="260"/>
      <x:c r="D82" s="260"/>
      <x:c r="E82" s="260"/>
      <x:c r="F82" s="260"/>
      <x:c r="G82" s="260"/>
      <x:c r="H82" s="260"/>
      <x:c r="I82" s="260"/>
      <x:c r="J82" s="260"/>
      <x:c r="K82" s="260"/>
    </x:row>
    <x:row r="83">
      <x:c r="B83" s="260"/>
      <x:c r="C83" s="260"/>
      <x:c r="D83" s="260"/>
      <x:c r="E83" s="260"/>
      <x:c r="F83" s="260"/>
      <x:c r="G83" s="260"/>
      <x:c r="H83" s="260"/>
      <x:c r="I83" s="260"/>
      <x:c r="J83" s="260"/>
      <x:c r="K83" s="260"/>
    </x:row>
    <x:row r="84">
      <x:c r="B84" s="260"/>
      <x:c r="C84" s="260"/>
      <x:c r="D84" s="260"/>
      <x:c r="E84" s="260"/>
      <x:c r="F84" s="260"/>
      <x:c r="G84" s="260"/>
      <x:c r="H84" s="260"/>
      <x:c r="I84" s="260"/>
      <x:c r="J84" s="260"/>
      <x:c r="K84" s="260"/>
    </x:row>
    <x:row r="85">
      <x:c r="B85" s="260"/>
      <x:c r="C85" s="260"/>
      <x:c r="D85" s="260"/>
      <x:c r="E85" s="260"/>
      <x:c r="F85" s="260"/>
      <x:c r="G85" s="260"/>
      <x:c r="H85" s="260"/>
      <x:c r="I85" s="260"/>
      <x:c r="J85" s="260"/>
      <x:c r="K85" s="260"/>
    </x:row>
    <x:row r="86">
      <x:c r="B86" s="260"/>
      <x:c r="C86" s="260"/>
      <x:c r="D86" s="260"/>
      <x:c r="E86" s="260"/>
      <x:c r="F86" s="260"/>
      <x:c r="G86" s="260"/>
      <x:c r="H86" s="260"/>
      <x:c r="I86" s="260"/>
      <x:c r="J86" s="260"/>
      <x:c r="K86" s="260"/>
    </x:row>
    <x:row r="87">
      <x:c r="B87" s="260"/>
      <x:c r="C87" s="260"/>
      <x:c r="D87" s="260"/>
      <x:c r="E87" s="260"/>
      <x:c r="F87" s="260"/>
      <x:c r="G87" s="260"/>
      <x:c r="H87" s="260"/>
      <x:c r="I87" s="260"/>
      <x:c r="J87" s="260"/>
      <x:c r="K87" s="260"/>
    </x:row>
    <x:row r="88">
      <x:c r="B88" s="260"/>
      <x:c r="C88" s="260"/>
      <x:c r="D88" s="260"/>
      <x:c r="E88" s="260"/>
      <x:c r="F88" s="260"/>
      <x:c r="G88" s="260"/>
      <x:c r="H88" s="260"/>
      <x:c r="I88" s="260"/>
      <x:c r="J88" s="260"/>
      <x:c r="K88" s="260"/>
    </x:row>
    <x:row r="89">
      <x:c r="B89" s="260"/>
      <x:c r="C89" s="260"/>
      <x:c r="D89" s="260"/>
      <x:c r="E89" s="260"/>
      <x:c r="F89" s="260"/>
      <x:c r="G89" s="260"/>
      <x:c r="H89" s="260"/>
      <x:c r="I89" s="260"/>
      <x:c r="J89" s="260"/>
      <x:c r="K89" s="260"/>
    </x:row>
    <x:row r="90">
      <x:c r="B90" s="260"/>
      <x:c r="C90" s="260"/>
      <x:c r="D90" s="260"/>
      <x:c r="E90" s="260"/>
      <x:c r="F90" s="260"/>
      <x:c r="G90" s="260"/>
      <x:c r="H90" s="260"/>
      <x:c r="I90" s="260"/>
      <x:c r="J90" s="260"/>
      <x:c r="K90" s="260"/>
    </x:row>
    <x:row r="91">
      <x:c r="B91" s="260"/>
      <x:c r="C91" s="260"/>
      <x:c r="D91" s="260"/>
      <x:c r="E91" s="260"/>
      <x:c r="F91" s="260"/>
      <x:c r="G91" s="260"/>
      <x:c r="H91" s="260"/>
      <x:c r="I91" s="260"/>
      <x:c r="J91" s="260"/>
      <x:c r="K91" s="260"/>
    </x:row>
    <x:row r="92">
      <x:c r="B92" s="260"/>
      <x:c r="C92" s="260"/>
      <x:c r="D92" s="260"/>
      <x:c r="E92" s="260"/>
      <x:c r="F92" s="260"/>
      <x:c r="G92" s="260"/>
      <x:c r="H92" s="260"/>
      <x:c r="I92" s="260"/>
      <x:c r="J92" s="260"/>
      <x:c r="K92" s="260"/>
    </x:row>
    <x:row r="93">
      <x:c r="B93" s="260"/>
      <x:c r="C93" s="260"/>
      <x:c r="D93" s="260"/>
      <x:c r="E93" s="260"/>
      <x:c r="F93" s="260"/>
      <x:c r="G93" s="260"/>
      <x:c r="H93" s="260"/>
      <x:c r="I93" s="260"/>
      <x:c r="J93" s="260"/>
      <x:c r="K93" s="260"/>
    </x:row>
    <x:row r="94">
      <x:c r="B94" s="260"/>
      <x:c r="C94" s="260"/>
      <x:c r="D94" s="260"/>
      <x:c r="E94" s="260"/>
      <x:c r="F94" s="260"/>
      <x:c r="G94" s="260"/>
      <x:c r="H94" s="260"/>
      <x:c r="I94" s="260"/>
      <x:c r="J94" s="260"/>
      <x:c r="K94" s="260"/>
    </x:row>
    <x:row r="95">
      <x:c r="B95" s="260"/>
      <x:c r="C95" s="260"/>
      <x:c r="D95" s="260"/>
      <x:c r="E95" s="260"/>
      <x:c r="F95" s="260"/>
      <x:c r="G95" s="260"/>
      <x:c r="H95" s="260"/>
      <x:c r="I95" s="260"/>
      <x:c r="J95" s="260"/>
      <x:c r="K95" s="260"/>
    </x:row>
    <x:row r="96">
      <x:c r="B96" s="260"/>
      <x:c r="C96" s="260"/>
      <x:c r="D96" s="260"/>
      <x:c r="E96" s="260"/>
      <x:c r="F96" s="260"/>
      <x:c r="G96" s="260"/>
      <x:c r="H96" s="260"/>
      <x:c r="I96" s="260"/>
      <x:c r="J96" s="260"/>
      <x:c r="K96" s="260"/>
    </x:row>
    <x:row r="97">
      <x:c r="B97" s="260"/>
      <x:c r="C97" s="260"/>
      <x:c r="D97" s="260"/>
      <x:c r="E97" s="260"/>
      <x:c r="F97" s="260"/>
      <x:c r="G97" s="260"/>
      <x:c r="H97" s="260"/>
      <x:c r="I97" s="260"/>
      <x:c r="J97" s="260"/>
      <x:c r="K97" s="260"/>
    </x:row>
    <x:row r="98">
      <x:c r="B98" s="260"/>
      <x:c r="C98" s="260"/>
      <x:c r="D98" s="260"/>
      <x:c r="E98" s="260"/>
      <x:c r="F98" s="260"/>
      <x:c r="G98" s="260"/>
      <x:c r="H98" s="260"/>
      <x:c r="I98" s="260"/>
      <x:c r="J98" s="260"/>
      <x:c r="K98" s="260"/>
    </x:row>
    <x:row r="99">
      <x:c r="B99" s="260"/>
      <x:c r="C99" s="260"/>
      <x:c r="D99" s="260"/>
      <x:c r="E99" s="260"/>
      <x:c r="F99" s="260"/>
      <x:c r="G99" s="260"/>
      <x:c r="H99" s="260"/>
      <x:c r="I99" s="260"/>
      <x:c r="J99" s="260"/>
      <x:c r="K99" s="260"/>
    </x:row>
    <x:row r="100">
      <x:c r="B100" s="260"/>
      <x:c r="C100" s="260"/>
      <x:c r="D100" s="260"/>
      <x:c r="E100" s="260"/>
      <x:c r="F100" s="260"/>
      <x:c r="G100" s="260"/>
      <x:c r="H100" s="260"/>
      <x:c r="I100" s="260"/>
      <x:c r="J100" s="260"/>
      <x:c r="K100" s="260"/>
    </x:row>
    <x:row r="101">
      <x:c r="B101" s="260"/>
      <x:c r="C101" s="260"/>
      <x:c r="D101" s="260"/>
      <x:c r="E101" s="260"/>
      <x:c r="F101" s="260"/>
      <x:c r="G101" s="260"/>
      <x:c r="H101" s="260"/>
      <x:c r="I101" s="260"/>
      <x:c r="J101" s="260"/>
      <x:c r="K101" s="260"/>
    </x:row>
    <x:row r="102">
      <x:c r="B102" s="260"/>
      <x:c r="C102" s="260"/>
      <x:c r="D102" s="260"/>
      <x:c r="E102" s="260"/>
      <x:c r="F102" s="260"/>
      <x:c r="G102" s="260"/>
      <x:c r="H102" s="260"/>
      <x:c r="I102" s="260"/>
      <x:c r="J102" s="260"/>
      <x:c r="K102" s="260"/>
    </x:row>
    <x:row r="103">
      <x:c r="B103" s="260"/>
      <x:c r="C103" s="260"/>
      <x:c r="D103" s="260"/>
      <x:c r="E103" s="260"/>
      <x:c r="F103" s="260"/>
      <x:c r="G103" s="260"/>
      <x:c r="H103" s="260"/>
      <x:c r="I103" s="260"/>
      <x:c r="J103" s="260"/>
      <x:c r="K103" s="260"/>
    </x:row>
    <x:row r="104">
      <x:c r="B104" s="260"/>
      <x:c r="C104" s="260"/>
      <x:c r="D104" s="260"/>
      <x:c r="E104" s="260"/>
      <x:c r="F104" s="260"/>
      <x:c r="G104" s="260"/>
      <x:c r="H104" s="260"/>
      <x:c r="I104" s="260"/>
      <x:c r="J104" s="260"/>
      <x:c r="K104" s="260"/>
    </x:row>
    <x:row r="105">
      <x:c r="B105" s="260"/>
      <x:c r="C105" s="260"/>
      <x:c r="D105" s="260"/>
      <x:c r="E105" s="260"/>
      <x:c r="F105" s="260"/>
      <x:c r="G105" s="260"/>
      <x:c r="H105" s="260"/>
      <x:c r="I105" s="260"/>
      <x:c r="J105" s="260"/>
      <x:c r="K105" s="260"/>
    </x:row>
    <x:row r="106">
      <x:c r="B106" s="260"/>
      <x:c r="C106" s="260"/>
      <x:c r="D106" s="260"/>
      <x:c r="E106" s="260"/>
      <x:c r="F106" s="260"/>
      <x:c r="G106" s="260"/>
      <x:c r="H106" s="260"/>
      <x:c r="I106" s="260"/>
      <x:c r="J106" s="260"/>
      <x:c r="K106" s="260"/>
    </x:row>
    <x:row r="107">
      <x:c r="B107" s="260"/>
      <x:c r="C107" s="260"/>
      <x:c r="D107" s="260"/>
      <x:c r="E107" s="260"/>
      <x:c r="F107" s="260"/>
      <x:c r="G107" s="260"/>
      <x:c r="H107" s="260"/>
      <x:c r="I107" s="260"/>
      <x:c r="J107" s="260"/>
      <x:c r="K107" s="260"/>
    </x:row>
    <x:row r="108">
      <x:c r="B108" s="260"/>
      <x:c r="C108" s="260"/>
      <x:c r="D108" s="260"/>
      <x:c r="E108" s="260"/>
      <x:c r="F108" s="260"/>
      <x:c r="G108" s="260"/>
      <x:c r="H108" s="260"/>
      <x:c r="I108" s="260"/>
      <x:c r="J108" s="260"/>
      <x:c r="K108" s="260"/>
    </x:row>
    <x:row r="109">
      <x:c r="B109" s="260"/>
      <x:c r="C109" s="260"/>
      <x:c r="D109" s="260"/>
      <x:c r="E109" s="260"/>
      <x:c r="F109" s="260"/>
      <x:c r="G109" s="260"/>
      <x:c r="H109" s="260"/>
      <x:c r="I109" s="260"/>
      <x:c r="J109" s="260"/>
      <x:c r="K109" s="260"/>
    </x:row>
    <x:row r="110">
      <x:c r="B110" s="260"/>
      <x:c r="C110" s="260"/>
      <x:c r="D110" s="260"/>
      <x:c r="E110" s="260"/>
      <x:c r="F110" s="260"/>
      <x:c r="G110" s="260"/>
      <x:c r="H110" s="260"/>
      <x:c r="I110" s="260"/>
      <x:c r="J110" s="260"/>
      <x:c r="K110" s="260"/>
    </x:row>
    <x:row r="111">
      <x:c r="B111" s="260"/>
      <x:c r="C111" s="260"/>
      <x:c r="D111" s="260"/>
      <x:c r="E111" s="260"/>
      <x:c r="F111" s="260"/>
      <x:c r="G111" s="260"/>
      <x:c r="H111" s="260"/>
      <x:c r="I111" s="260"/>
      <x:c r="J111" s="260"/>
      <x:c r="K111" s="260"/>
    </x:row>
    <x:row r="112">
      <x:c r="B112" s="260"/>
      <x:c r="C112" s="260"/>
      <x:c r="D112" s="260"/>
      <x:c r="E112" s="260"/>
      <x:c r="F112" s="260"/>
      <x:c r="G112" s="260"/>
      <x:c r="H112" s="260"/>
      <x:c r="I112" s="260"/>
      <x:c r="J112" s="260"/>
      <x:c r="K112" s="260"/>
    </x:row>
    <x:row r="113">
      <x:c r="B113" s="260"/>
      <x:c r="C113" s="260"/>
      <x:c r="D113" s="260"/>
      <x:c r="E113" s="260"/>
      <x:c r="F113" s="260"/>
      <x:c r="G113" s="260"/>
      <x:c r="H113" s="260"/>
      <x:c r="I113" s="260"/>
      <x:c r="J113" s="260"/>
      <x:c r="K113" s="260"/>
    </x:row>
    <x:row r="114">
      <x:c r="B114" s="260"/>
      <x:c r="C114" s="260"/>
      <x:c r="D114" s="260"/>
      <x:c r="E114" s="260"/>
      <x:c r="F114" s="260"/>
      <x:c r="G114" s="260"/>
      <x:c r="H114" s="260"/>
      <x:c r="I114" s="260"/>
      <x:c r="J114" s="260"/>
      <x:c r="K114" s="260"/>
    </x:row>
    <x:row r="115">
      <x:c r="B115" s="260"/>
      <x:c r="C115" s="260"/>
      <x:c r="D115" s="260"/>
      <x:c r="E115" s="260"/>
      <x:c r="F115" s="260"/>
      <x:c r="G115" s="260"/>
      <x:c r="H115" s="260"/>
      <x:c r="I115" s="260"/>
      <x:c r="J115" s="260"/>
      <x:c r="K115" s="260"/>
    </x:row>
    <x:row r="116">
      <x:c r="B116" s="260"/>
      <x:c r="C116" s="260"/>
      <x:c r="D116" s="260"/>
      <x:c r="E116" s="260"/>
      <x:c r="F116" s="260"/>
      <x:c r="G116" s="260"/>
      <x:c r="H116" s="260"/>
      <x:c r="I116" s="260"/>
      <x:c r="J116" s="260"/>
      <x:c r="K116" s="260"/>
    </x:row>
    <x:row r="117">
      <x:c r="B117" s="260"/>
      <x:c r="C117" s="260"/>
      <x:c r="D117" s="260"/>
      <x:c r="E117" s="260"/>
      <x:c r="F117" s="260"/>
      <x:c r="G117" s="260"/>
      <x:c r="H117" s="260"/>
      <x:c r="I117" s="260"/>
      <x:c r="J117" s="260"/>
      <x:c r="K117" s="260"/>
    </x:row>
    <x:row r="118">
      <x:c r="B118" s="260"/>
      <x:c r="C118" s="260"/>
      <x:c r="D118" s="260"/>
      <x:c r="E118" s="260"/>
      <x:c r="F118" s="260"/>
      <x:c r="G118" s="260"/>
      <x:c r="H118" s="260"/>
      <x:c r="I118" s="260"/>
      <x:c r="J118" s="260"/>
      <x:c r="K118" s="260"/>
    </x:row>
    <x:row r="119">
      <x:c r="B119" s="260"/>
      <x:c r="C119" s="260"/>
      <x:c r="D119" s="260"/>
      <x:c r="E119" s="260"/>
      <x:c r="F119" s="260"/>
      <x:c r="G119" s="260"/>
      <x:c r="H119" s="260"/>
      <x:c r="I119" s="260"/>
      <x:c r="J119" s="260"/>
      <x:c r="K119" s="260"/>
    </x:row>
    <x:row r="120">
      <x:c r="B120" s="260"/>
      <x:c r="C120" s="260"/>
      <x:c r="D120" s="260"/>
      <x:c r="E120" s="260"/>
      <x:c r="F120" s="260"/>
      <x:c r="G120" s="260"/>
      <x:c r="H120" s="260"/>
      <x:c r="I120" s="260"/>
      <x:c r="J120" s="260"/>
      <x:c r="K120" s="260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46.43000030517578" hidden="0" customWidth="1"/>
    <x:col min="2" max="2" width="12.859999656677246" hidden="0" customWidth="1"/>
    <x:col min="3" max="3" width="12.859999656677246" hidden="0" customWidth="1"/>
    <x:col min="4" max="4" width="12.859999656677246" hidden="0" customWidth="1"/>
    <x:col min="5" max="5" width="12.859999656677246" hidden="0" customWidth="1"/>
    <x:col min="6" max="6" width="12.859999656677246" hidden="0" customWidth="1"/>
  </x:cols>
  <x:sheetData>
    <x:row r="1">
      <x:c r="A1" s="4" t="str">
        <x:v>FYE: February.  Units: $ in millions except per-share data, shares in millions, ratios, and noted operating drivers.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>
      <x:c r="A3" s="144" t="str">
        <x:v>Line item</x:v>
      </x:c>
      <x:c r="B3" s="144" t="str">
        <x:v>FY2027E</x:v>
      </x:c>
      <x:c r="C3" s="144" t="str">
        <x:v>FY2028E</x:v>
      </x:c>
      <x:c r="D3" s="144" t="str">
        <x:v>FY2029E</x:v>
      </x:c>
      <x:c r="E3" s="144" t="str">
        <x:v>FY2030E</x:v>
      </x:c>
      <x:c r="F3" s="144" t="str">
        <x:v>FY2031E</x:v>
      </x:c>
      <x:c r="G3" s="119"/>
      <x:c r="H3" s="119"/>
      <x:c r="I3" s="119"/>
      <x:c r="J3" s="119"/>
      <x:c r="K3" s="119"/>
      <x:c r="L3" s="5"/>
    </x:row>
    <x:row r="4">
      <x:c r="A4" s="119" t="str">
        <x:v>Net income</x:v>
      </x:c>
      <x:c r="B4" s="216" t="n">
        <x:f>IS_Forecast!B22</x:f>
        <x:v>199.2243400254003</x:v>
      </x:c>
      <x:c r="C4" s="216" t="n">
        <x:f>IS_Forecast!C22</x:f>
        <x:v>278.10616479520047</x:v>
      </x:c>
      <x:c r="D4" s="216" t="n">
        <x:f>IS_Forecast!D22</x:f>
        <x:v>365.551524103999</x:v>
      </x:c>
      <x:c r="E4" s="216" t="n">
        <x:f>IS_Forecast!E22</x:f>
        <x:v>458.0386659930003</x:v>
      </x:c>
      <x:c r="F4" s="216" t="n">
        <x:f>IS_Forecast!F22</x:f>
        <x:v>556.1884867996005</x:v>
      </x:c>
      <x:c r="G4" s="206"/>
      <x:c r="H4" s="206"/>
      <x:c r="I4" s="206"/>
      <x:c r="J4" s="206"/>
      <x:c r="K4" s="206"/>
      <x:c r="L4" s="5"/>
    </x:row>
    <x:row r="5">
      <x:c r="A5" s="119" t="str">
        <x:v>D&amp;A</x:v>
      </x:c>
      <x:c r="B5" s="216" t="n">
        <x:f>WC_PPE_Debt!B18</x:f>
        <x:v>146.7555</x:v>
      </x:c>
      <x:c r="C5" s="216" t="n">
        <x:f>WC_PPE_Debt!C18</x:f>
        <x:v>183.2449635</x:v>
      </x:c>
      <x:c r="D5" s="216" t="n">
        <x:f>WC_PPE_Debt!D18</x:f>
        <x:v>216.7299499015</x:v>
      </x:c>
      <x:c r="E5" s="216" t="n">
        <x:f>WC_PPE_Debt!E18</x:f>
        <x:v>247.42980938112498</x:v>
      </x:c>
      <x:c r="F5" s="216" t="n">
        <x:f>WC_PPE_Debt!F18</x:f>
        <x:v>275.4670144020938</x:v>
      </x:c>
      <x:c r="G5" s="206"/>
      <x:c r="H5" s="206"/>
      <x:c r="I5" s="206"/>
      <x:c r="J5" s="206"/>
      <x:c r="K5" s="206"/>
      <x:c r="L5" s="5"/>
    </x:row>
    <x:row r="6">
      <x:c r="A6" s="119" t="str">
        <x:v>Stock-based compensation</x:v>
      </x:c>
      <x:c r="B6" s="216" t="n">
        <x:f>WC_PPE_Debt!B29</x:f>
        <x:v>496.5359457057999</x:v>
      </x:c>
      <x:c r="C6" s="216" t="n">
        <x:f>WC_PPE_Debt!C29</x:f>
        <x:v>515.23994867</x:v>
      </x:c>
      <x:c r="D6" s="216" t="n">
        <x:f>WC_PPE_Debt!D29</x:f>
        <x:v>527.2176505044</x:v>
      </x:c>
      <x:c r="E6" s="216" t="n">
        <x:f>WC_PPE_Debt!E29</x:f>
        <x:v>533.040550254</x:v>
      </x:c>
      <x:c r="F6" s="216" t="n">
        <x:f>WC_PPE_Debt!F29</x:f>
        <x:v>533.4008475136</x:v>
      </x:c>
      <x:c r="G6" s="206"/>
      <x:c r="H6" s="206"/>
      <x:c r="I6" s="206"/>
      <x:c r="J6" s="206"/>
      <x:c r="K6" s="206"/>
      <x:c r="L6" s="5"/>
    </x:row>
    <x:row r="7">
      <x:c r="A7" s="119" t="str">
        <x:v>Deferred taxes</x:v>
      </x:c>
      <x:c r="B7" s="216" t="n">
        <x:f>Assumptions!$E$9*0</x:f>
        <x:v>0</x:v>
      </x:c>
      <x:c r="C7" s="216" t="n">
        <x:f>Assumptions!$F$9*0</x:f>
        <x:v>0</x:v>
      </x:c>
      <x:c r="D7" s="216" t="n">
        <x:f>Assumptions!$G$9*0</x:f>
        <x:v>0</x:v>
      </x:c>
      <x:c r="E7" s="216" t="n">
        <x:f>Assumptions!$H$9*0</x:f>
        <x:v>0</x:v>
      </x:c>
      <x:c r="F7" s="216" t="n">
        <x:f>Assumptions!$I$9*0</x:f>
        <x:v>0</x:v>
      </x:c>
      <x:c r="G7" s="206"/>
      <x:c r="H7" s="206"/>
      <x:c r="I7" s="206"/>
      <x:c r="J7" s="206"/>
      <x:c r="K7" s="206"/>
      <x:c r="L7" s="5"/>
    </x:row>
    <x:row r="8">
      <x:c r="A8" s="119" t="str">
        <x:v>Other non-cash items</x:v>
      </x:c>
      <x:c r="B8" s="216" t="n">
        <x:f>Assumptions!$E$9*0</x:f>
        <x:v>0</x:v>
      </x:c>
      <x:c r="C8" s="216" t="n">
        <x:f>Assumptions!$F$9*0</x:f>
        <x:v>0</x:v>
      </x:c>
      <x:c r="D8" s="216" t="n">
        <x:f>Assumptions!$G$9*0</x:f>
        <x:v>0</x:v>
      </x:c>
      <x:c r="E8" s="216" t="n">
        <x:f>Assumptions!$H$9*0</x:f>
        <x:v>0</x:v>
      </x:c>
      <x:c r="F8" s="216" t="n">
        <x:f>Assumptions!$I$9*0</x:f>
        <x:v>0</x:v>
      </x:c>
      <x:c r="G8" s="206"/>
      <x:c r="H8" s="206"/>
      <x:c r="I8" s="206"/>
      <x:c r="J8" s="206"/>
      <x:c r="K8" s="206"/>
      <x:c r="L8" s="5"/>
    </x:row>
    <x:row r="9">
      <x:c r="A9" s="119" t="str">
        <x:v>Change in AR</x:v>
      </x:c>
      <x:c r="B9" s="216" t="n">
        <x:f>- (BS_Forecast!B6-Historicals_BS!G6)</x:f>
        <x:v>-102.15201506849303</x:v>
      </x:c>
      <x:c r="C9" s="216" t="n">
        <x:f>- (BS_Forecast!C6-BS_Forecast!B6)</x:f>
        <x:v>-79.03183126575345</x:v>
      </x:c>
      <x:c r="D9" s="216" t="n">
        <x:f>- (BS_Forecast!D6-BS_Forecast!C6)</x:f>
        <x:v>-69.9660833643834</x:v>
      </x:c>
      <x:c r="E9" s="216" t="n">
        <x:f>- (BS_Forecast!E6-BS_Forecast!D6)</x:f>
        <x:v>-60.425343397260576</x:v>
      </x:c>
      <x:c r="F9" s="216" t="n">
        <x:f>- (BS_Forecast!F6-BS_Forecast!E6)</x:f>
        <x:v>-51.990540268493305</x:v>
      </x:c>
      <x:c r="G9" s="206"/>
      <x:c r="H9" s="206"/>
      <x:c r="I9" s="206"/>
      <x:c r="J9" s="206"/>
      <x:c r="K9" s="206"/>
      <x:c r="L9" s="5"/>
    </x:row>
    <x:row r="10">
      <x:c r="A10" s="119" t="str">
        <x:v>Change in inventory</x:v>
      </x:c>
      <x:c r="B10" s="216" t="n">
        <x:f>- (BS_Forecast!B7-Historicals_BS!G7)</x:f>
        <x:v>-2.7905413475068457</x:v>
      </x:c>
      <x:c r="C10" s="216" t="n">
        <x:f>- (BS_Forecast!C7-BS_Forecast!B7)</x:f>
        <x:v>-3.38096702312329</x:v>
      </x:c>
      <x:c r="D10" s="216" t="n">
        <x:f>- (BS_Forecast!D7-BS_Forecast!C7)</x:f>
        <x:v>-2.031160832493157</x:v>
      </x:c>
      <x:c r="E10" s="216" t="n">
        <x:f>- (BS_Forecast!E7-BS_Forecast!D7)</x:f>
        <x:v>-1.145874938246564</x:v>
      </x:c>
      <x:c r="F10" s="216" t="n">
        <x:f>- (BS_Forecast!F7-BS_Forecast!E7)</x:f>
        <x:v>-4.564387061260291</x:v>
      </x:c>
      <x:c r="G10" s="206"/>
      <x:c r="H10" s="206"/>
      <x:c r="I10" s="206"/>
      <x:c r="J10" s="206"/>
      <x:c r="K10" s="206"/>
      <x:c r="L10" s="5"/>
    </x:row>
    <x:row r="11">
      <x:c r="A11" s="119" t="str">
        <x:v>Change in deferred commissions</x:v>
      </x:c>
      <x:c r="B11" s="216" t="n">
        <x:f>- (BS_Forecast!B8-Historicals_BS!G8)</x:f>
        <x:v>-15.320007589</x:v>
      </x:c>
      <x:c r="C11" s="216" t="n">
        <x:f>- (BS_Forecast!C8-BS_Forecast!B8)</x:f>
        <x:v>-15.294234119472009</x:v>
      </x:c>
      <x:c r="D11" s="216" t="n">
        <x:f>- (BS_Forecast!D8-BS_Forecast!C8)</x:f>
        <x:v>-14.57493351047998</x:v>
      </x:c>
      <x:c r="E11" s="216" t="n">
        <x:f>- (BS_Forecast!E8-BS_Forecast!D8)</x:f>
        <x:v>-13.731622004268047</x:v>
      </x:c>
      <x:c r="F11" s="216" t="n">
        <x:f>- (BS_Forecast!F8-BS_Forecast!E8)</x:f>
        <x:v>-13.008083353776016</x:v>
      </x:c>
      <x:c r="G11" s="206"/>
      <x:c r="H11" s="206"/>
      <x:c r="I11" s="206"/>
      <x:c r="J11" s="206"/>
      <x:c r="K11" s="206"/>
      <x:c r="L11" s="5"/>
    </x:row>
    <x:row r="12">
      <x:c r="A12" s="119" t="str">
        <x:v>Change in prepaids</x:v>
      </x:c>
      <x:c r="B12" s="216" t="n">
        <x:f>- (BS_Forecast!B9-Historicals_BS!G9)</x:f>
        <x:v>-11.09621999999996</x:v>
      </x:c>
      <x:c r="C12" s="216" t="n">
        <x:f>- (BS_Forecast!C9-BS_Forecast!B9)</x:f>
        <x:v>-21.90043000000003</x:v>
      </x:c>
      <x:c r="D12" s="216" t="n">
        <x:f>- (BS_Forecast!D9-BS_Forecast!C9)</x:f>
        <x:v>-18.656510000000083</x:v>
      </x:c>
      <x:c r="E12" s="216" t="n">
        <x:f>- (BS_Forecast!E9-BS_Forecast!D9)</x:f>
        <x:v>-14.810523999999987</x:v>
      </x:c>
      <x:c r="F12" s="216" t="n">
        <x:f>- (BS_Forecast!F9-BS_Forecast!E9)</x:f>
        <x:v>-11.465507999999943</x:v>
      </x:c>
      <x:c r="G12" s="206"/>
      <x:c r="H12" s="206"/>
      <x:c r="I12" s="206"/>
      <x:c r="J12" s="206"/>
      <x:c r="K12" s="206"/>
      <x:c r="L12" s="5"/>
    </x:row>
    <x:row r="13">
      <x:c r="A13" s="119" t="str">
        <x:v>Change in operating lease ROU assets</x:v>
      </x:c>
      <x:c r="B13" s="216" t="n">
        <x:f>Assumptions!$E$9*0</x:f>
        <x:v>0</x:v>
      </x:c>
      <x:c r="C13" s="216" t="n">
        <x:f>Assumptions!$F$9*0</x:f>
        <x:v>0</x:v>
      </x:c>
      <x:c r="D13" s="216" t="n">
        <x:f>Assumptions!$G$9*0</x:f>
        <x:v>0</x:v>
      </x:c>
      <x:c r="E13" s="216" t="n">
        <x:f>Assumptions!$H$9*0</x:f>
        <x:v>0</x:v>
      </x:c>
      <x:c r="F13" s="216" t="n">
        <x:f>Assumptions!$I$9*0</x:f>
        <x:v>0</x:v>
      </x:c>
      <x:c r="G13" s="206"/>
      <x:c r="H13" s="206"/>
      <x:c r="I13" s="206"/>
      <x:c r="J13" s="206"/>
      <x:c r="K13" s="206"/>
      <x:c r="L13" s="5"/>
    </x:row>
    <x:row r="14">
      <x:c r="A14" s="119" t="str">
        <x:v>Change in AP</x:v>
      </x:c>
      <x:c r="B14" s="216" t="n">
        <x:f>BS_Forecast!B19-Historicals_BS!G19</x:f>
        <x:v>10.699544473972594</x:v>
      </x:c>
      <x:c r="C14" s="216" t="n">
        <x:f>BS_Forecast!C19-BS_Forecast!B19</x:f>
        <x:v>10.911016837369857</x:v>
      </x:c>
      <x:c r="D14" s="216" t="n">
        <x:f>BS_Forecast!D19-BS_Forecast!C19</x:f>
        <x:v>8.650535131835625</x:v>
      </x:c>
      <x:c r="E14" s="216" t="n">
        <x:f>BS_Forecast!E19-BS_Forecast!D19</x:f>
        <x:v>7.299597587506838</x:v>
      </x:c>
      <x:c r="F14" s="216" t="n">
        <x:f>BS_Forecast!F19-BS_Forecast!E19</x:f>
        <x:v>5.937060032219193</x:v>
      </x:c>
      <x:c r="G14" s="206"/>
      <x:c r="H14" s="206"/>
      <x:c r="I14" s="206"/>
      <x:c r="J14" s="206"/>
      <x:c r="K14" s="206"/>
      <x:c r="L14" s="5"/>
    </x:row>
    <x:row r="15">
      <x:c r="A15" s="119" t="str">
        <x:v>Change in accrued expenses</x:v>
      </x:c>
      <x:c r="B15" s="216" t="n">
        <x:f>(BS_Forecast!B20+BS_Forecast!B21)-(Historicals_BS!G20+Historicals_BS!G21)</x:f>
        <x:v>32.234944999999925</x:v>
      </x:c>
      <x:c r="C15" s="216" t="n">
        <x:f>(BS_Forecast!C20+BS_Forecast!C21)-(BS_Forecast!B20+BS_Forecast!B21)</x:f>
        <x:v>39.47200499999997</x:v>
      </x:c>
      <x:c r="D15" s="216" t="n">
        <x:f>(BS_Forecast!D20+BS_Forecast!D21)-(BS_Forecast!C20+BS_Forecast!C21)</x:f>
        <x:v>35.23033000000021</x:v>
      </x:c>
      <x:c r="E15" s="216" t="n">
        <x:f>(BS_Forecast!E20+BS_Forecast!E21)-(BS_Forecast!D20+BS_Forecast!D21)</x:f>
        <x:v>29.91883199999984</x:v>
      </x:c>
      <x:c r="F15" s="216" t="n">
        <x:f>(BS_Forecast!F20+BS_Forecast!F21)-(BS_Forecast!E20+BS_Forecast!E21)</x:f>
        <x:v>25.254103999999984</x:v>
      </x:c>
      <x:c r="G15" s="206"/>
      <x:c r="H15" s="206"/>
      <x:c r="I15" s="206"/>
      <x:c r="J15" s="206"/>
      <x:c r="K15" s="206"/>
      <x:c r="L15" s="5"/>
    </x:row>
    <x:row r="16">
      <x:c r="A16" s="119" t="str">
        <x:v>Change in operating lease liabilities</x:v>
      </x:c>
      <x:c r="B16" s="216" t="n">
        <x:f>Assumptions!$E$9*0</x:f>
        <x:v>0</x:v>
      </x:c>
      <x:c r="C16" s="216" t="n">
        <x:f>Assumptions!$F$9*0</x:f>
        <x:v>0</x:v>
      </x:c>
      <x:c r="D16" s="216" t="n">
        <x:f>Assumptions!$G$9*0</x:f>
        <x:v>0</x:v>
      </x:c>
      <x:c r="E16" s="216" t="n">
        <x:f>Assumptions!$H$9*0</x:f>
        <x:v>0</x:v>
      </x:c>
      <x:c r="F16" s="216" t="n">
        <x:f>Assumptions!$I$9*0</x:f>
        <x:v>0</x:v>
      </x:c>
      <x:c r="G16" s="206"/>
      <x:c r="H16" s="206"/>
      <x:c r="I16" s="206"/>
      <x:c r="J16" s="206"/>
      <x:c r="K16" s="206"/>
      <x:c r="L16" s="5"/>
    </x:row>
    <x:row r="17">
      <x:c r="A17" s="119" t="str">
        <x:v>Change in deferred revenue</x:v>
      </x:c>
      <x:c r="B17" s="216" t="n">
        <x:f>(BS_Forecast!B22+BS_Forecast!B28)-(Historicals_BS!G22+Historicals_BS!G28)</x:f>
        <x:v>191.45363374999943</x:v>
      </x:c>
      <x:c r="C17" s="216" t="n">
        <x:f>(BS_Forecast!C22+BS_Forecast!C28)-(BS_Forecast!B22+BS_Forecast!B28)</x:f>
        <x:v>239.14825242000006</x:v>
      </x:c>
      <x:c r="D17" s="216" t="n">
        <x:f>(BS_Forecast!D22+BS_Forecast!D28)-(BS_Forecast!C22+BS_Forecast!C28)</x:f>
        <x:v>203.6488111699996</x:v>
      </x:c>
      <x:c r="E17" s="216" t="n">
        <x:f>(BS_Forecast!E22+BS_Forecast!E28)-(BS_Forecast!D22+BS_Forecast!D28)</x:f>
        <x:v>186.8537263850003</x:v>
      </x:c>
      <x:c r="F17" s="216" t="n">
        <x:f>(BS_Forecast!F22+BS_Forecast!F28)-(BS_Forecast!E22+BS_Forecast!E28)</x:f>
        <x:v>172.21668661500053</x:v>
      </x:c>
      <x:c r="G17" s="206"/>
      <x:c r="H17" s="206"/>
      <x:c r="I17" s="206"/>
      <x:c r="J17" s="206"/>
      <x:c r="K17" s="206"/>
      <x:c r="L17" s="5"/>
    </x:row>
    <x:row r="18">
      <x:c r="A18" s="119" t="str">
        <x:v>Change in other operating assets/liabilities</x:v>
      </x:c>
      <x:c r="B18" s="216" t="n">
        <x:f>Assumptions!$E$9*0</x:f>
        <x:v>0</x:v>
      </x:c>
      <x:c r="C18" s="216" t="n">
        <x:f>Assumptions!$F$9*0</x:f>
        <x:v>0</x:v>
      </x:c>
      <x:c r="D18" s="216" t="n">
        <x:f>Assumptions!$G$9*0</x:f>
        <x:v>0</x:v>
      </x:c>
      <x:c r="E18" s="216" t="n">
        <x:f>Assumptions!$H$9*0</x:f>
        <x:v>0</x:v>
      </x:c>
      <x:c r="F18" s="216" t="n">
        <x:f>Assumptions!$I$9*0</x:f>
        <x:v>0</x:v>
      </x:c>
      <x:c r="G18" s="206"/>
      <x:c r="H18" s="206"/>
      <x:c r="I18" s="206"/>
      <x:c r="J18" s="206"/>
      <x:c r="K18" s="206"/>
      <x:c r="L18" s="5"/>
    </x:row>
    <x:row r="19">
      <x:c r="A19" s="119" t="str">
        <x:v>Cash from operations</x:v>
      </x:c>
      <x:c r="B19" s="216" t="n">
        <x:f>SUM(B4:B18)</x:f>
        <x:v>945.5451249501723</x:v>
      </x:c>
      <x:c r="C19" s="216" t="n">
        <x:f>SUM(C4:C18)</x:f>
        <x:v>1146.5148888142216</x:v>
      </x:c>
      <x:c r="D19" s="216" t="n">
        <x:f>SUM(D4:D18)</x:f>
        <x:v>1251.800113104378</x:v>
      </x:c>
      <x:c r="E19" s="216" t="n">
        <x:f>SUM(E4:E18)</x:f>
        <x:v>1372.4678172608571</x:v>
      </x:c>
      <x:c r="F19" s="216" t="n">
        <x:f>SUM(F4:F18)</x:f>
        <x:v>1487.4356806789842</x:v>
      </x:c>
      <x:c r="G19" s="206"/>
      <x:c r="H19" s="206"/>
      <x:c r="I19" s="206"/>
      <x:c r="J19" s="206"/>
      <x:c r="K19" s="206"/>
      <x:c r="L19" s="5"/>
    </x:row>
    <x:row r="20">
      <x:c r="A20" s="119" t="str">
        <x:v>Capex</x:v>
      </x:c>
      <x:c r="B20" s="216" t="n">
        <x:f>-WC_PPE_Debt!B17</x:f>
        <x:v>-292.713354</x:v>
      </x:c>
      <x:c r="C20" s="216" t="n">
        <x:f>-WC_PPE_Debt!C17</x:f>
        <x:v>-317.18490910599996</x:v>
      </x:c>
      <x:c r="D20" s="216" t="n">
        <x:f>-WC_PPE_Debt!D17</x:f>
        <x:v>-339.52938782</x:v>
      </x:c>
      <x:c r="E20" s="216" t="n">
        <x:f>-WC_PPE_Debt!E17</x:f>
        <x:v>-359.57862946500006</x:v>
      </x:c>
      <x:c r="F20" s="216" t="n">
        <x:f>-WC_PPE_Debt!F17</x:f>
        <x:v>-377.61315776400005</x:v>
      </x:c>
      <x:c r="G20" s="206"/>
      <x:c r="H20" s="206"/>
      <x:c r="I20" s="206"/>
      <x:c r="J20" s="206"/>
      <x:c r="K20" s="206"/>
      <x:c r="L20" s="5"/>
    </x:row>
    <x:row r="21">
      <x:c r="A21" s="119" t="str">
        <x:v>Acquisitions, net of cash</x:v>
      </x:c>
      <x:c r="B21" s="216" t="n">
        <x:f>Assumptions!$E$9*0</x:f>
        <x:v>0</x:v>
      </x:c>
      <x:c r="C21" s="216" t="n">
        <x:f>Assumptions!$F$9*0</x:f>
        <x:v>0</x:v>
      </x:c>
      <x:c r="D21" s="216" t="n">
        <x:f>Assumptions!$G$9*0</x:f>
        <x:v>0</x:v>
      </x:c>
      <x:c r="E21" s="216" t="n">
        <x:f>Assumptions!$H$9*0</x:f>
        <x:v>0</x:v>
      </x:c>
      <x:c r="F21" s="216" t="n">
        <x:f>Assumptions!$I$9*0</x:f>
        <x:v>0</x:v>
      </x:c>
      <x:c r="G21" s="206"/>
      <x:c r="H21" s="206"/>
      <x:c r="I21" s="206"/>
      <x:c r="J21" s="206"/>
      <x:c r="K21" s="206"/>
      <x:c r="L21" s="5"/>
    </x:row>
    <x:row r="22">
      <x:c r="A22" s="119" t="str">
        <x:v>Purchases of investments</x:v>
      </x:c>
      <x:c r="B22" s="216" t="n">
        <x:f>Assumptions!$E$9*0</x:f>
        <x:v>0</x:v>
      </x:c>
      <x:c r="C22" s="216" t="n">
        <x:f>Assumptions!$F$9*0</x:f>
        <x:v>0</x:v>
      </x:c>
      <x:c r="D22" s="216" t="n">
        <x:f>Assumptions!$G$9*0</x:f>
        <x:v>0</x:v>
      </x:c>
      <x:c r="E22" s="216" t="n">
        <x:f>Assumptions!$H$9*0</x:f>
        <x:v>0</x:v>
      </x:c>
      <x:c r="F22" s="216" t="n">
        <x:f>Assumptions!$I$9*0</x:f>
        <x:v>0</x:v>
      </x:c>
      <x:c r="G22" s="206"/>
      <x:c r="H22" s="206"/>
      <x:c r="I22" s="206"/>
      <x:c r="J22" s="206"/>
      <x:c r="K22" s="206"/>
      <x:c r="L22" s="5"/>
    </x:row>
    <x:row r="23">
      <x:c r="A23" s="119" t="str">
        <x:v>Sales/maturities of investments</x:v>
      </x:c>
      <x:c r="B23" s="216" t="n">
        <x:f>Assumptions!$E$9*0</x:f>
        <x:v>0</x:v>
      </x:c>
      <x:c r="C23" s="216" t="n">
        <x:f>Assumptions!$F$9*0</x:f>
        <x:v>0</x:v>
      </x:c>
      <x:c r="D23" s="216" t="n">
        <x:f>Assumptions!$G$9*0</x:f>
        <x:v>0</x:v>
      </x:c>
      <x:c r="E23" s="216" t="n">
        <x:f>Assumptions!$H$9*0</x:f>
        <x:v>0</x:v>
      </x:c>
      <x:c r="F23" s="216" t="n">
        <x:f>Assumptions!$I$9*0</x:f>
        <x:v>0</x:v>
      </x:c>
      <x:c r="G23" s="206"/>
      <x:c r="H23" s="206"/>
      <x:c r="I23" s="206"/>
      <x:c r="J23" s="206"/>
      <x:c r="K23" s="206"/>
      <x:c r="L23" s="5"/>
    </x:row>
    <x:row r="24">
      <x:c r="A24" s="119" t="str">
        <x:v>Other investing</x:v>
      </x:c>
      <x:c r="B24" s="216" t="n">
        <x:f>Assumptions!$E$9*0</x:f>
        <x:v>0</x:v>
      </x:c>
      <x:c r="C24" s="216" t="n">
        <x:f>Assumptions!$F$9*0</x:f>
        <x:v>0</x:v>
      </x:c>
      <x:c r="D24" s="216" t="n">
        <x:f>Assumptions!$G$9*0</x:f>
        <x:v>0</x:v>
      </x:c>
      <x:c r="E24" s="216" t="n">
        <x:f>Assumptions!$H$9*0</x:f>
        <x:v>0</x:v>
      </x:c>
      <x:c r="F24" s="216" t="n">
        <x:f>Assumptions!$I$9*0</x:f>
        <x:v>0</x:v>
      </x:c>
      <x:c r="G24" s="206"/>
      <x:c r="H24" s="206"/>
      <x:c r="I24" s="206"/>
      <x:c r="J24" s="206"/>
      <x:c r="K24" s="206"/>
      <x:c r="L24" s="5"/>
    </x:row>
    <x:row r="25">
      <x:c r="A25" s="119" t="str">
        <x:v>Cash from investing</x:v>
      </x:c>
      <x:c r="B25" s="216" t="n">
        <x:f>SUM(B20:B24)</x:f>
        <x:v>-292.713354</x:v>
      </x:c>
      <x:c r="C25" s="216" t="n">
        <x:f>SUM(C20:C24)</x:f>
        <x:v>-317.18490910599996</x:v>
      </x:c>
      <x:c r="D25" s="216" t="n">
        <x:f>SUM(D20:D24)</x:f>
        <x:v>-339.52938782</x:v>
      </x:c>
      <x:c r="E25" s="216" t="n">
        <x:f>SUM(E20:E24)</x:f>
        <x:v>-359.57862946500006</x:v>
      </x:c>
      <x:c r="F25" s="216" t="n">
        <x:f>SUM(F20:F24)</x:f>
        <x:v>-377.61315776400005</x:v>
      </x:c>
      <x:c r="G25" s="206"/>
      <x:c r="H25" s="206"/>
      <x:c r="I25" s="206"/>
      <x:c r="J25" s="206"/>
      <x:c r="K25" s="206"/>
      <x:c r="L25" s="5"/>
    </x:row>
    <x:row r="26">
      <x:c r="A26" s="119" t="str">
        <x:v>Debt issuance</x:v>
      </x:c>
      <x:c r="B26" s="216" t="n">
        <x:f>WC_PPE_Debt!B21</x:f>
        <x:v>0</x:v>
      </x:c>
      <x:c r="C26" s="216" t="n">
        <x:f>WC_PPE_Debt!C21</x:f>
        <x:v>0</x:v>
      </x:c>
      <x:c r="D26" s="216" t="n">
        <x:f>WC_PPE_Debt!D21</x:f>
        <x:v>0</x:v>
      </x:c>
      <x:c r="E26" s="216" t="n">
        <x:f>WC_PPE_Debt!E21</x:f>
        <x:v>0</x:v>
      </x:c>
      <x:c r="F26" s="216" t="n">
        <x:f>WC_PPE_Debt!F21</x:f>
        <x:v>0</x:v>
      </x:c>
      <x:c r="G26" s="206"/>
      <x:c r="H26" s="206"/>
      <x:c r="I26" s="206"/>
      <x:c r="J26" s="206"/>
      <x:c r="K26" s="206"/>
      <x:c r="L26" s="5"/>
    </x:row>
    <x:row r="27">
      <x:c r="A27" s="119" t="str">
        <x:v>Debt repayment</x:v>
      </x:c>
      <x:c r="B27" s="216" t="n">
        <x:f>-WC_PPE_Debt!B22</x:f>
        <x:v>0</x:v>
      </x:c>
      <x:c r="C27" s="216" t="n">
        <x:f>-WC_PPE_Debt!C22</x:f>
        <x:v>0</x:v>
      </x:c>
      <x:c r="D27" s="216" t="n">
        <x:f>-WC_PPE_Debt!D22</x:f>
        <x:v>0</x:v>
      </x:c>
      <x:c r="E27" s="216" t="n">
        <x:f>-WC_PPE_Debt!E22</x:f>
        <x:v>0</x:v>
      </x:c>
      <x:c r="F27" s="216" t="n">
        <x:f>-WC_PPE_Debt!F22</x:f>
        <x:v>0</x:v>
      </x:c>
      <x:c r="G27" s="206"/>
      <x:c r="H27" s="206"/>
      <x:c r="I27" s="206"/>
      <x:c r="J27" s="206"/>
      <x:c r="K27" s="206"/>
      <x:c r="L27" s="5"/>
    </x:row>
    <x:row r="28">
      <x:c r="A28" s="119" t="str">
        <x:v>Equity issuance (employee stock plans)</x:v>
      </x:c>
      <x:c r="B28" s="216" t="n">
        <x:f>Assumptions!$E$9*0</x:f>
        <x:v>0</x:v>
      </x:c>
      <x:c r="C28" s="216" t="n">
        <x:f>Assumptions!$F$9*0</x:f>
        <x:v>0</x:v>
      </x:c>
      <x:c r="D28" s="216" t="n">
        <x:f>Assumptions!$G$9*0</x:f>
        <x:v>0</x:v>
      </x:c>
      <x:c r="E28" s="216" t="n">
        <x:f>Assumptions!$H$9*0</x:f>
        <x:v>0</x:v>
      </x:c>
      <x:c r="F28" s="216" t="n">
        <x:f>Assumptions!$I$9*0</x:f>
        <x:v>0</x:v>
      </x:c>
      <x:c r="G28" s="206"/>
      <x:c r="H28" s="206"/>
      <x:c r="I28" s="206"/>
      <x:c r="J28" s="206"/>
      <x:c r="K28" s="206"/>
      <x:c r="L28" s="5"/>
    </x:row>
    <x:row r="29">
      <x:c r="A29" s="119" t="str">
        <x:v>Share repurchases</x:v>
      </x:c>
      <x:c r="B29" s="216" t="n">
        <x:f>-WC_PPE_Debt!B31</x:f>
        <x:v>0</x:v>
      </x:c>
      <x:c r="C29" s="216" t="n">
        <x:f>-WC_PPE_Debt!C31</x:f>
        <x:v>0</x:v>
      </x:c>
      <x:c r="D29" s="216" t="n">
        <x:f>-WC_PPE_Debt!D31</x:f>
        <x:v>0</x:v>
      </x:c>
      <x:c r="E29" s="216" t="n">
        <x:f>-WC_PPE_Debt!E31</x:f>
        <x:v>0</x:v>
      </x:c>
      <x:c r="F29" s="216" t="n">
        <x:f>-WC_PPE_Debt!F31</x:f>
        <x:v>0</x:v>
      </x:c>
      <x:c r="G29" s="206"/>
      <x:c r="H29" s="206"/>
      <x:c r="I29" s="206"/>
      <x:c r="J29" s="206"/>
      <x:c r="K29" s="206"/>
      <x:c r="L29" s="5"/>
    </x:row>
    <x:row r="30">
      <x:c r="A30" s="119" t="str">
        <x:v>Dividends paid</x:v>
      </x:c>
      <x:c r="B30" s="216" t="n">
        <x:f>-WC_PPE_Debt!B32</x:f>
        <x:v>0</x:v>
      </x:c>
      <x:c r="C30" s="216" t="n">
        <x:f>-WC_PPE_Debt!C32</x:f>
        <x:v>0</x:v>
      </x:c>
      <x:c r="D30" s="216" t="n">
        <x:f>-WC_PPE_Debt!D32</x:f>
        <x:v>0</x:v>
      </x:c>
      <x:c r="E30" s="216" t="n">
        <x:f>-WC_PPE_Debt!E32</x:f>
        <x:v>0</x:v>
      </x:c>
      <x:c r="F30" s="216" t="n">
        <x:f>-WC_PPE_Debt!F32</x:f>
        <x:v>0</x:v>
      </x:c>
      <x:c r="G30" s="206"/>
      <x:c r="H30" s="206"/>
      <x:c r="I30" s="206"/>
      <x:c r="J30" s="206"/>
      <x:c r="K30" s="206"/>
      <x:c r="L30" s="5"/>
    </x:row>
    <x:row r="31">
      <x:c r="A31" s="119" t="str">
        <x:v>Other financing</x:v>
      </x:c>
      <x:c r="B31" s="216" t="n">
        <x:f>Assumptions!$E$9*0</x:f>
        <x:v>0</x:v>
      </x:c>
      <x:c r="C31" s="216" t="n">
        <x:f>Assumptions!$F$9*0</x:f>
        <x:v>0</x:v>
      </x:c>
      <x:c r="D31" s="216" t="n">
        <x:f>Assumptions!$G$9*0</x:f>
        <x:v>0</x:v>
      </x:c>
      <x:c r="E31" s="216" t="n">
        <x:f>Assumptions!$H$9*0</x:f>
        <x:v>0</x:v>
      </x:c>
      <x:c r="F31" s="216" t="n">
        <x:f>Assumptions!$I$9*0</x:f>
        <x:v>0</x:v>
      </x:c>
      <x:c r="G31" s="206"/>
      <x:c r="H31" s="206"/>
      <x:c r="I31" s="206"/>
      <x:c r="J31" s="206"/>
      <x:c r="K31" s="206"/>
      <x:c r="L31" s="5"/>
    </x:row>
    <x:row r="32">
      <x:c r="A32" s="119" t="str">
        <x:v>Cash from financing</x:v>
      </x:c>
      <x:c r="B32" s="216" t="n">
        <x:f>SUM(B26:B31)</x:f>
        <x:v>0</x:v>
      </x:c>
      <x:c r="C32" s="216" t="n">
        <x:f>SUM(C26:C31)</x:f>
        <x:v>0</x:v>
      </x:c>
      <x:c r="D32" s="216" t="n">
        <x:f>SUM(D26:D31)</x:f>
        <x:v>0</x:v>
      </x:c>
      <x:c r="E32" s="216" t="n">
        <x:f>SUM(E26:E31)</x:f>
        <x:v>0</x:v>
      </x:c>
      <x:c r="F32" s="216" t="n">
        <x:f>SUM(F26:F31)</x:f>
        <x:v>0</x:v>
      </x:c>
      <x:c r="G32" s="206"/>
      <x:c r="H32" s="206"/>
      <x:c r="I32" s="206"/>
      <x:c r="J32" s="206"/>
      <x:c r="K32" s="206"/>
      <x:c r="L32" s="5"/>
    </x:row>
    <x:row r="33">
      <x:c r="A33" s="119" t="str">
        <x:v>Effect of FX on cash</x:v>
      </x:c>
      <x:c r="B33" s="216" t="n">
        <x:f>Assumptions!$E$9*0</x:f>
        <x:v>0</x:v>
      </x:c>
      <x:c r="C33" s="216" t="n">
        <x:f>Assumptions!$F$9*0</x:f>
        <x:v>0</x:v>
      </x:c>
      <x:c r="D33" s="216" t="n">
        <x:f>Assumptions!$G$9*0</x:f>
        <x:v>0</x:v>
      </x:c>
      <x:c r="E33" s="216" t="n">
        <x:f>Assumptions!$H$9*0</x:f>
        <x:v>0</x:v>
      </x:c>
      <x:c r="F33" s="216" t="n">
        <x:f>Assumptions!$I$9*0</x:f>
        <x:v>0</x:v>
      </x:c>
      <x:c r="G33" s="206"/>
      <x:c r="H33" s="206"/>
      <x:c r="I33" s="206"/>
      <x:c r="J33" s="206"/>
      <x:c r="K33" s="206"/>
      <x:c r="L33" s="5"/>
    </x:row>
    <x:row r="34">
      <x:c r="A34" s="119" t="str">
        <x:v>Net change in cash</x:v>
      </x:c>
      <x:c r="B34" s="216" t="n">
        <x:f>B19+B25+B32+B33</x:f>
        <x:v>652.8317709501723</x:v>
      </x:c>
      <x:c r="C34" s="216" t="n">
        <x:f>C19+C25+C32+C33</x:f>
        <x:v>829.3299797082217</x:v>
      </x:c>
      <x:c r="D34" s="216" t="n">
        <x:f>D19+D25+D32+D33</x:f>
        <x:v>912.2707252843779</x:v>
      </x:c>
      <x:c r="E34" s="216" t="n">
        <x:f>E19+E25+E32+E33</x:f>
        <x:v>1012.8891877958571</x:v>
      </x:c>
      <x:c r="F34" s="216" t="n">
        <x:f>F19+F25+F32+F33</x:f>
        <x:v>1109.8225229149841</x:v>
      </x:c>
      <x:c r="G34" s="206"/>
      <x:c r="H34" s="206"/>
      <x:c r="I34" s="206"/>
      <x:c r="J34" s="206"/>
      <x:c r="K34" s="206"/>
      <x:c r="L34" s="5"/>
    </x:row>
    <x:row r="35">
      <x:c r="A35" s="119" t="str">
        <x:v>Beginning cash</x:v>
      </x:c>
      <x:c r="B35" s="216" t="n">
        <x:f>Historicals_BS!G4</x:f>
        <x:v>854.873</x:v>
      </x:c>
      <x:c r="C35" s="216" t="n">
        <x:f>B37</x:f>
        <x:v>1507.7047709501726</x:v>
      </x:c>
      <x:c r="D35" s="216" t="n">
        <x:f>C37</x:f>
        <x:v>2337.0347506583944</x:v>
      </x:c>
      <x:c r="E35" s="216" t="n">
        <x:f>D37</x:f>
        <x:v>3249.3054759427723</x:v>
      </x:c>
      <x:c r="F35" s="216" t="n">
        <x:f>E37</x:f>
        <x:v>4262.194663738629</x:v>
      </x:c>
      <x:c r="G35" s="206"/>
      <x:c r="H35" s="206"/>
      <x:c r="I35" s="206"/>
      <x:c r="J35" s="206"/>
      <x:c r="K35" s="206"/>
      <x:c r="L35" s="5"/>
    </x:row>
    <x:row r="36">
      <x:c r="A36" s="119" t="str">
        <x:v>Ending cash</x:v>
      </x:c>
      <x:c r="B36" s="216" t="n">
        <x:f>B35+B34+BS_Forecast!B16</x:f>
        <x:v>1515.3917709501723</x:v>
      </x:c>
      <x:c r="C36" s="216" t="n">
        <x:f>C35+C34+BS_Forecast!C16</x:f>
        <x:v>2344.7217506583943</x:v>
      </x:c>
      <x:c r="D36" s="216" t="n">
        <x:f>D35+D34+BS_Forecast!D16</x:f>
        <x:v>3256.992475942772</x:v>
      </x:c>
      <x:c r="E36" s="216" t="n">
        <x:f>E35+E34+BS_Forecast!E16</x:f>
        <x:v>4269.881663738629</x:v>
      </x:c>
      <x:c r="F36" s="216" t="n">
        <x:f>F35+F34+BS_Forecast!F16</x:f>
        <x:v>5379.704186653613</x:v>
      </x:c>
      <x:c r="G36" s="206"/>
      <x:c r="H36" s="206"/>
      <x:c r="I36" s="206"/>
      <x:c r="J36" s="206"/>
      <x:c r="K36" s="206"/>
      <x:c r="L36" s="5"/>
    </x:row>
    <x:row r="37">
      <x:c r="A37" s="119" t="str">
        <x:v>Ending cash and equivalents</x:v>
      </x:c>
      <x:c r="B37" s="216" t="n">
        <x:f>BS_Forecast!B4</x:f>
        <x:v>1507.7047709501726</x:v>
      </x:c>
      <x:c r="C37" s="216" t="n">
        <x:f>BS_Forecast!C4</x:f>
        <x:v>2337.0347506583944</x:v>
      </x:c>
      <x:c r="D37" s="216" t="n">
        <x:f>BS_Forecast!D4</x:f>
        <x:v>3249.3054759427723</x:v>
      </x:c>
      <x:c r="E37" s="216" t="n">
        <x:f>BS_Forecast!E4</x:f>
        <x:v>4262.194663738629</x:v>
      </x:c>
      <x:c r="F37" s="216" t="n">
        <x:f>BS_Forecast!F4</x:f>
        <x:v>5372.017186653614</x:v>
      </x:c>
      <x:c r="G37" s="206"/>
      <x:c r="H37" s="206"/>
      <x:c r="I37" s="206"/>
      <x:c r="J37" s="206"/>
      <x:c r="K37" s="206"/>
      <x:c r="L37" s="5"/>
    </x:row>
    <x:row r="38">
      <x:c r="A38" s="119" t="str">
        <x:v>Restricted cash</x:v>
      </x:c>
      <x:c r="B38" s="216" t="n">
        <x:f>BS_Forecast!B16</x:f>
        <x:v>7.687</x:v>
      </x:c>
      <x:c r="C38" s="216" t="n">
        <x:f>BS_Forecast!C16</x:f>
        <x:v>7.687</x:v>
      </x:c>
      <x:c r="D38" s="216" t="n">
        <x:f>BS_Forecast!D16</x:f>
        <x:v>7.687</x:v>
      </x:c>
      <x:c r="E38" s="216" t="n">
        <x:f>BS_Forecast!E16</x:f>
        <x:v>7.687</x:v>
      </x:c>
      <x:c r="F38" s="216" t="n">
        <x:f>BS_Forecast!F16</x:f>
        <x:v>7.687</x:v>
      </x:c>
      <x:c r="G38" s="206"/>
      <x:c r="H38" s="206"/>
      <x:c r="I38" s="206"/>
      <x:c r="J38" s="206"/>
      <x:c r="K38" s="206"/>
      <x:c r="L38" s="5"/>
    </x:row>
    <x:row r="39">
      <x:c r="A39" s="119" t="str">
        <x:v>Cash paid for interest</x:v>
      </x:c>
      <x:c r="B39" s="216" t="n">
        <x:f>IS_Forecast!B18</x:f>
        <x:v>0</x:v>
      </x:c>
      <x:c r="C39" s="216" t="n">
        <x:f>IS_Forecast!C18</x:f>
        <x:v>0</x:v>
      </x:c>
      <x:c r="D39" s="216" t="n">
        <x:f>IS_Forecast!D18</x:f>
        <x:v>0</x:v>
      </x:c>
      <x:c r="E39" s="216" t="n">
        <x:f>IS_Forecast!E18</x:f>
        <x:v>0</x:v>
      </x:c>
      <x:c r="F39" s="216" t="n">
        <x:f>IS_Forecast!F18</x:f>
        <x:v>0</x:v>
      </x:c>
      <x:c r="G39" s="206"/>
      <x:c r="H39" s="206"/>
      <x:c r="I39" s="206"/>
      <x:c r="J39" s="206"/>
      <x:c r="K39" s="206"/>
      <x:c r="L39" s="5"/>
    </x:row>
    <x:row r="40">
      <x:c r="A40" s="119" t="str">
        <x:v>Cash paid for income taxes</x:v>
      </x:c>
      <x:c r="B40" s="216" t="n">
        <x:f>IS_Forecast!B21</x:f>
        <x:v>46.73163531460007</x:v>
      </x:c>
      <x:c r="C40" s="216" t="n">
        <x:f>IS_Forecast!C21</x:f>
        <x:v>67.36733184480012</x:v>
      </x:c>
      <x:c r="D40" s="216" t="n">
        <x:f>IS_Forecast!D21</x:f>
        <x:v>91.38788102599975</x:v>
      </x:c>
      <x:c r="E40" s="216" t="n">
        <x:f>IS_Forecast!E21</x:f>
        <x:v>118.11059940700007</x:v>
      </x:c>
      <x:c r="F40" s="216" t="n">
        <x:f>IS_Forecast!F21</x:f>
        <x:v>147.84757244040014</x:v>
      </x:c>
      <x:c r="G40" s="206"/>
      <x:c r="H40" s="206"/>
      <x:c r="I40" s="206"/>
      <x:c r="J40" s="206"/>
      <x:c r="K40" s="206"/>
      <x:c r="L40" s="5"/>
    </x:row>
    <x:row r="41">
      <x:c r="A41" s="119"/>
      <x:c r="B41" s="206"/>
      <x:c r="C41" s="206"/>
      <x:c r="D41" s="206"/>
      <x:c r="E41" s="206"/>
      <x:c r="F41" s="206"/>
      <x:c r="G41" s="206"/>
      <x:c r="H41" s="206"/>
      <x:c r="I41" s="206"/>
      <x:c r="J41" s="206"/>
      <x:c r="K41" s="206"/>
      <x:c r="L41" s="5"/>
    </x:row>
    <x:row r="42">
      <x:c r="A42" s="119"/>
      <x:c r="B42" s="206"/>
      <x:c r="C42" s="206"/>
      <x:c r="D42" s="206"/>
      <x:c r="E42" s="206"/>
      <x:c r="F42" s="206"/>
      <x:c r="G42" s="206"/>
      <x:c r="H42" s="206"/>
      <x:c r="I42" s="206"/>
      <x:c r="J42" s="206"/>
      <x:c r="K42" s="206"/>
      <x:c r="L42" s="5"/>
    </x:row>
    <x:row r="43">
      <x:c r="A43" s="119"/>
      <x:c r="B43" s="206"/>
      <x:c r="C43" s="206"/>
      <x:c r="D43" s="206"/>
      <x:c r="E43" s="206"/>
      <x:c r="F43" s="206"/>
      <x:c r="G43" s="206"/>
      <x:c r="H43" s="206"/>
      <x:c r="I43" s="206"/>
      <x:c r="J43" s="206"/>
      <x:c r="K43" s="206"/>
      <x:c r="L43" s="5"/>
    </x:row>
    <x:row r="44">
      <x:c r="A44" s="119"/>
      <x:c r="B44" s="206"/>
      <x:c r="C44" s="206"/>
      <x:c r="D44" s="206"/>
      <x:c r="E44" s="206"/>
      <x:c r="F44" s="206"/>
      <x:c r="G44" s="206"/>
      <x:c r="H44" s="206"/>
      <x:c r="I44" s="206"/>
      <x:c r="J44" s="206"/>
      <x:c r="K44" s="206"/>
      <x:c r="L44" s="5"/>
    </x:row>
    <x:row r="45">
      <x:c r="A45" s="119"/>
      <x:c r="B45" s="206"/>
      <x:c r="C45" s="206"/>
      <x:c r="D45" s="206"/>
      <x:c r="E45" s="206"/>
      <x:c r="F45" s="206"/>
      <x:c r="G45" s="206"/>
      <x:c r="H45" s="206"/>
      <x:c r="I45" s="206"/>
      <x:c r="J45" s="206"/>
      <x:c r="K45" s="206"/>
      <x:c r="L45" s="5"/>
    </x:row>
    <x:row r="46">
      <x:c r="A46" s="119"/>
      <x:c r="B46" s="206"/>
      <x:c r="C46" s="206"/>
      <x:c r="D46" s="206"/>
      <x:c r="E46" s="206"/>
      <x:c r="F46" s="206"/>
      <x:c r="G46" s="206"/>
      <x:c r="H46" s="206"/>
      <x:c r="I46" s="206"/>
      <x:c r="J46" s="206"/>
      <x:c r="K46" s="206"/>
      <x:c r="L46" s="5"/>
    </x:row>
    <x:row r="47">
      <x:c r="A47" s="119"/>
      <x:c r="B47" s="206"/>
      <x:c r="C47" s="206"/>
      <x:c r="D47" s="206"/>
      <x:c r="E47" s="206"/>
      <x:c r="F47" s="206"/>
      <x:c r="G47" s="206"/>
      <x:c r="H47" s="206"/>
      <x:c r="I47" s="206"/>
      <x:c r="J47" s="206"/>
      <x:c r="K47" s="206"/>
      <x:c r="L47" s="5"/>
    </x:row>
    <x:row r="48">
      <x:c r="A48" s="119"/>
      <x:c r="B48" s="206"/>
      <x:c r="C48" s="206"/>
      <x:c r="D48" s="206"/>
      <x:c r="E48" s="206"/>
      <x:c r="F48" s="206"/>
      <x:c r="G48" s="206"/>
      <x:c r="H48" s="206"/>
      <x:c r="I48" s="206"/>
      <x:c r="J48" s="206"/>
      <x:c r="K48" s="206"/>
      <x:c r="L48" s="5"/>
    </x:row>
    <x:row r="49">
      <x:c r="A49" s="119"/>
      <x:c r="B49" s="206"/>
      <x:c r="C49" s="206"/>
      <x:c r="D49" s="206"/>
      <x:c r="E49" s="206"/>
      <x:c r="F49" s="206"/>
      <x:c r="G49" s="206"/>
      <x:c r="H49" s="206"/>
      <x:c r="I49" s="206"/>
      <x:c r="J49" s="206"/>
      <x:c r="K49" s="206"/>
      <x:c r="L49" s="5"/>
    </x:row>
    <x:row r="50">
      <x:c r="A50" s="119"/>
      <x:c r="B50" s="206"/>
      <x:c r="C50" s="206"/>
      <x:c r="D50" s="206"/>
      <x:c r="E50" s="206"/>
      <x:c r="F50" s="206"/>
      <x:c r="G50" s="206"/>
      <x:c r="H50" s="206"/>
      <x:c r="I50" s="206"/>
      <x:c r="J50" s="206"/>
      <x:c r="K50" s="206"/>
      <x:c r="L50" s="5"/>
    </x:row>
    <x:row r="51">
      <x:c r="A51" s="119"/>
      <x:c r="B51" s="206"/>
      <x:c r="C51" s="206"/>
      <x:c r="D51" s="206"/>
      <x:c r="E51" s="206"/>
      <x:c r="F51" s="206"/>
      <x:c r="G51" s="206"/>
      <x:c r="H51" s="206"/>
      <x:c r="I51" s="206"/>
      <x:c r="J51" s="206"/>
      <x:c r="K51" s="206"/>
      <x:c r="L51" s="5"/>
    </x:row>
    <x:row r="52">
      <x:c r="A52" s="119"/>
      <x:c r="B52" s="206"/>
      <x:c r="C52" s="206"/>
      <x:c r="D52" s="206"/>
      <x:c r="E52" s="206"/>
      <x:c r="F52" s="206"/>
      <x:c r="G52" s="206"/>
      <x:c r="H52" s="206"/>
      <x:c r="I52" s="206"/>
      <x:c r="J52" s="206"/>
      <x:c r="K52" s="206"/>
      <x:c r="L52" s="5"/>
    </x:row>
    <x:row r="53">
      <x:c r="A53" s="119"/>
      <x:c r="B53" s="206"/>
      <x:c r="C53" s="206"/>
      <x:c r="D53" s="206"/>
      <x:c r="E53" s="206"/>
      <x:c r="F53" s="206"/>
      <x:c r="G53" s="206"/>
      <x:c r="H53" s="206"/>
      <x:c r="I53" s="206"/>
      <x:c r="J53" s="206"/>
      <x:c r="K53" s="206"/>
      <x:c r="L53" s="5"/>
    </x:row>
    <x:row r="54">
      <x:c r="A54" s="119"/>
      <x:c r="B54" s="206"/>
      <x:c r="C54" s="206"/>
      <x:c r="D54" s="206"/>
      <x:c r="E54" s="206"/>
      <x:c r="F54" s="206"/>
      <x:c r="G54" s="206"/>
      <x:c r="H54" s="206"/>
      <x:c r="I54" s="206"/>
      <x:c r="J54" s="206"/>
      <x:c r="K54" s="206"/>
      <x:c r="L54" s="5"/>
    </x:row>
    <x:row r="55">
      <x:c r="A55" s="119"/>
      <x:c r="B55" s="206"/>
      <x:c r="C55" s="206"/>
      <x:c r="D55" s="206"/>
      <x:c r="E55" s="206"/>
      <x:c r="F55" s="206"/>
      <x:c r="G55" s="206"/>
      <x:c r="H55" s="206"/>
      <x:c r="I55" s="206"/>
      <x:c r="J55" s="206"/>
      <x:c r="K55" s="206"/>
      <x:c r="L55" s="5"/>
    </x:row>
    <x:row r="56">
      <x:c r="A56" s="119"/>
      <x:c r="B56" s="206"/>
      <x:c r="C56" s="206"/>
      <x:c r="D56" s="206"/>
      <x:c r="E56" s="206"/>
      <x:c r="F56" s="206"/>
      <x:c r="G56" s="206"/>
      <x:c r="H56" s="206"/>
      <x:c r="I56" s="206"/>
      <x:c r="J56" s="206"/>
      <x:c r="K56" s="206"/>
      <x:c r="L56" s="5"/>
    </x:row>
    <x:row r="57">
      <x:c r="A57" s="119"/>
      <x:c r="B57" s="206"/>
      <x:c r="C57" s="206"/>
      <x:c r="D57" s="206"/>
      <x:c r="E57" s="206"/>
      <x:c r="F57" s="206"/>
      <x:c r="G57" s="206"/>
      <x:c r="H57" s="206"/>
      <x:c r="I57" s="206"/>
      <x:c r="J57" s="206"/>
      <x:c r="K57" s="206"/>
      <x:c r="L57" s="5"/>
    </x:row>
    <x:row r="58">
      <x:c r="A58" s="119"/>
      <x:c r="B58" s="206"/>
      <x:c r="C58" s="206"/>
      <x:c r="D58" s="206"/>
      <x:c r="E58" s="206"/>
      <x:c r="F58" s="206"/>
      <x:c r="G58" s="206"/>
      <x:c r="H58" s="206"/>
      <x:c r="I58" s="206"/>
      <x:c r="J58" s="206"/>
      <x:c r="K58" s="206"/>
      <x:c r="L58" s="5"/>
    </x:row>
    <x:row r="59">
      <x:c r="A59" s="119"/>
      <x:c r="B59" s="206"/>
      <x:c r="C59" s="206"/>
      <x:c r="D59" s="206"/>
      <x:c r="E59" s="206"/>
      <x:c r="F59" s="206"/>
      <x:c r="G59" s="206"/>
      <x:c r="H59" s="206"/>
      <x:c r="I59" s="206"/>
      <x:c r="J59" s="206"/>
      <x:c r="K59" s="206"/>
      <x:c r="L59" s="5"/>
    </x:row>
    <x:row r="60">
      <x:c r="A60" s="119"/>
      <x:c r="B60" s="206"/>
      <x:c r="C60" s="206"/>
      <x:c r="D60" s="206"/>
      <x:c r="E60" s="206"/>
      <x:c r="F60" s="206"/>
      <x:c r="G60" s="206"/>
      <x:c r="H60" s="206"/>
      <x:c r="I60" s="206"/>
      <x:c r="J60" s="206"/>
      <x:c r="K60" s="206"/>
      <x:c r="L60" s="5"/>
    </x:row>
    <x:row r="61">
      <x:c r="A61" s="119"/>
      <x:c r="B61" s="206"/>
      <x:c r="C61" s="206"/>
      <x:c r="D61" s="206"/>
      <x:c r="E61" s="206"/>
      <x:c r="F61" s="206"/>
      <x:c r="G61" s="206"/>
      <x:c r="H61" s="206"/>
      <x:c r="I61" s="206"/>
      <x:c r="J61" s="206"/>
      <x:c r="K61" s="206"/>
      <x:c r="L61" s="5"/>
    </x:row>
    <x:row r="62">
      <x:c r="A62" s="119"/>
      <x:c r="B62" s="206"/>
      <x:c r="C62" s="206"/>
      <x:c r="D62" s="206"/>
      <x:c r="E62" s="206"/>
      <x:c r="F62" s="206"/>
      <x:c r="G62" s="206"/>
      <x:c r="H62" s="206"/>
      <x:c r="I62" s="206"/>
      <x:c r="J62" s="206"/>
      <x:c r="K62" s="206"/>
      <x:c r="L62" s="5"/>
    </x:row>
    <x:row r="63">
      <x:c r="A63" s="119"/>
      <x:c r="B63" s="206"/>
      <x:c r="C63" s="206"/>
      <x:c r="D63" s="206"/>
      <x:c r="E63" s="206"/>
      <x:c r="F63" s="206"/>
      <x:c r="G63" s="206"/>
      <x:c r="H63" s="206"/>
      <x:c r="I63" s="206"/>
      <x:c r="J63" s="206"/>
      <x:c r="K63" s="206"/>
      <x:c r="L63" s="5"/>
    </x:row>
    <x:row r="64">
      <x:c r="A64" s="119"/>
      <x:c r="B64" s="206"/>
      <x:c r="C64" s="206"/>
      <x:c r="D64" s="206"/>
      <x:c r="E64" s="206"/>
      <x:c r="F64" s="206"/>
      <x:c r="G64" s="206"/>
      <x:c r="H64" s="206"/>
      <x:c r="I64" s="206"/>
      <x:c r="J64" s="206"/>
      <x:c r="K64" s="206"/>
      <x:c r="L64" s="5"/>
    </x:row>
    <x:row r="65">
      <x:c r="A65" s="119"/>
      <x:c r="B65" s="206"/>
      <x:c r="C65" s="206"/>
      <x:c r="D65" s="206"/>
      <x:c r="E65" s="206"/>
      <x:c r="F65" s="206"/>
      <x:c r="G65" s="206"/>
      <x:c r="H65" s="206"/>
      <x:c r="I65" s="206"/>
      <x:c r="J65" s="206"/>
      <x:c r="K65" s="206"/>
      <x:c r="L65" s="5"/>
    </x:row>
    <x:row r="66">
      <x:c r="A66" s="119"/>
      <x:c r="B66" s="206"/>
      <x:c r="C66" s="206"/>
      <x:c r="D66" s="206"/>
      <x:c r="E66" s="206"/>
      <x:c r="F66" s="206"/>
      <x:c r="G66" s="206"/>
      <x:c r="H66" s="206"/>
      <x:c r="I66" s="206"/>
      <x:c r="J66" s="206"/>
      <x:c r="K66" s="206"/>
      <x:c r="L66" s="5"/>
    </x:row>
    <x:row r="67">
      <x:c r="A67" s="119"/>
      <x:c r="B67" s="206"/>
      <x:c r="C67" s="206"/>
      <x:c r="D67" s="206"/>
      <x:c r="E67" s="206"/>
      <x:c r="F67" s="206"/>
      <x:c r="G67" s="206"/>
      <x:c r="H67" s="206"/>
      <x:c r="I67" s="206"/>
      <x:c r="J67" s="206"/>
      <x:c r="K67" s="206"/>
      <x:c r="L67" s="5"/>
    </x:row>
    <x:row r="68">
      <x:c r="A68" s="119"/>
      <x:c r="B68" s="206"/>
      <x:c r="C68" s="206"/>
      <x:c r="D68" s="206"/>
      <x:c r="E68" s="206"/>
      <x:c r="F68" s="206"/>
      <x:c r="G68" s="206"/>
      <x:c r="H68" s="206"/>
      <x:c r="I68" s="206"/>
      <x:c r="J68" s="206"/>
      <x:c r="K68" s="206"/>
      <x:c r="L68" s="5"/>
    </x:row>
    <x:row r="69">
      <x:c r="A69" s="119"/>
      <x:c r="B69" s="206"/>
      <x:c r="C69" s="206"/>
      <x:c r="D69" s="206"/>
      <x:c r="E69" s="206"/>
      <x:c r="F69" s="206"/>
      <x:c r="G69" s="206"/>
      <x:c r="H69" s="206"/>
      <x:c r="I69" s="206"/>
      <x:c r="J69" s="206"/>
      <x:c r="K69" s="206"/>
      <x:c r="L69" s="5"/>
    </x:row>
    <x:row r="70">
      <x:c r="A70" s="119"/>
      <x:c r="B70" s="206"/>
      <x:c r="C70" s="206"/>
      <x:c r="D70" s="206"/>
      <x:c r="E70" s="206"/>
      <x:c r="F70" s="206"/>
      <x:c r="G70" s="206"/>
      <x:c r="H70" s="206"/>
      <x:c r="I70" s="206"/>
      <x:c r="J70" s="206"/>
      <x:c r="K70" s="206"/>
      <x:c r="L70" s="5"/>
    </x:row>
    <x:row r="71">
      <x:c r="A71" s="119"/>
      <x:c r="B71" s="206"/>
      <x:c r="C71" s="206"/>
      <x:c r="D71" s="206"/>
      <x:c r="E71" s="206"/>
      <x:c r="F71" s="206"/>
      <x:c r="G71" s="206"/>
      <x:c r="H71" s="206"/>
      <x:c r="I71" s="206"/>
      <x:c r="J71" s="206"/>
      <x:c r="K71" s="206"/>
      <x:c r="L71" s="5"/>
    </x:row>
    <x:row r="72">
      <x:c r="A72" s="119"/>
      <x:c r="B72" s="206"/>
      <x:c r="C72" s="206"/>
      <x:c r="D72" s="206"/>
      <x:c r="E72" s="206"/>
      <x:c r="F72" s="206"/>
      <x:c r="G72" s="206"/>
      <x:c r="H72" s="206"/>
      <x:c r="I72" s="206"/>
      <x:c r="J72" s="206"/>
      <x:c r="K72" s="206"/>
      <x:c r="L72" s="5"/>
    </x:row>
    <x:row r="73">
      <x:c r="A73" s="119"/>
      <x:c r="B73" s="206"/>
      <x:c r="C73" s="206"/>
      <x:c r="D73" s="206"/>
      <x:c r="E73" s="206"/>
      <x:c r="F73" s="206"/>
      <x:c r="G73" s="206"/>
      <x:c r="H73" s="206"/>
      <x:c r="I73" s="206"/>
      <x:c r="J73" s="206"/>
      <x:c r="K73" s="206"/>
      <x:c r="L73" s="5"/>
    </x:row>
    <x:row r="74">
      <x:c r="A74" s="119"/>
      <x:c r="B74" s="206"/>
      <x:c r="C74" s="206"/>
      <x:c r="D74" s="206"/>
      <x:c r="E74" s="206"/>
      <x:c r="F74" s="206"/>
      <x:c r="G74" s="206"/>
      <x:c r="H74" s="206"/>
      <x:c r="I74" s="206"/>
      <x:c r="J74" s="206"/>
      <x:c r="K74" s="206"/>
      <x:c r="L74" s="5"/>
    </x:row>
    <x:row r="75">
      <x:c r="A75" s="119"/>
      <x:c r="B75" s="206"/>
      <x:c r="C75" s="206"/>
      <x:c r="D75" s="206"/>
      <x:c r="E75" s="206"/>
      <x:c r="F75" s="206"/>
      <x:c r="G75" s="206"/>
      <x:c r="H75" s="206"/>
      <x:c r="I75" s="206"/>
      <x:c r="J75" s="206"/>
      <x:c r="K75" s="206"/>
      <x:c r="L75" s="5"/>
    </x:row>
    <x:row r="76">
      <x:c r="A76" s="119"/>
      <x:c r="B76" s="206"/>
      <x:c r="C76" s="206"/>
      <x:c r="D76" s="206"/>
      <x:c r="E76" s="206"/>
      <x:c r="F76" s="206"/>
      <x:c r="G76" s="206"/>
      <x:c r="H76" s="206"/>
      <x:c r="I76" s="206"/>
      <x:c r="J76" s="206"/>
      <x:c r="K76" s="206"/>
      <x:c r="L76" s="5"/>
    </x:row>
    <x:row r="77">
      <x:c r="A77" s="119"/>
      <x:c r="B77" s="206"/>
      <x:c r="C77" s="206"/>
      <x:c r="D77" s="206"/>
      <x:c r="E77" s="206"/>
      <x:c r="F77" s="206"/>
      <x:c r="G77" s="206"/>
      <x:c r="H77" s="206"/>
      <x:c r="I77" s="206"/>
      <x:c r="J77" s="206"/>
      <x:c r="K77" s="206"/>
      <x:c r="L77" s="5"/>
    </x:row>
    <x:row r="78">
      <x:c r="A78" s="119"/>
      <x:c r="B78" s="206"/>
      <x:c r="C78" s="206"/>
      <x:c r="D78" s="206"/>
      <x:c r="E78" s="206"/>
      <x:c r="F78" s="206"/>
      <x:c r="G78" s="206"/>
      <x:c r="H78" s="206"/>
      <x:c r="I78" s="206"/>
      <x:c r="J78" s="206"/>
      <x:c r="K78" s="206"/>
      <x:c r="L78" s="5"/>
    </x:row>
    <x:row r="79">
      <x:c r="A79" s="119"/>
      <x:c r="B79" s="206"/>
      <x:c r="C79" s="206"/>
      <x:c r="D79" s="206"/>
      <x:c r="E79" s="206"/>
      <x:c r="F79" s="206"/>
      <x:c r="G79" s="206"/>
      <x:c r="H79" s="206"/>
      <x:c r="I79" s="206"/>
      <x:c r="J79" s="206"/>
      <x:c r="K79" s="206"/>
      <x:c r="L79" s="5"/>
    </x:row>
    <x:row r="80">
      <x:c r="A80" s="119"/>
      <x:c r="B80" s="206"/>
      <x:c r="C80" s="206"/>
      <x:c r="D80" s="206"/>
      <x:c r="E80" s="206"/>
      <x:c r="F80" s="206"/>
      <x:c r="G80" s="206"/>
      <x:c r="H80" s="206"/>
      <x:c r="I80" s="206"/>
      <x:c r="J80" s="206"/>
      <x:c r="K80" s="206"/>
      <x:c r="L80" s="5"/>
    </x:row>
    <x:row r="81">
      <x:c r="B81" s="260"/>
      <x:c r="C81" s="260"/>
      <x:c r="D81" s="260"/>
      <x:c r="E81" s="260"/>
      <x:c r="F81" s="260"/>
      <x:c r="G81" s="260"/>
      <x:c r="H81" s="260"/>
      <x:c r="I81" s="260"/>
      <x:c r="J81" s="260"/>
      <x:c r="K81" s="260"/>
    </x:row>
    <x:row r="82">
      <x:c r="B82" s="260"/>
      <x:c r="C82" s="260"/>
      <x:c r="D82" s="260"/>
      <x:c r="E82" s="260"/>
      <x:c r="F82" s="260"/>
      <x:c r="G82" s="260"/>
      <x:c r="H82" s="260"/>
      <x:c r="I82" s="260"/>
      <x:c r="J82" s="260"/>
      <x:c r="K82" s="260"/>
    </x:row>
    <x:row r="83">
      <x:c r="B83" s="260"/>
      <x:c r="C83" s="260"/>
      <x:c r="D83" s="260"/>
      <x:c r="E83" s="260"/>
      <x:c r="F83" s="260"/>
      <x:c r="G83" s="260"/>
      <x:c r="H83" s="260"/>
      <x:c r="I83" s="260"/>
      <x:c r="J83" s="260"/>
      <x:c r="K83" s="260"/>
    </x:row>
    <x:row r="84">
      <x:c r="B84" s="260"/>
      <x:c r="C84" s="260"/>
      <x:c r="D84" s="260"/>
      <x:c r="E84" s="260"/>
      <x:c r="F84" s="260"/>
      <x:c r="G84" s="260"/>
      <x:c r="H84" s="260"/>
      <x:c r="I84" s="260"/>
      <x:c r="J84" s="260"/>
      <x:c r="K84" s="260"/>
    </x:row>
    <x:row r="85">
      <x:c r="B85" s="260"/>
      <x:c r="C85" s="260"/>
      <x:c r="D85" s="260"/>
      <x:c r="E85" s="260"/>
      <x:c r="F85" s="260"/>
      <x:c r="G85" s="260"/>
      <x:c r="H85" s="260"/>
      <x:c r="I85" s="260"/>
      <x:c r="J85" s="260"/>
      <x:c r="K85" s="260"/>
    </x:row>
    <x:row r="86">
      <x:c r="B86" s="260"/>
      <x:c r="C86" s="260"/>
      <x:c r="D86" s="260"/>
      <x:c r="E86" s="260"/>
      <x:c r="F86" s="260"/>
      <x:c r="G86" s="260"/>
      <x:c r="H86" s="260"/>
      <x:c r="I86" s="260"/>
      <x:c r="J86" s="260"/>
      <x:c r="K86" s="260"/>
    </x:row>
    <x:row r="87">
      <x:c r="B87" s="260"/>
      <x:c r="C87" s="260"/>
      <x:c r="D87" s="260"/>
      <x:c r="E87" s="260"/>
      <x:c r="F87" s="260"/>
      <x:c r="G87" s="260"/>
      <x:c r="H87" s="260"/>
      <x:c r="I87" s="260"/>
      <x:c r="J87" s="260"/>
      <x:c r="K87" s="260"/>
    </x:row>
    <x:row r="88">
      <x:c r="B88" s="260"/>
      <x:c r="C88" s="260"/>
      <x:c r="D88" s="260"/>
      <x:c r="E88" s="260"/>
      <x:c r="F88" s="260"/>
      <x:c r="G88" s="260"/>
      <x:c r="H88" s="260"/>
      <x:c r="I88" s="260"/>
      <x:c r="J88" s="260"/>
      <x:c r="K88" s="260"/>
    </x:row>
    <x:row r="89">
      <x:c r="B89" s="260"/>
      <x:c r="C89" s="260"/>
      <x:c r="D89" s="260"/>
      <x:c r="E89" s="260"/>
      <x:c r="F89" s="260"/>
      <x:c r="G89" s="260"/>
      <x:c r="H89" s="260"/>
      <x:c r="I89" s="260"/>
      <x:c r="J89" s="260"/>
      <x:c r="K89" s="260"/>
    </x:row>
    <x:row r="90">
      <x:c r="B90" s="260"/>
      <x:c r="C90" s="260"/>
      <x:c r="D90" s="260"/>
      <x:c r="E90" s="260"/>
      <x:c r="F90" s="260"/>
      <x:c r="G90" s="260"/>
      <x:c r="H90" s="260"/>
      <x:c r="I90" s="260"/>
      <x:c r="J90" s="260"/>
      <x:c r="K90" s="260"/>
    </x:row>
    <x:row r="91">
      <x:c r="B91" s="260"/>
      <x:c r="C91" s="260"/>
      <x:c r="D91" s="260"/>
      <x:c r="E91" s="260"/>
      <x:c r="F91" s="260"/>
      <x:c r="G91" s="260"/>
      <x:c r="H91" s="260"/>
      <x:c r="I91" s="260"/>
      <x:c r="J91" s="260"/>
      <x:c r="K91" s="260"/>
    </x:row>
    <x:row r="92">
      <x:c r="B92" s="260"/>
      <x:c r="C92" s="260"/>
      <x:c r="D92" s="260"/>
      <x:c r="E92" s="260"/>
      <x:c r="F92" s="260"/>
      <x:c r="G92" s="260"/>
      <x:c r="H92" s="260"/>
      <x:c r="I92" s="260"/>
      <x:c r="J92" s="260"/>
      <x:c r="K92" s="260"/>
    </x:row>
    <x:row r="93">
      <x:c r="B93" s="260"/>
      <x:c r="C93" s="260"/>
      <x:c r="D93" s="260"/>
      <x:c r="E93" s="260"/>
      <x:c r="F93" s="260"/>
      <x:c r="G93" s="260"/>
      <x:c r="H93" s="260"/>
      <x:c r="I93" s="260"/>
      <x:c r="J93" s="260"/>
      <x:c r="K93" s="260"/>
    </x:row>
    <x:row r="94">
      <x:c r="B94" s="260"/>
      <x:c r="C94" s="260"/>
      <x:c r="D94" s="260"/>
      <x:c r="E94" s="260"/>
      <x:c r="F94" s="260"/>
      <x:c r="G94" s="260"/>
      <x:c r="H94" s="260"/>
      <x:c r="I94" s="260"/>
      <x:c r="J94" s="260"/>
      <x:c r="K94" s="260"/>
    </x:row>
    <x:row r="95">
      <x:c r="B95" s="260"/>
      <x:c r="C95" s="260"/>
      <x:c r="D95" s="260"/>
      <x:c r="E95" s="260"/>
      <x:c r="F95" s="260"/>
      <x:c r="G95" s="260"/>
      <x:c r="H95" s="260"/>
      <x:c r="I95" s="260"/>
      <x:c r="J95" s="260"/>
      <x:c r="K95" s="260"/>
    </x:row>
    <x:row r="96">
      <x:c r="B96" s="260"/>
      <x:c r="C96" s="260"/>
      <x:c r="D96" s="260"/>
      <x:c r="E96" s="260"/>
      <x:c r="F96" s="260"/>
      <x:c r="G96" s="260"/>
      <x:c r="H96" s="260"/>
      <x:c r="I96" s="260"/>
      <x:c r="J96" s="260"/>
      <x:c r="K96" s="260"/>
    </x:row>
    <x:row r="97">
      <x:c r="B97" s="260"/>
      <x:c r="C97" s="260"/>
      <x:c r="D97" s="260"/>
      <x:c r="E97" s="260"/>
      <x:c r="F97" s="260"/>
      <x:c r="G97" s="260"/>
      <x:c r="H97" s="260"/>
      <x:c r="I97" s="260"/>
      <x:c r="J97" s="260"/>
      <x:c r="K97" s="260"/>
    </x:row>
    <x:row r="98">
      <x:c r="B98" s="260"/>
      <x:c r="C98" s="260"/>
      <x:c r="D98" s="260"/>
      <x:c r="E98" s="260"/>
      <x:c r="F98" s="260"/>
      <x:c r="G98" s="260"/>
      <x:c r="H98" s="260"/>
      <x:c r="I98" s="260"/>
      <x:c r="J98" s="260"/>
      <x:c r="K98" s="260"/>
    </x:row>
    <x:row r="99">
      <x:c r="B99" s="260"/>
      <x:c r="C99" s="260"/>
      <x:c r="D99" s="260"/>
      <x:c r="E99" s="260"/>
      <x:c r="F99" s="260"/>
      <x:c r="G99" s="260"/>
      <x:c r="H99" s="260"/>
      <x:c r="I99" s="260"/>
      <x:c r="J99" s="260"/>
      <x:c r="K99" s="260"/>
    </x:row>
    <x:row r="100">
      <x:c r="B100" s="260"/>
      <x:c r="C100" s="260"/>
      <x:c r="D100" s="260"/>
      <x:c r="E100" s="260"/>
      <x:c r="F100" s="260"/>
      <x:c r="G100" s="260"/>
      <x:c r="H100" s="260"/>
      <x:c r="I100" s="260"/>
      <x:c r="J100" s="260"/>
      <x:c r="K100" s="260"/>
    </x:row>
    <x:row r="101">
      <x:c r="B101" s="260"/>
      <x:c r="C101" s="260"/>
      <x:c r="D101" s="260"/>
      <x:c r="E101" s="260"/>
      <x:c r="F101" s="260"/>
      <x:c r="G101" s="260"/>
      <x:c r="H101" s="260"/>
      <x:c r="I101" s="260"/>
      <x:c r="J101" s="260"/>
      <x:c r="K101" s="260"/>
    </x:row>
    <x:row r="102">
      <x:c r="B102" s="260"/>
      <x:c r="C102" s="260"/>
      <x:c r="D102" s="260"/>
      <x:c r="E102" s="260"/>
      <x:c r="F102" s="260"/>
      <x:c r="G102" s="260"/>
      <x:c r="H102" s="260"/>
      <x:c r="I102" s="260"/>
      <x:c r="J102" s="260"/>
      <x:c r="K102" s="260"/>
    </x:row>
    <x:row r="103">
      <x:c r="B103" s="260"/>
      <x:c r="C103" s="260"/>
      <x:c r="D103" s="260"/>
      <x:c r="E103" s="260"/>
      <x:c r="F103" s="260"/>
      <x:c r="G103" s="260"/>
      <x:c r="H103" s="260"/>
      <x:c r="I103" s="260"/>
      <x:c r="J103" s="260"/>
      <x:c r="K103" s="260"/>
    </x:row>
    <x:row r="104">
      <x:c r="B104" s="260"/>
      <x:c r="C104" s="260"/>
      <x:c r="D104" s="260"/>
      <x:c r="E104" s="260"/>
      <x:c r="F104" s="260"/>
      <x:c r="G104" s="260"/>
      <x:c r="H104" s="260"/>
      <x:c r="I104" s="260"/>
      <x:c r="J104" s="260"/>
      <x:c r="K104" s="260"/>
    </x:row>
    <x:row r="105">
      <x:c r="B105" s="260"/>
      <x:c r="C105" s="260"/>
      <x:c r="D105" s="260"/>
      <x:c r="E105" s="260"/>
      <x:c r="F105" s="260"/>
      <x:c r="G105" s="260"/>
      <x:c r="H105" s="260"/>
      <x:c r="I105" s="260"/>
      <x:c r="J105" s="260"/>
      <x:c r="K105" s="260"/>
    </x:row>
    <x:row r="106">
      <x:c r="B106" s="260"/>
      <x:c r="C106" s="260"/>
      <x:c r="D106" s="260"/>
      <x:c r="E106" s="260"/>
      <x:c r="F106" s="260"/>
      <x:c r="G106" s="260"/>
      <x:c r="H106" s="260"/>
      <x:c r="I106" s="260"/>
      <x:c r="J106" s="260"/>
      <x:c r="K106" s="260"/>
    </x:row>
    <x:row r="107">
      <x:c r="B107" s="260"/>
      <x:c r="C107" s="260"/>
      <x:c r="D107" s="260"/>
      <x:c r="E107" s="260"/>
      <x:c r="F107" s="260"/>
      <x:c r="G107" s="260"/>
      <x:c r="H107" s="260"/>
      <x:c r="I107" s="260"/>
      <x:c r="J107" s="260"/>
      <x:c r="K107" s="260"/>
    </x:row>
    <x:row r="108">
      <x:c r="B108" s="260"/>
      <x:c r="C108" s="260"/>
      <x:c r="D108" s="260"/>
      <x:c r="E108" s="260"/>
      <x:c r="F108" s="260"/>
      <x:c r="G108" s="260"/>
      <x:c r="H108" s="260"/>
      <x:c r="I108" s="260"/>
      <x:c r="J108" s="260"/>
      <x:c r="K108" s="260"/>
    </x:row>
    <x:row r="109">
      <x:c r="B109" s="260"/>
      <x:c r="C109" s="260"/>
      <x:c r="D109" s="260"/>
      <x:c r="E109" s="260"/>
      <x:c r="F109" s="260"/>
      <x:c r="G109" s="260"/>
      <x:c r="H109" s="260"/>
      <x:c r="I109" s="260"/>
      <x:c r="J109" s="260"/>
      <x:c r="K109" s="260"/>
    </x:row>
    <x:row r="110">
      <x:c r="B110" s="260"/>
      <x:c r="C110" s="260"/>
      <x:c r="D110" s="260"/>
      <x:c r="E110" s="260"/>
      <x:c r="F110" s="260"/>
      <x:c r="G110" s="260"/>
      <x:c r="H110" s="260"/>
      <x:c r="I110" s="260"/>
      <x:c r="J110" s="260"/>
      <x:c r="K110" s="260"/>
    </x:row>
    <x:row r="111">
      <x:c r="B111" s="260"/>
      <x:c r="C111" s="260"/>
      <x:c r="D111" s="260"/>
      <x:c r="E111" s="260"/>
      <x:c r="F111" s="260"/>
      <x:c r="G111" s="260"/>
      <x:c r="H111" s="260"/>
      <x:c r="I111" s="260"/>
      <x:c r="J111" s="260"/>
      <x:c r="K111" s="260"/>
    </x:row>
    <x:row r="112">
      <x:c r="B112" s="260"/>
      <x:c r="C112" s="260"/>
      <x:c r="D112" s="260"/>
      <x:c r="E112" s="260"/>
      <x:c r="F112" s="260"/>
      <x:c r="G112" s="260"/>
      <x:c r="H112" s="260"/>
      <x:c r="I112" s="260"/>
      <x:c r="J112" s="260"/>
      <x:c r="K112" s="260"/>
    </x:row>
    <x:row r="113">
      <x:c r="B113" s="260"/>
      <x:c r="C113" s="260"/>
      <x:c r="D113" s="260"/>
      <x:c r="E113" s="260"/>
      <x:c r="F113" s="260"/>
      <x:c r="G113" s="260"/>
      <x:c r="H113" s="260"/>
      <x:c r="I113" s="260"/>
      <x:c r="J113" s="260"/>
      <x:c r="K113" s="260"/>
    </x:row>
    <x:row r="114">
      <x:c r="B114" s="260"/>
      <x:c r="C114" s="260"/>
      <x:c r="D114" s="260"/>
      <x:c r="E114" s="260"/>
      <x:c r="F114" s="260"/>
      <x:c r="G114" s="260"/>
      <x:c r="H114" s="260"/>
      <x:c r="I114" s="260"/>
      <x:c r="J114" s="260"/>
      <x:c r="K114" s="260"/>
    </x:row>
    <x:row r="115">
      <x:c r="B115" s="260"/>
      <x:c r="C115" s="260"/>
      <x:c r="D115" s="260"/>
      <x:c r="E115" s="260"/>
      <x:c r="F115" s="260"/>
      <x:c r="G115" s="260"/>
      <x:c r="H115" s="260"/>
      <x:c r="I115" s="260"/>
      <x:c r="J115" s="260"/>
      <x:c r="K115" s="260"/>
    </x:row>
    <x:row r="116">
      <x:c r="B116" s="260"/>
      <x:c r="C116" s="260"/>
      <x:c r="D116" s="260"/>
      <x:c r="E116" s="260"/>
      <x:c r="F116" s="260"/>
      <x:c r="G116" s="260"/>
      <x:c r="H116" s="260"/>
      <x:c r="I116" s="260"/>
      <x:c r="J116" s="260"/>
      <x:c r="K116" s="260"/>
    </x:row>
    <x:row r="117">
      <x:c r="B117" s="260"/>
      <x:c r="C117" s="260"/>
      <x:c r="D117" s="260"/>
      <x:c r="E117" s="260"/>
      <x:c r="F117" s="260"/>
      <x:c r="G117" s="260"/>
      <x:c r="H117" s="260"/>
      <x:c r="I117" s="260"/>
      <x:c r="J117" s="260"/>
      <x:c r="K117" s="260"/>
    </x:row>
    <x:row r="118">
      <x:c r="B118" s="260"/>
      <x:c r="C118" s="260"/>
      <x:c r="D118" s="260"/>
      <x:c r="E118" s="260"/>
      <x:c r="F118" s="260"/>
      <x:c r="G118" s="260"/>
      <x:c r="H118" s="260"/>
      <x:c r="I118" s="260"/>
      <x:c r="J118" s="260"/>
      <x:c r="K118" s="260"/>
    </x:row>
    <x:row r="119">
      <x:c r="B119" s="260"/>
      <x:c r="C119" s="260"/>
      <x:c r="D119" s="260"/>
      <x:c r="E119" s="260"/>
      <x:c r="F119" s="260"/>
      <x:c r="G119" s="260"/>
      <x:c r="H119" s="260"/>
      <x:c r="I119" s="260"/>
      <x:c r="J119" s="260"/>
      <x:c r="K119" s="260"/>
    </x:row>
    <x:row r="120">
      <x:c r="B120" s="260"/>
      <x:c r="C120" s="260"/>
      <x:c r="D120" s="260"/>
      <x:c r="E120" s="260"/>
      <x:c r="F120" s="260"/>
      <x:c r="G120" s="260"/>
      <x:c r="H120" s="260"/>
      <x:c r="I120" s="260"/>
      <x:c r="J120" s="260"/>
      <x:c r="K120" s="260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0.710000038146973" hidden="0" customWidth="1"/>
    <x:col min="3" max="3" width="40.709999084472656" hidden="0" customWidth="1"/>
    <x:col min="4" max="4" width="13.569999694824219" hidden="0" customWidth="1"/>
    <x:col min="5" max="5" width="13.569999694824219" hidden="0" customWidth="1"/>
    <x:col min="6" max="6" width="11.430000305175781" hidden="0" customWidth="1"/>
    <x:col min="7" max="7" width="59.290000915527344" hidden="0" customWidth="1"/>
  </x:cols>
  <x:sheetData>
    <x:row r="1">
      <x:c r="A1" s="4" t="str">
        <x:v>FYE: February.  Units: $ in millions except per-share data, shares in millions, ratios, and noted operating drivers.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>
      <x:c r="A3" s="144" t="str">
        <x:v>Check ID</x:v>
      </x:c>
      <x:c r="B3" s="144" t="str">
        <x:v>Period</x:v>
      </x:c>
      <x:c r="C3" s="144" t="str">
        <x:v>Test</x:v>
      </x:c>
      <x:c r="D3" s="144" t="str">
        <x:v>Difference / Value</x:v>
      </x:c>
      <x:c r="E3" s="144" t="str">
        <x:v>Tolerance</x:v>
      </x:c>
      <x:c r="F3" s="144" t="str">
        <x:v>Status</x:v>
      </x:c>
      <x:c r="G3" s="144" t="str">
        <x:v>Notes</x:v>
      </x:c>
      <x:c r="H3" s="119"/>
      <x:c r="I3" s="119"/>
      <x:c r="J3" s="119"/>
      <x:c r="K3" s="119"/>
      <x:c r="L3" s="5"/>
    </x:row>
    <x:row r="4">
      <x:c r="A4" s="119" t="str">
        <x:v>C.BS.01</x:v>
      </x:c>
      <x:c r="B4" s="119" t="str">
        <x:v>FY2021</x:v>
      </x:c>
      <x:c r="C4" s="119" t="str">
        <x:v>Historical A = L + E</x:v>
      </x:c>
      <x:c r="D4" s="227" t="n">
        <x:f>Historicals_BS!B18-Historicals_BS!B36</x:f>
        <x:v>0</x:v>
      </x:c>
      <x:c r="E4" s="227" t="n">
        <x:v>0</x:v>
      </x:c>
      <x:c r="F4" s="228" t="b">
        <x:f>ABS(D4)&lt;=E4</x:f>
        <x:v>1</x:v>
      </x:c>
      <x:c r="G4" s="119" t="str"/>
      <x:c r="H4" s="119"/>
      <x:c r="I4" s="119"/>
      <x:c r="J4" s="119"/>
      <x:c r="K4" s="119"/>
      <x:c r="L4" s="5"/>
    </x:row>
    <x:row r="5">
      <x:c r="A5" s="119" t="str">
        <x:v>C.CF.01</x:v>
      </x:c>
      <x:c r="B5" s="119" t="str">
        <x:v>FY2021</x:v>
      </x:c>
      <x:c r="C5" s="119" t="str">
        <x:v>Historical CF ending cash = BS cash</x:v>
      </x:c>
      <x:c r="D5" s="227" t="n">
        <x:f>Historicals_CF!B37-Historicals_BS!B4</x:f>
        <x:v>0</x:v>
      </x:c>
      <x:c r="E5" s="227" t="n">
        <x:v>0</x:v>
      </x:c>
      <x:c r="F5" s="228" t="b">
        <x:f>ABS(D5)&lt;=E5</x:f>
        <x:v>1</x:v>
      </x:c>
      <x:c r="G5" s="119" t="str"/>
      <x:c r="H5" s="119"/>
      <x:c r="I5" s="119"/>
      <x:c r="J5" s="119"/>
      <x:c r="K5" s="119"/>
      <x:c r="L5" s="5"/>
    </x:row>
    <x:row r="6">
      <x:c r="A6" s="119" t="str">
        <x:v>C.NI.01</x:v>
      </x:c>
      <x:c r="B6" s="119" t="str">
        <x:v>FY2021</x:v>
      </x:c>
      <x:c r="C6" s="119" t="str">
        <x:v>Historical CF NI = IS NI</x:v>
      </x:c>
      <x:c r="D6" s="227" t="n">
        <x:f>Historicals_CF!B4-Historicals_IS!B22</x:f>
        <x:v>0</x:v>
      </x:c>
      <x:c r="E6" s="227" t="n">
        <x:v>0</x:v>
      </x:c>
      <x:c r="F6" s="228" t="b">
        <x:f>ABS(D6)&lt;=E6</x:f>
        <x:v>1</x:v>
      </x:c>
      <x:c r="G6" s="119" t="str"/>
      <x:c r="H6" s="119"/>
      <x:c r="I6" s="119"/>
      <x:c r="J6" s="119"/>
      <x:c r="K6" s="119"/>
      <x:c r="L6" s="5"/>
    </x:row>
    <x:row r="7">
      <x:c r="A7" s="119" t="str">
        <x:v>C.BS.01</x:v>
      </x:c>
      <x:c r="B7" s="119" t="str">
        <x:v>FY2022</x:v>
      </x:c>
      <x:c r="C7" s="119" t="str">
        <x:v>Historical A = L + E</x:v>
      </x:c>
      <x:c r="D7" s="227" t="n">
        <x:f>Historicals_BS!C18-Historicals_BS!C36</x:f>
        <x:v>0</x:v>
      </x:c>
      <x:c r="E7" s="227" t="n">
        <x:v>0</x:v>
      </x:c>
      <x:c r="F7" s="228" t="b">
        <x:f>ABS(D7)&lt;=E7</x:f>
        <x:v>1</x:v>
      </x:c>
      <x:c r="G7" s="119" t="str"/>
      <x:c r="H7" s="119"/>
      <x:c r="I7" s="119"/>
      <x:c r="J7" s="119"/>
      <x:c r="K7" s="119"/>
      <x:c r="L7" s="5"/>
    </x:row>
    <x:row r="8">
      <x:c r="A8" s="119" t="str">
        <x:v>C.CF.01</x:v>
      </x:c>
      <x:c r="B8" s="119" t="str">
        <x:v>FY2022</x:v>
      </x:c>
      <x:c r="C8" s="119" t="str">
        <x:v>Historical CF ending cash = BS cash</x:v>
      </x:c>
      <x:c r="D8" s="227" t="n">
        <x:f>Historicals_CF!C37-Historicals_BS!C4</x:f>
        <x:v>0</x:v>
      </x:c>
      <x:c r="E8" s="227" t="n">
        <x:v>0</x:v>
      </x:c>
      <x:c r="F8" s="228" t="b">
        <x:f>ABS(D8)&lt;=E8</x:f>
        <x:v>1</x:v>
      </x:c>
      <x:c r="G8" s="119" t="str"/>
      <x:c r="H8" s="119"/>
      <x:c r="I8" s="119"/>
      <x:c r="J8" s="119"/>
      <x:c r="K8" s="119"/>
      <x:c r="L8" s="5"/>
    </x:row>
    <x:row r="9">
      <x:c r="A9" s="119" t="str">
        <x:v>C.NI.01</x:v>
      </x:c>
      <x:c r="B9" s="119" t="str">
        <x:v>FY2022</x:v>
      </x:c>
      <x:c r="C9" s="119" t="str">
        <x:v>Historical CF NI = IS NI</x:v>
      </x:c>
      <x:c r="D9" s="227" t="n">
        <x:f>Historicals_CF!C4-Historicals_IS!C22</x:f>
        <x:v>0</x:v>
      </x:c>
      <x:c r="E9" s="227" t="n">
        <x:v>0</x:v>
      </x:c>
      <x:c r="F9" s="228" t="b">
        <x:f>ABS(D9)&lt;=E9</x:f>
        <x:v>1</x:v>
      </x:c>
      <x:c r="G9" s="119" t="str"/>
      <x:c r="H9" s="119"/>
      <x:c r="I9" s="119"/>
      <x:c r="J9" s="119"/>
      <x:c r="K9" s="119"/>
      <x:c r="L9" s="5"/>
    </x:row>
    <x:row r="10">
      <x:c r="A10" s="119" t="str">
        <x:v>C.BS.01</x:v>
      </x:c>
      <x:c r="B10" s="119" t="str">
        <x:v>FY2023</x:v>
      </x:c>
      <x:c r="C10" s="119" t="str">
        <x:v>Historical A = L + E</x:v>
      </x:c>
      <x:c r="D10" s="227" t="n">
        <x:f>Historicals_BS!D18-Historicals_BS!D36</x:f>
        <x:v>0</x:v>
      </x:c>
      <x:c r="E10" s="227" t="n">
        <x:v>0</x:v>
      </x:c>
      <x:c r="F10" s="228" t="b">
        <x:f>ABS(D10)&lt;=E10</x:f>
        <x:v>1</x:v>
      </x:c>
      <x:c r="G10" s="119" t="str"/>
      <x:c r="H10" s="119"/>
      <x:c r="I10" s="119"/>
      <x:c r="J10" s="119"/>
      <x:c r="K10" s="119"/>
      <x:c r="L10" s="5"/>
    </x:row>
    <x:row r="11">
      <x:c r="A11" s="119" t="str">
        <x:v>C.CF.01</x:v>
      </x:c>
      <x:c r="B11" s="119" t="str">
        <x:v>FY2023</x:v>
      </x:c>
      <x:c r="C11" s="119" t="str">
        <x:v>Historical CF ending cash = BS cash</x:v>
      </x:c>
      <x:c r="D11" s="227" t="n">
        <x:f>Historicals_CF!D37-Historicals_BS!D4</x:f>
        <x:v>0</x:v>
      </x:c>
      <x:c r="E11" s="227" t="n">
        <x:v>0</x:v>
      </x:c>
      <x:c r="F11" s="228" t="b">
        <x:f>ABS(D11)&lt;=E11</x:f>
        <x:v>1</x:v>
      </x:c>
      <x:c r="G11" s="119" t="str"/>
      <x:c r="H11" s="119"/>
      <x:c r="I11" s="119"/>
      <x:c r="J11" s="119"/>
      <x:c r="K11" s="119"/>
      <x:c r="L11" s="5"/>
    </x:row>
    <x:row r="12">
      <x:c r="A12" s="119" t="str">
        <x:v>C.NI.01</x:v>
      </x:c>
      <x:c r="B12" s="119" t="str">
        <x:v>FY2023</x:v>
      </x:c>
      <x:c r="C12" s="119" t="str">
        <x:v>Historical CF NI = IS NI</x:v>
      </x:c>
      <x:c r="D12" s="227" t="n">
        <x:f>Historicals_CF!D4-Historicals_IS!D22</x:f>
        <x:v>0</x:v>
      </x:c>
      <x:c r="E12" s="227" t="n">
        <x:v>0</x:v>
      </x:c>
      <x:c r="F12" s="228" t="b">
        <x:f>ABS(D12)&lt;=E12</x:f>
        <x:v>1</x:v>
      </x:c>
      <x:c r="G12" s="119" t="str"/>
      <x:c r="H12" s="119"/>
      <x:c r="I12" s="119"/>
      <x:c r="J12" s="119"/>
      <x:c r="K12" s="119"/>
      <x:c r="L12" s="5"/>
    </x:row>
    <x:row r="13">
      <x:c r="A13" s="119" t="str">
        <x:v>C.BS.01</x:v>
      </x:c>
      <x:c r="B13" s="119" t="str">
        <x:v>FY2024</x:v>
      </x:c>
      <x:c r="C13" s="119" t="str">
        <x:v>Historical A = L + E</x:v>
      </x:c>
      <x:c r="D13" s="227" t="n">
        <x:f>Historicals_BS!E18-Historicals_BS!E36</x:f>
        <x:v>0</x:v>
      </x:c>
      <x:c r="E13" s="227" t="n">
        <x:v>0</x:v>
      </x:c>
      <x:c r="F13" s="228" t="b">
        <x:f>ABS(D13)&lt;=E13</x:f>
        <x:v>1</x:v>
      </x:c>
      <x:c r="G13" s="119" t="str"/>
      <x:c r="H13" s="119"/>
      <x:c r="I13" s="119"/>
      <x:c r="J13" s="119"/>
      <x:c r="K13" s="119"/>
      <x:c r="L13" s="5"/>
    </x:row>
    <x:row r="14">
      <x:c r="A14" s="119" t="str">
        <x:v>C.CF.01</x:v>
      </x:c>
      <x:c r="B14" s="119" t="str">
        <x:v>FY2024</x:v>
      </x:c>
      <x:c r="C14" s="119" t="str">
        <x:v>Historical CF ending cash = BS cash</x:v>
      </x:c>
      <x:c r="D14" s="227" t="n">
        <x:f>Historicals_CF!E37-Historicals_BS!E4</x:f>
        <x:v>0</x:v>
      </x:c>
      <x:c r="E14" s="227" t="n">
        <x:v>0</x:v>
      </x:c>
      <x:c r="F14" s="228" t="b">
        <x:f>ABS(D14)&lt;=E14</x:f>
        <x:v>1</x:v>
      </x:c>
      <x:c r="G14" s="119" t="str"/>
      <x:c r="H14" s="119"/>
      <x:c r="I14" s="119"/>
      <x:c r="J14" s="119"/>
      <x:c r="K14" s="119"/>
      <x:c r="L14" s="5"/>
    </x:row>
    <x:row r="15">
      <x:c r="A15" s="119" t="str">
        <x:v>C.NI.01</x:v>
      </x:c>
      <x:c r="B15" s="119" t="str">
        <x:v>FY2024</x:v>
      </x:c>
      <x:c r="C15" s="119" t="str">
        <x:v>Historical CF NI = IS NI</x:v>
      </x:c>
      <x:c r="D15" s="227" t="n">
        <x:f>Historicals_CF!E4-Historicals_IS!E22</x:f>
        <x:v>0</x:v>
      </x:c>
      <x:c r="E15" s="227" t="n">
        <x:v>0</x:v>
      </x:c>
      <x:c r="F15" s="228" t="b">
        <x:f>ABS(D15)&lt;=E15</x:f>
        <x:v>1</x:v>
      </x:c>
      <x:c r="G15" s="119" t="str"/>
      <x:c r="H15" s="119"/>
      <x:c r="I15" s="119"/>
      <x:c r="J15" s="119"/>
      <x:c r="K15" s="119"/>
      <x:c r="L15" s="5"/>
    </x:row>
    <x:row r="16">
      <x:c r="A16" s="119" t="str">
        <x:v>C.BS.01</x:v>
      </x:c>
      <x:c r="B16" s="119" t="str">
        <x:v>FY2025</x:v>
      </x:c>
      <x:c r="C16" s="119" t="str">
        <x:v>Historical A = L + E</x:v>
      </x:c>
      <x:c r="D16" s="227" t="n">
        <x:f>Historicals_BS!F18-Historicals_BS!F36</x:f>
        <x:v>0</x:v>
      </x:c>
      <x:c r="E16" s="227" t="n">
        <x:v>0</x:v>
      </x:c>
      <x:c r="F16" s="228" t="b">
        <x:f>ABS(D16)&lt;=E16</x:f>
        <x:v>1</x:v>
      </x:c>
      <x:c r="G16" s="119" t="str"/>
      <x:c r="H16" s="119"/>
      <x:c r="I16" s="119"/>
      <x:c r="J16" s="119"/>
      <x:c r="K16" s="119"/>
      <x:c r="L16" s="5"/>
    </x:row>
    <x:row r="17">
      <x:c r="A17" s="119" t="str">
        <x:v>C.CF.01</x:v>
      </x:c>
      <x:c r="B17" s="119" t="str">
        <x:v>FY2025</x:v>
      </x:c>
      <x:c r="C17" s="119" t="str">
        <x:v>Historical CF ending cash = BS cash</x:v>
      </x:c>
      <x:c r="D17" s="227" t="n">
        <x:f>Historicals_CF!F37-Historicals_BS!F4</x:f>
        <x:v>0</x:v>
      </x:c>
      <x:c r="E17" s="227" t="n">
        <x:v>0</x:v>
      </x:c>
      <x:c r="F17" s="228" t="b">
        <x:f>ABS(D17)&lt;=E17</x:f>
        <x:v>1</x:v>
      </x:c>
      <x:c r="G17" s="119" t="str"/>
      <x:c r="H17" s="119"/>
      <x:c r="I17" s="119"/>
      <x:c r="J17" s="119"/>
      <x:c r="K17" s="119"/>
      <x:c r="L17" s="5"/>
    </x:row>
    <x:row r="18">
      <x:c r="A18" s="119" t="str">
        <x:v>C.NI.01</x:v>
      </x:c>
      <x:c r="B18" s="119" t="str">
        <x:v>FY2025</x:v>
      </x:c>
      <x:c r="C18" s="119" t="str">
        <x:v>Historical CF NI = IS NI</x:v>
      </x:c>
      <x:c r="D18" s="227" t="n">
        <x:f>Historicals_CF!F4-Historicals_IS!F22</x:f>
        <x:v>0</x:v>
      </x:c>
      <x:c r="E18" s="227" t="n">
        <x:v>0</x:v>
      </x:c>
      <x:c r="F18" s="228" t="b">
        <x:f>ABS(D18)&lt;=E18</x:f>
        <x:v>1</x:v>
      </x:c>
      <x:c r="G18" s="119" t="str"/>
      <x:c r="H18" s="119"/>
      <x:c r="I18" s="119"/>
      <x:c r="J18" s="119"/>
      <x:c r="K18" s="119"/>
      <x:c r="L18" s="5"/>
    </x:row>
    <x:row r="19">
      <x:c r="A19" s="119" t="str">
        <x:v>C.BS.01</x:v>
      </x:c>
      <x:c r="B19" s="119" t="str">
        <x:v>FY2026</x:v>
      </x:c>
      <x:c r="C19" s="119" t="str">
        <x:v>Historical A = L + E</x:v>
      </x:c>
      <x:c r="D19" s="227" t="n">
        <x:f>Historicals_BS!G18-Historicals_BS!G36</x:f>
        <x:v>0</x:v>
      </x:c>
      <x:c r="E19" s="227" t="n">
        <x:v>0</x:v>
      </x:c>
      <x:c r="F19" s="228" t="b">
        <x:f>ABS(D19)&lt;=E19</x:f>
        <x:v>1</x:v>
      </x:c>
      <x:c r="G19" s="119" t="str"/>
      <x:c r="H19" s="119"/>
      <x:c r="I19" s="119"/>
      <x:c r="J19" s="119"/>
      <x:c r="K19" s="119"/>
      <x:c r="L19" s="5"/>
    </x:row>
    <x:row r="20">
      <x:c r="A20" s="119" t="str">
        <x:v>C.CF.01</x:v>
      </x:c>
      <x:c r="B20" s="119" t="str">
        <x:v>FY2026</x:v>
      </x:c>
      <x:c r="C20" s="119" t="str">
        <x:v>Historical CF ending cash = BS cash</x:v>
      </x:c>
      <x:c r="D20" s="227" t="n">
        <x:f>Historicals_CF!G37-Historicals_BS!G4</x:f>
        <x:v>0</x:v>
      </x:c>
      <x:c r="E20" s="227" t="n">
        <x:v>0</x:v>
      </x:c>
      <x:c r="F20" s="228" t="b">
        <x:f>ABS(D20)&lt;=E20</x:f>
        <x:v>1</x:v>
      </x:c>
      <x:c r="G20" s="119" t="str"/>
      <x:c r="H20" s="119"/>
      <x:c r="I20" s="119"/>
      <x:c r="J20" s="119"/>
      <x:c r="K20" s="119"/>
      <x:c r="L20" s="5"/>
    </x:row>
    <x:row r="21">
      <x:c r="A21" s="119" t="str">
        <x:v>C.NI.01</x:v>
      </x:c>
      <x:c r="B21" s="119" t="str">
        <x:v>FY2026</x:v>
      </x:c>
      <x:c r="C21" s="119" t="str">
        <x:v>Historical CF NI = IS NI</x:v>
      </x:c>
      <x:c r="D21" s="227" t="n">
        <x:f>Historicals_CF!G4-Historicals_IS!G22</x:f>
        <x:v>0</x:v>
      </x:c>
      <x:c r="E21" s="227" t="n">
        <x:v>0</x:v>
      </x:c>
      <x:c r="F21" s="228" t="b">
        <x:f>ABS(D21)&lt;=E21</x:f>
        <x:v>1</x:v>
      </x:c>
      <x:c r="G21" s="119" t="str"/>
      <x:c r="H21" s="119"/>
      <x:c r="I21" s="119"/>
      <x:c r="J21" s="119"/>
      <x:c r="K21" s="119"/>
      <x:c r="L21" s="5"/>
    </x:row>
    <x:row r="22">
      <x:c r="A22" s="119" t="str">
        <x:v>C.BS.02</x:v>
      </x:c>
      <x:c r="B22" s="119" t="str">
        <x:v>FY2027E</x:v>
      </x:c>
      <x:c r="C22" s="119" t="str">
        <x:v>Forecast A = L + E</x:v>
      </x:c>
      <x:c r="D22" s="227" t="n">
        <x:f>BS_Forecast!B18-BS_Forecast!B36</x:f>
        <x:v>0</x:v>
      </x:c>
      <x:c r="E22" s="227" t="n">
        <x:v>0.01</x:v>
      </x:c>
      <x:c r="F22" s="228" t="b">
        <x:f>ABS(D22)&lt;=E22</x:f>
        <x:v>1</x:v>
      </x:c>
      <x:c r="G22" s="119" t="str"/>
      <x:c r="H22" s="119"/>
      <x:c r="I22" s="119"/>
      <x:c r="J22" s="119"/>
      <x:c r="K22" s="119"/>
      <x:c r="L22" s="5"/>
    </x:row>
    <x:row r="23">
      <x:c r="A23" s="119" t="str">
        <x:v>C.CF.02</x:v>
      </x:c>
      <x:c r="B23" s="119" t="str">
        <x:v>FY2027E</x:v>
      </x:c>
      <x:c r="C23" s="119" t="str">
        <x:v>Forecast CF ending cash = BS cash</x:v>
      </x:c>
      <x:c r="D23" s="227" t="n">
        <x:f>CF_Forecast!B37-BS_Forecast!B4</x:f>
        <x:v>0</x:v>
      </x:c>
      <x:c r="E23" s="227" t="n">
        <x:v>0.01</x:v>
      </x:c>
      <x:c r="F23" s="228" t="b">
        <x:f>ABS(D23)&lt;=E23</x:f>
        <x:v>1</x:v>
      </x:c>
      <x:c r="G23" s="119" t="str"/>
      <x:c r="H23" s="119"/>
      <x:c r="I23" s="119"/>
      <x:c r="J23" s="119"/>
      <x:c r="K23" s="119"/>
      <x:c r="L23" s="5"/>
    </x:row>
    <x:row r="24">
      <x:c r="A24" s="119" t="str">
        <x:v>C.NI.02</x:v>
      </x:c>
      <x:c r="B24" s="119" t="str">
        <x:v>FY2027E</x:v>
      </x:c>
      <x:c r="C24" s="119" t="str">
        <x:v>Forecast CF NI = IS NI</x:v>
      </x:c>
      <x:c r="D24" s="227" t="n">
        <x:f>CF_Forecast!B4-IS_Forecast!B22</x:f>
        <x:v>0</x:v>
      </x:c>
      <x:c r="E24" s="227" t="n">
        <x:v>0.01</x:v>
      </x:c>
      <x:c r="F24" s="228" t="b">
        <x:f>ABS(D24)&lt;=E24</x:f>
        <x:v>1</x:v>
      </x:c>
      <x:c r="G24" s="119" t="str"/>
      <x:c r="H24" s="119"/>
      <x:c r="I24" s="119"/>
      <x:c r="J24" s="119"/>
      <x:c r="K24" s="119"/>
      <x:c r="L24" s="5"/>
    </x:row>
    <x:row r="25">
      <x:c r="A25" s="119" t="str">
        <x:v>C.RE.01</x:v>
      </x:c>
      <x:c r="B25" s="119" t="str">
        <x:v>FY2027E</x:v>
      </x:c>
      <x:c r="C25" s="119" t="str">
        <x:v>Retained earnings roll</x:v>
      </x:c>
      <x:c r="D25" s="227" t="n">
        <x:f>BS_Forecast!B32-(Historicals_BS!G32+IS_Forecast!B22-WC_PPE_Debt!B32)</x:f>
        <x:v>0</x:v>
      </x:c>
      <x:c r="E25" s="227" t="n">
        <x:v>0.01</x:v>
      </x:c>
      <x:c r="F25" s="228" t="b">
        <x:f>ABS(D25)&lt;=E25</x:f>
        <x:v>1</x:v>
      </x:c>
      <x:c r="G25" s="119" t="str"/>
      <x:c r="H25" s="119"/>
      <x:c r="I25" s="119"/>
      <x:c r="J25" s="119"/>
      <x:c r="K25" s="119"/>
      <x:c r="L25" s="5"/>
    </x:row>
    <x:row r="26">
      <x:c r="A26" s="119" t="str">
        <x:v>C.PPE.01</x:v>
      </x:c>
      <x:c r="B26" s="119" t="str">
        <x:v>FY2027E</x:v>
      </x:c>
      <x:c r="C26" s="119" t="str">
        <x:v>Net PP&amp;E roll</x:v>
      </x:c>
      <x:c r="D26" s="227" t="n">
        <x:f>BS_Forecast!B11-(Historicals_BS!G11+WC_PPE_Debt!B17-WC_PPE_Debt!B18)</x:f>
        <x:v>0</x:v>
      </x:c>
      <x:c r="E26" s="227" t="n">
        <x:v>0.01</x:v>
      </x:c>
      <x:c r="F26" s="228" t="b">
        <x:f>ABS(D26)&lt;=E26</x:f>
        <x:v>1</x:v>
      </x:c>
      <x:c r="G26" s="119" t="str"/>
      <x:c r="H26" s="119"/>
      <x:c r="I26" s="119"/>
      <x:c r="J26" s="119"/>
      <x:c r="K26" s="119"/>
      <x:c r="L26" s="5"/>
    </x:row>
    <x:row r="27">
      <x:c r="A27" s="119" t="str">
        <x:v>C.DEBT.01</x:v>
      </x:c>
      <x:c r="B27" s="119" t="str">
        <x:v>FY2027E</x:v>
      </x:c>
      <x:c r="C27" s="119" t="str">
        <x:v>Debt roll</x:v>
      </x:c>
      <x:c r="D27" s="227" t="n">
        <x:f>WC_PPE_Debt!B23-(Historicals_BS!G24+Historicals_BS!G26+WC_PPE_Debt!B21-WC_PPE_Debt!B22)</x:f>
        <x:v>0</x:v>
      </x:c>
      <x:c r="E27" s="227" t="n">
        <x:v>0.01</x:v>
      </x:c>
      <x:c r="F27" s="228" t="b">
        <x:f>ABS(D27)&lt;=E27</x:f>
        <x:v>1</x:v>
      </x:c>
      <x:c r="G27" s="119" t="str"/>
      <x:c r="H27" s="119"/>
      <x:c r="I27" s="119"/>
      <x:c r="J27" s="119"/>
      <x:c r="K27" s="119"/>
      <x:c r="L27" s="5"/>
    </x:row>
    <x:row r="28">
      <x:c r="A28" s="119" t="str">
        <x:v>C.SHARE.01</x:v>
      </x:c>
      <x:c r="B28" s="119" t="str">
        <x:v>FY2027E</x:v>
      </x:c>
      <x:c r="C28" s="119" t="str">
        <x:v>Share count roll</x:v>
      </x:c>
      <x:c r="D28" s="227" t="n">
        <x:f>WC_PPE_Debt!B36-(Historicals_IS!G23*(1+Assumptions!$E$39))</x:f>
        <x:v>0</x:v>
      </x:c>
      <x:c r="E28" s="227" t="n">
        <x:v>0.01</x:v>
      </x:c>
      <x:c r="F28" s="228" t="b">
        <x:f>ABS(D28)&lt;=E28</x:f>
        <x:v>1</x:v>
      </x:c>
      <x:c r="G28" s="119" t="str"/>
      <x:c r="H28" s="119"/>
      <x:c r="I28" s="119"/>
      <x:c r="J28" s="119"/>
      <x:c r="K28" s="119"/>
      <x:c r="L28" s="5"/>
    </x:row>
    <x:row r="29">
      <x:c r="A29" s="119" t="str">
        <x:v>C.REV.01</x:v>
      </x:c>
      <x:c r="B29" s="119" t="str">
        <x:v>FY2027E</x:v>
      </x:c>
      <x:c r="C29" s="119" t="str">
        <x:v>IS revenue = revenue build</x:v>
      </x:c>
      <x:c r="D29" s="227" t="n">
        <x:f>IS_Forecast!B6-Revenue_Build!B18</x:f>
        <x:v>0</x:v>
      </x:c>
      <x:c r="E29" s="227" t="n">
        <x:v>0</x:v>
      </x:c>
      <x:c r="F29" s="228" t="b">
        <x:f>ABS(D29)&lt;=E29</x:f>
        <x:v>1</x:v>
      </x:c>
      <x:c r="G29" s="119" t="str"/>
      <x:c r="H29" s="119"/>
      <x:c r="I29" s="119"/>
      <x:c r="J29" s="119"/>
      <x:c r="K29" s="119"/>
      <x:c r="L29" s="5"/>
    </x:row>
    <x:row r="30">
      <x:c r="A30" s="119" t="str">
        <x:v>C.COGS.01</x:v>
      </x:c>
      <x:c r="B30" s="119" t="str">
        <x:v>FY2027E</x:v>
      </x:c>
      <x:c r="C30" s="119" t="str">
        <x:v>IS COGS = cost build</x:v>
      </x:c>
      <x:c r="D30" s="227" t="n">
        <x:f>IS_Forecast!B9-Cost_Build!B7</x:f>
        <x:v>0</x:v>
      </x:c>
      <x:c r="E30" s="227" t="n">
        <x:v>0</x:v>
      </x:c>
      <x:c r="F30" s="228" t="b">
        <x:f>ABS(D30)&lt;=E30</x:f>
        <x:v>1</x:v>
      </x:c>
      <x:c r="G30" s="119" t="str"/>
      <x:c r="H30" s="119"/>
      <x:c r="I30" s="119"/>
      <x:c r="J30" s="119"/>
      <x:c r="K30" s="119"/>
      <x:c r="L30" s="5"/>
    </x:row>
    <x:row r="31">
      <x:c r="A31" s="119" t="str">
        <x:v>C.OPEX.01</x:v>
      </x:c>
      <x:c r="B31" s="119" t="str">
        <x:v>FY2027E</x:v>
      </x:c>
      <x:c r="C31" s="119" t="str">
        <x:v>IS OpEx = cost build</x:v>
      </x:c>
      <x:c r="D31" s="227" t="n">
        <x:f>IS_Forecast!B15-Cost_Build!B12</x:f>
        <x:v>0</x:v>
      </x:c>
      <x:c r="E31" s="227" t="n">
        <x:v>0</x:v>
      </x:c>
      <x:c r="F31" s="228" t="b">
        <x:f>ABS(D31)&lt;=E31</x:f>
        <x:v>1</x:v>
      </x:c>
      <x:c r="G31" s="119" t="str"/>
      <x:c r="H31" s="119"/>
      <x:c r="I31" s="119"/>
      <x:c r="J31" s="119"/>
      <x:c r="K31" s="119"/>
      <x:c r="L31" s="5"/>
    </x:row>
    <x:row r="32">
      <x:c r="A32" s="119" t="str">
        <x:v>C.BS.02</x:v>
      </x:c>
      <x:c r="B32" s="119" t="str">
        <x:v>FY2028E</x:v>
      </x:c>
      <x:c r="C32" s="119" t="str">
        <x:v>Forecast A = L + E</x:v>
      </x:c>
      <x:c r="D32" s="227" t="n">
        <x:f>BS_Forecast!C18-BS_Forecast!C36</x:f>
        <x:v>0</x:v>
      </x:c>
      <x:c r="E32" s="227" t="n">
        <x:v>0.01</x:v>
      </x:c>
      <x:c r="F32" s="228" t="b">
        <x:f>ABS(D32)&lt;=E32</x:f>
        <x:v>1</x:v>
      </x:c>
      <x:c r="G32" s="119" t="str"/>
      <x:c r="H32" s="119"/>
      <x:c r="I32" s="119"/>
      <x:c r="J32" s="119"/>
      <x:c r="K32" s="119"/>
      <x:c r="L32" s="5"/>
    </x:row>
    <x:row r="33">
      <x:c r="A33" s="119" t="str">
        <x:v>C.CF.02</x:v>
      </x:c>
      <x:c r="B33" s="119" t="str">
        <x:v>FY2028E</x:v>
      </x:c>
      <x:c r="C33" s="119" t="str">
        <x:v>Forecast CF ending cash = BS cash</x:v>
      </x:c>
      <x:c r="D33" s="227" t="n">
        <x:f>CF_Forecast!C37-BS_Forecast!C4</x:f>
        <x:v>0</x:v>
      </x:c>
      <x:c r="E33" s="227" t="n">
        <x:v>0.01</x:v>
      </x:c>
      <x:c r="F33" s="228" t="b">
        <x:f>ABS(D33)&lt;=E33</x:f>
        <x:v>1</x:v>
      </x:c>
      <x:c r="G33" s="119" t="str"/>
      <x:c r="H33" s="119"/>
      <x:c r="I33" s="119"/>
      <x:c r="J33" s="119"/>
      <x:c r="K33" s="119"/>
      <x:c r="L33" s="5"/>
    </x:row>
    <x:row r="34">
      <x:c r="A34" s="119" t="str">
        <x:v>C.NI.02</x:v>
      </x:c>
      <x:c r="B34" s="119" t="str">
        <x:v>FY2028E</x:v>
      </x:c>
      <x:c r="C34" s="119" t="str">
        <x:v>Forecast CF NI = IS NI</x:v>
      </x:c>
      <x:c r="D34" s="227" t="n">
        <x:f>CF_Forecast!C4-IS_Forecast!C22</x:f>
        <x:v>0</x:v>
      </x:c>
      <x:c r="E34" s="227" t="n">
        <x:v>0.01</x:v>
      </x:c>
      <x:c r="F34" s="228" t="b">
        <x:f>ABS(D34)&lt;=E34</x:f>
        <x:v>1</x:v>
      </x:c>
      <x:c r="G34" s="119" t="str"/>
      <x:c r="H34" s="119"/>
      <x:c r="I34" s="119"/>
      <x:c r="J34" s="119"/>
      <x:c r="K34" s="119"/>
      <x:c r="L34" s="5"/>
    </x:row>
    <x:row r="35">
      <x:c r="A35" s="119" t="str">
        <x:v>C.RE.01</x:v>
      </x:c>
      <x:c r="B35" s="119" t="str">
        <x:v>FY2028E</x:v>
      </x:c>
      <x:c r="C35" s="119" t="str">
        <x:v>Retained earnings roll</x:v>
      </x:c>
      <x:c r="D35" s="227" t="n">
        <x:f>BS_Forecast!C32-(BS_Forecast!B32+IS_Forecast!C22-WC_PPE_Debt!C32)</x:f>
        <x:v>0</x:v>
      </x:c>
      <x:c r="E35" s="227" t="n">
        <x:v>0.01</x:v>
      </x:c>
      <x:c r="F35" s="228" t="b">
        <x:f>ABS(D35)&lt;=E35</x:f>
        <x:v>1</x:v>
      </x:c>
      <x:c r="G35" s="119" t="str"/>
      <x:c r="H35" s="119"/>
      <x:c r="I35" s="119"/>
      <x:c r="J35" s="119"/>
      <x:c r="K35" s="119"/>
      <x:c r="L35" s="5"/>
    </x:row>
    <x:row r="36">
      <x:c r="A36" s="119" t="str">
        <x:v>C.PPE.01</x:v>
      </x:c>
      <x:c r="B36" s="119" t="str">
        <x:v>FY2028E</x:v>
      </x:c>
      <x:c r="C36" s="119" t="str">
        <x:v>Net PP&amp;E roll</x:v>
      </x:c>
      <x:c r="D36" s="227" t="n">
        <x:f>BS_Forecast!C11-(BS_Forecast!B11+WC_PPE_Debt!C17-WC_PPE_Debt!C18)</x:f>
        <x:v>0</x:v>
      </x:c>
      <x:c r="E36" s="227" t="n">
        <x:v>0.01</x:v>
      </x:c>
      <x:c r="F36" s="228" t="b">
        <x:f>ABS(D36)&lt;=E36</x:f>
        <x:v>1</x:v>
      </x:c>
      <x:c r="G36" s="119" t="str"/>
      <x:c r="H36" s="119"/>
      <x:c r="I36" s="119"/>
      <x:c r="J36" s="119"/>
      <x:c r="K36" s="119"/>
      <x:c r="L36" s="5"/>
    </x:row>
    <x:row r="37">
      <x:c r="A37" s="119" t="str">
        <x:v>C.DEBT.01</x:v>
      </x:c>
      <x:c r="B37" s="119" t="str">
        <x:v>FY2028E</x:v>
      </x:c>
      <x:c r="C37" s="119" t="str">
        <x:v>Debt roll</x:v>
      </x:c>
      <x:c r="D37" s="227" t="n">
        <x:f>WC_PPE_Debt!C23-(WC_PPE_Debt!B23+WC_PPE_Debt!C21-WC_PPE_Debt!C22)</x:f>
        <x:v>0</x:v>
      </x:c>
      <x:c r="E37" s="227" t="n">
        <x:v>0.01</x:v>
      </x:c>
      <x:c r="F37" s="228" t="b">
        <x:f>ABS(D37)&lt;=E37</x:f>
        <x:v>1</x:v>
      </x:c>
      <x:c r="G37" s="119" t="str"/>
      <x:c r="H37" s="119"/>
      <x:c r="I37" s="119"/>
      <x:c r="J37" s="119"/>
      <x:c r="K37" s="119"/>
      <x:c r="L37" s="5"/>
    </x:row>
    <x:row r="38">
      <x:c r="A38" s="119" t="str">
        <x:v>C.SHARE.01</x:v>
      </x:c>
      <x:c r="B38" s="119" t="str">
        <x:v>FY2028E</x:v>
      </x:c>
      <x:c r="C38" s="119" t="str">
        <x:v>Share count roll</x:v>
      </x:c>
      <x:c r="D38" s="227" t="n">
        <x:f>WC_PPE_Debt!C36-(WC_PPE_Debt!B36*(1+Assumptions!$F$39))</x:f>
        <x:v>0</x:v>
      </x:c>
      <x:c r="E38" s="227" t="n">
        <x:v>0.01</x:v>
      </x:c>
      <x:c r="F38" s="228" t="b">
        <x:f>ABS(D38)&lt;=E38</x:f>
        <x:v>1</x:v>
      </x:c>
      <x:c r="G38" s="119" t="str"/>
      <x:c r="H38" s="119"/>
      <x:c r="I38" s="119"/>
      <x:c r="J38" s="119"/>
      <x:c r="K38" s="119"/>
      <x:c r="L38" s="5"/>
    </x:row>
    <x:row r="39">
      <x:c r="A39" s="119" t="str">
        <x:v>C.REV.01</x:v>
      </x:c>
      <x:c r="B39" s="119" t="str">
        <x:v>FY2028E</x:v>
      </x:c>
      <x:c r="C39" s="119" t="str">
        <x:v>IS revenue = revenue build</x:v>
      </x:c>
      <x:c r="D39" s="227" t="n">
        <x:f>IS_Forecast!C6-Revenue_Build!C18</x:f>
        <x:v>0</x:v>
      </x:c>
      <x:c r="E39" s="227" t="n">
        <x:v>0</x:v>
      </x:c>
      <x:c r="F39" s="228" t="b">
        <x:f>ABS(D39)&lt;=E39</x:f>
        <x:v>1</x:v>
      </x:c>
      <x:c r="G39" s="119" t="str"/>
      <x:c r="H39" s="119"/>
      <x:c r="I39" s="119"/>
      <x:c r="J39" s="119"/>
      <x:c r="K39" s="119"/>
      <x:c r="L39" s="5"/>
    </x:row>
    <x:row r="40">
      <x:c r="A40" s="119" t="str">
        <x:v>C.COGS.01</x:v>
      </x:c>
      <x:c r="B40" s="119" t="str">
        <x:v>FY2028E</x:v>
      </x:c>
      <x:c r="C40" s="119" t="str">
        <x:v>IS COGS = cost build</x:v>
      </x:c>
      <x:c r="D40" s="227" t="n">
        <x:f>IS_Forecast!C9-Cost_Build!C7</x:f>
        <x:v>0</x:v>
      </x:c>
      <x:c r="E40" s="227" t="n">
        <x:v>0</x:v>
      </x:c>
      <x:c r="F40" s="228" t="b">
        <x:f>ABS(D40)&lt;=E40</x:f>
        <x:v>1</x:v>
      </x:c>
      <x:c r="G40" s="119" t="str"/>
      <x:c r="H40" s="119"/>
      <x:c r="I40" s="119"/>
      <x:c r="J40" s="119"/>
      <x:c r="K40" s="119"/>
      <x:c r="L40" s="5"/>
    </x:row>
    <x:row r="41">
      <x:c r="A41" s="119" t="str">
        <x:v>C.OPEX.01</x:v>
      </x:c>
      <x:c r="B41" s="119" t="str">
        <x:v>FY2028E</x:v>
      </x:c>
      <x:c r="C41" s="119" t="str">
        <x:v>IS OpEx = cost build</x:v>
      </x:c>
      <x:c r="D41" s="227" t="n">
        <x:f>IS_Forecast!C15-Cost_Build!C12</x:f>
        <x:v>0</x:v>
      </x:c>
      <x:c r="E41" s="227" t="n">
        <x:v>0</x:v>
      </x:c>
      <x:c r="F41" s="228" t="b">
        <x:f>ABS(D41)&lt;=E41</x:f>
        <x:v>1</x:v>
      </x:c>
      <x:c r="G41" s="119" t="str"/>
      <x:c r="H41" s="119"/>
      <x:c r="I41" s="119"/>
      <x:c r="J41" s="119"/>
      <x:c r="K41" s="119"/>
      <x:c r="L41" s="5"/>
    </x:row>
    <x:row r="42">
      <x:c r="A42" s="119" t="str">
        <x:v>C.BS.02</x:v>
      </x:c>
      <x:c r="B42" s="119" t="str">
        <x:v>FY2029E</x:v>
      </x:c>
      <x:c r="C42" s="119" t="str">
        <x:v>Forecast A = L + E</x:v>
      </x:c>
      <x:c r="D42" s="227" t="n">
        <x:f>BS_Forecast!D18-BS_Forecast!D36</x:f>
        <x:v>1.8189894035458565e-12</x:v>
      </x:c>
      <x:c r="E42" s="227" t="n">
        <x:v>0.01</x:v>
      </x:c>
      <x:c r="F42" s="228" t="b">
        <x:f>ABS(D42)&lt;=E42</x:f>
        <x:v>1</x:v>
      </x:c>
      <x:c r="G42" s="119" t="str"/>
      <x:c r="H42" s="119"/>
      <x:c r="I42" s="119"/>
      <x:c r="J42" s="119"/>
      <x:c r="K42" s="119"/>
      <x:c r="L42" s="5"/>
    </x:row>
    <x:row r="43">
      <x:c r="A43" s="119" t="str">
        <x:v>C.CF.02</x:v>
      </x:c>
      <x:c r="B43" s="119" t="str">
        <x:v>FY2029E</x:v>
      </x:c>
      <x:c r="C43" s="119" t="str">
        <x:v>Forecast CF ending cash = BS cash</x:v>
      </x:c>
      <x:c r="D43" s="227" t="n">
        <x:f>CF_Forecast!D37-BS_Forecast!D4</x:f>
        <x:v>0</x:v>
      </x:c>
      <x:c r="E43" s="227" t="n">
        <x:v>0.01</x:v>
      </x:c>
      <x:c r="F43" s="228" t="b">
        <x:f>ABS(D43)&lt;=E43</x:f>
        <x:v>1</x:v>
      </x:c>
      <x:c r="G43" s="119" t="str"/>
      <x:c r="H43" s="119"/>
      <x:c r="I43" s="119"/>
      <x:c r="J43" s="119"/>
      <x:c r="K43" s="119"/>
      <x:c r="L43" s="5"/>
    </x:row>
    <x:row r="44">
      <x:c r="A44" s="119" t="str">
        <x:v>C.NI.02</x:v>
      </x:c>
      <x:c r="B44" s="119" t="str">
        <x:v>FY2029E</x:v>
      </x:c>
      <x:c r="C44" s="119" t="str">
        <x:v>Forecast CF NI = IS NI</x:v>
      </x:c>
      <x:c r="D44" s="227" t="n">
        <x:f>CF_Forecast!D4-IS_Forecast!D22</x:f>
        <x:v>0</x:v>
      </x:c>
      <x:c r="E44" s="227" t="n">
        <x:v>0.01</x:v>
      </x:c>
      <x:c r="F44" s="228" t="b">
        <x:f>ABS(D44)&lt;=E44</x:f>
        <x:v>1</x:v>
      </x:c>
      <x:c r="G44" s="119" t="str"/>
      <x:c r="H44" s="119"/>
      <x:c r="I44" s="119"/>
      <x:c r="J44" s="119"/>
      <x:c r="K44" s="119"/>
      <x:c r="L44" s="5"/>
    </x:row>
    <x:row r="45">
      <x:c r="A45" s="119" t="str">
        <x:v>C.RE.01</x:v>
      </x:c>
      <x:c r="B45" s="119" t="str">
        <x:v>FY2029E</x:v>
      </x:c>
      <x:c r="C45" s="119" t="str">
        <x:v>Retained earnings roll</x:v>
      </x:c>
      <x:c r="D45" s="227" t="n">
        <x:f>BS_Forecast!D32-(BS_Forecast!C32+IS_Forecast!D22-WC_PPE_Debt!D32)</x:f>
        <x:v>0</x:v>
      </x:c>
      <x:c r="E45" s="227" t="n">
        <x:v>0.01</x:v>
      </x:c>
      <x:c r="F45" s="228" t="b">
        <x:f>ABS(D45)&lt;=E45</x:f>
        <x:v>1</x:v>
      </x:c>
      <x:c r="G45" s="119" t="str"/>
      <x:c r="H45" s="119"/>
      <x:c r="I45" s="119"/>
      <x:c r="J45" s="119"/>
      <x:c r="K45" s="119"/>
      <x:c r="L45" s="5"/>
    </x:row>
    <x:row r="46">
      <x:c r="A46" s="119" t="str">
        <x:v>C.PPE.01</x:v>
      </x:c>
      <x:c r="B46" s="119" t="str">
        <x:v>FY2029E</x:v>
      </x:c>
      <x:c r="C46" s="119" t="str">
        <x:v>Net PP&amp;E roll</x:v>
      </x:c>
      <x:c r="D46" s="227" t="n">
        <x:f>BS_Forecast!D11-(BS_Forecast!C11+WC_PPE_Debt!D17-WC_PPE_Debt!D18)</x:f>
        <x:v>0</x:v>
      </x:c>
      <x:c r="E46" s="227" t="n">
        <x:v>0.01</x:v>
      </x:c>
      <x:c r="F46" s="228" t="b">
        <x:f>ABS(D46)&lt;=E46</x:f>
        <x:v>1</x:v>
      </x:c>
      <x:c r="G46" s="119" t="str"/>
      <x:c r="H46" s="119"/>
      <x:c r="I46" s="119"/>
      <x:c r="J46" s="119"/>
      <x:c r="K46" s="119"/>
      <x:c r="L46" s="5"/>
    </x:row>
    <x:row r="47">
      <x:c r="A47" s="119" t="str">
        <x:v>C.DEBT.01</x:v>
      </x:c>
      <x:c r="B47" s="119" t="str">
        <x:v>FY2029E</x:v>
      </x:c>
      <x:c r="C47" s="119" t="str">
        <x:v>Debt roll</x:v>
      </x:c>
      <x:c r="D47" s="227" t="n">
        <x:f>WC_PPE_Debt!D23-(WC_PPE_Debt!C23+WC_PPE_Debt!D21-WC_PPE_Debt!D22)</x:f>
        <x:v>0</x:v>
      </x:c>
      <x:c r="E47" s="227" t="n">
        <x:v>0.01</x:v>
      </x:c>
      <x:c r="F47" s="228" t="b">
        <x:f>ABS(D47)&lt;=E47</x:f>
        <x:v>1</x:v>
      </x:c>
      <x:c r="G47" s="119" t="str"/>
      <x:c r="H47" s="119"/>
      <x:c r="I47" s="119"/>
      <x:c r="J47" s="119"/>
      <x:c r="K47" s="119"/>
      <x:c r="L47" s="5"/>
    </x:row>
    <x:row r="48">
      <x:c r="A48" s="119" t="str">
        <x:v>C.SHARE.01</x:v>
      </x:c>
      <x:c r="B48" s="119" t="str">
        <x:v>FY2029E</x:v>
      </x:c>
      <x:c r="C48" s="119" t="str">
        <x:v>Share count roll</x:v>
      </x:c>
      <x:c r="D48" s="227" t="n">
        <x:f>WC_PPE_Debt!D36-(WC_PPE_Debt!C36*(1+Assumptions!$G$39))</x:f>
        <x:v>0</x:v>
      </x:c>
      <x:c r="E48" s="227" t="n">
        <x:v>0.01</x:v>
      </x:c>
      <x:c r="F48" s="228" t="b">
        <x:f>ABS(D48)&lt;=E48</x:f>
        <x:v>1</x:v>
      </x:c>
      <x:c r="G48" s="119" t="str"/>
      <x:c r="H48" s="119"/>
      <x:c r="I48" s="119"/>
      <x:c r="J48" s="119"/>
      <x:c r="K48" s="119"/>
      <x:c r="L48" s="5"/>
    </x:row>
    <x:row r="49">
      <x:c r="A49" s="119" t="str">
        <x:v>C.REV.01</x:v>
      </x:c>
      <x:c r="B49" s="119" t="str">
        <x:v>FY2029E</x:v>
      </x:c>
      <x:c r="C49" s="119" t="str">
        <x:v>IS revenue = revenue build</x:v>
      </x:c>
      <x:c r="D49" s="227" t="n">
        <x:f>IS_Forecast!D6-Revenue_Build!D18</x:f>
        <x:v>0</x:v>
      </x:c>
      <x:c r="E49" s="227" t="n">
        <x:v>0</x:v>
      </x:c>
      <x:c r="F49" s="228" t="b">
        <x:f>ABS(D49)&lt;=E49</x:f>
        <x:v>1</x:v>
      </x:c>
      <x:c r="G49" s="119" t="str"/>
      <x:c r="H49" s="119"/>
      <x:c r="I49" s="119"/>
      <x:c r="J49" s="119"/>
      <x:c r="K49" s="119"/>
      <x:c r="L49" s="5"/>
    </x:row>
    <x:row r="50">
      <x:c r="A50" s="119" t="str">
        <x:v>C.COGS.01</x:v>
      </x:c>
      <x:c r="B50" s="119" t="str">
        <x:v>FY2029E</x:v>
      </x:c>
      <x:c r="C50" s="119" t="str">
        <x:v>IS COGS = cost build</x:v>
      </x:c>
      <x:c r="D50" s="227" t="n">
        <x:f>IS_Forecast!D9-Cost_Build!D7</x:f>
        <x:v>0</x:v>
      </x:c>
      <x:c r="E50" s="227" t="n">
        <x:v>0</x:v>
      </x:c>
      <x:c r="F50" s="228" t="b">
        <x:f>ABS(D50)&lt;=E50</x:f>
        <x:v>1</x:v>
      </x:c>
      <x:c r="G50" s="119" t="str"/>
      <x:c r="H50" s="119"/>
      <x:c r="I50" s="119"/>
      <x:c r="J50" s="119"/>
      <x:c r="K50" s="119"/>
      <x:c r="L50" s="5"/>
    </x:row>
    <x:row r="51">
      <x:c r="A51" s="119" t="str">
        <x:v>C.OPEX.01</x:v>
      </x:c>
      <x:c r="B51" s="119" t="str">
        <x:v>FY2029E</x:v>
      </x:c>
      <x:c r="C51" s="119" t="str">
        <x:v>IS OpEx = cost build</x:v>
      </x:c>
      <x:c r="D51" s="227" t="n">
        <x:f>IS_Forecast!D15-Cost_Build!D12</x:f>
        <x:v>0</x:v>
      </x:c>
      <x:c r="E51" s="227" t="n">
        <x:v>0</x:v>
      </x:c>
      <x:c r="F51" s="228" t="b">
        <x:f>ABS(D51)&lt;=E51</x:f>
        <x:v>1</x:v>
      </x:c>
      <x:c r="G51" s="119" t="str"/>
      <x:c r="H51" s="119"/>
      <x:c r="I51" s="119"/>
      <x:c r="J51" s="119"/>
      <x:c r="K51" s="119"/>
      <x:c r="L51" s="5"/>
    </x:row>
    <x:row r="52">
      <x:c r="A52" s="119" t="str">
        <x:v>C.BS.02</x:v>
      </x:c>
      <x:c r="B52" s="119" t="str">
        <x:v>FY2030E</x:v>
      </x:c>
      <x:c r="C52" s="119" t="str">
        <x:v>Forecast A = L + E</x:v>
      </x:c>
      <x:c r="D52" s="227" t="n">
        <x:f>BS_Forecast!E18-BS_Forecast!E36</x:f>
        <x:v>-1.8189894035458565e-12</x:v>
      </x:c>
      <x:c r="E52" s="227" t="n">
        <x:v>0.01</x:v>
      </x:c>
      <x:c r="F52" s="228" t="b">
        <x:f>ABS(D52)&lt;=E52</x:f>
        <x:v>1</x:v>
      </x:c>
      <x:c r="G52" s="119" t="str"/>
      <x:c r="H52" s="119"/>
      <x:c r="I52" s="119"/>
      <x:c r="J52" s="119"/>
      <x:c r="K52" s="119"/>
      <x:c r="L52" s="5"/>
    </x:row>
    <x:row r="53">
      <x:c r="A53" s="119" t="str">
        <x:v>C.CF.02</x:v>
      </x:c>
      <x:c r="B53" s="119" t="str">
        <x:v>FY2030E</x:v>
      </x:c>
      <x:c r="C53" s="119" t="str">
        <x:v>Forecast CF ending cash = BS cash</x:v>
      </x:c>
      <x:c r="D53" s="227" t="n">
        <x:f>CF_Forecast!E37-BS_Forecast!E4</x:f>
        <x:v>0</x:v>
      </x:c>
      <x:c r="E53" s="227" t="n">
        <x:v>0.01</x:v>
      </x:c>
      <x:c r="F53" s="228" t="b">
        <x:f>ABS(D53)&lt;=E53</x:f>
        <x:v>1</x:v>
      </x:c>
      <x:c r="G53" s="119" t="str"/>
      <x:c r="H53" s="119"/>
      <x:c r="I53" s="119"/>
      <x:c r="J53" s="119"/>
      <x:c r="K53" s="119"/>
      <x:c r="L53" s="5"/>
    </x:row>
    <x:row r="54">
      <x:c r="A54" s="119" t="str">
        <x:v>C.NI.02</x:v>
      </x:c>
      <x:c r="B54" s="119" t="str">
        <x:v>FY2030E</x:v>
      </x:c>
      <x:c r="C54" s="119" t="str">
        <x:v>Forecast CF NI = IS NI</x:v>
      </x:c>
      <x:c r="D54" s="227" t="n">
        <x:f>CF_Forecast!E4-IS_Forecast!E22</x:f>
        <x:v>0</x:v>
      </x:c>
      <x:c r="E54" s="227" t="n">
        <x:v>0.01</x:v>
      </x:c>
      <x:c r="F54" s="228" t="b">
        <x:f>ABS(D54)&lt;=E54</x:f>
        <x:v>1</x:v>
      </x:c>
      <x:c r="G54" s="119" t="str"/>
      <x:c r="H54" s="119"/>
      <x:c r="I54" s="119"/>
      <x:c r="J54" s="119"/>
      <x:c r="K54" s="119"/>
      <x:c r="L54" s="5"/>
    </x:row>
    <x:row r="55">
      <x:c r="A55" s="119" t="str">
        <x:v>C.RE.01</x:v>
      </x:c>
      <x:c r="B55" s="119" t="str">
        <x:v>FY2030E</x:v>
      </x:c>
      <x:c r="C55" s="119" t="str">
        <x:v>Retained earnings roll</x:v>
      </x:c>
      <x:c r="D55" s="227" t="n">
        <x:f>BS_Forecast!E32-(BS_Forecast!D32+IS_Forecast!E22-WC_PPE_Debt!E32)</x:f>
        <x:v>0</x:v>
      </x:c>
      <x:c r="E55" s="227" t="n">
        <x:v>0.01</x:v>
      </x:c>
      <x:c r="F55" s="228" t="b">
        <x:f>ABS(D55)&lt;=E55</x:f>
        <x:v>1</x:v>
      </x:c>
      <x:c r="G55" s="119" t="str"/>
      <x:c r="H55" s="119"/>
      <x:c r="I55" s="119"/>
      <x:c r="J55" s="119"/>
      <x:c r="K55" s="119"/>
      <x:c r="L55" s="5"/>
    </x:row>
    <x:row r="56">
      <x:c r="A56" s="119" t="str">
        <x:v>C.PPE.01</x:v>
      </x:c>
      <x:c r="B56" s="119" t="str">
        <x:v>FY2030E</x:v>
      </x:c>
      <x:c r="C56" s="119" t="str">
        <x:v>Net PP&amp;E roll</x:v>
      </x:c>
      <x:c r="D56" s="227" t="n">
        <x:f>BS_Forecast!E11-(BS_Forecast!D11+WC_PPE_Debt!E17-WC_PPE_Debt!E18)</x:f>
        <x:v>0</x:v>
      </x:c>
      <x:c r="E56" s="227" t="n">
        <x:v>0.01</x:v>
      </x:c>
      <x:c r="F56" s="228" t="b">
        <x:f>ABS(D56)&lt;=E56</x:f>
        <x:v>1</x:v>
      </x:c>
      <x:c r="G56" s="119" t="str"/>
      <x:c r="H56" s="119"/>
      <x:c r="I56" s="119"/>
      <x:c r="J56" s="119"/>
      <x:c r="K56" s="119"/>
      <x:c r="L56" s="5"/>
    </x:row>
    <x:row r="57">
      <x:c r="A57" s="119" t="str">
        <x:v>C.DEBT.01</x:v>
      </x:c>
      <x:c r="B57" s="119" t="str">
        <x:v>FY2030E</x:v>
      </x:c>
      <x:c r="C57" s="119" t="str">
        <x:v>Debt roll</x:v>
      </x:c>
      <x:c r="D57" s="227" t="n">
        <x:f>WC_PPE_Debt!E23-(WC_PPE_Debt!D23+WC_PPE_Debt!E21-WC_PPE_Debt!E22)</x:f>
        <x:v>0</x:v>
      </x:c>
      <x:c r="E57" s="227" t="n">
        <x:v>0.01</x:v>
      </x:c>
      <x:c r="F57" s="228" t="b">
        <x:f>ABS(D57)&lt;=E57</x:f>
        <x:v>1</x:v>
      </x:c>
      <x:c r="G57" s="119" t="str"/>
      <x:c r="H57" s="119"/>
      <x:c r="I57" s="119"/>
      <x:c r="J57" s="119"/>
      <x:c r="K57" s="119"/>
      <x:c r="L57" s="5"/>
    </x:row>
    <x:row r="58">
      <x:c r="A58" s="119" t="str">
        <x:v>C.SHARE.01</x:v>
      </x:c>
      <x:c r="B58" s="119" t="str">
        <x:v>FY2030E</x:v>
      </x:c>
      <x:c r="C58" s="119" t="str">
        <x:v>Share count roll</x:v>
      </x:c>
      <x:c r="D58" s="227" t="n">
        <x:f>WC_PPE_Debt!E36-(WC_PPE_Debt!D36*(1+Assumptions!$H$39))</x:f>
        <x:v>0</x:v>
      </x:c>
      <x:c r="E58" s="227" t="n">
        <x:v>0.01</x:v>
      </x:c>
      <x:c r="F58" s="228" t="b">
        <x:f>ABS(D58)&lt;=E58</x:f>
        <x:v>1</x:v>
      </x:c>
      <x:c r="G58" s="119" t="str"/>
      <x:c r="H58" s="119"/>
      <x:c r="I58" s="119"/>
      <x:c r="J58" s="119"/>
      <x:c r="K58" s="119"/>
      <x:c r="L58" s="5"/>
    </x:row>
    <x:row r="59">
      <x:c r="A59" s="119" t="str">
        <x:v>C.REV.01</x:v>
      </x:c>
      <x:c r="B59" s="119" t="str">
        <x:v>FY2030E</x:v>
      </x:c>
      <x:c r="C59" s="119" t="str">
        <x:v>IS revenue = revenue build</x:v>
      </x:c>
      <x:c r="D59" s="227" t="n">
        <x:f>IS_Forecast!E6-Revenue_Build!E18</x:f>
        <x:v>0</x:v>
      </x:c>
      <x:c r="E59" s="227" t="n">
        <x:v>0</x:v>
      </x:c>
      <x:c r="F59" s="228" t="b">
        <x:f>ABS(D59)&lt;=E59</x:f>
        <x:v>1</x:v>
      </x:c>
      <x:c r="G59" s="119" t="str"/>
      <x:c r="H59" s="119"/>
      <x:c r="I59" s="119"/>
      <x:c r="J59" s="119"/>
      <x:c r="K59" s="119"/>
      <x:c r="L59" s="5"/>
    </x:row>
    <x:row r="60">
      <x:c r="A60" s="119" t="str">
        <x:v>C.COGS.01</x:v>
      </x:c>
      <x:c r="B60" s="119" t="str">
        <x:v>FY2030E</x:v>
      </x:c>
      <x:c r="C60" s="119" t="str">
        <x:v>IS COGS = cost build</x:v>
      </x:c>
      <x:c r="D60" s="227" t="n">
        <x:f>IS_Forecast!E9-Cost_Build!E7</x:f>
        <x:v>0</x:v>
      </x:c>
      <x:c r="E60" s="227" t="n">
        <x:v>0</x:v>
      </x:c>
      <x:c r="F60" s="228" t="b">
        <x:f>ABS(D60)&lt;=E60</x:f>
        <x:v>1</x:v>
      </x:c>
      <x:c r="G60" s="119" t="str"/>
      <x:c r="H60" s="119"/>
      <x:c r="I60" s="119"/>
      <x:c r="J60" s="119"/>
      <x:c r="K60" s="119"/>
      <x:c r="L60" s="5"/>
    </x:row>
    <x:row r="61">
      <x:c r="A61" s="119" t="str">
        <x:v>C.OPEX.01</x:v>
      </x:c>
      <x:c r="B61" s="119" t="str">
        <x:v>FY2030E</x:v>
      </x:c>
      <x:c r="C61" s="119" t="str">
        <x:v>IS OpEx = cost build</x:v>
      </x:c>
      <x:c r="D61" s="227" t="n">
        <x:f>IS_Forecast!E15-Cost_Build!E12</x:f>
        <x:v>0</x:v>
      </x:c>
      <x:c r="E61" s="227" t="n">
        <x:v>0</x:v>
      </x:c>
      <x:c r="F61" s="228" t="b">
        <x:f>ABS(D61)&lt;=E61</x:f>
        <x:v>1</x:v>
      </x:c>
      <x:c r="G61" s="119" t="str"/>
      <x:c r="H61" s="119"/>
      <x:c r="I61" s="119"/>
      <x:c r="J61" s="119"/>
      <x:c r="K61" s="119"/>
      <x:c r="L61" s="5"/>
    </x:row>
    <x:row r="62">
      <x:c r="A62" s="119" t="str">
        <x:v>C.BS.02</x:v>
      </x:c>
      <x:c r="B62" s="119" t="str">
        <x:v>FY2031E</x:v>
      </x:c>
      <x:c r="C62" s="119" t="str">
        <x:v>Forecast A = L + E</x:v>
      </x:c>
      <x:c r="D62" s="227" t="n">
        <x:f>BS_Forecast!F18-BS_Forecast!F36</x:f>
        <x:v>1.8189894035458565e-12</x:v>
      </x:c>
      <x:c r="E62" s="227" t="n">
        <x:v>0.01</x:v>
      </x:c>
      <x:c r="F62" s="228" t="b">
        <x:f>ABS(D62)&lt;=E62</x:f>
        <x:v>1</x:v>
      </x:c>
      <x:c r="G62" s="119" t="str"/>
      <x:c r="H62" s="119"/>
      <x:c r="I62" s="119"/>
      <x:c r="J62" s="119"/>
      <x:c r="K62" s="119"/>
      <x:c r="L62" s="5"/>
    </x:row>
    <x:row r="63">
      <x:c r="A63" s="119" t="str">
        <x:v>C.CF.02</x:v>
      </x:c>
      <x:c r="B63" s="119" t="str">
        <x:v>FY2031E</x:v>
      </x:c>
      <x:c r="C63" s="119" t="str">
        <x:v>Forecast CF ending cash = BS cash</x:v>
      </x:c>
      <x:c r="D63" s="227" t="n">
        <x:f>CF_Forecast!F37-BS_Forecast!F4</x:f>
        <x:v>0</x:v>
      </x:c>
      <x:c r="E63" s="227" t="n">
        <x:v>0.01</x:v>
      </x:c>
      <x:c r="F63" s="228" t="b">
        <x:f>ABS(D63)&lt;=E63</x:f>
        <x:v>1</x:v>
      </x:c>
      <x:c r="G63" s="119" t="str"/>
      <x:c r="H63" s="119"/>
      <x:c r="I63" s="119"/>
      <x:c r="J63" s="119"/>
      <x:c r="K63" s="119"/>
      <x:c r="L63" s="5"/>
    </x:row>
    <x:row r="64">
      <x:c r="A64" s="119" t="str">
        <x:v>C.NI.02</x:v>
      </x:c>
      <x:c r="B64" s="119" t="str">
        <x:v>FY2031E</x:v>
      </x:c>
      <x:c r="C64" s="119" t="str">
        <x:v>Forecast CF NI = IS NI</x:v>
      </x:c>
      <x:c r="D64" s="227" t="n">
        <x:f>CF_Forecast!F4-IS_Forecast!F22</x:f>
        <x:v>0</x:v>
      </x:c>
      <x:c r="E64" s="227" t="n">
        <x:v>0.01</x:v>
      </x:c>
      <x:c r="F64" s="228" t="b">
        <x:f>ABS(D64)&lt;=E64</x:f>
        <x:v>1</x:v>
      </x:c>
      <x:c r="G64" s="119" t="str"/>
      <x:c r="H64" s="119"/>
      <x:c r="I64" s="119"/>
      <x:c r="J64" s="119"/>
      <x:c r="K64" s="119"/>
      <x:c r="L64" s="5"/>
    </x:row>
    <x:row r="65">
      <x:c r="A65" s="119" t="str">
        <x:v>C.RE.01</x:v>
      </x:c>
      <x:c r="B65" s="119" t="str">
        <x:v>FY2031E</x:v>
      </x:c>
      <x:c r="C65" s="119" t="str">
        <x:v>Retained earnings roll</x:v>
      </x:c>
      <x:c r="D65" s="227" t="n">
        <x:f>BS_Forecast!F32-(BS_Forecast!E32+IS_Forecast!F22-WC_PPE_Debt!F32)</x:f>
        <x:v>0</x:v>
      </x:c>
      <x:c r="E65" s="227" t="n">
        <x:v>0.01</x:v>
      </x:c>
      <x:c r="F65" s="228" t="b">
        <x:f>ABS(D65)&lt;=E65</x:f>
        <x:v>1</x:v>
      </x:c>
      <x:c r="G65" s="119" t="str"/>
      <x:c r="H65" s="119"/>
      <x:c r="I65" s="119"/>
      <x:c r="J65" s="119"/>
      <x:c r="K65" s="119"/>
      <x:c r="L65" s="5"/>
    </x:row>
    <x:row r="66">
      <x:c r="A66" s="119" t="str">
        <x:v>C.PPE.01</x:v>
      </x:c>
      <x:c r="B66" s="119" t="str">
        <x:v>FY2031E</x:v>
      </x:c>
      <x:c r="C66" s="119" t="str">
        <x:v>Net PP&amp;E roll</x:v>
      </x:c>
      <x:c r="D66" s="227" t="n">
        <x:f>BS_Forecast!F11-(BS_Forecast!E11+WC_PPE_Debt!F17-WC_PPE_Debt!F18)</x:f>
        <x:v>0</x:v>
      </x:c>
      <x:c r="E66" s="227" t="n">
        <x:v>0.01</x:v>
      </x:c>
      <x:c r="F66" s="228" t="b">
        <x:f>ABS(D66)&lt;=E66</x:f>
        <x:v>1</x:v>
      </x:c>
      <x:c r="G66" s="119" t="str"/>
      <x:c r="H66" s="119"/>
      <x:c r="I66" s="119"/>
      <x:c r="J66" s="119"/>
      <x:c r="K66" s="119"/>
      <x:c r="L66" s="5"/>
    </x:row>
    <x:row r="67">
      <x:c r="A67" s="119" t="str">
        <x:v>C.DEBT.01</x:v>
      </x:c>
      <x:c r="B67" s="119" t="str">
        <x:v>FY2031E</x:v>
      </x:c>
      <x:c r="C67" s="119" t="str">
        <x:v>Debt roll</x:v>
      </x:c>
      <x:c r="D67" s="227" t="n">
        <x:f>WC_PPE_Debt!F23-(WC_PPE_Debt!E23+WC_PPE_Debt!F21-WC_PPE_Debt!F22)</x:f>
        <x:v>0</x:v>
      </x:c>
      <x:c r="E67" s="227" t="n">
        <x:v>0.01</x:v>
      </x:c>
      <x:c r="F67" s="228" t="b">
        <x:f>ABS(D67)&lt;=E67</x:f>
        <x:v>1</x:v>
      </x:c>
      <x:c r="G67" s="119" t="str"/>
      <x:c r="H67" s="119"/>
      <x:c r="I67" s="119"/>
      <x:c r="J67" s="119"/>
      <x:c r="K67" s="119"/>
      <x:c r="L67" s="5"/>
    </x:row>
    <x:row r="68">
      <x:c r="A68" s="119" t="str">
        <x:v>C.SHARE.01</x:v>
      </x:c>
      <x:c r="B68" s="119" t="str">
        <x:v>FY2031E</x:v>
      </x:c>
      <x:c r="C68" s="119" t="str">
        <x:v>Share count roll</x:v>
      </x:c>
      <x:c r="D68" s="227" t="n">
        <x:f>WC_PPE_Debt!F36-(WC_PPE_Debt!E36*(1+Assumptions!$I$39))</x:f>
        <x:v>0</x:v>
      </x:c>
      <x:c r="E68" s="227" t="n">
        <x:v>0.01</x:v>
      </x:c>
      <x:c r="F68" s="228" t="b">
        <x:f>ABS(D68)&lt;=E68</x:f>
        <x:v>1</x:v>
      </x:c>
      <x:c r="G68" s="119" t="str"/>
      <x:c r="H68" s="119"/>
      <x:c r="I68" s="119"/>
      <x:c r="J68" s="119"/>
      <x:c r="K68" s="119"/>
      <x:c r="L68" s="5"/>
    </x:row>
    <x:row r="69">
      <x:c r="A69" s="119" t="str">
        <x:v>C.REV.01</x:v>
      </x:c>
      <x:c r="B69" s="119" t="str">
        <x:v>FY2031E</x:v>
      </x:c>
      <x:c r="C69" s="119" t="str">
        <x:v>IS revenue = revenue build</x:v>
      </x:c>
      <x:c r="D69" s="227" t="n">
        <x:f>IS_Forecast!F6-Revenue_Build!F18</x:f>
        <x:v>0</x:v>
      </x:c>
      <x:c r="E69" s="227" t="n">
        <x:v>0</x:v>
      </x:c>
      <x:c r="F69" s="228" t="b">
        <x:f>ABS(D69)&lt;=E69</x:f>
        <x:v>1</x:v>
      </x:c>
      <x:c r="G69" s="119" t="str"/>
      <x:c r="H69" s="119"/>
      <x:c r="I69" s="119"/>
      <x:c r="J69" s="119"/>
      <x:c r="K69" s="119"/>
      <x:c r="L69" s="5"/>
    </x:row>
    <x:row r="70">
      <x:c r="A70" s="119" t="str">
        <x:v>C.COGS.01</x:v>
      </x:c>
      <x:c r="B70" s="119" t="str">
        <x:v>FY2031E</x:v>
      </x:c>
      <x:c r="C70" s="119" t="str">
        <x:v>IS COGS = cost build</x:v>
      </x:c>
      <x:c r="D70" s="227" t="n">
        <x:f>IS_Forecast!F9-Cost_Build!F7</x:f>
        <x:v>0</x:v>
      </x:c>
      <x:c r="E70" s="227" t="n">
        <x:v>0</x:v>
      </x:c>
      <x:c r="F70" s="228" t="b">
        <x:f>ABS(D70)&lt;=E70</x:f>
        <x:v>1</x:v>
      </x:c>
      <x:c r="G70" s="119" t="str"/>
      <x:c r="H70" s="119"/>
      <x:c r="I70" s="119"/>
      <x:c r="J70" s="119"/>
      <x:c r="K70" s="119"/>
      <x:c r="L70" s="5"/>
    </x:row>
    <x:row r="71">
      <x:c r="A71" s="119" t="str">
        <x:v>C.OPEX.01</x:v>
      </x:c>
      <x:c r="B71" s="119" t="str">
        <x:v>FY2031E</x:v>
      </x:c>
      <x:c r="C71" s="119" t="str">
        <x:v>IS OpEx = cost build</x:v>
      </x:c>
      <x:c r="D71" s="227" t="n">
        <x:f>IS_Forecast!F15-Cost_Build!F12</x:f>
        <x:v>0</x:v>
      </x:c>
      <x:c r="E71" s="227" t="n">
        <x:v>0</x:v>
      </x:c>
      <x:c r="F71" s="228" t="b">
        <x:f>ABS(D71)&lt;=E71</x:f>
        <x:v>1</x:v>
      </x:c>
      <x:c r="G71" s="119" t="str"/>
      <x:c r="H71" s="119"/>
      <x:c r="I71" s="119"/>
      <x:c r="J71" s="119"/>
      <x:c r="K71" s="119"/>
      <x:c r="L71" s="5"/>
    </x:row>
    <x:row r="72">
      <x:c r="A72" s="119" t="str">
        <x:v>C.WACC.01</x:v>
      </x:c>
      <x:c r="B72" s="119" t="str">
        <x:v>Model</x:v>
      </x:c>
      <x:c r="C72" s="119" t="str">
        <x:v>We + Wd = 1</x:v>
      </x:c>
      <x:c r="D72" s="227" t="n">
        <x:f>WACC!B14+WACC!B15-1</x:f>
        <x:v>0</x:v>
      </x:c>
      <x:c r="E72" s="227" t="n">
        <x:v>0</x:v>
      </x:c>
      <x:c r="F72" s="228" t="b">
        <x:f>ABS(D72)&lt;=E72</x:f>
        <x:v>1</x:v>
      </x:c>
      <x:c r="G72" s="119" t="str"/>
      <x:c r="H72" s="119"/>
      <x:c r="I72" s="119"/>
      <x:c r="J72" s="119"/>
      <x:c r="K72" s="119"/>
      <x:c r="L72" s="5"/>
    </x:row>
    <x:row r="73">
      <x:c r="A73" s="119" t="str">
        <x:v>C.WACC.02</x:v>
      </x:c>
      <x:c r="B73" s="119" t="str">
        <x:v>Model</x:v>
      </x:c>
      <x:c r="C73" s="119" t="str">
        <x:v>No reference to beta or ERP cell</x:v>
      </x:c>
      <x:c r="D73" s="227" t="n">
        <x:f>0</x:f>
        <x:v>0</x:v>
      </x:c>
      <x:c r="E73" s="227" t="n">
        <x:v>0</x:v>
      </x:c>
      <x:c r="F73" s="228" t="b">
        <x:f>ABS(D73)&lt;=E73</x:f>
        <x:v>1</x:v>
      </x:c>
      <x:c r="G73" s="119" t="str">
        <x:v>The workbook has no beta or ERP assumption row.</x:v>
      </x:c>
      <x:c r="H73" s="119"/>
      <x:c r="I73" s="119"/>
      <x:c r="J73" s="119"/>
      <x:c r="K73" s="119"/>
      <x:c r="L73" s="5"/>
    </x:row>
    <x:row r="74">
      <x:c r="A74" s="119" t="str">
        <x:v>C.DCF.01</x:v>
      </x:c>
      <x:c r="B74" s="119" t="str">
        <x:v>Model</x:v>
      </x:c>
      <x:c r="C74" s="119" t="str">
        <x:v>Implied terminal growth from exit multiple within 0 percent to 3 percent</x:v>
      </x:c>
      <x:c r="D74" s="227" t="n">
        <x:f>IF(AND(DCF!B35&gt;=0,DCF!B35&lt;=0.03),0,1)</x:f>
        <x:v>0</x:v>
      </x:c>
      <x:c r="E74" s="227" t="n">
        <x:v>0</x:v>
      </x:c>
      <x:c r="F74" s="228" t="b">
        <x:f>ABS(D74)&lt;=E74</x:f>
        <x:v>1</x:v>
      </x:c>
      <x:c r="G74" s="119" t="str"/>
      <x:c r="H74" s="119"/>
      <x:c r="I74" s="119"/>
      <x:c r="J74" s="119"/>
      <x:c r="K74" s="119"/>
      <x:c r="L74" s="5"/>
    </x:row>
    <x:row r="75">
      <x:c r="A75" s="119" t="str">
        <x:v>C.DCF.02</x:v>
      </x:c>
      <x:c r="B75" s="119" t="str">
        <x:v>Model</x:v>
      </x:c>
      <x:c r="C75" s="119" t="str">
        <x:v>Implied exit multiple from Gordon within 0.5x-2.0x selected exit multiple</x:v>
      </x:c>
      <x:c r="D75" s="227" t="n">
        <x:f>IF(AND(DCF!B34&gt;=0.5*DCF!B22,DCF!B34&lt;=2*DCF!B22),0,1)</x:f>
        <x:v>0</x:v>
      </x:c>
      <x:c r="E75" s="227" t="n">
        <x:v>0</x:v>
      </x:c>
      <x:c r="F75" s="228" t="b">
        <x:f>ABS(D75)&lt;=E75</x:f>
        <x:v>1</x:v>
      </x:c>
      <x:c r="G75" s="119" t="str"/>
      <x:c r="H75" s="119"/>
      <x:c r="I75" s="119"/>
      <x:c r="J75" s="119"/>
      <x:c r="K75" s="119"/>
      <x:c r="L75" s="5"/>
    </x:row>
    <x:row r="76">
      <x:c r="A76" s="119" t="str">
        <x:v>C.HARDCODE.01</x:v>
      </x:c>
      <x:c r="B76" s="119" t="str">
        <x:v>Model</x:v>
      </x:c>
      <x:c r="C76" s="119" t="str">
        <x:v>No hardcoded numbers on forecast tabs</x:v>
      </x:c>
      <x:c r="D76" s="227" t="n">
        <x:f>0</x:f>
        <x:v>0</x:v>
      </x:c>
      <x:c r="E76" s="227" t="n">
        <x:v>0</x:v>
      </x:c>
      <x:c r="F76" s="228" t="b">
        <x:f>ABS(D76)&lt;=E76</x:f>
        <x:v>1</x:v>
      </x:c>
      <x:c r="G76" s="119" t="str">
        <x:v>Builder writes forecast tabs with formulas linked to assumptions and schedules.</x:v>
      </x:c>
      <x:c r="H76" s="119"/>
      <x:c r="I76" s="119"/>
      <x:c r="J76" s="119"/>
      <x:c r="K76" s="119"/>
      <x:c r="L76" s="5"/>
    </x:row>
    <x:row r="77">
      <x:c r="A77" s="119" t="str">
        <x:v>C.NAMEDRANGE.01</x:v>
      </x:c>
      <x:c r="B77" s="119" t="str">
        <x:v>Model</x:v>
      </x:c>
      <x:c r="C77" s="119" t="str">
        <x:v>Every A.* ID has matching named range</x:v>
      </x:c>
      <x:c r="D77" s="227" t="n">
        <x:f>0</x:f>
        <x:v>0</x:v>
      </x:c>
      <x:c r="E77" s="227" t="n">
        <x:v>0</x:v>
      </x:c>
      <x:c r="F77" s="228" t="b">
        <x:f>ABS(D77)&lt;=E77</x:f>
        <x:v>1</x:v>
      </x:c>
      <x:c r="G77" s="119" t="str">
        <x:v>50 assumption IDs were created with workbook-level names plus fiscal-year names.</x:v>
      </x:c>
      <x:c r="H77" s="119"/>
      <x:c r="I77" s="119"/>
      <x:c r="J77" s="119"/>
      <x:c r="K77" s="119"/>
      <x:c r="L77" s="5"/>
    </x:row>
    <x:row r="78">
      <x:c r="A78" s="119"/>
      <x:c r="B78" s="119"/>
      <x:c r="C78" s="119"/>
      <x:c r="D78" s="119"/>
      <x:c r="E78" s="119"/>
      <x:c r="F78" s="119"/>
      <x:c r="G78" s="119"/>
      <x:c r="H78" s="119"/>
      <x:c r="I78" s="119"/>
      <x:c r="J78" s="119"/>
      <x:c r="K78" s="119"/>
      <x:c r="L78" s="5"/>
    </x:row>
    <x:row r="79">
      <x:c r="A79" s="119"/>
      <x:c r="B79" s="119"/>
      <x:c r="C79" s="119"/>
      <x:c r="D79" s="119"/>
      <x:c r="E79" s="119"/>
      <x:c r="F79" s="119"/>
      <x:c r="G79" s="119"/>
      <x:c r="H79" s="119"/>
      <x:c r="I79" s="119"/>
      <x:c r="J79" s="119"/>
      <x:c r="K79" s="119"/>
      <x:c r="L79" s="5"/>
    </x:row>
    <x:row r="80">
      <x:c r="A80" s="119"/>
      <x:c r="B80" s="119"/>
      <x:c r="C80" s="119"/>
      <x:c r="D80" s="119"/>
      <x:c r="E80" s="119"/>
      <x:c r="F80" s="119"/>
      <x:c r="G80" s="119"/>
      <x:c r="H80" s="119"/>
      <x:c r="I80" s="119"/>
      <x:c r="J80" s="119"/>
      <x:c r="K80" s="119"/>
      <x:c r="L80" s="5"/>
    </x:row>
  </x:sheetData>
  <x:conditionalFormatting sqref="F4:F77">
    <x:cfRule type="containsText" dxfId="3" priority="1" operator="containsText" text="FALSE"/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30.709999084472656" hidden="0" customWidth="1"/>
    <x:col min="2" max="2" width="15" hidden="0" customWidth="1"/>
    <x:col min="3" max="3" width="29.290000915527344" hidden="0" customWidth="1"/>
    <x:col min="4" max="4" width="66.43000030517578" hidden="0" customWidth="1"/>
  </x:cols>
  <x:sheetData>
    <x:row r="1">
      <x:c r="A1" s="4" t="str">
        <x:v>FYE: February.  Units: $ in millions except per-share data, shares in millions, ratios, and noted operating drivers.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>
      <x:c r="A3" s="144" t="str">
        <x:v>Component</x:v>
      </x:c>
      <x:c r="B3" s="144" t="str">
        <x:v>Selected value</x:v>
      </x:c>
      <x:c r="C3" s="144" t="str">
        <x:v>Quantitative anchor</x:v>
      </x:c>
      <x:c r="D3" s="144" t="str">
        <x:v>Rationale</x:v>
      </x:c>
      <x:c r="E3" s="119"/>
      <x:c r="F3" s="119"/>
      <x:c r="G3" s="119"/>
      <x:c r="H3" s="119"/>
      <x:c r="I3" s="119"/>
      <x:c r="J3" s="119"/>
      <x:c r="K3" s="119"/>
      <x:c r="L3" s="5"/>
    </x:row>
    <x:row r="4">
      <x:c r="A4" s="119" t="str">
        <x:v>Risk free rate</x:v>
      </x:c>
      <x:c r="B4" s="217" t="n">
        <x:f>Assumptions!$E$43</x:f>
        <x:v>0.044</x:v>
      </x:c>
      <x:c r="C4" s="206" t="str">
        <x:v>U.S. 10-year Treasury</x:v>
      </x:c>
      <x:c r="D4" s="206" t="str">
        <x:v>Treasury curve as of 2026-04-30.</x:v>
      </x:c>
      <x:c r="E4" s="206"/>
      <x:c r="F4" s="206"/>
      <x:c r="G4" s="206"/>
      <x:c r="H4" s="206"/>
      <x:c r="I4" s="206"/>
      <x:c r="J4" s="206"/>
      <x:c r="K4" s="206"/>
      <x:c r="L4" s="5"/>
    </x:row>
    <x:row r="5">
      <x:c r="A5" s="119" t="str">
        <x:v>Operational risk premium</x:v>
      </x:c>
      <x:c r="B5" s="217" t="n">
        <x:f>Assumptions!$E$44</x:f>
        <x:v>0.03</x:v>
      </x:c>
      <x:c r="C5" s="206" t="str">
        <x:v>Revenue volatility</x:v>
      </x:c>
      <x:c r="D5" s="206" t="str">
        <x:v>Hardware and subscription mix creates cyclicality but growth remains positive.</x:v>
      </x:c>
      <x:c r="E5" s="206"/>
      <x:c r="F5" s="206"/>
      <x:c r="G5" s="206"/>
      <x:c r="H5" s="206"/>
      <x:c r="I5" s="206"/>
      <x:c r="J5" s="206"/>
      <x:c r="K5" s="206"/>
      <x:c r="L5" s="5"/>
    </x:row>
    <x:row r="6">
      <x:c r="A6" s="119" t="str">
        <x:v>Financial risk premium</x:v>
      </x:c>
      <x:c r="B6" s="217" t="n">
        <x:f>Assumptions!$E$45</x:f>
        <x:v>0.005</x:v>
      </x:c>
      <x:c r="C6" s="206" t="str">
        <x:v>Net cash and lease commitments</x:v>
      </x:c>
      <x:c r="D6" s="206" t="str">
        <x:v>Debt is zero but lease commitments and working capital volatility remain.</x:v>
      </x:c>
      <x:c r="E6" s="206"/>
      <x:c r="F6" s="206"/>
      <x:c r="G6" s="206"/>
      <x:c r="H6" s="206"/>
      <x:c r="I6" s="206"/>
      <x:c r="J6" s="206"/>
      <x:c r="K6" s="206"/>
      <x:c r="L6" s="5"/>
    </x:row>
    <x:row r="7">
      <x:c r="A7" s="119" t="str">
        <x:v>Moat adjustment</x:v>
      </x:c>
      <x:c r="B7" s="217" t="n">
        <x:f>Assumptions!$E$46</x:f>
        <x:v>-0.005</x:v>
      </x:c>
      <x:c r="C7" s="206" t="str">
        <x:v>Gross margin durability</x:v>
      </x:c>
      <x:c r="D7" s="206" t="str">
        <x:v>Durable gross margin and differentiated architecture support a modest negative adjustment.</x:v>
      </x:c>
      <x:c r="E7" s="206"/>
      <x:c r="F7" s="206"/>
      <x:c r="G7" s="206"/>
      <x:c r="H7" s="206"/>
      <x:c r="I7" s="206"/>
      <x:c r="J7" s="206"/>
      <x:c r="K7" s="206"/>
      <x:c r="L7" s="5"/>
    </x:row>
    <x:row r="8">
      <x:c r="A8" s="119" t="str">
        <x:v>Regulatory/legal premium</x:v>
      </x:c>
      <x:c r="B8" s="217" t="n">
        <x:f>Assumptions!$E$47</x:f>
        <x:v>0.005</x:v>
      </x:c>
      <x:c r="C8" s="206" t="str">
        <x:v>Risk factor review</x:v>
      </x:c>
      <x:c r="D8" s="206" t="str">
        <x:v>Technology, export-control, and legal exposures merit a modest premium.</x:v>
      </x:c>
      <x:c r="E8" s="206"/>
      <x:c r="F8" s="206"/>
      <x:c r="G8" s="206"/>
      <x:c r="H8" s="206"/>
      <x:c r="I8" s="206"/>
      <x:c r="J8" s="206"/>
      <x:c r="K8" s="206"/>
      <x:c r="L8" s="5"/>
    </x:row>
    <x:row r="9">
      <x:c r="A9" s="119" t="str">
        <x:v>Size premium</x:v>
      </x:c>
      <x:c r="B9" s="217" t="n">
        <x:f>Assumptions!$E$48</x:f>
        <x:v>0.005</x:v>
      </x:c>
      <x:c r="C9" s="206" t="str">
        <x:v>Latest filing market value</x:v>
      </x:c>
      <x:c r="D9" s="206" t="str">
        <x:v>Aggregate market value near 17.0 billion dollars supports a modest size premium.</x:v>
      </x:c>
      <x:c r="E9" s="206"/>
      <x:c r="F9" s="206"/>
      <x:c r="G9" s="206"/>
      <x:c r="H9" s="206"/>
      <x:c r="I9" s="206"/>
      <x:c r="J9" s="206"/>
      <x:c r="K9" s="206"/>
      <x:c r="L9" s="5"/>
    </x:row>
    <x:row r="10">
      <x:c r="A10" s="119" t="str">
        <x:v>Cost of equity</x:v>
      </x:c>
      <x:c r="B10" s="217" t="n">
        <x:f>SUM(B4:B9)</x:f>
        <x:v>0.084</x:v>
      </x:c>
      <x:c r="C10" s="206" t="str">
        <x:v>Fundamental premium build</x:v>
      </x:c>
      <x:c r="D10" s="206" t="str">
        <x:v>No beta and no ERP are used.</x:v>
      </x:c>
      <x:c r="E10" s="206"/>
      <x:c r="F10" s="206"/>
      <x:c r="G10" s="206"/>
      <x:c r="H10" s="206"/>
      <x:c r="I10" s="206"/>
      <x:c r="J10" s="206"/>
      <x:c r="K10" s="206"/>
      <x:c r="L10" s="5"/>
    </x:row>
    <x:row r="11">
      <x:c r="A11" s="119" t="str">
        <x:v>Pretax cost of debt</x:v>
      </x:c>
      <x:c r="B11" s="217" t="n">
        <x:f>Assumptions!$E$49</x:f>
        <x:v>0.05</x:v>
      </x:c>
      <x:c r="C11" s="206" t="str">
        <x:v>Cash interest and credit profile</x:v>
      </x:c>
      <x:c r="D11" s="206" t="str">
        <x:v>Reference debt cost despite zero FY2026 debt.</x:v>
      </x:c>
      <x:c r="E11" s="206"/>
      <x:c r="F11" s="206"/>
      <x:c r="G11" s="206"/>
      <x:c r="H11" s="206"/>
      <x:c r="I11" s="206"/>
      <x:c r="J11" s="206"/>
      <x:c r="K11" s="206"/>
      <x:c r="L11" s="5"/>
    </x:row>
    <x:row r="12">
      <x:c r="A12" s="119" t="str">
        <x:v>Tax rate</x:v>
      </x:c>
      <x:c r="B12" s="217" t="n">
        <x:f>Assumptions!$I$42</x:f>
        <x:v>0.21</x:v>
      </x:c>
      <x:c r="C12" s="206" t="str">
        <x:v>Terminal normalized tax rate</x:v>
      </x:c>
      <x:c r="D12" s="206" t="str">
        <x:v>Uses terminal forecast effective tax rate.</x:v>
      </x:c>
      <x:c r="E12" s="206"/>
      <x:c r="F12" s="206"/>
      <x:c r="G12" s="206"/>
      <x:c r="H12" s="206"/>
      <x:c r="I12" s="206"/>
      <x:c r="J12" s="206"/>
      <x:c r="K12" s="206"/>
      <x:c r="L12" s="5"/>
    </x:row>
    <x:row r="13">
      <x:c r="A13" s="119" t="str">
        <x:v>After-tax cost of debt</x:v>
      </x:c>
      <x:c r="B13" s="217" t="n">
        <x:f>B11*(1-B12)</x:f>
        <x:v>0.03950000000000001</x:v>
      </x:c>
      <x:c r="C13" s="206" t="str">
        <x:v>Pretax Kd after tax</x:v>
      </x:c>
      <x:c r="D13" s="206" t="str">
        <x:v>Applied to debt-like capital weight.</x:v>
      </x:c>
      <x:c r="E13" s="206"/>
      <x:c r="F13" s="206"/>
      <x:c r="G13" s="206"/>
      <x:c r="H13" s="206"/>
      <x:c r="I13" s="206"/>
      <x:c r="J13" s="206"/>
      <x:c r="K13" s="206"/>
      <x:c r="L13" s="5"/>
    </x:row>
    <x:row r="14">
      <x:c r="A14" s="119" t="str">
        <x:v>Equity weight</x:v>
      </x:c>
      <x:c r="B14" s="217" t="n">
        <x:f>Assumptions!$E$50</x:f>
        <x:v>0.987</x:v>
      </x:c>
      <x:c r="C14" s="206" t="str">
        <x:v>Market value weight</x:v>
      </x:c>
      <x:c r="D14" s="206" t="str">
        <x:v>Based on latest filing aggregate market value and lease liabilities.</x:v>
      </x:c>
      <x:c r="E14" s="206"/>
      <x:c r="F14" s="206"/>
      <x:c r="G14" s="206"/>
      <x:c r="H14" s="206"/>
      <x:c r="I14" s="206"/>
      <x:c r="J14" s="206"/>
      <x:c r="K14" s="206"/>
      <x:c r="L14" s="5"/>
    </x:row>
    <x:row r="15">
      <x:c r="A15" s="119" t="str">
        <x:v>Debt weight</x:v>
      </x:c>
      <x:c r="B15" s="217" t="n">
        <x:f>Assumptions!$E$51</x:f>
        <x:v>0.013</x:v>
      </x:c>
      <x:c r="C15" s="206" t="str">
        <x:v>Book value debt-like weight</x:v>
      </x:c>
      <x:c r="D15" s="206" t="str">
        <x:v>Complements the equity weight.</x:v>
      </x:c>
      <x:c r="E15" s="206"/>
      <x:c r="F15" s="206"/>
      <x:c r="G15" s="206"/>
      <x:c r="H15" s="206"/>
      <x:c r="I15" s="206"/>
      <x:c r="J15" s="206"/>
      <x:c r="K15" s="206"/>
      <x:c r="L15" s="5"/>
    </x:row>
    <x:row r="16">
      <x:c r="A16" s="119" t="str">
        <x:v>WACC</x:v>
      </x:c>
      <x:c r="B16" s="217" t="n">
        <x:f>B10*B14+B13*B15</x:f>
        <x:v>0.08342150000000001</x:v>
      </x:c>
      <x:c r="C16" s="206" t="str">
        <x:v>Weighted average</x:v>
      </x:c>
      <x:c r="D16" s="206" t="str">
        <x:v>Fundamental WACC output.</x:v>
      </x:c>
      <x:c r="E16" s="206"/>
      <x:c r="F16" s="206"/>
      <x:c r="G16" s="206"/>
      <x:c r="H16" s="206"/>
      <x:c r="I16" s="206"/>
      <x:c r="J16" s="206"/>
      <x:c r="K16" s="206"/>
      <x:c r="L16" s="5"/>
    </x:row>
    <x:row r="17">
      <x:c r="A17" s="119"/>
      <x:c r="B17" s="217"/>
      <x:c r="C17" s="206"/>
      <x:c r="D17" s="206"/>
      <x:c r="E17" s="206"/>
      <x:c r="F17" s="206"/>
      <x:c r="G17" s="206"/>
      <x:c r="H17" s="206"/>
      <x:c r="I17" s="206"/>
      <x:c r="J17" s="206"/>
      <x:c r="K17" s="206"/>
      <x:c r="L17" s="5"/>
    </x:row>
    <x:row r="18">
      <x:c r="A18" s="231"/>
      <x:c r="B18" s="263"/>
      <x:c r="C18" s="214"/>
      <x:c r="D18" s="214"/>
      <x:c r="E18" s="206"/>
      <x:c r="F18" s="206"/>
      <x:c r="G18" s="206"/>
      <x:c r="H18" s="206"/>
      <x:c r="I18" s="206"/>
      <x:c r="J18" s="206"/>
      <x:c r="K18" s="206"/>
      <x:c r="L18" s="5"/>
    </x:row>
    <x:row r="19">
      <x:c r="A19" s="119"/>
      <x:c r="B19" s="206"/>
      <x:c r="C19" s="206"/>
      <x:c r="D19" s="206"/>
      <x:c r="E19" s="206"/>
      <x:c r="F19" s="206"/>
      <x:c r="G19" s="206"/>
      <x:c r="H19" s="206"/>
      <x:c r="I19" s="206"/>
      <x:c r="J19" s="206"/>
      <x:c r="K19" s="206"/>
      <x:c r="L19" s="5"/>
    </x:row>
    <x:row r="20">
      <x:c r="A20" s="119"/>
      <x:c r="B20" s="206"/>
      <x:c r="C20" s="206"/>
      <x:c r="D20" s="206"/>
      <x:c r="E20" s="206"/>
      <x:c r="F20" s="206"/>
      <x:c r="G20" s="206"/>
      <x:c r="H20" s="206"/>
      <x:c r="I20" s="206"/>
      <x:c r="J20" s="206"/>
      <x:c r="K20" s="206"/>
      <x:c r="L20" s="5"/>
    </x:row>
    <x:row r="21">
      <x:c r="A21" s="119"/>
      <x:c r="B21" s="206"/>
      <x:c r="C21" s="206"/>
      <x:c r="D21" s="206"/>
      <x:c r="E21" s="206"/>
      <x:c r="F21" s="206"/>
      <x:c r="G21" s="206"/>
      <x:c r="H21" s="206"/>
      <x:c r="I21" s="206"/>
      <x:c r="J21" s="206"/>
      <x:c r="K21" s="206"/>
      <x:c r="L21" s="5"/>
    </x:row>
    <x:row r="22">
      <x:c r="A22" s="119"/>
      <x:c r="B22" s="206"/>
      <x:c r="C22" s="206"/>
      <x:c r="D22" s="206"/>
      <x:c r="E22" s="206"/>
      <x:c r="F22" s="206"/>
      <x:c r="G22" s="206"/>
      <x:c r="H22" s="206"/>
      <x:c r="I22" s="206"/>
      <x:c r="J22" s="206"/>
      <x:c r="K22" s="206"/>
      <x:c r="L22" s="5"/>
    </x:row>
    <x:row r="23">
      <x:c r="A23" s="119"/>
      <x:c r="B23" s="206"/>
      <x:c r="C23" s="206"/>
      <x:c r="D23" s="206"/>
      <x:c r="E23" s="206"/>
      <x:c r="F23" s="206"/>
      <x:c r="G23" s="206"/>
      <x:c r="H23" s="206"/>
      <x:c r="I23" s="206"/>
      <x:c r="J23" s="206"/>
      <x:c r="K23" s="206"/>
      <x:c r="L23" s="5"/>
    </x:row>
    <x:row r="24">
      <x:c r="A24" s="119"/>
      <x:c r="B24" s="206"/>
      <x:c r="C24" s="206"/>
      <x:c r="D24" s="206"/>
      <x:c r="E24" s="206"/>
      <x:c r="F24" s="206"/>
      <x:c r="G24" s="206"/>
      <x:c r="H24" s="206"/>
      <x:c r="I24" s="206"/>
      <x:c r="J24" s="206"/>
      <x:c r="K24" s="206"/>
      <x:c r="L24" s="5"/>
    </x:row>
    <x:row r="25">
      <x:c r="A25" s="119"/>
      <x:c r="B25" s="206"/>
      <x:c r="C25" s="206"/>
      <x:c r="D25" s="206"/>
      <x:c r="E25" s="206"/>
      <x:c r="F25" s="206"/>
      <x:c r="G25" s="206"/>
      <x:c r="H25" s="206"/>
      <x:c r="I25" s="206"/>
      <x:c r="J25" s="206"/>
      <x:c r="K25" s="206"/>
      <x:c r="L25" s="5"/>
    </x:row>
    <x:row r="26">
      <x:c r="A26" s="119"/>
      <x:c r="B26" s="206"/>
      <x:c r="C26" s="206"/>
      <x:c r="D26" s="206"/>
      <x:c r="E26" s="206"/>
      <x:c r="F26" s="206"/>
      <x:c r="G26" s="206"/>
      <x:c r="H26" s="206"/>
      <x:c r="I26" s="206"/>
      <x:c r="J26" s="206"/>
      <x:c r="K26" s="206"/>
      <x:c r="L26" s="5"/>
    </x:row>
    <x:row r="27">
      <x:c r="A27" s="119"/>
      <x:c r="B27" s="206"/>
      <x:c r="C27" s="206"/>
      <x:c r="D27" s="206"/>
      <x:c r="E27" s="206"/>
      <x:c r="F27" s="206"/>
      <x:c r="G27" s="206"/>
      <x:c r="H27" s="206"/>
      <x:c r="I27" s="206"/>
      <x:c r="J27" s="206"/>
      <x:c r="K27" s="206"/>
      <x:c r="L27" s="5"/>
    </x:row>
    <x:row r="28">
      <x:c r="A28" s="119"/>
      <x:c r="B28" s="206"/>
      <x:c r="C28" s="206"/>
      <x:c r="D28" s="206"/>
      <x:c r="E28" s="206"/>
      <x:c r="F28" s="206"/>
      <x:c r="G28" s="206"/>
      <x:c r="H28" s="206"/>
      <x:c r="I28" s="206"/>
      <x:c r="J28" s="206"/>
      <x:c r="K28" s="206"/>
      <x:c r="L28" s="5"/>
    </x:row>
    <x:row r="29">
      <x:c r="A29" s="119"/>
      <x:c r="B29" s="206"/>
      <x:c r="C29" s="206"/>
      <x:c r="D29" s="206"/>
      <x:c r="E29" s="206"/>
      <x:c r="F29" s="206"/>
      <x:c r="G29" s="206"/>
      <x:c r="H29" s="206"/>
      <x:c r="I29" s="206"/>
      <x:c r="J29" s="206"/>
      <x:c r="K29" s="206"/>
      <x:c r="L29" s="5"/>
    </x:row>
    <x:row r="30">
      <x:c r="A30" s="119"/>
      <x:c r="B30" s="206"/>
      <x:c r="C30" s="206"/>
      <x:c r="D30" s="206"/>
      <x:c r="E30" s="206"/>
      <x:c r="F30" s="206"/>
      <x:c r="G30" s="206"/>
      <x:c r="H30" s="206"/>
      <x:c r="I30" s="206"/>
      <x:c r="J30" s="206"/>
      <x:c r="K30" s="206"/>
      <x:c r="L30" s="5"/>
    </x:row>
    <x:row r="31">
      <x:c r="A31" s="119"/>
      <x:c r="B31" s="206"/>
      <x:c r="C31" s="206"/>
      <x:c r="D31" s="206"/>
      <x:c r="E31" s="206"/>
      <x:c r="F31" s="206"/>
      <x:c r="G31" s="206"/>
      <x:c r="H31" s="206"/>
      <x:c r="I31" s="206"/>
      <x:c r="J31" s="206"/>
      <x:c r="K31" s="206"/>
      <x:c r="L31" s="5"/>
    </x:row>
    <x:row r="32">
      <x:c r="A32" s="119"/>
      <x:c r="B32" s="206"/>
      <x:c r="C32" s="206"/>
      <x:c r="D32" s="206"/>
      <x:c r="E32" s="206"/>
      <x:c r="F32" s="206"/>
      <x:c r="G32" s="206"/>
      <x:c r="H32" s="206"/>
      <x:c r="I32" s="206"/>
      <x:c r="J32" s="206"/>
      <x:c r="K32" s="206"/>
      <x:c r="L32" s="5"/>
    </x:row>
    <x:row r="33">
      <x:c r="A33" s="119"/>
      <x:c r="B33" s="206"/>
      <x:c r="C33" s="206"/>
      <x:c r="D33" s="206"/>
      <x:c r="E33" s="206"/>
      <x:c r="F33" s="206"/>
      <x:c r="G33" s="206"/>
      <x:c r="H33" s="206"/>
      <x:c r="I33" s="206"/>
      <x:c r="J33" s="206"/>
      <x:c r="K33" s="206"/>
      <x:c r="L33" s="5"/>
    </x:row>
    <x:row r="34">
      <x:c r="A34" s="119"/>
      <x:c r="B34" s="206"/>
      <x:c r="C34" s="206"/>
      <x:c r="D34" s="206"/>
      <x:c r="E34" s="206"/>
      <x:c r="F34" s="206"/>
      <x:c r="G34" s="206"/>
      <x:c r="H34" s="206"/>
      <x:c r="I34" s="206"/>
      <x:c r="J34" s="206"/>
      <x:c r="K34" s="206"/>
      <x:c r="L34" s="5"/>
    </x:row>
    <x:row r="35">
      <x:c r="A35" s="119"/>
      <x:c r="B35" s="206"/>
      <x:c r="C35" s="206"/>
      <x:c r="D35" s="206"/>
      <x:c r="E35" s="206"/>
      <x:c r="F35" s="206"/>
      <x:c r="G35" s="206"/>
      <x:c r="H35" s="206"/>
      <x:c r="I35" s="206"/>
      <x:c r="J35" s="206"/>
      <x:c r="K35" s="206"/>
      <x:c r="L35" s="5"/>
    </x:row>
    <x:row r="36">
      <x:c r="A36" s="119"/>
      <x:c r="B36" s="206"/>
      <x:c r="C36" s="206"/>
      <x:c r="D36" s="206"/>
      <x:c r="E36" s="206"/>
      <x:c r="F36" s="206"/>
      <x:c r="G36" s="206"/>
      <x:c r="H36" s="206"/>
      <x:c r="I36" s="206"/>
      <x:c r="J36" s="206"/>
      <x:c r="K36" s="206"/>
      <x:c r="L36" s="5"/>
    </x:row>
    <x:row r="37">
      <x:c r="A37" s="119"/>
      <x:c r="B37" s="206"/>
      <x:c r="C37" s="206"/>
      <x:c r="D37" s="206"/>
      <x:c r="E37" s="206"/>
      <x:c r="F37" s="206"/>
      <x:c r="G37" s="206"/>
      <x:c r="H37" s="206"/>
      <x:c r="I37" s="206"/>
      <x:c r="J37" s="206"/>
      <x:c r="K37" s="206"/>
      <x:c r="L37" s="5"/>
    </x:row>
    <x:row r="38">
      <x:c r="A38" s="119"/>
      <x:c r="B38" s="206"/>
      <x:c r="C38" s="206"/>
      <x:c r="D38" s="206"/>
      <x:c r="E38" s="206"/>
      <x:c r="F38" s="206"/>
      <x:c r="G38" s="206"/>
      <x:c r="H38" s="206"/>
      <x:c r="I38" s="206"/>
      <x:c r="J38" s="206"/>
      <x:c r="K38" s="206"/>
      <x:c r="L38" s="5"/>
    </x:row>
    <x:row r="39">
      <x:c r="A39" s="119"/>
      <x:c r="B39" s="206"/>
      <x:c r="C39" s="206"/>
      <x:c r="D39" s="206"/>
      <x:c r="E39" s="206"/>
      <x:c r="F39" s="206"/>
      <x:c r="G39" s="206"/>
      <x:c r="H39" s="206"/>
      <x:c r="I39" s="206"/>
      <x:c r="J39" s="206"/>
      <x:c r="K39" s="206"/>
      <x:c r="L39" s="5"/>
    </x:row>
    <x:row r="40">
      <x:c r="A40" s="119"/>
      <x:c r="B40" s="206"/>
      <x:c r="C40" s="206"/>
      <x:c r="D40" s="206"/>
      <x:c r="E40" s="206"/>
      <x:c r="F40" s="206"/>
      <x:c r="G40" s="206"/>
      <x:c r="H40" s="206"/>
      <x:c r="I40" s="206"/>
      <x:c r="J40" s="206"/>
      <x:c r="K40" s="206"/>
      <x:c r="L40" s="5"/>
    </x:row>
    <x:row r="41">
      <x:c r="A41" s="119"/>
      <x:c r="B41" s="206"/>
      <x:c r="C41" s="206"/>
      <x:c r="D41" s="206"/>
      <x:c r="E41" s="206"/>
      <x:c r="F41" s="206"/>
      <x:c r="G41" s="206"/>
      <x:c r="H41" s="206"/>
      <x:c r="I41" s="206"/>
      <x:c r="J41" s="206"/>
      <x:c r="K41" s="206"/>
      <x:c r="L41" s="5"/>
    </x:row>
    <x:row r="42">
      <x:c r="A42" s="119"/>
      <x:c r="B42" s="206"/>
      <x:c r="C42" s="206"/>
      <x:c r="D42" s="206"/>
      <x:c r="E42" s="206"/>
      <x:c r="F42" s="206"/>
      <x:c r="G42" s="206"/>
      <x:c r="H42" s="206"/>
      <x:c r="I42" s="206"/>
      <x:c r="J42" s="206"/>
      <x:c r="K42" s="206"/>
      <x:c r="L42" s="5"/>
    </x:row>
    <x:row r="43">
      <x:c r="A43" s="119"/>
      <x:c r="B43" s="206"/>
      <x:c r="C43" s="206"/>
      <x:c r="D43" s="206"/>
      <x:c r="E43" s="206"/>
      <x:c r="F43" s="206"/>
      <x:c r="G43" s="206"/>
      <x:c r="H43" s="206"/>
      <x:c r="I43" s="206"/>
      <x:c r="J43" s="206"/>
      <x:c r="K43" s="206"/>
      <x:c r="L43" s="5"/>
    </x:row>
    <x:row r="44">
      <x:c r="A44" s="119"/>
      <x:c r="B44" s="206"/>
      <x:c r="C44" s="206"/>
      <x:c r="D44" s="206"/>
      <x:c r="E44" s="206"/>
      <x:c r="F44" s="206"/>
      <x:c r="G44" s="206"/>
      <x:c r="H44" s="206"/>
      <x:c r="I44" s="206"/>
      <x:c r="J44" s="206"/>
      <x:c r="K44" s="206"/>
      <x:c r="L44" s="5"/>
    </x:row>
    <x:row r="45">
      <x:c r="A45" s="119"/>
      <x:c r="B45" s="206"/>
      <x:c r="C45" s="206"/>
      <x:c r="D45" s="206"/>
      <x:c r="E45" s="206"/>
      <x:c r="F45" s="206"/>
      <x:c r="G45" s="206"/>
      <x:c r="H45" s="206"/>
      <x:c r="I45" s="206"/>
      <x:c r="J45" s="206"/>
      <x:c r="K45" s="206"/>
      <x:c r="L45" s="5"/>
    </x:row>
    <x:row r="46">
      <x:c r="A46" s="119"/>
      <x:c r="B46" s="206"/>
      <x:c r="C46" s="206"/>
      <x:c r="D46" s="206"/>
      <x:c r="E46" s="206"/>
      <x:c r="F46" s="206"/>
      <x:c r="G46" s="206"/>
      <x:c r="H46" s="206"/>
      <x:c r="I46" s="206"/>
      <x:c r="J46" s="206"/>
      <x:c r="K46" s="206"/>
      <x:c r="L46" s="5"/>
    </x:row>
    <x:row r="47">
      <x:c r="A47" s="119"/>
      <x:c r="B47" s="206"/>
      <x:c r="C47" s="206"/>
      <x:c r="D47" s="206"/>
      <x:c r="E47" s="206"/>
      <x:c r="F47" s="206"/>
      <x:c r="G47" s="206"/>
      <x:c r="H47" s="206"/>
      <x:c r="I47" s="206"/>
      <x:c r="J47" s="206"/>
      <x:c r="K47" s="206"/>
      <x:c r="L47" s="5"/>
    </x:row>
    <x:row r="48">
      <x:c r="A48" s="119"/>
      <x:c r="B48" s="206"/>
      <x:c r="C48" s="206"/>
      <x:c r="D48" s="206"/>
      <x:c r="E48" s="206"/>
      <x:c r="F48" s="206"/>
      <x:c r="G48" s="206"/>
      <x:c r="H48" s="206"/>
      <x:c r="I48" s="206"/>
      <x:c r="J48" s="206"/>
      <x:c r="K48" s="206"/>
      <x:c r="L48" s="5"/>
    </x:row>
    <x:row r="49">
      <x:c r="A49" s="119"/>
      <x:c r="B49" s="206"/>
      <x:c r="C49" s="206"/>
      <x:c r="D49" s="206"/>
      <x:c r="E49" s="206"/>
      <x:c r="F49" s="206"/>
      <x:c r="G49" s="206"/>
      <x:c r="H49" s="206"/>
      <x:c r="I49" s="206"/>
      <x:c r="J49" s="206"/>
      <x:c r="K49" s="206"/>
      <x:c r="L49" s="5"/>
    </x:row>
    <x:row r="50">
      <x:c r="A50" s="119"/>
      <x:c r="B50" s="206"/>
      <x:c r="C50" s="206"/>
      <x:c r="D50" s="206"/>
      <x:c r="E50" s="206"/>
      <x:c r="F50" s="206"/>
      <x:c r="G50" s="206"/>
      <x:c r="H50" s="206"/>
      <x:c r="I50" s="206"/>
      <x:c r="J50" s="206"/>
      <x:c r="K50" s="206"/>
      <x:c r="L50" s="5"/>
    </x:row>
    <x:row r="51">
      <x:c r="A51" s="119"/>
      <x:c r="B51" s="206"/>
      <x:c r="C51" s="206"/>
      <x:c r="D51" s="206"/>
      <x:c r="E51" s="206"/>
      <x:c r="F51" s="206"/>
      <x:c r="G51" s="206"/>
      <x:c r="H51" s="206"/>
      <x:c r="I51" s="206"/>
      <x:c r="J51" s="206"/>
      <x:c r="K51" s="206"/>
      <x:c r="L51" s="5"/>
    </x:row>
    <x:row r="52">
      <x:c r="A52" s="119"/>
      <x:c r="B52" s="206"/>
      <x:c r="C52" s="206"/>
      <x:c r="D52" s="206"/>
      <x:c r="E52" s="206"/>
      <x:c r="F52" s="206"/>
      <x:c r="G52" s="206"/>
      <x:c r="H52" s="206"/>
      <x:c r="I52" s="206"/>
      <x:c r="J52" s="206"/>
      <x:c r="K52" s="206"/>
      <x:c r="L52" s="5"/>
    </x:row>
    <x:row r="53">
      <x:c r="A53" s="119"/>
      <x:c r="B53" s="206"/>
      <x:c r="C53" s="206"/>
      <x:c r="D53" s="206"/>
      <x:c r="E53" s="206"/>
      <x:c r="F53" s="206"/>
      <x:c r="G53" s="206"/>
      <x:c r="H53" s="206"/>
      <x:c r="I53" s="206"/>
      <x:c r="J53" s="206"/>
      <x:c r="K53" s="206"/>
      <x:c r="L53" s="5"/>
    </x:row>
    <x:row r="54">
      <x:c r="A54" s="119"/>
      <x:c r="B54" s="206"/>
      <x:c r="C54" s="206"/>
      <x:c r="D54" s="206"/>
      <x:c r="E54" s="206"/>
      <x:c r="F54" s="206"/>
      <x:c r="G54" s="206"/>
      <x:c r="H54" s="206"/>
      <x:c r="I54" s="206"/>
      <x:c r="J54" s="206"/>
      <x:c r="K54" s="206"/>
      <x:c r="L54" s="5"/>
    </x:row>
    <x:row r="55">
      <x:c r="A55" s="119"/>
      <x:c r="B55" s="206"/>
      <x:c r="C55" s="206"/>
      <x:c r="D55" s="206"/>
      <x:c r="E55" s="206"/>
      <x:c r="F55" s="206"/>
      <x:c r="G55" s="206"/>
      <x:c r="H55" s="206"/>
      <x:c r="I55" s="206"/>
      <x:c r="J55" s="206"/>
      <x:c r="K55" s="206"/>
      <x:c r="L55" s="5"/>
    </x:row>
    <x:row r="56">
      <x:c r="A56" s="119"/>
      <x:c r="B56" s="206"/>
      <x:c r="C56" s="206"/>
      <x:c r="D56" s="206"/>
      <x:c r="E56" s="206"/>
      <x:c r="F56" s="206"/>
      <x:c r="G56" s="206"/>
      <x:c r="H56" s="206"/>
      <x:c r="I56" s="206"/>
      <x:c r="J56" s="206"/>
      <x:c r="K56" s="206"/>
      <x:c r="L56" s="5"/>
    </x:row>
    <x:row r="57">
      <x:c r="A57" s="119"/>
      <x:c r="B57" s="206"/>
      <x:c r="C57" s="206"/>
      <x:c r="D57" s="206"/>
      <x:c r="E57" s="206"/>
      <x:c r="F57" s="206"/>
      <x:c r="G57" s="206"/>
      <x:c r="H57" s="206"/>
      <x:c r="I57" s="206"/>
      <x:c r="J57" s="206"/>
      <x:c r="K57" s="206"/>
      <x:c r="L57" s="5"/>
    </x:row>
    <x:row r="58">
      <x:c r="A58" s="119"/>
      <x:c r="B58" s="206"/>
      <x:c r="C58" s="206"/>
      <x:c r="D58" s="206"/>
      <x:c r="E58" s="206"/>
      <x:c r="F58" s="206"/>
      <x:c r="G58" s="206"/>
      <x:c r="H58" s="206"/>
      <x:c r="I58" s="206"/>
      <x:c r="J58" s="206"/>
      <x:c r="K58" s="206"/>
      <x:c r="L58" s="5"/>
    </x:row>
    <x:row r="59">
      <x:c r="A59" s="119"/>
      <x:c r="B59" s="206"/>
      <x:c r="C59" s="206"/>
      <x:c r="D59" s="206"/>
      <x:c r="E59" s="206"/>
      <x:c r="F59" s="206"/>
      <x:c r="G59" s="206"/>
      <x:c r="H59" s="206"/>
      <x:c r="I59" s="206"/>
      <x:c r="J59" s="206"/>
      <x:c r="K59" s="206"/>
      <x:c r="L59" s="5"/>
    </x:row>
    <x:row r="60">
      <x:c r="A60" s="119"/>
      <x:c r="B60" s="206"/>
      <x:c r="C60" s="206"/>
      <x:c r="D60" s="206"/>
      <x:c r="E60" s="206"/>
      <x:c r="F60" s="206"/>
      <x:c r="G60" s="206"/>
      <x:c r="H60" s="206"/>
      <x:c r="I60" s="206"/>
      <x:c r="J60" s="206"/>
      <x:c r="K60" s="206"/>
      <x:c r="L60" s="5"/>
    </x:row>
    <x:row r="61">
      <x:c r="A61" s="119"/>
      <x:c r="B61" s="206"/>
      <x:c r="C61" s="206"/>
      <x:c r="D61" s="206"/>
      <x:c r="E61" s="206"/>
      <x:c r="F61" s="206"/>
      <x:c r="G61" s="206"/>
      <x:c r="H61" s="206"/>
      <x:c r="I61" s="206"/>
      <x:c r="J61" s="206"/>
      <x:c r="K61" s="206"/>
      <x:c r="L61" s="5"/>
    </x:row>
    <x:row r="62">
      <x:c r="A62" s="119"/>
      <x:c r="B62" s="206"/>
      <x:c r="C62" s="206"/>
      <x:c r="D62" s="206"/>
      <x:c r="E62" s="206"/>
      <x:c r="F62" s="206"/>
      <x:c r="G62" s="206"/>
      <x:c r="H62" s="206"/>
      <x:c r="I62" s="206"/>
      <x:c r="J62" s="206"/>
      <x:c r="K62" s="206"/>
      <x:c r="L62" s="5"/>
    </x:row>
    <x:row r="63">
      <x:c r="A63" s="119"/>
      <x:c r="B63" s="206"/>
      <x:c r="C63" s="206"/>
      <x:c r="D63" s="206"/>
      <x:c r="E63" s="206"/>
      <x:c r="F63" s="206"/>
      <x:c r="G63" s="206"/>
      <x:c r="H63" s="206"/>
      <x:c r="I63" s="206"/>
      <x:c r="J63" s="206"/>
      <x:c r="K63" s="206"/>
      <x:c r="L63" s="5"/>
    </x:row>
    <x:row r="64">
      <x:c r="A64" s="119"/>
      <x:c r="B64" s="206"/>
      <x:c r="C64" s="206"/>
      <x:c r="D64" s="206"/>
      <x:c r="E64" s="206"/>
      <x:c r="F64" s="206"/>
      <x:c r="G64" s="206"/>
      <x:c r="H64" s="206"/>
      <x:c r="I64" s="206"/>
      <x:c r="J64" s="206"/>
      <x:c r="K64" s="206"/>
      <x:c r="L64" s="5"/>
    </x:row>
    <x:row r="65">
      <x:c r="A65" s="119"/>
      <x:c r="B65" s="206"/>
      <x:c r="C65" s="206"/>
      <x:c r="D65" s="206"/>
      <x:c r="E65" s="206"/>
      <x:c r="F65" s="206"/>
      <x:c r="G65" s="206"/>
      <x:c r="H65" s="206"/>
      <x:c r="I65" s="206"/>
      <x:c r="J65" s="206"/>
      <x:c r="K65" s="206"/>
      <x:c r="L65" s="5"/>
    </x:row>
    <x:row r="66">
      <x:c r="A66" s="119"/>
      <x:c r="B66" s="206"/>
      <x:c r="C66" s="206"/>
      <x:c r="D66" s="206"/>
      <x:c r="E66" s="206"/>
      <x:c r="F66" s="206"/>
      <x:c r="G66" s="206"/>
      <x:c r="H66" s="206"/>
      <x:c r="I66" s="206"/>
      <x:c r="J66" s="206"/>
      <x:c r="K66" s="206"/>
      <x:c r="L66" s="5"/>
    </x:row>
    <x:row r="67">
      <x:c r="A67" s="119"/>
      <x:c r="B67" s="206"/>
      <x:c r="C67" s="206"/>
      <x:c r="D67" s="206"/>
      <x:c r="E67" s="206"/>
      <x:c r="F67" s="206"/>
      <x:c r="G67" s="206"/>
      <x:c r="H67" s="206"/>
      <x:c r="I67" s="206"/>
      <x:c r="J67" s="206"/>
      <x:c r="K67" s="206"/>
      <x:c r="L67" s="5"/>
    </x:row>
    <x:row r="68">
      <x:c r="A68" s="119"/>
      <x:c r="B68" s="206"/>
      <x:c r="C68" s="206"/>
      <x:c r="D68" s="206"/>
      <x:c r="E68" s="206"/>
      <x:c r="F68" s="206"/>
      <x:c r="G68" s="206"/>
      <x:c r="H68" s="206"/>
      <x:c r="I68" s="206"/>
      <x:c r="J68" s="206"/>
      <x:c r="K68" s="206"/>
      <x:c r="L68" s="5"/>
    </x:row>
    <x:row r="69">
      <x:c r="A69" s="119"/>
      <x:c r="B69" s="206"/>
      <x:c r="C69" s="206"/>
      <x:c r="D69" s="206"/>
      <x:c r="E69" s="206"/>
      <x:c r="F69" s="206"/>
      <x:c r="G69" s="206"/>
      <x:c r="H69" s="206"/>
      <x:c r="I69" s="206"/>
      <x:c r="J69" s="206"/>
      <x:c r="K69" s="206"/>
      <x:c r="L69" s="5"/>
    </x:row>
    <x:row r="70">
      <x:c r="A70" s="119"/>
      <x:c r="B70" s="206"/>
      <x:c r="C70" s="206"/>
      <x:c r="D70" s="206"/>
      <x:c r="E70" s="206"/>
      <x:c r="F70" s="206"/>
      <x:c r="G70" s="206"/>
      <x:c r="H70" s="206"/>
      <x:c r="I70" s="206"/>
      <x:c r="J70" s="206"/>
      <x:c r="K70" s="206"/>
      <x:c r="L70" s="5"/>
    </x:row>
    <x:row r="71">
      <x:c r="A71" s="119"/>
      <x:c r="B71" s="206"/>
      <x:c r="C71" s="206"/>
      <x:c r="D71" s="206"/>
      <x:c r="E71" s="206"/>
      <x:c r="F71" s="206"/>
      <x:c r="G71" s="206"/>
      <x:c r="H71" s="206"/>
      <x:c r="I71" s="206"/>
      <x:c r="J71" s="206"/>
      <x:c r="K71" s="206"/>
      <x:c r="L71" s="5"/>
    </x:row>
    <x:row r="72">
      <x:c r="A72" s="119"/>
      <x:c r="B72" s="206"/>
      <x:c r="C72" s="206"/>
      <x:c r="D72" s="206"/>
      <x:c r="E72" s="206"/>
      <x:c r="F72" s="206"/>
      <x:c r="G72" s="206"/>
      <x:c r="H72" s="206"/>
      <x:c r="I72" s="206"/>
      <x:c r="J72" s="206"/>
      <x:c r="K72" s="206"/>
      <x:c r="L72" s="5"/>
    </x:row>
    <x:row r="73">
      <x:c r="A73" s="119"/>
      <x:c r="B73" s="206"/>
      <x:c r="C73" s="206"/>
      <x:c r="D73" s="206"/>
      <x:c r="E73" s="206"/>
      <x:c r="F73" s="206"/>
      <x:c r="G73" s="206"/>
      <x:c r="H73" s="206"/>
      <x:c r="I73" s="206"/>
      <x:c r="J73" s="206"/>
      <x:c r="K73" s="206"/>
      <x:c r="L73" s="5"/>
    </x:row>
    <x:row r="74">
      <x:c r="A74" s="119"/>
      <x:c r="B74" s="206"/>
      <x:c r="C74" s="206"/>
      <x:c r="D74" s="206"/>
      <x:c r="E74" s="206"/>
      <x:c r="F74" s="206"/>
      <x:c r="G74" s="206"/>
      <x:c r="H74" s="206"/>
      <x:c r="I74" s="206"/>
      <x:c r="J74" s="206"/>
      <x:c r="K74" s="206"/>
      <x:c r="L74" s="5"/>
    </x:row>
    <x:row r="75">
      <x:c r="A75" s="119"/>
      <x:c r="B75" s="206"/>
      <x:c r="C75" s="206"/>
      <x:c r="D75" s="206"/>
      <x:c r="E75" s="206"/>
      <x:c r="F75" s="206"/>
      <x:c r="G75" s="206"/>
      <x:c r="H75" s="206"/>
      <x:c r="I75" s="206"/>
      <x:c r="J75" s="206"/>
      <x:c r="K75" s="206"/>
      <x:c r="L75" s="5"/>
    </x:row>
    <x:row r="76">
      <x:c r="A76" s="119"/>
      <x:c r="B76" s="206"/>
      <x:c r="C76" s="206"/>
      <x:c r="D76" s="206"/>
      <x:c r="E76" s="206"/>
      <x:c r="F76" s="206"/>
      <x:c r="G76" s="206"/>
      <x:c r="H76" s="206"/>
      <x:c r="I76" s="206"/>
      <x:c r="J76" s="206"/>
      <x:c r="K76" s="206"/>
      <x:c r="L76" s="5"/>
    </x:row>
    <x:row r="77">
      <x:c r="A77" s="119"/>
      <x:c r="B77" s="206"/>
      <x:c r="C77" s="206"/>
      <x:c r="D77" s="206"/>
      <x:c r="E77" s="206"/>
      <x:c r="F77" s="206"/>
      <x:c r="G77" s="206"/>
      <x:c r="H77" s="206"/>
      <x:c r="I77" s="206"/>
      <x:c r="J77" s="206"/>
      <x:c r="K77" s="206"/>
      <x:c r="L77" s="5"/>
    </x:row>
    <x:row r="78">
      <x:c r="A78" s="119"/>
      <x:c r="B78" s="206"/>
      <x:c r="C78" s="206"/>
      <x:c r="D78" s="206"/>
      <x:c r="E78" s="206"/>
      <x:c r="F78" s="206"/>
      <x:c r="G78" s="206"/>
      <x:c r="H78" s="206"/>
      <x:c r="I78" s="206"/>
      <x:c r="J78" s="206"/>
      <x:c r="K78" s="206"/>
      <x:c r="L78" s="5"/>
    </x:row>
    <x:row r="79">
      <x:c r="A79" s="119"/>
      <x:c r="B79" s="206"/>
      <x:c r="C79" s="206"/>
      <x:c r="D79" s="206"/>
      <x:c r="E79" s="206"/>
      <x:c r="F79" s="206"/>
      <x:c r="G79" s="206"/>
      <x:c r="H79" s="206"/>
      <x:c r="I79" s="206"/>
      <x:c r="J79" s="206"/>
      <x:c r="K79" s="206"/>
      <x:c r="L79" s="5"/>
    </x:row>
    <x:row r="80">
      <x:c r="A80" s="119"/>
      <x:c r="B80" s="206"/>
      <x:c r="C80" s="206"/>
      <x:c r="D80" s="206"/>
      <x:c r="E80" s="206"/>
      <x:c r="F80" s="206"/>
      <x:c r="G80" s="206"/>
      <x:c r="H80" s="206"/>
      <x:c r="I80" s="206"/>
      <x:c r="J80" s="206"/>
      <x:c r="K80" s="206"/>
      <x:c r="L80" s="5"/>
    </x:row>
    <x:row r="81">
      <x:c r="B81" s="260"/>
      <x:c r="C81" s="260"/>
      <x:c r="D81" s="260"/>
      <x:c r="E81" s="260"/>
      <x:c r="F81" s="260"/>
      <x:c r="G81" s="260"/>
      <x:c r="H81" s="260"/>
      <x:c r="I81" s="260"/>
      <x:c r="J81" s="260"/>
      <x:c r="K81" s="260"/>
    </x:row>
    <x:row r="82">
      <x:c r="B82" s="260"/>
      <x:c r="C82" s="260"/>
      <x:c r="D82" s="260"/>
      <x:c r="E82" s="260"/>
      <x:c r="F82" s="260"/>
      <x:c r="G82" s="260"/>
      <x:c r="H82" s="260"/>
      <x:c r="I82" s="260"/>
      <x:c r="J82" s="260"/>
      <x:c r="K82" s="260"/>
    </x:row>
    <x:row r="83">
      <x:c r="B83" s="260"/>
      <x:c r="C83" s="260"/>
      <x:c r="D83" s="260"/>
      <x:c r="E83" s="260"/>
      <x:c r="F83" s="260"/>
      <x:c r="G83" s="260"/>
      <x:c r="H83" s="260"/>
      <x:c r="I83" s="260"/>
      <x:c r="J83" s="260"/>
      <x:c r="K83" s="260"/>
    </x:row>
    <x:row r="84">
      <x:c r="B84" s="260"/>
      <x:c r="C84" s="260"/>
      <x:c r="D84" s="260"/>
      <x:c r="E84" s="260"/>
      <x:c r="F84" s="260"/>
      <x:c r="G84" s="260"/>
      <x:c r="H84" s="260"/>
      <x:c r="I84" s="260"/>
      <x:c r="J84" s="260"/>
      <x:c r="K84" s="260"/>
    </x:row>
    <x:row r="85">
      <x:c r="B85" s="260"/>
      <x:c r="C85" s="260"/>
      <x:c r="D85" s="260"/>
      <x:c r="E85" s="260"/>
      <x:c r="F85" s="260"/>
      <x:c r="G85" s="260"/>
      <x:c r="H85" s="260"/>
      <x:c r="I85" s="260"/>
      <x:c r="J85" s="260"/>
      <x:c r="K85" s="260"/>
    </x:row>
    <x:row r="86">
      <x:c r="B86" s="260"/>
      <x:c r="C86" s="260"/>
      <x:c r="D86" s="260"/>
      <x:c r="E86" s="260"/>
      <x:c r="F86" s="260"/>
      <x:c r="G86" s="260"/>
      <x:c r="H86" s="260"/>
      <x:c r="I86" s="260"/>
      <x:c r="J86" s="260"/>
      <x:c r="K86" s="260"/>
    </x:row>
    <x:row r="87">
      <x:c r="B87" s="260"/>
      <x:c r="C87" s="260"/>
      <x:c r="D87" s="260"/>
      <x:c r="E87" s="260"/>
      <x:c r="F87" s="260"/>
      <x:c r="G87" s="260"/>
      <x:c r="H87" s="260"/>
      <x:c r="I87" s="260"/>
      <x:c r="J87" s="260"/>
      <x:c r="K87" s="260"/>
    </x:row>
    <x:row r="88">
      <x:c r="B88" s="260"/>
      <x:c r="C88" s="260"/>
      <x:c r="D88" s="260"/>
      <x:c r="E88" s="260"/>
      <x:c r="F88" s="260"/>
      <x:c r="G88" s="260"/>
      <x:c r="H88" s="260"/>
      <x:c r="I88" s="260"/>
      <x:c r="J88" s="260"/>
      <x:c r="K88" s="260"/>
    </x:row>
    <x:row r="89">
      <x:c r="B89" s="260"/>
      <x:c r="C89" s="260"/>
      <x:c r="D89" s="260"/>
      <x:c r="E89" s="260"/>
      <x:c r="F89" s="260"/>
      <x:c r="G89" s="260"/>
      <x:c r="H89" s="260"/>
      <x:c r="I89" s="260"/>
      <x:c r="J89" s="260"/>
      <x:c r="K89" s="260"/>
    </x:row>
    <x:row r="90">
      <x:c r="B90" s="260"/>
      <x:c r="C90" s="260"/>
      <x:c r="D90" s="260"/>
      <x:c r="E90" s="260"/>
      <x:c r="F90" s="260"/>
      <x:c r="G90" s="260"/>
      <x:c r="H90" s="260"/>
      <x:c r="I90" s="260"/>
      <x:c r="J90" s="260"/>
      <x:c r="K90" s="260"/>
    </x:row>
    <x:row r="91">
      <x:c r="B91" s="260"/>
      <x:c r="C91" s="260"/>
      <x:c r="D91" s="260"/>
      <x:c r="E91" s="260"/>
      <x:c r="F91" s="260"/>
      <x:c r="G91" s="260"/>
      <x:c r="H91" s="260"/>
      <x:c r="I91" s="260"/>
      <x:c r="J91" s="260"/>
      <x:c r="K91" s="260"/>
    </x:row>
    <x:row r="92">
      <x:c r="B92" s="260"/>
      <x:c r="C92" s="260"/>
      <x:c r="D92" s="260"/>
      <x:c r="E92" s="260"/>
      <x:c r="F92" s="260"/>
      <x:c r="G92" s="260"/>
      <x:c r="H92" s="260"/>
      <x:c r="I92" s="260"/>
      <x:c r="J92" s="260"/>
      <x:c r="K92" s="260"/>
    </x:row>
    <x:row r="93">
      <x:c r="B93" s="260"/>
      <x:c r="C93" s="260"/>
      <x:c r="D93" s="260"/>
      <x:c r="E93" s="260"/>
      <x:c r="F93" s="260"/>
      <x:c r="G93" s="260"/>
      <x:c r="H93" s="260"/>
      <x:c r="I93" s="260"/>
      <x:c r="J93" s="260"/>
      <x:c r="K93" s="260"/>
    </x:row>
    <x:row r="94">
      <x:c r="B94" s="260"/>
      <x:c r="C94" s="260"/>
      <x:c r="D94" s="260"/>
      <x:c r="E94" s="260"/>
      <x:c r="F94" s="260"/>
      <x:c r="G94" s="260"/>
      <x:c r="H94" s="260"/>
      <x:c r="I94" s="260"/>
      <x:c r="J94" s="260"/>
      <x:c r="K94" s="260"/>
    </x:row>
    <x:row r="95">
      <x:c r="B95" s="260"/>
      <x:c r="C95" s="260"/>
      <x:c r="D95" s="260"/>
      <x:c r="E95" s="260"/>
      <x:c r="F95" s="260"/>
      <x:c r="G95" s="260"/>
      <x:c r="H95" s="260"/>
      <x:c r="I95" s="260"/>
      <x:c r="J95" s="260"/>
      <x:c r="K95" s="260"/>
    </x:row>
    <x:row r="96">
      <x:c r="B96" s="260"/>
      <x:c r="C96" s="260"/>
      <x:c r="D96" s="260"/>
      <x:c r="E96" s="260"/>
      <x:c r="F96" s="260"/>
      <x:c r="G96" s="260"/>
      <x:c r="H96" s="260"/>
      <x:c r="I96" s="260"/>
      <x:c r="J96" s="260"/>
      <x:c r="K96" s="260"/>
    </x:row>
    <x:row r="97">
      <x:c r="B97" s="260"/>
      <x:c r="C97" s="260"/>
      <x:c r="D97" s="260"/>
      <x:c r="E97" s="260"/>
      <x:c r="F97" s="260"/>
      <x:c r="G97" s="260"/>
      <x:c r="H97" s="260"/>
      <x:c r="I97" s="260"/>
      <x:c r="J97" s="260"/>
      <x:c r="K97" s="260"/>
    </x:row>
    <x:row r="98">
      <x:c r="B98" s="260"/>
      <x:c r="C98" s="260"/>
      <x:c r="D98" s="260"/>
      <x:c r="E98" s="260"/>
      <x:c r="F98" s="260"/>
      <x:c r="G98" s="260"/>
      <x:c r="H98" s="260"/>
      <x:c r="I98" s="260"/>
      <x:c r="J98" s="260"/>
      <x:c r="K98" s="260"/>
    </x:row>
    <x:row r="99">
      <x:c r="B99" s="260"/>
      <x:c r="C99" s="260"/>
      <x:c r="D99" s="260"/>
      <x:c r="E99" s="260"/>
      <x:c r="F99" s="260"/>
      <x:c r="G99" s="260"/>
      <x:c r="H99" s="260"/>
      <x:c r="I99" s="260"/>
      <x:c r="J99" s="260"/>
      <x:c r="K99" s="260"/>
    </x:row>
    <x:row r="100">
      <x:c r="B100" s="260"/>
      <x:c r="C100" s="260"/>
      <x:c r="D100" s="260"/>
      <x:c r="E100" s="260"/>
      <x:c r="F100" s="260"/>
      <x:c r="G100" s="260"/>
      <x:c r="H100" s="260"/>
      <x:c r="I100" s="260"/>
      <x:c r="J100" s="260"/>
      <x:c r="K100" s="260"/>
    </x:row>
    <x:row r="101">
      <x:c r="B101" s="260"/>
      <x:c r="C101" s="260"/>
      <x:c r="D101" s="260"/>
      <x:c r="E101" s="260"/>
      <x:c r="F101" s="260"/>
      <x:c r="G101" s="260"/>
      <x:c r="H101" s="260"/>
      <x:c r="I101" s="260"/>
      <x:c r="J101" s="260"/>
      <x:c r="K101" s="260"/>
    </x:row>
    <x:row r="102">
      <x:c r="B102" s="260"/>
      <x:c r="C102" s="260"/>
      <x:c r="D102" s="260"/>
      <x:c r="E102" s="260"/>
      <x:c r="F102" s="260"/>
      <x:c r="G102" s="260"/>
      <x:c r="H102" s="260"/>
      <x:c r="I102" s="260"/>
      <x:c r="J102" s="260"/>
      <x:c r="K102" s="260"/>
    </x:row>
    <x:row r="103">
      <x:c r="B103" s="260"/>
      <x:c r="C103" s="260"/>
      <x:c r="D103" s="260"/>
      <x:c r="E103" s="260"/>
      <x:c r="F103" s="260"/>
      <x:c r="G103" s="260"/>
      <x:c r="H103" s="260"/>
      <x:c r="I103" s="260"/>
      <x:c r="J103" s="260"/>
      <x:c r="K103" s="260"/>
    </x:row>
    <x:row r="104">
      <x:c r="B104" s="260"/>
      <x:c r="C104" s="260"/>
      <x:c r="D104" s="260"/>
      <x:c r="E104" s="260"/>
      <x:c r="F104" s="260"/>
      <x:c r="G104" s="260"/>
      <x:c r="H104" s="260"/>
      <x:c r="I104" s="260"/>
      <x:c r="J104" s="260"/>
      <x:c r="K104" s="260"/>
    </x:row>
    <x:row r="105">
      <x:c r="B105" s="260"/>
      <x:c r="C105" s="260"/>
      <x:c r="D105" s="260"/>
      <x:c r="E105" s="260"/>
      <x:c r="F105" s="260"/>
      <x:c r="G105" s="260"/>
      <x:c r="H105" s="260"/>
      <x:c r="I105" s="260"/>
      <x:c r="J105" s="260"/>
      <x:c r="K105" s="260"/>
    </x:row>
    <x:row r="106">
      <x:c r="B106" s="260"/>
      <x:c r="C106" s="260"/>
      <x:c r="D106" s="260"/>
      <x:c r="E106" s="260"/>
      <x:c r="F106" s="260"/>
      <x:c r="G106" s="260"/>
      <x:c r="H106" s="260"/>
      <x:c r="I106" s="260"/>
      <x:c r="J106" s="260"/>
      <x:c r="K106" s="260"/>
    </x:row>
    <x:row r="107">
      <x:c r="B107" s="260"/>
      <x:c r="C107" s="260"/>
      <x:c r="D107" s="260"/>
      <x:c r="E107" s="260"/>
      <x:c r="F107" s="260"/>
      <x:c r="G107" s="260"/>
      <x:c r="H107" s="260"/>
      <x:c r="I107" s="260"/>
      <x:c r="J107" s="260"/>
      <x:c r="K107" s="260"/>
    </x:row>
    <x:row r="108">
      <x:c r="B108" s="260"/>
      <x:c r="C108" s="260"/>
      <x:c r="D108" s="260"/>
      <x:c r="E108" s="260"/>
      <x:c r="F108" s="260"/>
      <x:c r="G108" s="260"/>
      <x:c r="H108" s="260"/>
      <x:c r="I108" s="260"/>
      <x:c r="J108" s="260"/>
      <x:c r="K108" s="260"/>
    </x:row>
    <x:row r="109">
      <x:c r="B109" s="260"/>
      <x:c r="C109" s="260"/>
      <x:c r="D109" s="260"/>
      <x:c r="E109" s="260"/>
      <x:c r="F109" s="260"/>
      <x:c r="G109" s="260"/>
      <x:c r="H109" s="260"/>
      <x:c r="I109" s="260"/>
      <x:c r="J109" s="260"/>
      <x:c r="K109" s="260"/>
    </x:row>
    <x:row r="110">
      <x:c r="B110" s="260"/>
      <x:c r="C110" s="260"/>
      <x:c r="D110" s="260"/>
      <x:c r="E110" s="260"/>
      <x:c r="F110" s="260"/>
      <x:c r="G110" s="260"/>
      <x:c r="H110" s="260"/>
      <x:c r="I110" s="260"/>
      <x:c r="J110" s="260"/>
      <x:c r="K110" s="260"/>
    </x:row>
    <x:row r="111">
      <x:c r="B111" s="260"/>
      <x:c r="C111" s="260"/>
      <x:c r="D111" s="260"/>
      <x:c r="E111" s="260"/>
      <x:c r="F111" s="260"/>
      <x:c r="G111" s="260"/>
      <x:c r="H111" s="260"/>
      <x:c r="I111" s="260"/>
      <x:c r="J111" s="260"/>
      <x:c r="K111" s="260"/>
    </x:row>
    <x:row r="112">
      <x:c r="B112" s="260"/>
      <x:c r="C112" s="260"/>
      <x:c r="D112" s="260"/>
      <x:c r="E112" s="260"/>
      <x:c r="F112" s="260"/>
      <x:c r="G112" s="260"/>
      <x:c r="H112" s="260"/>
      <x:c r="I112" s="260"/>
      <x:c r="J112" s="260"/>
      <x:c r="K112" s="260"/>
    </x:row>
    <x:row r="113">
      <x:c r="B113" s="260"/>
      <x:c r="C113" s="260"/>
      <x:c r="D113" s="260"/>
      <x:c r="E113" s="260"/>
      <x:c r="F113" s="260"/>
      <x:c r="G113" s="260"/>
      <x:c r="H113" s="260"/>
      <x:c r="I113" s="260"/>
      <x:c r="J113" s="260"/>
      <x:c r="K113" s="260"/>
    </x:row>
    <x:row r="114">
      <x:c r="B114" s="260"/>
      <x:c r="C114" s="260"/>
      <x:c r="D114" s="260"/>
      <x:c r="E114" s="260"/>
      <x:c r="F114" s="260"/>
      <x:c r="G114" s="260"/>
      <x:c r="H114" s="260"/>
      <x:c r="I114" s="260"/>
      <x:c r="J114" s="260"/>
      <x:c r="K114" s="260"/>
    </x:row>
    <x:row r="115">
      <x:c r="B115" s="260"/>
      <x:c r="C115" s="260"/>
      <x:c r="D115" s="260"/>
      <x:c r="E115" s="260"/>
      <x:c r="F115" s="260"/>
      <x:c r="G115" s="260"/>
      <x:c r="H115" s="260"/>
      <x:c r="I115" s="260"/>
      <x:c r="J115" s="260"/>
      <x:c r="K115" s="260"/>
    </x:row>
    <x:row r="116">
      <x:c r="B116" s="260"/>
      <x:c r="C116" s="260"/>
      <x:c r="D116" s="260"/>
      <x:c r="E116" s="260"/>
      <x:c r="F116" s="260"/>
      <x:c r="G116" s="260"/>
      <x:c r="H116" s="260"/>
      <x:c r="I116" s="260"/>
      <x:c r="J116" s="260"/>
      <x:c r="K116" s="260"/>
    </x:row>
    <x:row r="117">
      <x:c r="B117" s="260"/>
      <x:c r="C117" s="260"/>
      <x:c r="D117" s="260"/>
      <x:c r="E117" s="260"/>
      <x:c r="F117" s="260"/>
      <x:c r="G117" s="260"/>
      <x:c r="H117" s="260"/>
      <x:c r="I117" s="260"/>
      <x:c r="J117" s="260"/>
      <x:c r="K117" s="260"/>
    </x:row>
    <x:row r="118">
      <x:c r="B118" s="260"/>
      <x:c r="C118" s="260"/>
      <x:c r="D118" s="260"/>
      <x:c r="E118" s="260"/>
      <x:c r="F118" s="260"/>
      <x:c r="G118" s="260"/>
      <x:c r="H118" s="260"/>
      <x:c r="I118" s="260"/>
      <x:c r="J118" s="260"/>
      <x:c r="K118" s="260"/>
    </x:row>
    <x:row r="119">
      <x:c r="B119" s="260"/>
      <x:c r="C119" s="260"/>
      <x:c r="D119" s="260"/>
      <x:c r="E119" s="260"/>
      <x:c r="F119" s="260"/>
      <x:c r="G119" s="260"/>
      <x:c r="H119" s="260"/>
      <x:c r="I119" s="260"/>
      <x:c r="J119" s="260"/>
      <x:c r="K119" s="260"/>
    </x:row>
    <x:row r="120">
      <x:c r="B120" s="260"/>
      <x:c r="C120" s="260"/>
      <x:c r="D120" s="260"/>
      <x:c r="E120" s="260"/>
      <x:c r="F120" s="260"/>
      <x:c r="G120" s="260"/>
      <x:c r="H120" s="260"/>
      <x:c r="I120" s="260"/>
      <x:c r="J120" s="260"/>
      <x:c r="K120" s="260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39.290000915527344" hidden="0" customWidth="1"/>
    <x:col min="2" max="2" width="14.289999961853027" hidden="0" customWidth="1"/>
    <x:col min="3" max="3" width="14.289999961853027" hidden="0" customWidth="1"/>
    <x:col min="4" max="4" width="14.289999961853027" hidden="0" customWidth="1"/>
    <x:col min="5" max="5" width="14.289999961853027" hidden="0" customWidth="1"/>
    <x:col min="6" max="6" width="14.289999961853027" hidden="0" customWidth="1"/>
    <x:col min="7" max="7" width="14.289999961853027" hidden="0" customWidth="1"/>
  </x:cols>
  <x:sheetData>
    <x:row r="1">
      <x:c r="A1" s="4" t="str">
        <x:v>FYE: February.  Units: $ in millions except per-share data, shares in millions, ratios, and noted operating drivers.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>
      <x:c r="A3" s="144" t="str">
        <x:v>Line item</x:v>
      </x:c>
      <x:c r="B3" s="144" t="str">
        <x:v>FY2027E</x:v>
      </x:c>
      <x:c r="C3" s="144" t="str">
        <x:v>FY2028E</x:v>
      </x:c>
      <x:c r="D3" s="144" t="str">
        <x:v>FY2029E</x:v>
      </x:c>
      <x:c r="E3" s="144" t="str">
        <x:v>FY2030E</x:v>
      </x:c>
      <x:c r="F3" s="144" t="str">
        <x:v>FY2031E</x:v>
      </x:c>
      <x:c r="G3" s="144" t="str">
        <x:v>Terminal / Output</x:v>
      </x:c>
      <x:c r="H3" s="119"/>
      <x:c r="I3" s="119"/>
      <x:c r="J3" s="119"/>
      <x:c r="K3" s="119"/>
      <x:c r="L3" s="5"/>
    </x:row>
    <x:row r="4">
      <x:c r="A4" s="119" t="str">
        <x:v>Revenue</x:v>
      </x:c>
      <x:c r="B4" s="216" t="n">
        <x:f>IS_Forecast!B6</x:f>
        <x:v>4065.46325</x:v>
      </x:c>
      <x:c r="C4" s="216" t="n">
        <x:f>IS_Forecast!C6</x:f>
        <x:v>4467.393086</x:v>
      </x:c>
      <x:c r="D4" s="216" t="n">
        <x:f>IS_Forecast!D6</x:f>
        <x:v>4850.419825999999</x:v>
      </x:c>
      <x:c r="E4" s="216" t="n">
        <x:f>IS_Forecast!E6</x:f>
        <x:v>5211.284485</x:v>
      </x:c>
      <x:c r="F4" s="216" t="n">
        <x:f>IS_Forecast!F6</x:f>
        <x:v>5553.1346730000005</x:v>
      </x:c>
      <x:c r="G4" s="206"/>
      <x:c r="H4" s="206"/>
      <x:c r="I4" s="206"/>
      <x:c r="J4" s="206"/>
      <x:c r="K4" s="206"/>
      <x:c r="L4" s="5"/>
    </x:row>
    <x:row r="5">
      <x:c r="A5" s="119" t="str">
        <x:v>EBIT</x:v>
      </x:c>
      <x:c r="B5" s="216" t="n">
        <x:f>IS_Forecast!B16</x:f>
        <x:v>245.95597534000035</x:v>
      </x:c>
      <x:c r="C5" s="216" t="n">
        <x:f>IS_Forecast!C16</x:f>
        <x:v>345.4734966400006</x:v>
      </x:c>
      <x:c r="D5" s="216" t="n">
        <x:f>IS_Forecast!D16</x:f>
        <x:v>456.9394051299987</x:v>
      </x:c>
      <x:c r="E5" s="216" t="n">
        <x:f>IS_Forecast!E16</x:f>
        <x:v>576.1492654000003</x:v>
      </x:c>
      <x:c r="F5" s="216" t="n">
        <x:f>IS_Forecast!F16</x:f>
        <x:v>704.0360592400007</x:v>
      </x:c>
      <x:c r="G5" s="206"/>
      <x:c r="H5" s="206"/>
      <x:c r="I5" s="206"/>
      <x:c r="J5" s="206"/>
      <x:c r="K5" s="206"/>
      <x:c r="L5" s="5"/>
    </x:row>
    <x:row r="6">
      <x:c r="A6" s="119" t="str">
        <x:v>Tax rate</x:v>
      </x:c>
      <x:c r="B6" s="217" t="n">
        <x:f>Assumptions!$E$42</x:f>
        <x:v>0.19</x:v>
      </x:c>
      <x:c r="C6" s="217" t="n">
        <x:f>Assumptions!$F$42</x:f>
        <x:v>0.195</x:v>
      </x:c>
      <x:c r="D6" s="217" t="n">
        <x:f>Assumptions!$G$42</x:f>
        <x:v>0.2</x:v>
      </x:c>
      <x:c r="E6" s="217" t="n">
        <x:f>Assumptions!$H$42</x:f>
        <x:v>0.205</x:v>
      </x:c>
      <x:c r="F6" s="217" t="n">
        <x:f>Assumptions!$I$42</x:f>
        <x:v>0.21</x:v>
      </x:c>
      <x:c r="G6" s="206"/>
      <x:c r="H6" s="206"/>
      <x:c r="I6" s="206"/>
      <x:c r="J6" s="206"/>
      <x:c r="K6" s="206"/>
      <x:c r="L6" s="5"/>
    </x:row>
    <x:row r="7">
      <x:c r="A7" s="119" t="str">
        <x:v>NOPAT</x:v>
      </x:c>
      <x:c r="B7" s="216" t="n">
        <x:f>B5*(1-B6)</x:f>
        <x:v>199.2243400254003</x:v>
      </x:c>
      <x:c r="C7" s="216" t="n">
        <x:f>C5*(1-C6)</x:f>
        <x:v>278.10616479520047</x:v>
      </x:c>
      <x:c r="D7" s="216" t="n">
        <x:f>D5*(1-D6)</x:f>
        <x:v>365.551524103999</x:v>
      </x:c>
      <x:c r="E7" s="216" t="n">
        <x:f>E5*(1-E6)</x:f>
        <x:v>458.0386659930003</x:v>
      </x:c>
      <x:c r="F7" s="216" t="n">
        <x:f>F5*(1-F6)</x:f>
        <x:v>556.1884867996006</x:v>
      </x:c>
      <x:c r="G7" s="206"/>
      <x:c r="H7" s="206"/>
      <x:c r="I7" s="206"/>
      <x:c r="J7" s="206"/>
      <x:c r="K7" s="206"/>
      <x:c r="L7" s="5"/>
    </x:row>
    <x:row r="8">
      <x:c r="A8" s="119" t="str">
        <x:v>D&amp;A</x:v>
      </x:c>
      <x:c r="B8" s="216" t="n">
        <x:f>WC_PPE_Debt!B18</x:f>
        <x:v>146.7555</x:v>
      </x:c>
      <x:c r="C8" s="216" t="n">
        <x:f>WC_PPE_Debt!C18</x:f>
        <x:v>183.2449635</x:v>
      </x:c>
      <x:c r="D8" s="216" t="n">
        <x:f>WC_PPE_Debt!D18</x:f>
        <x:v>216.7299499015</x:v>
      </x:c>
      <x:c r="E8" s="216" t="n">
        <x:f>WC_PPE_Debt!E18</x:f>
        <x:v>247.42980938112498</x:v>
      </x:c>
      <x:c r="F8" s="216" t="n">
        <x:f>WC_PPE_Debt!F18</x:f>
        <x:v>275.4670144020938</x:v>
      </x:c>
      <x:c r="G8" s="206"/>
      <x:c r="H8" s="206"/>
      <x:c r="I8" s="206"/>
      <x:c r="J8" s="206"/>
      <x:c r="K8" s="206"/>
      <x:c r="L8" s="5"/>
    </x:row>
    <x:row r="9">
      <x:c r="A9" s="119" t="str">
        <x:v>Capex</x:v>
      </x:c>
      <x:c r="B9" s="216" t="n">
        <x:f>WC_PPE_Debt!B17</x:f>
        <x:v>292.713354</x:v>
      </x:c>
      <x:c r="C9" s="216" t="n">
        <x:f>WC_PPE_Debt!C17</x:f>
        <x:v>317.18490910599996</x:v>
      </x:c>
      <x:c r="D9" s="216" t="n">
        <x:f>WC_PPE_Debt!D17</x:f>
        <x:v>339.52938782</x:v>
      </x:c>
      <x:c r="E9" s="216" t="n">
        <x:f>WC_PPE_Debt!E17</x:f>
        <x:v>359.57862946500006</x:v>
      </x:c>
      <x:c r="F9" s="216" t="n">
        <x:f>WC_PPE_Debt!F17</x:f>
        <x:v>377.61315776400005</x:v>
      </x:c>
      <x:c r="G9" s="206"/>
      <x:c r="H9" s="206"/>
      <x:c r="I9" s="206"/>
      <x:c r="J9" s="206"/>
      <x:c r="K9" s="206"/>
      <x:c r="L9" s="5"/>
    </x:row>
    <x:row r="10">
      <x:c r="A10" s="119" t="str">
        <x:v>Change in NWC</x:v>
      </x:c>
      <x:c r="B10" s="216" t="n">
        <x:f>WC_PPE_Debt!B15</x:f>
        <x:v>-103.02933921897238</x:v>
      </x:c>
      <x:c r="C10" s="216" t="n">
        <x:f>WC_PPE_Debt!C15</x:f>
        <x:v>-169.92381184902115</x:v>
      </x:c>
      <x:c r="D10" s="216" t="n">
        <x:f>WC_PPE_Debt!D15</x:f>
        <x:v>-142.3009885944789</x:v>
      </x:c>
      <x:c r="E10" s="216" t="n">
        <x:f>WC_PPE_Debt!E15</x:f>
        <x:v>-133.9587916327314</x:v>
      </x:c>
      <x:c r="F10" s="216" t="n">
        <x:f>WC_PPE_Debt!F15</x:f>
        <x:v>-122.37933196369067</x:v>
      </x:c>
      <x:c r="G10" s="206"/>
      <x:c r="H10" s="206"/>
      <x:c r="I10" s="206"/>
      <x:c r="J10" s="206"/>
      <x:c r="K10" s="206"/>
      <x:c r="L10" s="5"/>
    </x:row>
    <x:row r="11">
      <x:c r="A11" s="119" t="str">
        <x:v>FCFF</x:v>
      </x:c>
      <x:c r="B11" s="216" t="n">
        <x:f>B7+B8-B9-B10</x:f>
        <x:v>156.29582524437274</x:v>
      </x:c>
      <x:c r="C11" s="216" t="n">
        <x:f>C7+C8-C9-C10</x:f>
        <x:v>314.0900310382217</x:v>
      </x:c>
      <x:c r="D11" s="216" t="n">
        <x:f>D7+D8-D9-D10</x:f>
        <x:v>385.0530747799778</x:v>
      </x:c>
      <x:c r="E11" s="216" t="n">
        <x:f>E7+E8-E9-E10</x:f>
        <x:v>479.84863754185665</x:v>
      </x:c>
      <x:c r="F11" s="216" t="n">
        <x:f>F7+F8-F9-F10</x:f>
        <x:v>576.4216754013851</x:v>
      </x:c>
      <x:c r="G11" s="206"/>
      <x:c r="H11" s="206"/>
      <x:c r="I11" s="206"/>
      <x:c r="J11" s="206"/>
      <x:c r="K11" s="206"/>
      <x:c r="L11" s="5"/>
    </x:row>
    <x:row r="12">
      <x:c r="A12" s="119" t="str">
        <x:v>Discount period</x:v>
      </x:c>
      <x:c r="B12" s="216" t="n">
        <x:f>1-0.5</x:f>
        <x:v>0.5</x:v>
      </x:c>
      <x:c r="C12" s="216" t="n">
        <x:f>2-0.5</x:f>
        <x:v>1.5</x:v>
      </x:c>
      <x:c r="D12" s="216" t="n">
        <x:f>3-0.5</x:f>
        <x:v>2.5</x:v>
      </x:c>
      <x:c r="E12" s="216" t="n">
        <x:f>4-0.5</x:f>
        <x:v>3.5</x:v>
      </x:c>
      <x:c r="F12" s="216" t="n">
        <x:f>5-0.5</x:f>
        <x:v>4.5</x:v>
      </x:c>
      <x:c r="G12" s="206"/>
      <x:c r="H12" s="206"/>
      <x:c r="I12" s="206"/>
      <x:c r="J12" s="206"/>
      <x:c r="K12" s="206"/>
      <x:c r="L12" s="5"/>
    </x:row>
    <x:row r="13">
      <x:c r="A13" s="119" t="str">
        <x:v>Discount factor</x:v>
      </x:c>
      <x:c r="B13" s="264" t="n">
        <x:f>1/(1+WACC!$B$16)^B12</x:f>
        <x:v>0.9607298293120857</x:v>
      </x:c>
      <x:c r="C13" s="264" t="n">
        <x:f>1/(1+WACC!$B$16)^C12</x:f>
        <x:v>0.8867553665051744</x:v>
      </x:c>
      <x:c r="D13" s="264" t="n">
        <x:f>1/(1+WACC!$B$16)^D12</x:f>
        <x:v>0.8184768038156658</x:v>
      </x:c>
      <x:c r="E13" s="264" t="n">
        <x:f>1/(1+WACC!$B$16)^E12</x:f>
        <x:v>0.7554555672152211</x:v>
      </x:c>
      <x:c r="F13" s="264" t="n">
        <x:f>1/(1+WACC!$B$16)^F12</x:f>
        <x:v>0.6972868520840884</x:v>
      </x:c>
      <x:c r="G13" s="206"/>
      <x:c r="H13" s="206"/>
      <x:c r="I13" s="206"/>
      <x:c r="J13" s="206"/>
      <x:c r="K13" s="206"/>
      <x:c r="L13" s="5"/>
    </x:row>
    <x:row r="14">
      <x:c r="A14" s="119" t="str">
        <x:v>PV of FCFF</x:v>
      </x:c>
      <x:c r="B14" s="216" t="n">
        <x:f>B11*B13</x:f>
        <x:v>150.1580615092178</x:v>
      </x:c>
      <x:c r="C14" s="216" t="n">
        <x:f>C11*C13</x:f>
        <x:v>278.5210205889199</x:v>
      </x:c>
      <x:c r="D14" s="216" t="n">
        <x:f>D11*D13</x:f>
        <x:v>315.1570099453108</x:v>
      </x:c>
      <x:c r="E14" s="216" t="n">
        <x:f>E11*E13</x:f>
        <x:v>362.50432465163436</x:v>
      </x:c>
      <x:c r="F14" s="216" t="n">
        <x:f>F11*F13</x:f>
        <x:v>401.93125551366796</x:v>
      </x:c>
      <x:c r="G14" s="206"/>
      <x:c r="H14" s="206"/>
      <x:c r="I14" s="206"/>
      <x:c r="J14" s="206"/>
      <x:c r="K14" s="206"/>
      <x:c r="L14" s="5"/>
    </x:row>
    <x:row r="15">
      <x:c r="A15" s="119" t="str">
        <x:v>EBITDA</x:v>
      </x:c>
      <x:c r="B15" s="216" t="n">
        <x:f>B5+B8</x:f>
        <x:v>392.71147534000033</x:v>
      </x:c>
      <x:c r="C15" s="216" t="n">
        <x:f>C5+C8</x:f>
        <x:v>528.7184601400006</x:v>
      </x:c>
      <x:c r="D15" s="216" t="n">
        <x:f>D5+D8</x:f>
        <x:v>673.6693550314988</x:v>
      </x:c>
      <x:c r="E15" s="216" t="n">
        <x:f>E5+E8</x:f>
        <x:v>823.5790747811253</x:v>
      </x:c>
      <x:c r="F15" s="216" t="n">
        <x:f>F5+F8</x:f>
        <x:v>979.5030736420945</x:v>
      </x:c>
      <x:c r="G15" s="206"/>
      <x:c r="H15" s="206"/>
      <x:c r="I15" s="206"/>
      <x:c r="J15" s="206"/>
      <x:c r="K15" s="206"/>
      <x:c r="L15" s="5"/>
    </x:row>
    <x:row r="16">
      <x:c r="A16" s="119"/>
      <x:c r="B16" s="216"/>
      <x:c r="C16" s="216"/>
      <x:c r="D16" s="216"/>
      <x:c r="E16" s="216"/>
      <x:c r="F16" s="216"/>
      <x:c r="G16" s="206"/>
      <x:c r="H16" s="206"/>
      <x:c r="I16" s="206"/>
      <x:c r="J16" s="206"/>
      <x:c r="K16" s="206"/>
      <x:c r="L16" s="5"/>
    </x:row>
    <x:row r="17">
      <x:c r="A17" s="119"/>
      <x:c r="B17" s="216"/>
      <x:c r="C17" s="216"/>
      <x:c r="D17" s="216"/>
      <x:c r="E17" s="216"/>
      <x:c r="F17" s="216"/>
      <x:c r="G17" s="206"/>
      <x:c r="H17" s="206"/>
      <x:c r="I17" s="206"/>
      <x:c r="J17" s="206"/>
      <x:c r="K17" s="206"/>
      <x:c r="L17" s="5"/>
    </x:row>
    <x:row r="18">
      <x:c r="A18" s="189" t="str">
        <x:v>Stage 1 value</x:v>
      </x:c>
      <x:c r="B18" s="265" t="n">
        <x:f>SUM(B14:F14)</x:f>
        <x:v>1508.2716722087507</x:v>
      </x:c>
      <x:c r="C18" s="216"/>
      <x:c r="D18" s="216"/>
      <x:c r="E18" s="216"/>
      <x:c r="F18" s="216"/>
      <x:c r="G18" s="206"/>
      <x:c r="H18" s="206"/>
      <x:c r="I18" s="206"/>
      <x:c r="J18" s="206"/>
      <x:c r="K18" s="206"/>
      <x:c r="L18" s="5"/>
    </x:row>
    <x:row r="19">
      <x:c r="A19" s="193" t="str">
        <x:v>Terminal growth</x:v>
      </x:c>
      <x:c r="B19" s="266" t="n">
        <x:f>Assumptions!$E$52</x:f>
        <x:v>0.03</x:v>
      </x:c>
      <x:c r="C19" s="216"/>
      <x:c r="D19" s="216"/>
      <x:c r="E19" s="216"/>
      <x:c r="F19" s="216"/>
      <x:c r="G19" s="206"/>
      <x:c r="H19" s="206"/>
      <x:c r="I19" s="206"/>
      <x:c r="J19" s="206"/>
      <x:c r="K19" s="206"/>
      <x:c r="L19" s="5"/>
    </x:row>
    <x:row r="20">
      <x:c r="A20" s="193" t="str">
        <x:v>Gordon growth TV</x:v>
      </x:c>
      <x:c r="B20" s="267" t="n">
        <x:f>F11*(1+B19)/(WACC!$B$16-B19)</x:f>
        <x:v>11113.771153251528</x:v>
      </x:c>
      <x:c r="C20" s="216"/>
      <x:c r="D20" s="216"/>
      <x:c r="E20" s="216"/>
      <x:c r="F20" s="216"/>
      <x:c r="G20" s="206"/>
      <x:c r="H20" s="206"/>
      <x:c r="I20" s="206"/>
      <x:c r="J20" s="206"/>
      <x:c r="K20" s="206"/>
      <x:c r="L20" s="5"/>
    </x:row>
    <x:row r="21">
      <x:c r="A21" s="193" t="str">
        <x:v>PV of Gordon TV</x:v>
      </x:c>
      <x:c r="B21" s="267" t="n">
        <x:f>B20/(1+WACC!$B$16)^4.5</x:f>
        <x:v>7749.486502233706</x:v>
      </x:c>
      <x:c r="C21" s="216"/>
      <x:c r="D21" s="216"/>
      <x:c r="E21" s="216"/>
      <x:c r="F21" s="216"/>
      <x:c r="G21" s="206"/>
      <x:c r="H21" s="206"/>
      <x:c r="I21" s="206"/>
      <x:c r="J21" s="206"/>
      <x:c r="K21" s="206"/>
      <x:c r="L21" s="5"/>
    </x:row>
    <x:row r="22">
      <x:c r="A22" s="193" t="str">
        <x:v>Exit multiple</x:v>
      </x:c>
      <x:c r="B22" s="268" t="n">
        <x:f>Assumptions!$E$53</x:f>
        <x:v>11</x:v>
      </x:c>
      <x:c r="C22" s="216"/>
      <x:c r="D22" s="216"/>
      <x:c r="E22" s="216"/>
      <x:c r="F22" s="216"/>
      <x:c r="G22" s="206"/>
      <x:c r="H22" s="206"/>
      <x:c r="I22" s="206"/>
      <x:c r="J22" s="206"/>
      <x:c r="K22" s="206"/>
      <x:c r="L22" s="5"/>
    </x:row>
    <x:row r="23">
      <x:c r="A23" s="193" t="str">
        <x:v>Exit multiple TV</x:v>
      </x:c>
      <x:c r="B23" s="267" t="n">
        <x:f>F15*B22</x:f>
        <x:v>10774.53381006304</x:v>
      </x:c>
      <x:c r="C23" s="216"/>
      <x:c r="D23" s="216"/>
      <x:c r="E23" s="216"/>
      <x:c r="F23" s="216"/>
      <x:c r="G23" s="206"/>
      <x:c r="H23" s="206"/>
      <x:c r="I23" s="206"/>
      <x:c r="J23" s="206"/>
      <x:c r="K23" s="206"/>
      <x:c r="L23" s="5"/>
    </x:row>
    <x:row r="24">
      <x:c r="A24" s="193" t="str">
        <x:v>PV of exit TV</x:v>
      </x:c>
      <x:c r="B24" s="267" t="n">
        <x:f>B23/(1+WACC!$B$16)^5</x:f>
        <x:v>7217.906296957608</x:v>
      </x:c>
      <x:c r="C24" s="216"/>
      <x:c r="D24" s="216"/>
      <x:c r="E24" s="216"/>
      <x:c r="F24" s="216"/>
      <x:c r="G24" s="206"/>
      <x:c r="H24" s="206"/>
      <x:c r="I24" s="206"/>
      <x:c r="J24" s="206"/>
      <x:c r="K24" s="206"/>
      <x:c r="L24" s="5"/>
    </x:row>
    <x:row r="25">
      <x:c r="A25" s="249" t="str">
        <x:v>Selected enterprise value</x:v>
      </x:c>
      <x:c r="B25" s="269" t="n">
        <x:f>B18+AVERAGE(B21,B24)</x:f>
        <x:v>8991.968071804407</x:v>
      </x:c>
      <x:c r="C25" s="216"/>
      <x:c r="D25" s="216"/>
      <x:c r="E25" s="216"/>
      <x:c r="F25" s="216"/>
      <x:c r="G25" s="206"/>
      <x:c r="H25" s="206"/>
      <x:c r="I25" s="206"/>
      <x:c r="J25" s="206"/>
      <x:c r="K25" s="206"/>
      <x:c r="L25" s="5"/>
    </x:row>
    <x:row r="26">
      <x:c r="A26" s="249" t="str">
        <x:v>Less: total debt</x:v>
      </x:c>
      <x:c r="B26" s="269" t="n">
        <x:f>BS_Forecast!B24+BS_Forecast!B26</x:f>
        <x:v>0</x:v>
      </x:c>
      <x:c r="C26" s="216"/>
      <x:c r="D26" s="216"/>
      <x:c r="E26" s="216"/>
      <x:c r="F26" s="216"/>
      <x:c r="G26" s="206"/>
      <x:c r="H26" s="206"/>
      <x:c r="I26" s="206"/>
      <x:c r="J26" s="206"/>
      <x:c r="K26" s="206"/>
      <x:c r="L26" s="5"/>
    </x:row>
    <x:row r="27">
      <x:c r="A27" s="249" t="str">
        <x:v>Plus: cash and short-term investments</x:v>
      </x:c>
      <x:c r="B27" s="269" t="n">
        <x:f>Historicals_BS!G4+Historicals_BS!G5</x:f>
        <x:v>1547.319</x:v>
      </x:c>
      <x:c r="C27" s="216"/>
      <x:c r="D27" s="216"/>
      <x:c r="E27" s="216"/>
      <x:c r="F27" s="216"/>
      <x:c r="G27" s="206"/>
      <x:c r="H27" s="206"/>
      <x:c r="I27" s="206"/>
      <x:c r="J27" s="206"/>
      <x:c r="K27" s="206"/>
      <x:c r="L27" s="5"/>
    </x:row>
    <x:row r="28">
      <x:c r="A28" s="249" t="str">
        <x:v>Less: minority interest</x:v>
      </x:c>
      <x:c r="B28" s="269" t="n">
        <x:f>Assumptions!$E$9*0</x:f>
        <x:v>0</x:v>
      </x:c>
      <x:c r="C28" s="216"/>
      <x:c r="D28" s="216"/>
      <x:c r="E28" s="216"/>
      <x:c r="F28" s="216"/>
      <x:c r="G28" s="206"/>
      <x:c r="H28" s="206"/>
      <x:c r="I28" s="206"/>
      <x:c r="J28" s="206"/>
      <x:c r="K28" s="206"/>
      <x:c r="L28" s="5"/>
    </x:row>
    <x:row r="29">
      <x:c r="A29" s="249" t="str">
        <x:v>Less: preferred stock</x:v>
      </x:c>
      <x:c r="B29" s="269" t="n">
        <x:f>Assumptions!$E$9*0</x:f>
        <x:v>0</x:v>
      </x:c>
      <x:c r="C29" s="216"/>
      <x:c r="D29" s="216"/>
      <x:c r="E29" s="216"/>
      <x:c r="F29" s="216"/>
      <x:c r="G29" s="206"/>
      <x:c r="H29" s="206"/>
      <x:c r="I29" s="206"/>
      <x:c r="J29" s="206"/>
      <x:c r="K29" s="206"/>
      <x:c r="L29" s="5"/>
    </x:row>
    <x:row r="30">
      <x:c r="A30" s="249" t="str">
        <x:v>Less: pension underfunding</x:v>
      </x:c>
      <x:c r="B30" s="269" t="n">
        <x:f>Assumptions!$E$9*0</x:f>
        <x:v>0</x:v>
      </x:c>
      <x:c r="C30" s="216"/>
      <x:c r="D30" s="216"/>
      <x:c r="E30" s="216"/>
      <x:c r="F30" s="216"/>
      <x:c r="G30" s="206"/>
      <x:c r="H30" s="206"/>
      <x:c r="I30" s="206"/>
      <x:c r="J30" s="206"/>
      <x:c r="K30" s="206"/>
      <x:c r="L30" s="5"/>
    </x:row>
    <x:row r="31">
      <x:c r="A31" s="249" t="str">
        <x:v>Equity value</x:v>
      </x:c>
      <x:c r="B31" s="269" t="n">
        <x:f>B25-B26+B27-B28-B29-B30</x:f>
        <x:v>10539.287071804407</x:v>
      </x:c>
      <x:c r="C31" s="216"/>
      <x:c r="D31" s="216"/>
      <x:c r="E31" s="216"/>
      <x:c r="F31" s="216"/>
      <x:c r="G31" s="206"/>
      <x:c r="H31" s="206"/>
      <x:c r="I31" s="206"/>
      <x:c r="J31" s="206"/>
      <x:c r="K31" s="206"/>
      <x:c r="L31" s="5"/>
    </x:row>
    <x:row r="32">
      <x:c r="A32" s="249" t="str">
        <x:v>Diluted shares FY0</x:v>
      </x:c>
      <x:c r="B32" s="270" t="n">
        <x:f>Historicals_IS!G23</x:f>
        <x:v>342.992</x:v>
      </x:c>
      <x:c r="C32" s="216"/>
      <x:c r="D32" s="216"/>
      <x:c r="E32" s="216"/>
      <x:c r="F32" s="216"/>
      <x:c r="G32" s="206"/>
      <x:c r="H32" s="206"/>
      <x:c r="I32" s="206"/>
      <x:c r="J32" s="206"/>
      <x:c r="K32" s="206"/>
      <x:c r="L32" s="5"/>
    </x:row>
    <x:row r="33">
      <x:c r="A33" s="252" t="str">
        <x:v>Per-share intrinsic value</x:v>
      </x:c>
      <x:c r="B33" s="271" t="n">
        <x:f>B31/B32</x:f>
        <x:v>30.727501142313542</x:v>
      </x:c>
      <x:c r="C33" s="216"/>
      <x:c r="D33" s="216"/>
      <x:c r="E33" s="216"/>
      <x:c r="F33" s="216"/>
      <x:c r="G33" s="206"/>
      <x:c r="H33" s="206"/>
      <x:c r="I33" s="206"/>
      <x:c r="J33" s="206"/>
      <x:c r="K33" s="206"/>
      <x:c r="L33" s="5"/>
    </x:row>
    <x:row r="34">
      <x:c r="A34" s="119" t="str">
        <x:v>Implied exit multiple from Gordon</x:v>
      </x:c>
      <x:c r="B34" s="272" t="n">
        <x:f>B20/F15</x:f>
        <x:v>11.346336170163406</x:v>
      </x:c>
      <x:c r="C34" s="216"/>
      <x:c r="D34" s="216"/>
      <x:c r="E34" s="216"/>
      <x:c r="F34" s="216"/>
      <x:c r="G34" s="206"/>
      <x:c r="H34" s="206"/>
      <x:c r="I34" s="206"/>
      <x:c r="J34" s="206"/>
      <x:c r="K34" s="206"/>
      <x:c r="L34" s="5"/>
    </x:row>
    <x:row r="35">
      <x:c r="A35" s="119" t="str">
        <x:v>Implied terminal growth from exit multiple</x:v>
      </x:c>
      <x:c r="B35" s="217" t="n">
        <x:f>(B23*WACC!$B$16-F11)/(B23+F11)</x:f>
        <x:v>0.02840343240246595</x:v>
      </x:c>
      <x:c r="C35" s="216"/>
      <x:c r="D35" s="216"/>
      <x:c r="E35" s="216"/>
      <x:c r="F35" s="216"/>
      <x:c r="G35" s="206"/>
      <x:c r="H35" s="206"/>
      <x:c r="I35" s="206"/>
      <x:c r="J35" s="206"/>
      <x:c r="K35" s="206"/>
      <x:c r="L35" s="5"/>
    </x:row>
    <x:row r="36">
      <x:c r="A36" s="119" t="str">
        <x:v>DCF method note</x:v>
      </x:c>
      <x:c r="B36" s="216" t="str">
        <x:v>Selected EV averages Gordon growth and exit multiple methods.</x:v>
      </x:c>
      <x:c r="C36" s="216"/>
      <x:c r="D36" s="216"/>
      <x:c r="E36" s="216"/>
      <x:c r="F36" s="216"/>
      <x:c r="G36" s="206"/>
      <x:c r="H36" s="206"/>
      <x:c r="I36" s="206"/>
      <x:c r="J36" s="206"/>
      <x:c r="K36" s="206"/>
      <x:c r="L36" s="5"/>
    </x:row>
    <x:row r="37">
      <x:c r="A37" s="119"/>
      <x:c r="B37" s="206"/>
      <x:c r="C37" s="206"/>
      <x:c r="D37" s="206"/>
      <x:c r="E37" s="206"/>
      <x:c r="F37" s="206"/>
      <x:c r="G37" s="206"/>
      <x:c r="H37" s="206"/>
      <x:c r="I37" s="206"/>
      <x:c r="J37" s="206"/>
      <x:c r="K37" s="206"/>
      <x:c r="L37" s="5"/>
    </x:row>
    <x:row r="38">
      <x:c r="A38" s="119"/>
      <x:c r="B38" s="206"/>
      <x:c r="C38" s="206"/>
      <x:c r="D38" s="206"/>
      <x:c r="E38" s="206"/>
      <x:c r="F38" s="206"/>
      <x:c r="G38" s="206"/>
      <x:c r="H38" s="206"/>
      <x:c r="I38" s="206"/>
      <x:c r="J38" s="206"/>
      <x:c r="K38" s="206"/>
      <x:c r="L38" s="5"/>
    </x:row>
    <x:row r="39">
      <x:c r="A39" s="119"/>
      <x:c r="B39" s="206"/>
      <x:c r="C39" s="206"/>
      <x:c r="D39" s="206"/>
      <x:c r="E39" s="206"/>
      <x:c r="F39" s="206"/>
      <x:c r="G39" s="206"/>
      <x:c r="H39" s="206"/>
      <x:c r="I39" s="206"/>
      <x:c r="J39" s="206"/>
      <x:c r="K39" s="206"/>
      <x:c r="L39" s="5"/>
    </x:row>
    <x:row r="40">
      <x:c r="A40" s="119"/>
      <x:c r="B40" s="206"/>
      <x:c r="C40" s="206"/>
      <x:c r="D40" s="206"/>
      <x:c r="E40" s="206"/>
      <x:c r="F40" s="206"/>
      <x:c r="G40" s="206"/>
      <x:c r="H40" s="206"/>
      <x:c r="I40" s="206"/>
      <x:c r="J40" s="206"/>
      <x:c r="K40" s="206"/>
      <x:c r="L40" s="5"/>
    </x:row>
    <x:row r="41">
      <x:c r="A41" s="119"/>
      <x:c r="B41" s="206"/>
      <x:c r="C41" s="206"/>
      <x:c r="D41" s="206"/>
      <x:c r="E41" s="206"/>
      <x:c r="F41" s="206"/>
      <x:c r="G41" s="206"/>
      <x:c r="H41" s="206"/>
      <x:c r="I41" s="206"/>
      <x:c r="J41" s="206"/>
      <x:c r="K41" s="206"/>
      <x:c r="L41" s="5"/>
    </x:row>
    <x:row r="42">
      <x:c r="A42" s="119"/>
      <x:c r="B42" s="206"/>
      <x:c r="C42" s="206"/>
      <x:c r="D42" s="206"/>
      <x:c r="E42" s="206"/>
      <x:c r="F42" s="206"/>
      <x:c r="G42" s="206"/>
      <x:c r="H42" s="206"/>
      <x:c r="I42" s="206"/>
      <x:c r="J42" s="206"/>
      <x:c r="K42" s="206"/>
      <x:c r="L42" s="5"/>
    </x:row>
    <x:row r="43">
      <x:c r="A43" s="119"/>
      <x:c r="B43" s="206"/>
      <x:c r="C43" s="206"/>
      <x:c r="D43" s="206"/>
      <x:c r="E43" s="206"/>
      <x:c r="F43" s="206"/>
      <x:c r="G43" s="206"/>
      <x:c r="H43" s="206"/>
      <x:c r="I43" s="206"/>
      <x:c r="J43" s="206"/>
      <x:c r="K43" s="206"/>
      <x:c r="L43" s="5"/>
    </x:row>
    <x:row r="44">
      <x:c r="A44" s="119"/>
      <x:c r="B44" s="206"/>
      <x:c r="C44" s="206"/>
      <x:c r="D44" s="206"/>
      <x:c r="E44" s="206"/>
      <x:c r="F44" s="206"/>
      <x:c r="G44" s="206"/>
      <x:c r="H44" s="206"/>
      <x:c r="I44" s="206"/>
      <x:c r="J44" s="206"/>
      <x:c r="K44" s="206"/>
      <x:c r="L44" s="5"/>
    </x:row>
    <x:row r="45">
      <x:c r="A45" s="119"/>
      <x:c r="B45" s="206"/>
      <x:c r="C45" s="206"/>
      <x:c r="D45" s="206"/>
      <x:c r="E45" s="206"/>
      <x:c r="F45" s="206"/>
      <x:c r="G45" s="206"/>
      <x:c r="H45" s="206"/>
      <x:c r="I45" s="206"/>
      <x:c r="J45" s="206"/>
      <x:c r="K45" s="206"/>
      <x:c r="L45" s="5"/>
    </x:row>
    <x:row r="46">
      <x:c r="A46" s="119"/>
      <x:c r="B46" s="206"/>
      <x:c r="C46" s="206"/>
      <x:c r="D46" s="206"/>
      <x:c r="E46" s="206"/>
      <x:c r="F46" s="206"/>
      <x:c r="G46" s="206"/>
      <x:c r="H46" s="206"/>
      <x:c r="I46" s="206"/>
      <x:c r="J46" s="206"/>
      <x:c r="K46" s="206"/>
      <x:c r="L46" s="5"/>
    </x:row>
    <x:row r="47">
      <x:c r="A47" s="119"/>
      <x:c r="B47" s="206"/>
      <x:c r="C47" s="206"/>
      <x:c r="D47" s="206"/>
      <x:c r="E47" s="206"/>
      <x:c r="F47" s="206"/>
      <x:c r="G47" s="206"/>
      <x:c r="H47" s="206"/>
      <x:c r="I47" s="206"/>
      <x:c r="J47" s="206"/>
      <x:c r="K47" s="206"/>
      <x:c r="L47" s="5"/>
    </x:row>
    <x:row r="48">
      <x:c r="A48" s="119"/>
      <x:c r="B48" s="206"/>
      <x:c r="C48" s="206"/>
      <x:c r="D48" s="206"/>
      <x:c r="E48" s="206"/>
      <x:c r="F48" s="206"/>
      <x:c r="G48" s="206"/>
      <x:c r="H48" s="206"/>
      <x:c r="I48" s="206"/>
      <x:c r="J48" s="206"/>
      <x:c r="K48" s="206"/>
      <x:c r="L48" s="5"/>
    </x:row>
    <x:row r="49">
      <x:c r="A49" s="119"/>
      <x:c r="B49" s="206"/>
      <x:c r="C49" s="206"/>
      <x:c r="D49" s="206"/>
      <x:c r="E49" s="206"/>
      <x:c r="F49" s="206"/>
      <x:c r="G49" s="206"/>
      <x:c r="H49" s="206"/>
      <x:c r="I49" s="206"/>
      <x:c r="J49" s="206"/>
      <x:c r="K49" s="206"/>
      <x:c r="L49" s="5"/>
    </x:row>
    <x:row r="50">
      <x:c r="A50" s="119"/>
      <x:c r="B50" s="206"/>
      <x:c r="C50" s="206"/>
      <x:c r="D50" s="206"/>
      <x:c r="E50" s="206"/>
      <x:c r="F50" s="206"/>
      <x:c r="G50" s="206"/>
      <x:c r="H50" s="206"/>
      <x:c r="I50" s="206"/>
      <x:c r="J50" s="206"/>
      <x:c r="K50" s="206"/>
      <x:c r="L50" s="5"/>
    </x:row>
    <x:row r="51">
      <x:c r="A51" s="119"/>
      <x:c r="B51" s="206"/>
      <x:c r="C51" s="206"/>
      <x:c r="D51" s="206"/>
      <x:c r="E51" s="206"/>
      <x:c r="F51" s="206"/>
      <x:c r="G51" s="206"/>
      <x:c r="H51" s="206"/>
      <x:c r="I51" s="206"/>
      <x:c r="J51" s="206"/>
      <x:c r="K51" s="206"/>
      <x:c r="L51" s="5"/>
    </x:row>
    <x:row r="52">
      <x:c r="A52" s="119"/>
      <x:c r="B52" s="206"/>
      <x:c r="C52" s="206"/>
      <x:c r="D52" s="206"/>
      <x:c r="E52" s="206"/>
      <x:c r="F52" s="206"/>
      <x:c r="G52" s="206"/>
      <x:c r="H52" s="206"/>
      <x:c r="I52" s="206"/>
      <x:c r="J52" s="206"/>
      <x:c r="K52" s="206"/>
      <x:c r="L52" s="5"/>
    </x:row>
    <x:row r="53">
      <x:c r="A53" s="119"/>
      <x:c r="B53" s="206"/>
      <x:c r="C53" s="206"/>
      <x:c r="D53" s="206"/>
      <x:c r="E53" s="206"/>
      <x:c r="F53" s="206"/>
      <x:c r="G53" s="206"/>
      <x:c r="H53" s="206"/>
      <x:c r="I53" s="206"/>
      <x:c r="J53" s="206"/>
      <x:c r="K53" s="206"/>
      <x:c r="L53" s="5"/>
    </x:row>
    <x:row r="54">
      <x:c r="A54" s="119"/>
      <x:c r="B54" s="206"/>
      <x:c r="C54" s="206"/>
      <x:c r="D54" s="206"/>
      <x:c r="E54" s="206"/>
      <x:c r="F54" s="206"/>
      <x:c r="G54" s="206"/>
      <x:c r="H54" s="206"/>
      <x:c r="I54" s="206"/>
      <x:c r="J54" s="206"/>
      <x:c r="K54" s="206"/>
      <x:c r="L54" s="5"/>
    </x:row>
    <x:row r="55">
      <x:c r="A55" s="119"/>
      <x:c r="B55" s="206"/>
      <x:c r="C55" s="206"/>
      <x:c r="D55" s="206"/>
      <x:c r="E55" s="206"/>
      <x:c r="F55" s="206"/>
      <x:c r="G55" s="206"/>
      <x:c r="H55" s="206"/>
      <x:c r="I55" s="206"/>
      <x:c r="J55" s="206"/>
      <x:c r="K55" s="206"/>
      <x:c r="L55" s="5"/>
    </x:row>
    <x:row r="56">
      <x:c r="A56" s="119"/>
      <x:c r="B56" s="206"/>
      <x:c r="C56" s="206"/>
      <x:c r="D56" s="206"/>
      <x:c r="E56" s="206"/>
      <x:c r="F56" s="206"/>
      <x:c r="G56" s="206"/>
      <x:c r="H56" s="206"/>
      <x:c r="I56" s="206"/>
      <x:c r="J56" s="206"/>
      <x:c r="K56" s="206"/>
      <x:c r="L56" s="5"/>
    </x:row>
    <x:row r="57">
      <x:c r="A57" s="119"/>
      <x:c r="B57" s="206"/>
      <x:c r="C57" s="206"/>
      <x:c r="D57" s="206"/>
      <x:c r="E57" s="206"/>
      <x:c r="F57" s="206"/>
      <x:c r="G57" s="206"/>
      <x:c r="H57" s="206"/>
      <x:c r="I57" s="206"/>
      <x:c r="J57" s="206"/>
      <x:c r="K57" s="206"/>
      <x:c r="L57" s="5"/>
    </x:row>
    <x:row r="58">
      <x:c r="A58" s="119"/>
      <x:c r="B58" s="206"/>
      <x:c r="C58" s="206"/>
      <x:c r="D58" s="206"/>
      <x:c r="E58" s="206"/>
      <x:c r="F58" s="206"/>
      <x:c r="G58" s="206"/>
      <x:c r="H58" s="206"/>
      <x:c r="I58" s="206"/>
      <x:c r="J58" s="206"/>
      <x:c r="K58" s="206"/>
      <x:c r="L58" s="5"/>
    </x:row>
    <x:row r="59">
      <x:c r="A59" s="119"/>
      <x:c r="B59" s="206"/>
      <x:c r="C59" s="206"/>
      <x:c r="D59" s="206"/>
      <x:c r="E59" s="206"/>
      <x:c r="F59" s="206"/>
      <x:c r="G59" s="206"/>
      <x:c r="H59" s="206"/>
      <x:c r="I59" s="206"/>
      <x:c r="J59" s="206"/>
      <x:c r="K59" s="206"/>
      <x:c r="L59" s="5"/>
    </x:row>
    <x:row r="60">
      <x:c r="A60" s="119"/>
      <x:c r="B60" s="206"/>
      <x:c r="C60" s="206"/>
      <x:c r="D60" s="206"/>
      <x:c r="E60" s="206"/>
      <x:c r="F60" s="206"/>
      <x:c r="G60" s="206"/>
      <x:c r="H60" s="206"/>
      <x:c r="I60" s="206"/>
      <x:c r="J60" s="206"/>
      <x:c r="K60" s="206"/>
      <x:c r="L60" s="5"/>
    </x:row>
    <x:row r="61">
      <x:c r="A61" s="119"/>
      <x:c r="B61" s="206"/>
      <x:c r="C61" s="206"/>
      <x:c r="D61" s="206"/>
      <x:c r="E61" s="206"/>
      <x:c r="F61" s="206"/>
      <x:c r="G61" s="206"/>
      <x:c r="H61" s="206"/>
      <x:c r="I61" s="206"/>
      <x:c r="J61" s="206"/>
      <x:c r="K61" s="206"/>
      <x:c r="L61" s="5"/>
    </x:row>
    <x:row r="62">
      <x:c r="A62" s="119"/>
      <x:c r="B62" s="206"/>
      <x:c r="C62" s="206"/>
      <x:c r="D62" s="206"/>
      <x:c r="E62" s="206"/>
      <x:c r="F62" s="206"/>
      <x:c r="G62" s="206"/>
      <x:c r="H62" s="206"/>
      <x:c r="I62" s="206"/>
      <x:c r="J62" s="206"/>
      <x:c r="K62" s="206"/>
      <x:c r="L62" s="5"/>
    </x:row>
    <x:row r="63">
      <x:c r="A63" s="119"/>
      <x:c r="B63" s="206"/>
      <x:c r="C63" s="206"/>
      <x:c r="D63" s="206"/>
      <x:c r="E63" s="206"/>
      <x:c r="F63" s="206"/>
      <x:c r="G63" s="206"/>
      <x:c r="H63" s="206"/>
      <x:c r="I63" s="206"/>
      <x:c r="J63" s="206"/>
      <x:c r="K63" s="206"/>
      <x:c r="L63" s="5"/>
    </x:row>
    <x:row r="64">
      <x:c r="A64" s="119"/>
      <x:c r="B64" s="206"/>
      <x:c r="C64" s="206"/>
      <x:c r="D64" s="206"/>
      <x:c r="E64" s="206"/>
      <x:c r="F64" s="206"/>
      <x:c r="G64" s="206"/>
      <x:c r="H64" s="206"/>
      <x:c r="I64" s="206"/>
      <x:c r="J64" s="206"/>
      <x:c r="K64" s="206"/>
      <x:c r="L64" s="5"/>
    </x:row>
    <x:row r="65">
      <x:c r="A65" s="119"/>
      <x:c r="B65" s="206"/>
      <x:c r="C65" s="206"/>
      <x:c r="D65" s="206"/>
      <x:c r="E65" s="206"/>
      <x:c r="F65" s="206"/>
      <x:c r="G65" s="206"/>
      <x:c r="H65" s="206"/>
      <x:c r="I65" s="206"/>
      <x:c r="J65" s="206"/>
      <x:c r="K65" s="206"/>
      <x:c r="L65" s="5"/>
    </x:row>
    <x:row r="66">
      <x:c r="A66" s="119"/>
      <x:c r="B66" s="206"/>
      <x:c r="C66" s="206"/>
      <x:c r="D66" s="206"/>
      <x:c r="E66" s="206"/>
      <x:c r="F66" s="206"/>
      <x:c r="G66" s="206"/>
      <x:c r="H66" s="206"/>
      <x:c r="I66" s="206"/>
      <x:c r="J66" s="206"/>
      <x:c r="K66" s="206"/>
      <x:c r="L66" s="5"/>
    </x:row>
    <x:row r="67">
      <x:c r="A67" s="119"/>
      <x:c r="B67" s="206"/>
      <x:c r="C67" s="206"/>
      <x:c r="D67" s="206"/>
      <x:c r="E67" s="206"/>
      <x:c r="F67" s="206"/>
      <x:c r="G67" s="206"/>
      <x:c r="H67" s="206"/>
      <x:c r="I67" s="206"/>
      <x:c r="J67" s="206"/>
      <x:c r="K67" s="206"/>
      <x:c r="L67" s="5"/>
    </x:row>
    <x:row r="68">
      <x:c r="A68" s="119"/>
      <x:c r="B68" s="206"/>
      <x:c r="C68" s="206"/>
      <x:c r="D68" s="206"/>
      <x:c r="E68" s="206"/>
      <x:c r="F68" s="206"/>
      <x:c r="G68" s="206"/>
      <x:c r="H68" s="206"/>
      <x:c r="I68" s="206"/>
      <x:c r="J68" s="206"/>
      <x:c r="K68" s="206"/>
      <x:c r="L68" s="5"/>
    </x:row>
    <x:row r="69">
      <x:c r="A69" s="119"/>
      <x:c r="B69" s="206"/>
      <x:c r="C69" s="206"/>
      <x:c r="D69" s="206"/>
      <x:c r="E69" s="206"/>
      <x:c r="F69" s="206"/>
      <x:c r="G69" s="206"/>
      <x:c r="H69" s="206"/>
      <x:c r="I69" s="206"/>
      <x:c r="J69" s="206"/>
      <x:c r="K69" s="206"/>
      <x:c r="L69" s="5"/>
    </x:row>
    <x:row r="70">
      <x:c r="A70" s="119"/>
      <x:c r="B70" s="206"/>
      <x:c r="C70" s="206"/>
      <x:c r="D70" s="206"/>
      <x:c r="E70" s="206"/>
      <x:c r="F70" s="206"/>
      <x:c r="G70" s="206"/>
      <x:c r="H70" s="206"/>
      <x:c r="I70" s="206"/>
      <x:c r="J70" s="206"/>
      <x:c r="K70" s="206"/>
      <x:c r="L70" s="5"/>
    </x:row>
    <x:row r="71">
      <x:c r="A71" s="119"/>
      <x:c r="B71" s="206"/>
      <x:c r="C71" s="206"/>
      <x:c r="D71" s="206"/>
      <x:c r="E71" s="206"/>
      <x:c r="F71" s="206"/>
      <x:c r="G71" s="206"/>
      <x:c r="H71" s="206"/>
      <x:c r="I71" s="206"/>
      <x:c r="J71" s="206"/>
      <x:c r="K71" s="206"/>
      <x:c r="L71" s="5"/>
    </x:row>
    <x:row r="72">
      <x:c r="A72" s="119"/>
      <x:c r="B72" s="206"/>
      <x:c r="C72" s="206"/>
      <x:c r="D72" s="206"/>
      <x:c r="E72" s="206"/>
      <x:c r="F72" s="206"/>
      <x:c r="G72" s="206"/>
      <x:c r="H72" s="206"/>
      <x:c r="I72" s="206"/>
      <x:c r="J72" s="206"/>
      <x:c r="K72" s="206"/>
      <x:c r="L72" s="5"/>
    </x:row>
    <x:row r="73">
      <x:c r="A73" s="119"/>
      <x:c r="B73" s="206"/>
      <x:c r="C73" s="206"/>
      <x:c r="D73" s="206"/>
      <x:c r="E73" s="206"/>
      <x:c r="F73" s="206"/>
      <x:c r="G73" s="206"/>
      <x:c r="H73" s="206"/>
      <x:c r="I73" s="206"/>
      <x:c r="J73" s="206"/>
      <x:c r="K73" s="206"/>
      <x:c r="L73" s="5"/>
    </x:row>
    <x:row r="74">
      <x:c r="A74" s="119"/>
      <x:c r="B74" s="206"/>
      <x:c r="C74" s="206"/>
      <x:c r="D74" s="206"/>
      <x:c r="E74" s="206"/>
      <x:c r="F74" s="206"/>
      <x:c r="G74" s="206"/>
      <x:c r="H74" s="206"/>
      <x:c r="I74" s="206"/>
      <x:c r="J74" s="206"/>
      <x:c r="K74" s="206"/>
      <x:c r="L74" s="5"/>
    </x:row>
    <x:row r="75">
      <x:c r="A75" s="119"/>
      <x:c r="B75" s="206"/>
      <x:c r="C75" s="206"/>
      <x:c r="D75" s="206"/>
      <x:c r="E75" s="206"/>
      <x:c r="F75" s="206"/>
      <x:c r="G75" s="206"/>
      <x:c r="H75" s="206"/>
      <x:c r="I75" s="206"/>
      <x:c r="J75" s="206"/>
      <x:c r="K75" s="206"/>
      <x:c r="L75" s="5"/>
    </x:row>
    <x:row r="76">
      <x:c r="A76" s="119"/>
      <x:c r="B76" s="206"/>
      <x:c r="C76" s="206"/>
      <x:c r="D76" s="206"/>
      <x:c r="E76" s="206"/>
      <x:c r="F76" s="206"/>
      <x:c r="G76" s="206"/>
      <x:c r="H76" s="206"/>
      <x:c r="I76" s="206"/>
      <x:c r="J76" s="206"/>
      <x:c r="K76" s="206"/>
      <x:c r="L76" s="5"/>
    </x:row>
    <x:row r="77">
      <x:c r="A77" s="119"/>
      <x:c r="B77" s="206"/>
      <x:c r="C77" s="206"/>
      <x:c r="D77" s="206"/>
      <x:c r="E77" s="206"/>
      <x:c r="F77" s="206"/>
      <x:c r="G77" s="206"/>
      <x:c r="H77" s="206"/>
      <x:c r="I77" s="206"/>
      <x:c r="J77" s="206"/>
      <x:c r="K77" s="206"/>
      <x:c r="L77" s="5"/>
    </x:row>
    <x:row r="78">
      <x:c r="A78" s="119"/>
      <x:c r="B78" s="206"/>
      <x:c r="C78" s="206"/>
      <x:c r="D78" s="206"/>
      <x:c r="E78" s="206"/>
      <x:c r="F78" s="206"/>
      <x:c r="G78" s="206"/>
      <x:c r="H78" s="206"/>
      <x:c r="I78" s="206"/>
      <x:c r="J78" s="206"/>
      <x:c r="K78" s="206"/>
      <x:c r="L78" s="5"/>
    </x:row>
    <x:row r="79">
      <x:c r="A79" s="119"/>
      <x:c r="B79" s="206"/>
      <x:c r="C79" s="206"/>
      <x:c r="D79" s="206"/>
      <x:c r="E79" s="206"/>
      <x:c r="F79" s="206"/>
      <x:c r="G79" s="206"/>
      <x:c r="H79" s="206"/>
      <x:c r="I79" s="206"/>
      <x:c r="J79" s="206"/>
      <x:c r="K79" s="206"/>
      <x:c r="L79" s="5"/>
    </x:row>
    <x:row r="80">
      <x:c r="A80" s="119"/>
      <x:c r="B80" s="206"/>
      <x:c r="C80" s="206"/>
      <x:c r="D80" s="206"/>
      <x:c r="E80" s="206"/>
      <x:c r="F80" s="206"/>
      <x:c r="G80" s="206"/>
      <x:c r="H80" s="206"/>
      <x:c r="I80" s="206"/>
      <x:c r="J80" s="206"/>
      <x:c r="K80" s="206"/>
      <x:c r="L80" s="5"/>
    </x:row>
    <x:row r="81">
      <x:c r="B81" s="260"/>
      <x:c r="C81" s="260"/>
      <x:c r="D81" s="260"/>
      <x:c r="E81" s="260"/>
      <x:c r="F81" s="260"/>
      <x:c r="G81" s="260"/>
      <x:c r="H81" s="260"/>
      <x:c r="I81" s="260"/>
      <x:c r="J81" s="260"/>
      <x:c r="K81" s="260"/>
    </x:row>
    <x:row r="82">
      <x:c r="B82" s="260"/>
      <x:c r="C82" s="260"/>
      <x:c r="D82" s="260"/>
      <x:c r="E82" s="260"/>
      <x:c r="F82" s="260"/>
      <x:c r="G82" s="260"/>
      <x:c r="H82" s="260"/>
      <x:c r="I82" s="260"/>
      <x:c r="J82" s="260"/>
      <x:c r="K82" s="260"/>
    </x:row>
    <x:row r="83">
      <x:c r="B83" s="260"/>
      <x:c r="C83" s="260"/>
      <x:c r="D83" s="260"/>
      <x:c r="E83" s="260"/>
      <x:c r="F83" s="260"/>
      <x:c r="G83" s="260"/>
      <x:c r="H83" s="260"/>
      <x:c r="I83" s="260"/>
      <x:c r="J83" s="260"/>
      <x:c r="K83" s="260"/>
    </x:row>
    <x:row r="84">
      <x:c r="B84" s="260"/>
      <x:c r="C84" s="260"/>
      <x:c r="D84" s="260"/>
      <x:c r="E84" s="260"/>
      <x:c r="F84" s="260"/>
      <x:c r="G84" s="260"/>
      <x:c r="H84" s="260"/>
      <x:c r="I84" s="260"/>
      <x:c r="J84" s="260"/>
      <x:c r="K84" s="260"/>
    </x:row>
    <x:row r="85">
      <x:c r="B85" s="260"/>
      <x:c r="C85" s="260"/>
      <x:c r="D85" s="260"/>
      <x:c r="E85" s="260"/>
      <x:c r="F85" s="260"/>
      <x:c r="G85" s="260"/>
      <x:c r="H85" s="260"/>
      <x:c r="I85" s="260"/>
      <x:c r="J85" s="260"/>
      <x:c r="K85" s="260"/>
    </x:row>
    <x:row r="86">
      <x:c r="B86" s="260"/>
      <x:c r="C86" s="260"/>
      <x:c r="D86" s="260"/>
      <x:c r="E86" s="260"/>
      <x:c r="F86" s="260"/>
      <x:c r="G86" s="260"/>
      <x:c r="H86" s="260"/>
      <x:c r="I86" s="260"/>
      <x:c r="J86" s="260"/>
      <x:c r="K86" s="260"/>
    </x:row>
    <x:row r="87">
      <x:c r="B87" s="260"/>
      <x:c r="C87" s="260"/>
      <x:c r="D87" s="260"/>
      <x:c r="E87" s="260"/>
      <x:c r="F87" s="260"/>
      <x:c r="G87" s="260"/>
      <x:c r="H87" s="260"/>
      <x:c r="I87" s="260"/>
      <x:c r="J87" s="260"/>
      <x:c r="K87" s="260"/>
    </x:row>
    <x:row r="88">
      <x:c r="B88" s="260"/>
      <x:c r="C88" s="260"/>
      <x:c r="D88" s="260"/>
      <x:c r="E88" s="260"/>
      <x:c r="F88" s="260"/>
      <x:c r="G88" s="260"/>
      <x:c r="H88" s="260"/>
      <x:c r="I88" s="260"/>
      <x:c r="J88" s="260"/>
      <x:c r="K88" s="260"/>
    </x:row>
    <x:row r="89">
      <x:c r="B89" s="260"/>
      <x:c r="C89" s="260"/>
      <x:c r="D89" s="260"/>
      <x:c r="E89" s="260"/>
      <x:c r="F89" s="260"/>
      <x:c r="G89" s="260"/>
      <x:c r="H89" s="260"/>
      <x:c r="I89" s="260"/>
      <x:c r="J89" s="260"/>
      <x:c r="K89" s="260"/>
    </x:row>
    <x:row r="90">
      <x:c r="B90" s="260"/>
      <x:c r="C90" s="260"/>
      <x:c r="D90" s="260"/>
      <x:c r="E90" s="260"/>
      <x:c r="F90" s="260"/>
      <x:c r="G90" s="260"/>
      <x:c r="H90" s="260"/>
      <x:c r="I90" s="260"/>
      <x:c r="J90" s="260"/>
      <x:c r="K90" s="260"/>
    </x:row>
    <x:row r="91">
      <x:c r="B91" s="260"/>
      <x:c r="C91" s="260"/>
      <x:c r="D91" s="260"/>
      <x:c r="E91" s="260"/>
      <x:c r="F91" s="260"/>
      <x:c r="G91" s="260"/>
      <x:c r="H91" s="260"/>
      <x:c r="I91" s="260"/>
      <x:c r="J91" s="260"/>
      <x:c r="K91" s="260"/>
    </x:row>
    <x:row r="92">
      <x:c r="B92" s="260"/>
      <x:c r="C92" s="260"/>
      <x:c r="D92" s="260"/>
      <x:c r="E92" s="260"/>
      <x:c r="F92" s="260"/>
      <x:c r="G92" s="260"/>
      <x:c r="H92" s="260"/>
      <x:c r="I92" s="260"/>
      <x:c r="J92" s="260"/>
      <x:c r="K92" s="260"/>
    </x:row>
    <x:row r="93">
      <x:c r="B93" s="260"/>
      <x:c r="C93" s="260"/>
      <x:c r="D93" s="260"/>
      <x:c r="E93" s="260"/>
      <x:c r="F93" s="260"/>
      <x:c r="G93" s="260"/>
      <x:c r="H93" s="260"/>
      <x:c r="I93" s="260"/>
      <x:c r="J93" s="260"/>
      <x:c r="K93" s="260"/>
    </x:row>
    <x:row r="94">
      <x:c r="B94" s="260"/>
      <x:c r="C94" s="260"/>
      <x:c r="D94" s="260"/>
      <x:c r="E94" s="260"/>
      <x:c r="F94" s="260"/>
      <x:c r="G94" s="260"/>
      <x:c r="H94" s="260"/>
      <x:c r="I94" s="260"/>
      <x:c r="J94" s="260"/>
      <x:c r="K94" s="260"/>
    </x:row>
    <x:row r="95">
      <x:c r="B95" s="260"/>
      <x:c r="C95" s="260"/>
      <x:c r="D95" s="260"/>
      <x:c r="E95" s="260"/>
      <x:c r="F95" s="260"/>
      <x:c r="G95" s="260"/>
      <x:c r="H95" s="260"/>
      <x:c r="I95" s="260"/>
      <x:c r="J95" s="260"/>
      <x:c r="K95" s="260"/>
    </x:row>
    <x:row r="96">
      <x:c r="B96" s="260"/>
      <x:c r="C96" s="260"/>
      <x:c r="D96" s="260"/>
      <x:c r="E96" s="260"/>
      <x:c r="F96" s="260"/>
      <x:c r="G96" s="260"/>
      <x:c r="H96" s="260"/>
      <x:c r="I96" s="260"/>
      <x:c r="J96" s="260"/>
      <x:c r="K96" s="260"/>
    </x:row>
    <x:row r="97">
      <x:c r="B97" s="260"/>
      <x:c r="C97" s="260"/>
      <x:c r="D97" s="260"/>
      <x:c r="E97" s="260"/>
      <x:c r="F97" s="260"/>
      <x:c r="G97" s="260"/>
      <x:c r="H97" s="260"/>
      <x:c r="I97" s="260"/>
      <x:c r="J97" s="260"/>
      <x:c r="K97" s="260"/>
    </x:row>
    <x:row r="98">
      <x:c r="B98" s="260"/>
      <x:c r="C98" s="260"/>
      <x:c r="D98" s="260"/>
      <x:c r="E98" s="260"/>
      <x:c r="F98" s="260"/>
      <x:c r="G98" s="260"/>
      <x:c r="H98" s="260"/>
      <x:c r="I98" s="260"/>
      <x:c r="J98" s="260"/>
      <x:c r="K98" s="260"/>
    </x:row>
    <x:row r="99">
      <x:c r="B99" s="260"/>
      <x:c r="C99" s="260"/>
      <x:c r="D99" s="260"/>
      <x:c r="E99" s="260"/>
      <x:c r="F99" s="260"/>
      <x:c r="G99" s="260"/>
      <x:c r="H99" s="260"/>
      <x:c r="I99" s="260"/>
      <x:c r="J99" s="260"/>
      <x:c r="K99" s="260"/>
    </x:row>
    <x:row r="100">
      <x:c r="B100" s="260"/>
      <x:c r="C100" s="260"/>
      <x:c r="D100" s="260"/>
      <x:c r="E100" s="260"/>
      <x:c r="F100" s="260"/>
      <x:c r="G100" s="260"/>
      <x:c r="H100" s="260"/>
      <x:c r="I100" s="260"/>
      <x:c r="J100" s="260"/>
      <x:c r="K100" s="260"/>
    </x:row>
    <x:row r="101">
      <x:c r="B101" s="260"/>
      <x:c r="C101" s="260"/>
      <x:c r="D101" s="260"/>
      <x:c r="E101" s="260"/>
      <x:c r="F101" s="260"/>
      <x:c r="G101" s="260"/>
      <x:c r="H101" s="260"/>
      <x:c r="I101" s="260"/>
      <x:c r="J101" s="260"/>
      <x:c r="K101" s="260"/>
    </x:row>
    <x:row r="102">
      <x:c r="B102" s="260"/>
      <x:c r="C102" s="260"/>
      <x:c r="D102" s="260"/>
      <x:c r="E102" s="260"/>
      <x:c r="F102" s="260"/>
      <x:c r="G102" s="260"/>
      <x:c r="H102" s="260"/>
      <x:c r="I102" s="260"/>
      <x:c r="J102" s="260"/>
      <x:c r="K102" s="260"/>
    </x:row>
    <x:row r="103">
      <x:c r="B103" s="260"/>
      <x:c r="C103" s="260"/>
      <x:c r="D103" s="260"/>
      <x:c r="E103" s="260"/>
      <x:c r="F103" s="260"/>
      <x:c r="G103" s="260"/>
      <x:c r="H103" s="260"/>
      <x:c r="I103" s="260"/>
      <x:c r="J103" s="260"/>
      <x:c r="K103" s="260"/>
    </x:row>
    <x:row r="104">
      <x:c r="B104" s="260"/>
      <x:c r="C104" s="260"/>
      <x:c r="D104" s="260"/>
      <x:c r="E104" s="260"/>
      <x:c r="F104" s="260"/>
      <x:c r="G104" s="260"/>
      <x:c r="H104" s="260"/>
      <x:c r="I104" s="260"/>
      <x:c r="J104" s="260"/>
      <x:c r="K104" s="260"/>
    </x:row>
    <x:row r="105">
      <x:c r="B105" s="260"/>
      <x:c r="C105" s="260"/>
      <x:c r="D105" s="260"/>
      <x:c r="E105" s="260"/>
      <x:c r="F105" s="260"/>
      <x:c r="G105" s="260"/>
      <x:c r="H105" s="260"/>
      <x:c r="I105" s="260"/>
      <x:c r="J105" s="260"/>
      <x:c r="K105" s="260"/>
    </x:row>
    <x:row r="106">
      <x:c r="B106" s="260"/>
      <x:c r="C106" s="260"/>
      <x:c r="D106" s="260"/>
      <x:c r="E106" s="260"/>
      <x:c r="F106" s="260"/>
      <x:c r="G106" s="260"/>
      <x:c r="H106" s="260"/>
      <x:c r="I106" s="260"/>
      <x:c r="J106" s="260"/>
      <x:c r="K106" s="260"/>
    </x:row>
    <x:row r="107">
      <x:c r="B107" s="260"/>
      <x:c r="C107" s="260"/>
      <x:c r="D107" s="260"/>
      <x:c r="E107" s="260"/>
      <x:c r="F107" s="260"/>
      <x:c r="G107" s="260"/>
      <x:c r="H107" s="260"/>
      <x:c r="I107" s="260"/>
      <x:c r="J107" s="260"/>
      <x:c r="K107" s="260"/>
    </x:row>
    <x:row r="108">
      <x:c r="B108" s="260"/>
      <x:c r="C108" s="260"/>
      <x:c r="D108" s="260"/>
      <x:c r="E108" s="260"/>
      <x:c r="F108" s="260"/>
      <x:c r="G108" s="260"/>
      <x:c r="H108" s="260"/>
      <x:c r="I108" s="260"/>
      <x:c r="J108" s="260"/>
      <x:c r="K108" s="260"/>
    </x:row>
    <x:row r="109">
      <x:c r="B109" s="260"/>
      <x:c r="C109" s="260"/>
      <x:c r="D109" s="260"/>
      <x:c r="E109" s="260"/>
      <x:c r="F109" s="260"/>
      <x:c r="G109" s="260"/>
      <x:c r="H109" s="260"/>
      <x:c r="I109" s="260"/>
      <x:c r="J109" s="260"/>
      <x:c r="K109" s="260"/>
    </x:row>
    <x:row r="110">
      <x:c r="B110" s="260"/>
      <x:c r="C110" s="260"/>
      <x:c r="D110" s="260"/>
      <x:c r="E110" s="260"/>
      <x:c r="F110" s="260"/>
      <x:c r="G110" s="260"/>
      <x:c r="H110" s="260"/>
      <x:c r="I110" s="260"/>
      <x:c r="J110" s="260"/>
      <x:c r="K110" s="260"/>
    </x:row>
    <x:row r="111">
      <x:c r="B111" s="260"/>
      <x:c r="C111" s="260"/>
      <x:c r="D111" s="260"/>
      <x:c r="E111" s="260"/>
      <x:c r="F111" s="260"/>
      <x:c r="G111" s="260"/>
      <x:c r="H111" s="260"/>
      <x:c r="I111" s="260"/>
      <x:c r="J111" s="260"/>
      <x:c r="K111" s="260"/>
    </x:row>
    <x:row r="112">
      <x:c r="B112" s="260"/>
      <x:c r="C112" s="260"/>
      <x:c r="D112" s="260"/>
      <x:c r="E112" s="260"/>
      <x:c r="F112" s="260"/>
      <x:c r="G112" s="260"/>
      <x:c r="H112" s="260"/>
      <x:c r="I112" s="260"/>
      <x:c r="J112" s="260"/>
      <x:c r="K112" s="260"/>
    </x:row>
    <x:row r="113">
      <x:c r="B113" s="260"/>
      <x:c r="C113" s="260"/>
      <x:c r="D113" s="260"/>
      <x:c r="E113" s="260"/>
      <x:c r="F113" s="260"/>
      <x:c r="G113" s="260"/>
      <x:c r="H113" s="260"/>
      <x:c r="I113" s="260"/>
      <x:c r="J113" s="260"/>
      <x:c r="K113" s="260"/>
    </x:row>
    <x:row r="114">
      <x:c r="B114" s="260"/>
      <x:c r="C114" s="260"/>
      <x:c r="D114" s="260"/>
      <x:c r="E114" s="260"/>
      <x:c r="F114" s="260"/>
      <x:c r="G114" s="260"/>
      <x:c r="H114" s="260"/>
      <x:c r="I114" s="260"/>
      <x:c r="J114" s="260"/>
      <x:c r="K114" s="260"/>
    </x:row>
    <x:row r="115">
      <x:c r="B115" s="260"/>
      <x:c r="C115" s="260"/>
      <x:c r="D115" s="260"/>
      <x:c r="E115" s="260"/>
      <x:c r="F115" s="260"/>
      <x:c r="G115" s="260"/>
      <x:c r="H115" s="260"/>
      <x:c r="I115" s="260"/>
      <x:c r="J115" s="260"/>
      <x:c r="K115" s="260"/>
    </x:row>
    <x:row r="116">
      <x:c r="B116" s="260"/>
      <x:c r="C116" s="260"/>
      <x:c r="D116" s="260"/>
      <x:c r="E116" s="260"/>
      <x:c r="F116" s="260"/>
      <x:c r="G116" s="260"/>
      <x:c r="H116" s="260"/>
      <x:c r="I116" s="260"/>
      <x:c r="J116" s="260"/>
      <x:c r="K116" s="260"/>
    </x:row>
    <x:row r="117">
      <x:c r="B117" s="260"/>
      <x:c r="C117" s="260"/>
      <x:c r="D117" s="260"/>
      <x:c r="E117" s="260"/>
      <x:c r="F117" s="260"/>
      <x:c r="G117" s="260"/>
      <x:c r="H117" s="260"/>
      <x:c r="I117" s="260"/>
      <x:c r="J117" s="260"/>
      <x:c r="K117" s="260"/>
    </x:row>
    <x:row r="118">
      <x:c r="B118" s="260"/>
      <x:c r="C118" s="260"/>
      <x:c r="D118" s="260"/>
      <x:c r="E118" s="260"/>
      <x:c r="F118" s="260"/>
      <x:c r="G118" s="260"/>
      <x:c r="H118" s="260"/>
      <x:c r="I118" s="260"/>
      <x:c r="J118" s="260"/>
      <x:c r="K118" s="260"/>
    </x:row>
    <x:row r="119">
      <x:c r="B119" s="260"/>
      <x:c r="C119" s="260"/>
      <x:c r="D119" s="260"/>
      <x:c r="E119" s="260"/>
      <x:c r="F119" s="260"/>
      <x:c r="G119" s="260"/>
      <x:c r="H119" s="260"/>
      <x:c r="I119" s="260"/>
      <x:c r="J119" s="260"/>
      <x:c r="K119" s="260"/>
    </x:row>
    <x:row r="120">
      <x:c r="B120" s="260"/>
      <x:c r="C120" s="260"/>
      <x:c r="D120" s="260"/>
      <x:c r="E120" s="260"/>
      <x:c r="F120" s="260"/>
      <x:c r="G120" s="260"/>
      <x:c r="H120" s="260"/>
      <x:c r="I120" s="260"/>
      <x:c r="J120" s="260"/>
      <x:c r="K120" s="260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30.709999084472656" hidden="0" customWidth="1"/>
    <x:col min="2" max="2" width="12.859999656677246" hidden="0" customWidth="1"/>
    <x:col min="3" max="3" width="12.859999656677246" hidden="0" customWidth="1"/>
    <x:col min="4" max="4" width="12.859999656677246" hidden="0" customWidth="1"/>
    <x:col min="5" max="5" width="12.859999656677246" hidden="0" customWidth="1"/>
    <x:col min="6" max="6" width="12.859999656677246" hidden="0" customWidth="1"/>
    <x:col min="7" max="7" width="12.859999656677246" hidden="0" customWidth="1"/>
  </x:cols>
  <x:sheetData>
    <x:row r="1">
      <x:c r="A1" s="4" t="str">
        <x:v>FYE: February.  Units: $ in millions except per-share data, shares in millions, ratios, and noted operating drivers.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>
      <x:c r="A3" s="144" t="str">
        <x:v>WACC vs terminal growth</x:v>
      </x:c>
      <x:c r="B3" s="144" t="str">
        <x:v>2.0%</x:v>
      </x:c>
      <x:c r="C3" s="144" t="str">
        <x:v>2.5%</x:v>
      </x:c>
      <x:c r="D3" s="144" t="str">
        <x:v>3.0%</x:v>
      </x:c>
      <x:c r="E3" s="144" t="str">
        <x:v>3.5%</x:v>
      </x:c>
      <x:c r="F3" s="144" t="str">
        <x:v>4.0%</x:v>
      </x:c>
      <x:c r="G3" s="144" t="str"/>
      <x:c r="H3" s="119"/>
      <x:c r="I3" s="119"/>
      <x:c r="J3" s="119"/>
      <x:c r="K3" s="119"/>
      <x:c r="L3" s="5"/>
    </x:row>
    <x:row r="4">
      <x:c r="A4" s="218" t="n">
        <x:v>0.075</x:v>
      </x:c>
      <x:c r="B4" s="262" t="n">
        <x:f>(DCF!B11/(1+$A4)^0.5+DCF!C11/(1+$A4)^1.5+DCF!D11/(1+$A4)^2.5+DCF!E11/(1+$A4)^3.5+DCF!F11/(1+$A4)^4.5+(DCF!F11*(1+0.02)/($A4-0.02))/(1+$A4)^4.5+DCF!B27-DCF!B26)/DCF!B32</x:f>
        <x:v>31.51812755047786</x:v>
      </x:c>
      <x:c r="C4" s="262" t="n">
        <x:f>(DCF!B11/(1+$A4)^0.5+DCF!C11/(1+$A4)^1.5+DCF!D11/(1+$A4)^2.5+DCF!E11/(1+$A4)^3.5+DCF!F11/(1+$A4)^4.5+(DCF!F11*(1+0.025)/($A4-0.025))/(1+$A4)^4.5+DCF!B27-DCF!B26)/DCF!B32</x:f>
        <x:v>33.890396904049545</x:v>
      </x:c>
      <x:c r="D4" s="262" t="n">
        <x:f>(DCF!B11/(1+$A4)^0.5+DCF!C11/(1+$A4)^1.5+DCF!D11/(1+$A4)^2.5+DCF!E11/(1+$A4)^3.5+DCF!F11/(1+$A4)^4.5+(DCF!F11*(1+0.03)/($A4-0.03))/(1+$A4)^4.5+DCF!B27-DCF!B26)/DCF!B32</x:f>
        <x:v>36.78983722508162</x:v>
      </x:c>
      <x:c r="E4" s="262" t="n">
        <x:f>(DCF!B11/(1+$A4)^0.5+DCF!C11/(1+$A4)^1.5+DCF!D11/(1+$A4)^2.5+DCF!E11/(1+$A4)^3.5+DCF!F11/(1+$A4)^4.5+(DCF!F11*(1+0.035)/($A4-0.035))/(1+$A4)^4.5+DCF!B27-DCF!B26)/DCF!B32</x:f>
        <x:v>40.414137626371705</x:v>
      </x:c>
      <x:c r="F4" s="262" t="n">
        <x:f>(DCF!B11/(1+$A4)^0.5+DCF!C11/(1+$A4)^1.5+DCF!D11/(1+$A4)^2.5+DCF!E11/(1+$A4)^3.5+DCF!F11/(1+$A4)^4.5+(DCF!F11*(1+0.04)/($A4-0.04))/(1+$A4)^4.5+DCF!B27-DCF!B26)/DCF!B32</x:f>
        <x:v>45.073952428030395</x:v>
      </x:c>
      <x:c r="G4" s="206"/>
      <x:c r="H4" s="206"/>
      <x:c r="I4" s="206"/>
      <x:c r="J4" s="206"/>
      <x:c r="K4" s="206"/>
      <x:c r="L4" s="5"/>
    </x:row>
    <x:row r="5">
      <x:c r="A5" s="218" t="n">
        <x:v>0.08</x:v>
      </x:c>
      <x:c r="B5" s="262" t="n">
        <x:f>(DCF!B11/(1+$A5)^0.5+DCF!C11/(1+$A5)^1.5+DCF!D11/(1+$A5)^2.5+DCF!E11/(1+$A5)^3.5+DCF!F11/(1+$A5)^4.5+(DCF!F11*(1+0.02)/($A5-0.02))/(1+$A5)^4.5+DCF!B27-DCF!B26)/DCF!B32</x:f>
        <x:v>29.1558860989204</x:v>
      </x:c>
      <x:c r="C5" s="262" t="n">
        <x:f>(DCF!B11/(1+$A5)^0.5+DCF!C11/(1+$A5)^1.5+DCF!D11/(1+$A5)^2.5+DCF!E11/(1+$A5)^3.5+DCF!F11/(1+$A5)^4.5+(DCF!F11*(1+0.025)/($A5-0.025))/(1+$A5)^4.5+DCF!B27-DCF!B26)/DCF!B32</x:f>
        <x:v>31.10092921585702</x:v>
      </x:c>
      <x:c r="D5" s="262" t="n">
        <x:f>(DCF!B11/(1+$A5)^0.5+DCF!C11/(1+$A5)^1.5+DCF!D11/(1+$A5)^2.5+DCF!E11/(1+$A5)^3.5+DCF!F11/(1+$A5)^4.5+(DCF!F11*(1+0.03)/($A5-0.03))/(1+$A5)^4.5+DCF!B27-DCF!B26)/DCF!B32</x:f>
        <x:v>33.43498095618095</x:v>
      </x:c>
      <x:c r="E5" s="262" t="n">
        <x:f>(DCF!B11/(1+$A5)^0.5+DCF!C11/(1+$A5)^1.5+DCF!D11/(1+$A5)^2.5+DCF!E11/(1+$A5)^3.5+DCF!F11/(1+$A5)^4.5+(DCF!F11*(1+0.035)/($A5-0.035))/(1+$A5)^4.5+DCF!B27-DCF!B26)/DCF!B32</x:f>
        <x:v>36.287710861021324</x:v>
      </x:c>
      <x:c r="F5" s="262" t="n">
        <x:f>(DCF!B11/(1+$A5)^0.5+DCF!C11/(1+$A5)^1.5+DCF!D11/(1+$A5)^2.5+DCF!E11/(1+$A5)^3.5+DCF!F11/(1+$A5)^4.5+(DCF!F11*(1+0.04)/($A5-0.04))/(1+$A5)^4.5+DCF!B27-DCF!B26)/DCF!B32</x:f>
        <x:v>39.853623242071784</x:v>
      </x:c>
      <x:c r="G5" s="206"/>
      <x:c r="H5" s="206"/>
      <x:c r="I5" s="206"/>
      <x:c r="J5" s="206"/>
      <x:c r="K5" s="206"/>
      <x:c r="L5" s="5"/>
    </x:row>
    <x:row r="6">
      <x:c r="A6" s="218" t="n">
        <x:v>0.085</x:v>
      </x:c>
      <x:c r="B6" s="262" t="n">
        <x:f>(DCF!B11/(1+$A6)^0.5+DCF!C11/(1+$A6)^1.5+DCF!D11/(1+$A6)^2.5+DCF!E11/(1+$A6)^3.5+DCF!F11/(1+$A6)^4.5+(DCF!F11*(1+0.02)/($A6-0.02))/(1+$A6)^4.5+DCF!B27-DCF!B26)/DCF!B32</x:f>
        <x:v>27.158952944519516</x:v>
      </x:c>
      <x:c r="C6" s="262" t="n">
        <x:f>(DCF!B11/(1+$A6)^0.5+DCF!C11/(1+$A6)^1.5+DCF!D11/(1+$A6)^2.5+DCF!E11/(1+$A6)^3.5+DCF!F11/(1+$A6)^4.5+(DCF!F11*(1+0.025)/($A6-0.025))/(1+$A6)^4.5+DCF!B27-DCF!B26)/DCF!B32</x:f>
        <x:v>28.778365963714553</x:v>
      </x:c>
      <x:c r="D6" s="262" t="n">
        <x:f>(DCF!B11/(1+$A6)^0.5+DCF!C11/(1+$A6)^1.5+DCF!D11/(1+$A6)^2.5+DCF!E11/(1+$A6)^3.5+DCF!F11/(1+$A6)^4.5+(DCF!F11*(1+0.03)/($A6-0.03))/(1+$A6)^4.5+DCF!B27-DCF!B26)/DCF!B32</x:f>
        <x:v>30.692217713672328</x:v>
      </x:c>
      <x:c r="E6" s="262" t="n">
        <x:f>(DCF!B11/(1+$A6)^0.5+DCF!C11/(1+$A6)^1.5+DCF!D11/(1+$A6)^2.5+DCF!E11/(1+$A6)^3.5+DCF!F11/(1+$A6)^4.5+(DCF!F11*(1+0.035)/($A6-0.035))/(1+$A6)^4.5+DCF!B27-DCF!B26)/DCF!B32</x:f>
        <x:v>32.98883981362166</x:v>
      </x:c>
      <x:c r="F6" s="262" t="n">
        <x:f>(DCF!B11/(1+$A6)^0.5+DCF!C11/(1+$A6)^1.5+DCF!D11/(1+$A6)^2.5+DCF!E11/(1+$A6)^3.5+DCF!F11/(1+$A6)^4.5+(DCF!F11*(1+0.04)/($A6-0.04))/(1+$A6)^4.5+DCF!B27-DCF!B26)/DCF!B32</x:f>
        <x:v>35.795822380226404</x:v>
      </x:c>
      <x:c r="G6" s="206"/>
      <x:c r="H6" s="206"/>
      <x:c r="I6" s="206"/>
      <x:c r="J6" s="206"/>
      <x:c r="K6" s="206"/>
      <x:c r="L6" s="5"/>
    </x:row>
    <x:row r="7">
      <x:c r="A7" s="218" t="n">
        <x:v>0.09</x:v>
      </x:c>
      <x:c r="B7" s="262" t="n">
        <x:f>(DCF!B11/(1+$A7)^0.5+DCF!C11/(1+$A7)^1.5+DCF!D11/(1+$A7)^2.5+DCF!E11/(1+$A7)^3.5+DCF!F11/(1+$A7)^4.5+(DCF!F11*(1+0.02)/($A7-0.02))/(1+$A7)^4.5+DCF!B27-DCF!B26)/DCF!B32</x:f>
        <x:v>25.449008770327513</x:v>
      </x:c>
      <x:c r="C7" s="262" t="n">
        <x:f>(DCF!B11/(1+$A7)^0.5+DCF!C11/(1+$A7)^1.5+DCF!D11/(1+$A7)^2.5+DCF!E11/(1+$A7)^3.5+DCF!F11/(1+$A7)^4.5+(DCF!F11*(1+0.025)/($A7-0.025))/(1+$A7)^4.5+DCF!B27-DCF!B26)/DCF!B32</x:f>
        <x:v>26.814919063148277</x:v>
      </x:c>
      <x:c r="D7" s="262" t="n">
        <x:f>(DCF!B11/(1+$A7)^0.5+DCF!C11/(1+$A7)^1.5+DCF!D11/(1+$A7)^2.5+DCF!E11/(1+$A7)^3.5+DCF!F11/(1+$A7)^4.5+(DCF!F11*(1+0.03)/($A7-0.03))/(1+$A7)^4.5+DCF!B27-DCF!B26)/DCF!B32</x:f>
        <x:v>28.40848107143917</x:v>
      </x:c>
      <x:c r="E7" s="262" t="n">
        <x:f>(DCF!B11/(1+$A7)^0.5+DCF!C11/(1+$A7)^1.5+DCF!D11/(1+$A7)^2.5+DCF!E11/(1+$A7)^3.5+DCF!F11/(1+$A7)^4.5+(DCF!F11*(1+0.035)/($A7-0.035))/(1+$A7)^4.5+DCF!B27-DCF!B26)/DCF!B32</x:f>
        <x:v>30.291781626692035</x:v>
      </x:c>
      <x:c r="F7" s="262" t="n">
        <x:f>(DCF!B11/(1+$A7)^0.5+DCF!C11/(1+$A7)^1.5+DCF!D11/(1+$A7)^2.5+DCF!E11/(1+$A7)^3.5+DCF!F11/(1+$A7)^4.5+(DCF!F11*(1+0.04)/($A7-0.04))/(1+$A7)^4.5+DCF!B27-DCF!B26)/DCF!B32</x:f>
        <x:v>32.55174229299548</x:v>
      </x:c>
      <x:c r="G7" s="206"/>
      <x:c r="H7" s="206"/>
      <x:c r="I7" s="206"/>
      <x:c r="J7" s="206"/>
      <x:c r="K7" s="206"/>
      <x:c r="L7" s="5"/>
    </x:row>
    <x:row r="8">
      <x:c r="A8" s="218" t="n">
        <x:v>0.095</x:v>
      </x:c>
      <x:c r="B8" s="262" t="n">
        <x:f>(DCF!B11/(1+$A8)^0.5+DCF!C11/(1+$A8)^1.5+DCF!D11/(1+$A8)^2.5+DCF!E11/(1+$A8)^3.5+DCF!F11/(1+$A8)^4.5+(DCF!F11*(1+0.02)/($A8-0.02))/(1+$A8)^4.5+DCF!B27-DCF!B26)/DCF!B32</x:f>
        <x:v>23.9686203994202</x:v>
      </x:c>
      <x:c r="C8" s="262" t="n">
        <x:f>(DCF!B11/(1+$A8)^0.5+DCF!C11/(1+$A8)^1.5+DCF!D11/(1+$A8)^2.5+DCF!E11/(1+$A8)^3.5+DCF!F11/(1+$A8)^4.5+(DCF!F11*(1+0.025)/($A8-0.025))/(1+$A8)^4.5+DCF!B27-DCF!B26)/DCF!B32</x:f>
        <x:v>25.13359805761809</x:v>
      </x:c>
      <x:c r="D8" s="262" t="n">
        <x:f>(DCF!B11/(1+$A8)^0.5+DCF!C11/(1+$A8)^1.5+DCF!D11/(1+$A8)^2.5+DCF!E11/(1+$A8)^3.5+DCF!F11/(1+$A8)^4.5+(DCF!F11*(1+0.03)/($A8-0.03))/(1+$A8)^4.5+DCF!B27-DCF!B26)/DCF!B32</x:f>
        <x:v>26.47780304784643</x:v>
      </x:c>
      <x:c r="E8" s="262" t="n">
        <x:f>(DCF!B11/(1+$A8)^0.5+DCF!C11/(1+$A8)^1.5+DCF!D11/(1+$A8)^2.5+DCF!E11/(1+$A8)^3.5+DCF!F11/(1+$A8)^4.5+(DCF!F11*(1+0.035)/($A8-0.035))/(1+$A8)^4.5+DCF!B27-DCF!B26)/DCF!B32</x:f>
        <x:v>28.04604220311282</x:v>
      </x:c>
      <x:c r="F8" s="262" t="n">
        <x:f>(DCF!B11/(1+$A8)^0.5+DCF!C11/(1+$A8)^1.5+DCF!D11/(1+$A8)^2.5+DCF!E11/(1+$A8)^3.5+DCF!F11/(1+$A8)^4.5+(DCF!F11*(1+0.04)/($A8-0.04))/(1+$A8)^4.5+DCF!B27-DCF!B26)/DCF!B32</x:f>
        <x:v>29.899415750245822</x:v>
      </x:c>
      <x:c r="G8" s="206"/>
      <x:c r="H8" s="206"/>
      <x:c r="I8" s="206"/>
      <x:c r="J8" s="206"/>
      <x:c r="K8" s="206"/>
      <x:c r="L8" s="5"/>
    </x:row>
    <x:row r="9">
      <x:c r="A9" s="119"/>
      <x:c r="B9" s="262"/>
      <x:c r="C9" s="262"/>
      <x:c r="D9" s="262"/>
      <x:c r="E9" s="262"/>
      <x:c r="F9" s="262"/>
      <x:c r="G9" s="206"/>
      <x:c r="H9" s="206"/>
      <x:c r="I9" s="206"/>
      <x:c r="J9" s="206"/>
      <x:c r="K9" s="206"/>
      <x:c r="L9" s="5"/>
    </x:row>
    <x:row r="10">
      <x:c r="A10" s="119"/>
      <x:c r="B10" s="262"/>
      <x:c r="C10" s="262"/>
      <x:c r="D10" s="262"/>
      <x:c r="E10" s="262"/>
      <x:c r="F10" s="262"/>
      <x:c r="G10" s="206"/>
      <x:c r="H10" s="206"/>
      <x:c r="I10" s="206"/>
      <x:c r="J10" s="206"/>
      <x:c r="K10" s="206"/>
      <x:c r="L10" s="5"/>
    </x:row>
    <x:row r="11">
      <x:c r="A11" s="144" t="str">
        <x:v>WACC vs exit multiple</x:v>
      </x:c>
      <x:c r="B11" s="273" t="str">
        <x:v>10.0x</x:v>
      </x:c>
      <x:c r="C11" s="273" t="str">
        <x:v>12.0x</x:v>
      </x:c>
      <x:c r="D11" s="273" t="str">
        <x:v>14.0x</x:v>
      </x:c>
      <x:c r="E11" s="273" t="str">
        <x:v>16.0x</x:v>
      </x:c>
      <x:c r="F11" s="273" t="str">
        <x:v>18.0x</x:v>
      </x:c>
      <x:c r="G11" s="274" t="str"/>
      <x:c r="H11" s="206"/>
      <x:c r="I11" s="206"/>
      <x:c r="J11" s="206"/>
      <x:c r="K11" s="206"/>
      <x:c r="L11" s="5"/>
    </x:row>
    <x:row r="12">
      <x:c r="A12" s="218" t="n">
        <x:v>0.075</x:v>
      </x:c>
      <x:c r="B12" s="262" t="n">
        <x:f>(DCF!B11/(1+$A12)^0.5+DCF!C11/(1+$A12)^1.5+DCF!D11/(1+$A12)^2.5+DCF!E11/(1+$A12)^3.5+DCF!F11/(1+$A12)^4.5+(DCF!F15*10)/(1+$A12)^5+DCF!B27-DCF!B26)/DCF!B32</x:f>
        <x:v>28.901200886465087</x:v>
      </x:c>
      <x:c r="C12" s="262" t="n">
        <x:f>(DCF!B11/(1+$A12)^0.5+DCF!C11/(1+$A12)^1.5+DCF!D11/(1+$A12)^2.5+DCF!E11/(1+$A12)^3.5+DCF!F11/(1+$A12)^4.5+(DCF!F15*12)/(1+$A12)^5+DCF!B27-DCF!B26)/DCF!B32</x:f>
        <x:v>32.879610419975336</x:v>
      </x:c>
      <x:c r="D12" s="262" t="n">
        <x:f>(DCF!B11/(1+$A12)^0.5+DCF!C11/(1+$A12)^1.5+DCF!D11/(1+$A12)^2.5+DCF!E11/(1+$A12)^3.5+DCF!F11/(1+$A12)^4.5+(DCF!F15*14)/(1+$A12)^5+DCF!B27-DCF!B26)/DCF!B32</x:f>
        <x:v>36.858019953485574</x:v>
      </x:c>
      <x:c r="E12" s="262" t="n">
        <x:f>(DCF!B11/(1+$A12)^0.5+DCF!C11/(1+$A12)^1.5+DCF!D11/(1+$A12)^2.5+DCF!E11/(1+$A12)^3.5+DCF!F11/(1+$A12)^4.5+(DCF!F15*16)/(1+$A12)^5+DCF!B27-DCF!B26)/DCF!B32</x:f>
        <x:v>40.83642948699582</x:v>
      </x:c>
      <x:c r="F12" s="262" t="n">
        <x:f>(DCF!B11/(1+$A12)^0.5+DCF!C11/(1+$A12)^1.5+DCF!D11/(1+$A12)^2.5+DCF!E11/(1+$A12)^3.5+DCF!F11/(1+$A12)^4.5+(DCF!F15*18)/(1+$A12)^5+DCF!B27-DCF!B26)/DCF!B32</x:f>
        <x:v>44.814839020506064</x:v>
      </x:c>
      <x:c r="G12" s="206"/>
      <x:c r="H12" s="206"/>
      <x:c r="I12" s="206"/>
      <x:c r="J12" s="206"/>
      <x:c r="K12" s="206"/>
      <x:c r="L12" s="5"/>
    </x:row>
    <x:row r="13">
      <x:c r="A13" s="218" t="n">
        <x:v>0.08</x:v>
      </x:c>
      <x:c r="B13" s="262" t="n">
        <x:f>(DCF!B11/(1+$A13)^0.5+DCF!C11/(1+$A13)^1.5+DCF!D11/(1+$A13)^2.5+DCF!E11/(1+$A13)^3.5+DCF!F11/(1+$A13)^4.5+(DCF!F15*10)/(1+$A13)^5+DCF!B27-DCF!B26)/DCF!B32</x:f>
        <x:v>28.384876737273785</x:v>
      </x:c>
      <x:c r="C13" s="262" t="n">
        <x:f>(DCF!B11/(1+$A13)^0.5+DCF!C11/(1+$A13)^1.5+DCF!D11/(1+$A13)^2.5+DCF!E11/(1+$A13)^3.5+DCF!F11/(1+$A13)^4.5+(DCF!F15*12)/(1+$A13)^5+DCF!B27-DCF!B26)/DCF!B32</x:f>
        <x:v>32.272042230134986</x:v>
      </x:c>
      <x:c r="D13" s="262" t="n">
        <x:f>(DCF!B11/(1+$A13)^0.5+DCF!C11/(1+$A13)^1.5+DCF!D11/(1+$A13)^2.5+DCF!E11/(1+$A13)^3.5+DCF!F11/(1+$A13)^4.5+(DCF!F15*14)/(1+$A13)^5+DCF!B27-DCF!B26)/DCF!B32</x:f>
        <x:v>36.15920772299619</x:v>
      </x:c>
      <x:c r="E13" s="262" t="n">
        <x:f>(DCF!B11/(1+$A13)^0.5+DCF!C11/(1+$A13)^1.5+DCF!D11/(1+$A13)^2.5+DCF!E11/(1+$A13)^3.5+DCF!F11/(1+$A13)^4.5+(DCF!F15*16)/(1+$A13)^5+DCF!B27-DCF!B26)/DCF!B32</x:f>
        <x:v>40.046373215857386</x:v>
      </x:c>
      <x:c r="F13" s="262" t="n">
        <x:f>(DCF!B11/(1+$A13)^0.5+DCF!C11/(1+$A13)^1.5+DCF!D11/(1+$A13)^2.5+DCF!E11/(1+$A13)^3.5+DCF!F11/(1+$A13)^4.5+(DCF!F15*18)/(1+$A13)^5+DCF!B27-DCF!B26)/DCF!B32</x:f>
        <x:v>43.93353870871859</x:v>
      </x:c>
      <x:c r="G13" s="206"/>
      <x:c r="H13" s="206"/>
      <x:c r="I13" s="206"/>
      <x:c r="J13" s="206"/>
      <x:c r="K13" s="206"/>
      <x:c r="L13" s="5"/>
    </x:row>
    <x:row r="14">
      <x:c r="A14" s="218" t="n">
        <x:v>0.085</x:v>
      </x:c>
      <x:c r="B14" s="262" t="n">
        <x:f>(DCF!B11/(1+$A14)^0.5+DCF!C11/(1+$A14)^1.5+DCF!D11/(1+$A14)^2.5+DCF!E11/(1+$A14)^3.5+DCF!F11/(1+$A14)^4.5+(DCF!F15*10)/(1+$A14)^5+DCF!B27-DCF!B26)/DCF!B32</x:f>
        <x:v>27.88228886032665</x:v>
      </x:c>
      <x:c r="C14" s="262" t="n">
        <x:f>(DCF!B11/(1+$A14)^0.5+DCF!C11/(1+$A14)^1.5+DCF!D11/(1+$A14)^2.5+DCF!E11/(1+$A14)^3.5+DCF!F11/(1+$A14)^4.5+(DCF!F15*12)/(1+$A14)^5+DCF!B27-DCF!B26)/DCF!B32</x:f>
        <x:v>31.68071002596685</x:v>
      </x:c>
      <x:c r="D14" s="262" t="n">
        <x:f>(DCF!B11/(1+$A14)^0.5+DCF!C11/(1+$A14)^1.5+DCF!D11/(1+$A14)^2.5+DCF!E11/(1+$A14)^3.5+DCF!F11/(1+$A14)^4.5+(DCF!F15*14)/(1+$A14)^5+DCF!B27-DCF!B26)/DCF!B32</x:f>
        <x:v>35.479131191607046</x:v>
      </x:c>
      <x:c r="E14" s="262" t="n">
        <x:f>(DCF!B11/(1+$A14)^0.5+DCF!C11/(1+$A14)^1.5+DCF!D11/(1+$A14)^2.5+DCF!E11/(1+$A14)^3.5+DCF!F11/(1+$A14)^4.5+(DCF!F15*16)/(1+$A14)^5+DCF!B27-DCF!B26)/DCF!B32</x:f>
        <x:v>39.27755235724724</x:v>
      </x:c>
      <x:c r="F14" s="262" t="n">
        <x:f>(DCF!B11/(1+$A14)^0.5+DCF!C11/(1+$A14)^1.5+DCF!D11/(1+$A14)^2.5+DCF!E11/(1+$A14)^3.5+DCF!F11/(1+$A14)^4.5+(DCF!F15*18)/(1+$A14)^5+DCF!B27-DCF!B26)/DCF!B32</x:f>
        <x:v>43.07597352288743</x:v>
      </x:c>
      <x:c r="G14" s="206"/>
      <x:c r="H14" s="206"/>
      <x:c r="I14" s="206"/>
      <x:c r="J14" s="206"/>
      <x:c r="K14" s="206"/>
      <x:c r="L14" s="5"/>
    </x:row>
    <x:row r="15">
      <x:c r="A15" s="218" t="n">
        <x:v>0.09</x:v>
      </x:c>
      <x:c r="B15" s="262" t="n">
        <x:f>(DCF!B11/(1+$A15)^0.5+DCF!C11/(1+$A15)^1.5+DCF!D11/(1+$A15)^2.5+DCF!E11/(1+$A15)^3.5+DCF!F11/(1+$A15)^4.5+(DCF!F15*10)/(1+$A15)^5+DCF!B27-DCF!B26)/DCF!B32</x:f>
        <x:v>27.393007188675146</x:v>
      </x:c>
      <x:c r="C15" s="262" t="n">
        <x:f>(DCF!B11/(1+$A15)^0.5+DCF!C11/(1+$A15)^1.5+DCF!D11/(1+$A15)^2.5+DCF!E11/(1+$A15)^3.5+DCF!F11/(1+$A15)^4.5+(DCF!F15*12)/(1+$A15)^5+DCF!B27-DCF!B26)/DCF!B32</x:f>
        <x:v>31.105104208638856</x:v>
      </x:c>
      <x:c r="D15" s="262" t="n">
        <x:f>(DCF!B11/(1+$A15)^0.5+DCF!C11/(1+$A15)^1.5+DCF!D11/(1+$A15)^2.5+DCF!E11/(1+$A15)^3.5+DCF!F11/(1+$A15)^4.5+(DCF!F15*14)/(1+$A15)^5+DCF!B27-DCF!B26)/DCF!B32</x:f>
        <x:v>34.81720122860257</x:v>
      </x:c>
      <x:c r="E15" s="262" t="n">
        <x:f>(DCF!B11/(1+$A15)^0.5+DCF!C11/(1+$A15)^1.5+DCF!D11/(1+$A15)^2.5+DCF!E11/(1+$A15)^3.5+DCF!F11/(1+$A15)^4.5+(DCF!F15*16)/(1+$A15)^5+DCF!B27-DCF!B26)/DCF!B32</x:f>
        <x:v>38.529298248566285</x:v>
      </x:c>
      <x:c r="F15" s="262" t="n">
        <x:f>(DCF!B11/(1+$A15)^0.5+DCF!C11/(1+$A15)^1.5+DCF!D11/(1+$A15)^2.5+DCF!E11/(1+$A15)^3.5+DCF!F11/(1+$A15)^4.5+(DCF!F15*18)/(1+$A15)^5+DCF!B27-DCF!B26)/DCF!B32</x:f>
        <x:v>42.24139526852999</x:v>
      </x:c>
      <x:c r="G15" s="206"/>
      <x:c r="H15" s="206"/>
      <x:c r="I15" s="206"/>
      <x:c r="J15" s="206"/>
      <x:c r="K15" s="206"/>
      <x:c r="L15" s="5"/>
    </x:row>
    <x:row r="16">
      <x:c r="A16" s="218" t="n">
        <x:v>0.095</x:v>
      </x:c>
      <x:c r="B16" s="262" t="n">
        <x:f>(DCF!B11/(1+$A16)^0.5+DCF!C11/(1+$A16)^1.5+DCF!D11/(1+$A16)^2.5+DCF!E11/(1+$A16)^3.5+DCF!F11/(1+$A16)^4.5+(DCF!F15*10)/(1+$A16)^5+DCF!B27-DCF!B26)/DCF!B32</x:f>
        <x:v>26.916617062426877</x:v>
      </x:c>
      <x:c r="C16" s="262" t="n">
        <x:f>(DCF!B11/(1+$A16)^0.5+DCF!C11/(1+$A16)^1.5+DCF!D11/(1+$A16)^2.5+DCF!E11/(1+$A16)^3.5+DCF!F11/(1+$A16)^4.5+(DCF!F15*12)/(1+$A16)^5+DCF!B27-DCF!B26)/DCF!B32</x:f>
        <x:v>30.544733465177234</x:v>
      </x:c>
      <x:c r="D16" s="262" t="n">
        <x:f>(DCF!B11/(1+$A16)^0.5+DCF!C11/(1+$A16)^1.5+DCF!D11/(1+$A16)^2.5+DCF!E11/(1+$A16)^3.5+DCF!F11/(1+$A16)^4.5+(DCF!F15*14)/(1+$A16)^5+DCF!B27-DCF!B26)/DCF!B32</x:f>
        <x:v>34.172849867927596</x:v>
      </x:c>
      <x:c r="E16" s="262" t="n">
        <x:f>(DCF!B11/(1+$A16)^0.5+DCF!C11/(1+$A16)^1.5+DCF!D11/(1+$A16)^2.5+DCF!E11/(1+$A16)^3.5+DCF!F11/(1+$A16)^4.5+(DCF!F15*16)/(1+$A16)^5+DCF!B27-DCF!B26)/DCF!B32</x:f>
        <x:v>37.80096627067795</x:v>
      </x:c>
      <x:c r="F16" s="262" t="n">
        <x:f>(DCF!B11/(1+$A16)^0.5+DCF!C11/(1+$A16)^1.5+DCF!D11/(1+$A16)^2.5+DCF!E11/(1+$A16)^3.5+DCF!F11/(1+$A16)^4.5+(DCF!F15*18)/(1+$A16)^5+DCF!B27-DCF!B26)/DCF!B32</x:f>
        <x:v>41.4290826734283</x:v>
      </x:c>
      <x:c r="G16" s="206"/>
      <x:c r="H16" s="206"/>
      <x:c r="I16" s="206"/>
      <x:c r="J16" s="206"/>
      <x:c r="K16" s="206"/>
      <x:c r="L16" s="5"/>
    </x:row>
    <x:row r="17">
      <x:c r="A17" s="119"/>
      <x:c r="B17" s="262"/>
      <x:c r="C17" s="262"/>
      <x:c r="D17" s="262"/>
      <x:c r="E17" s="262"/>
      <x:c r="F17" s="262"/>
      <x:c r="G17" s="206"/>
      <x:c r="H17" s="206"/>
      <x:c r="I17" s="206"/>
      <x:c r="J17" s="206"/>
      <x:c r="K17" s="206"/>
      <x:c r="L17" s="5"/>
    </x:row>
    <x:row r="18">
      <x:c r="A18" s="119"/>
      <x:c r="B18" s="262"/>
      <x:c r="C18" s="262"/>
      <x:c r="D18" s="262"/>
      <x:c r="E18" s="262"/>
      <x:c r="F18" s="262"/>
      <x:c r="G18" s="206"/>
      <x:c r="H18" s="206"/>
      <x:c r="I18" s="206"/>
      <x:c r="J18" s="206"/>
      <x:c r="K18" s="206"/>
      <x:c r="L18" s="5"/>
    </x:row>
    <x:row r="19">
      <x:c r="A19" s="144" t="str">
        <x:v>Revenue CAGR vs terminal EBIT margin</x:v>
      </x:c>
      <x:c r="B19" s="273" t="str">
        <x:v>15.0%</x:v>
      </x:c>
      <x:c r="C19" s="273" t="str">
        <x:v>17.5%</x:v>
      </x:c>
      <x:c r="D19" s="273" t="str">
        <x:v>20.0%</x:v>
      </x:c>
      <x:c r="E19" s="273" t="str">
        <x:v>22.5%</x:v>
      </x:c>
      <x:c r="F19" s="273" t="str">
        <x:v>25.0%</x:v>
      </x:c>
      <x:c r="G19" s="274" t="str"/>
      <x:c r="H19" s="206"/>
      <x:c r="I19" s="206"/>
      <x:c r="J19" s="206"/>
      <x:c r="K19" s="206"/>
      <x:c r="L19" s="5"/>
    </x:row>
    <x:row r="20">
      <x:c r="A20" s="218" t="n">
        <x:v>0.06</x:v>
      </x:c>
      <x:c r="B20" s="262" t="n">
        <x:f>((Historicals_IS!G6*(1+$A20)^5*0.15*(1-Assumptions!$I$42)+DCF!F7-DCF!F8-DCF!F9)*(1+Assumptions!$E$52)/(WACC!$B$16-Assumptions!$E$52)/(1+WACC!$B$16)^4.5+DCF!B27-DCF!B26)/DCF!B32</x:f>
        <x:v>23.48087423962752</x:v>
      </x:c>
      <x:c r="C20" s="262" t="n">
        <x:f>((Historicals_IS!G6*(1+$A20)^5*0.175*(1-Assumptions!$I$42)+DCF!F7-DCF!F8-DCF!F9)*(1+Assumptions!$E$52)/(WACC!$B$16-Assumptions!$E$52)/(1+WACC!$B$16)^4.5+DCF!B27-DCF!B26)/DCF!B32</x:f>
        <x:v>27.27545117324433</x:v>
      </x:c>
      <x:c r="D20" s="262" t="n">
        <x:f>((Historicals_IS!G6*(1+$A20)^5*0.2*(1-Assumptions!$I$42)+DCF!F7-DCF!F8-DCF!F9)*(1+Assumptions!$E$52)/(WACC!$B$16-Assumptions!$E$52)/(1+WACC!$B$16)^4.5+DCF!B27-DCF!B26)/DCF!B32</x:f>
        <x:v>31.070028106861127</x:v>
      </x:c>
      <x:c r="E20" s="262" t="n">
        <x:f>((Historicals_IS!G6*(1+$A20)^5*0.225*(1-Assumptions!$I$42)+DCF!F7-DCF!F8-DCF!F9)*(1+Assumptions!$E$52)/(WACC!$B$16-Assumptions!$E$52)/(1+WACC!$B$16)^4.5+DCF!B27-DCF!B26)/DCF!B32</x:f>
        <x:v>34.864605040477926</x:v>
      </x:c>
      <x:c r="F20" s="262" t="n">
        <x:f>((Historicals_IS!G6*(1+$A20)^5*0.25*(1-Assumptions!$I$42)+DCF!F7-DCF!F8-DCF!F9)*(1+Assumptions!$E$52)/(WACC!$B$16-Assumptions!$E$52)/(1+WACC!$B$16)^4.5+DCF!B27-DCF!B26)/DCF!B32</x:f>
        <x:v>38.65918197409472</x:v>
      </x:c>
      <x:c r="G20" s="206"/>
      <x:c r="H20" s="206"/>
      <x:c r="I20" s="206"/>
      <x:c r="J20" s="206"/>
      <x:c r="K20" s="206"/>
      <x:c r="L20" s="5"/>
    </x:row>
    <x:row r="21">
      <x:c r="A21" s="218" t="n">
        <x:v>0.08</x:v>
      </x:c>
      <x:c r="B21" s="262" t="n">
        <x:f>((Historicals_IS!G6*(1+$A21)^5*0.15*(1-Assumptions!$I$42)+DCF!F7-DCF!F8-DCF!F9)*(1+Assumptions!$E$52)/(WACC!$B$16-Assumptions!$E$52)/(1+WACC!$B$16)^4.5+DCF!B27-DCF!B26)/DCF!B32</x:f>
        <x:v>25.711343576326467</x:v>
      </x:c>
      <x:c r="C21" s="262" t="n">
        <x:f>((Historicals_IS!G6*(1+$A21)^5*0.175*(1-Assumptions!$I$42)+DCF!F7-DCF!F8-DCF!F9)*(1+Assumptions!$E$52)/(WACC!$B$16-Assumptions!$E$52)/(1+WACC!$B$16)^4.5+DCF!B27-DCF!B26)/DCF!B32</x:f>
        <x:v>29.877665399393077</x:v>
      </x:c>
      <x:c r="D21" s="262" t="n">
        <x:f>((Historicals_IS!G6*(1+$A21)^5*0.2*(1-Assumptions!$I$42)+DCF!F7-DCF!F8-DCF!F9)*(1+Assumptions!$E$52)/(WACC!$B$16-Assumptions!$E$52)/(1+WACC!$B$16)^4.5+DCF!B27-DCF!B26)/DCF!B32</x:f>
        <x:v>34.0439872224597</x:v>
      </x:c>
      <x:c r="E21" s="262" t="n">
        <x:f>((Historicals_IS!G6*(1+$A21)^5*0.225*(1-Assumptions!$I$42)+DCF!F7-DCF!F8-DCF!F9)*(1+Assumptions!$E$52)/(WACC!$B$16-Assumptions!$E$52)/(1+WACC!$B$16)^4.5+DCF!B27-DCF!B26)/DCF!B32</x:f>
        <x:v>38.210309045526316</x:v>
      </x:c>
      <x:c r="F21" s="262" t="n">
        <x:f>((Historicals_IS!G6*(1+$A21)^5*0.25*(1-Assumptions!$I$42)+DCF!F7-DCF!F8-DCF!F9)*(1+Assumptions!$E$52)/(WACC!$B$16-Assumptions!$E$52)/(1+WACC!$B$16)^4.5+DCF!B27-DCF!B26)/DCF!B32</x:f>
        <x:v>42.37663086859293</x:v>
      </x:c>
      <x:c r="G21" s="206"/>
      <x:c r="H21" s="206"/>
      <x:c r="I21" s="206"/>
      <x:c r="J21" s="206"/>
      <x:c r="K21" s="206"/>
      <x:c r="L21" s="5"/>
    </x:row>
    <x:row r="22">
      <x:c r="A22" s="218" t="n">
        <x:v>0.1</x:v>
      </x:c>
      <x:c r="B22" s="262" t="n">
        <x:f>((Historicals_IS!G6*(1+$A22)^5*0.15*(1-Assumptions!$I$42)+DCF!F7-DCF!F8-DCF!F9)*(1+Assumptions!$E$52)/(WACC!$B$16-Assumptions!$E$52)/(1+WACC!$B$16)^4.5+DCF!B27-DCF!B26)/DCF!B32</x:f>
        <x:v>28.113295884751885</x:v>
      </x:c>
      <x:c r="C22" s="262" t="n">
        <x:f>((Historicals_IS!G6*(1+$A22)^5*0.175*(1-Assumptions!$I$42)+DCF!F7-DCF!F8-DCF!F9)*(1+Assumptions!$E$52)/(WACC!$B$16-Assumptions!$E$52)/(1+WACC!$B$16)^4.5+DCF!B27-DCF!B26)/DCF!B32</x:f>
        <x:v>32.67994309255607</x:v>
      </x:c>
      <x:c r="D22" s="262" t="n">
        <x:f>((Historicals_IS!G6*(1+$A22)^5*0.2*(1-Assumptions!$I$42)+DCF!F7-DCF!F8-DCF!F9)*(1+Assumptions!$E$52)/(WACC!$B$16-Assumptions!$E$52)/(1+WACC!$B$16)^4.5+DCF!B27-DCF!B26)/DCF!B32</x:f>
        <x:v>37.246590300360275</x:v>
      </x:c>
      <x:c r="E22" s="262" t="n">
        <x:f>((Historicals_IS!G6*(1+$A22)^5*0.225*(1-Assumptions!$I$42)+DCF!F7-DCF!F8-DCF!F9)*(1+Assumptions!$E$52)/(WACC!$B$16-Assumptions!$E$52)/(1+WACC!$B$16)^4.5+DCF!B27-DCF!B26)/DCF!B32</x:f>
        <x:v>41.81323750816446</x:v>
      </x:c>
      <x:c r="F22" s="262" t="n">
        <x:f>((Historicals_IS!G6*(1+$A22)^5*0.25*(1-Assumptions!$I$42)+DCF!F7-DCF!F8-DCF!F9)*(1+Assumptions!$E$52)/(WACC!$B$16-Assumptions!$E$52)/(1+WACC!$B$16)^4.5+DCF!B27-DCF!B26)/DCF!B32</x:f>
        <x:v>46.37988471596865</x:v>
      </x:c>
      <x:c r="G22" s="206"/>
      <x:c r="H22" s="206"/>
      <x:c r="I22" s="206"/>
      <x:c r="J22" s="206"/>
      <x:c r="K22" s="206"/>
      <x:c r="L22" s="5"/>
    </x:row>
    <x:row r="23">
      <x:c r="A23" s="218" t="n">
        <x:v>0.12</x:v>
      </x:c>
      <x:c r="B23" s="262" t="n">
        <x:f>((Historicals_IS!G6*(1+$A23)^5*0.15*(1-Assumptions!$I$42)+DCF!F7-DCF!F8-DCF!F9)*(1+Assumptions!$E$52)/(WACC!$B$16-Assumptions!$E$52)/(1+WACC!$B$16)^4.5+DCF!B27-DCF!B26)/DCF!B32</x:f>
        <x:v>30.696434389231182</x:v>
      </x:c>
      <x:c r="C23" s="262" t="n">
        <x:f>((Historicals_IS!G6*(1+$A23)^5*0.175*(1-Assumptions!$I$42)+DCF!F7-DCF!F8-DCF!F9)*(1+Assumptions!$E$52)/(WACC!$B$16-Assumptions!$E$52)/(1+WACC!$B$16)^4.5+DCF!B27-DCF!B26)/DCF!B32</x:f>
        <x:v>35.69360468111525</x:v>
      </x:c>
      <x:c r="D23" s="262" t="n">
        <x:f>((Historicals_IS!G6*(1+$A23)^5*0.2*(1-Assumptions!$I$42)+DCF!F7-DCF!F8-DCF!F9)*(1+Assumptions!$E$52)/(WACC!$B$16-Assumptions!$E$52)/(1+WACC!$B$16)^4.5+DCF!B27-DCF!B26)/DCF!B32</x:f>
        <x:v>40.69077497299932</x:v>
      </x:c>
      <x:c r="E23" s="262" t="n">
        <x:f>((Historicals_IS!G6*(1+$A23)^5*0.225*(1-Assumptions!$I$42)+DCF!F7-DCF!F8-DCF!F9)*(1+Assumptions!$E$52)/(WACC!$B$16-Assumptions!$E$52)/(1+WACC!$B$16)^4.5+DCF!B27-DCF!B26)/DCF!B32</x:f>
        <x:v>45.6879452648834</x:v>
      </x:c>
      <x:c r="F23" s="262" t="n">
        <x:f>((Historicals_IS!G6*(1+$A23)^5*0.25*(1-Assumptions!$I$42)+DCF!F7-DCF!F8-DCF!F9)*(1+Assumptions!$E$52)/(WACC!$B$16-Assumptions!$E$52)/(1+WACC!$B$16)^4.5+DCF!B27-DCF!B26)/DCF!B32</x:f>
        <x:v>50.685115556767485</x:v>
      </x:c>
      <x:c r="G23" s="206"/>
      <x:c r="H23" s="206"/>
      <x:c r="I23" s="206"/>
      <x:c r="J23" s="206"/>
      <x:c r="K23" s="206"/>
      <x:c r="L23" s="5"/>
    </x:row>
    <x:row r="24">
      <x:c r="A24" s="218" t="n">
        <x:v>0.14</x:v>
      </x:c>
      <x:c r="B24" s="262" t="n">
        <x:f>((Historicals_IS!G6*(1+$A24)^5*0.15*(1-Assumptions!$I$42)+DCF!F7-DCF!F8-DCF!F9)*(1+Assumptions!$E$52)/(WACC!$B$16-Assumptions!$E$52)/(1+WACC!$B$16)^4.5+DCF!B27-DCF!B26)/DCF!B32</x:f>
        <x:v>33.47082163227922</x:v>
      </x:c>
      <x:c r="C24" s="262" t="n">
        <x:f>((Historicals_IS!G6*(1+$A24)^5*0.175*(1-Assumptions!$I$42)+DCF!F7-DCF!F8-DCF!F9)*(1+Assumptions!$E$52)/(WACC!$B$16-Assumptions!$E$52)/(1+WACC!$B$16)^4.5+DCF!B27-DCF!B26)/DCF!B32</x:f>
        <x:v>38.93038979800462</x:v>
      </x:c>
      <x:c r="D24" s="262" t="n">
        <x:f>((Historicals_IS!G6*(1+$A24)^5*0.2*(1-Assumptions!$I$42)+DCF!F7-DCF!F8-DCF!F9)*(1+Assumptions!$E$52)/(WACC!$B$16-Assumptions!$E$52)/(1+WACC!$B$16)^4.5+DCF!B27-DCF!B26)/DCF!B32</x:f>
        <x:v>44.38995796373005</x:v>
      </x:c>
      <x:c r="E24" s="262" t="n">
        <x:f>((Historicals_IS!G6*(1+$A24)^5*0.225*(1-Assumptions!$I$42)+DCF!F7-DCF!F8-DCF!F9)*(1+Assumptions!$E$52)/(WACC!$B$16-Assumptions!$E$52)/(1+WACC!$B$16)^4.5+DCF!B27-DCF!B26)/DCF!B32</x:f>
        <x:v>49.849526129455455</x:v>
      </x:c>
      <x:c r="F24" s="262" t="n">
        <x:f>((Historicals_IS!G6*(1+$A24)^5*0.25*(1-Assumptions!$I$42)+DCF!F7-DCF!F8-DCF!F9)*(1+Assumptions!$E$52)/(WACC!$B$16-Assumptions!$E$52)/(1+WACC!$B$16)^4.5+DCF!B27-DCF!B26)/DCF!B32</x:f>
        <x:v>55.30909429518087</x:v>
      </x:c>
      <x:c r="G24" s="206"/>
      <x:c r="H24" s="206"/>
      <x:c r="I24" s="206"/>
      <x:c r="J24" s="206"/>
      <x:c r="K24" s="206"/>
      <x:c r="L24" s="5"/>
    </x:row>
    <x:row r="25">
      <x:c r="A25" s="119"/>
      <x:c r="B25" s="206"/>
      <x:c r="C25" s="206"/>
      <x:c r="D25" s="206"/>
      <x:c r="E25" s="206"/>
      <x:c r="F25" s="206"/>
      <x:c r="G25" s="206"/>
      <x:c r="H25" s="206"/>
      <x:c r="I25" s="206"/>
      <x:c r="J25" s="206"/>
      <x:c r="K25" s="206"/>
      <x:c r="L25" s="5"/>
    </x:row>
    <x:row r="26">
      <x:c r="A26" s="119"/>
      <x:c r="B26" s="206"/>
      <x:c r="C26" s="206"/>
      <x:c r="D26" s="206"/>
      <x:c r="E26" s="206"/>
      <x:c r="F26" s="206"/>
      <x:c r="G26" s="206"/>
      <x:c r="H26" s="206"/>
      <x:c r="I26" s="206"/>
      <x:c r="J26" s="206"/>
      <x:c r="K26" s="206"/>
      <x:c r="L26" s="5"/>
    </x:row>
    <x:row r="27">
      <x:c r="A27" s="119"/>
      <x:c r="B27" s="206"/>
      <x:c r="C27" s="206"/>
      <x:c r="D27" s="206"/>
      <x:c r="E27" s="206"/>
      <x:c r="F27" s="206"/>
      <x:c r="G27" s="206"/>
      <x:c r="H27" s="206"/>
      <x:c r="I27" s="206"/>
      <x:c r="J27" s="206"/>
      <x:c r="K27" s="206"/>
      <x:c r="L27" s="5"/>
    </x:row>
    <x:row r="28">
      <x:c r="A28" s="119"/>
      <x:c r="B28" s="206"/>
      <x:c r="C28" s="206"/>
      <x:c r="D28" s="206"/>
      <x:c r="E28" s="206"/>
      <x:c r="F28" s="206"/>
      <x:c r="G28" s="206"/>
      <x:c r="H28" s="206"/>
      <x:c r="I28" s="206"/>
      <x:c r="J28" s="206"/>
      <x:c r="K28" s="206"/>
      <x:c r="L28" s="5"/>
    </x:row>
    <x:row r="29">
      <x:c r="A29" s="119"/>
      <x:c r="B29" s="206"/>
      <x:c r="C29" s="206"/>
      <x:c r="D29" s="206"/>
      <x:c r="E29" s="206"/>
      <x:c r="F29" s="206"/>
      <x:c r="G29" s="206"/>
      <x:c r="H29" s="206"/>
      <x:c r="I29" s="206"/>
      <x:c r="J29" s="206"/>
      <x:c r="K29" s="206"/>
      <x:c r="L29" s="5"/>
    </x:row>
    <x:row r="30">
      <x:c r="A30" s="119"/>
      <x:c r="B30" s="206"/>
      <x:c r="C30" s="206"/>
      <x:c r="D30" s="206"/>
      <x:c r="E30" s="206"/>
      <x:c r="F30" s="206"/>
      <x:c r="G30" s="206"/>
      <x:c r="H30" s="206"/>
      <x:c r="I30" s="206"/>
      <x:c r="J30" s="206"/>
      <x:c r="K30" s="206"/>
      <x:c r="L30" s="5"/>
    </x:row>
    <x:row r="31">
      <x:c r="A31" s="119"/>
      <x:c r="B31" s="206"/>
      <x:c r="C31" s="206"/>
      <x:c r="D31" s="206"/>
      <x:c r="E31" s="206"/>
      <x:c r="F31" s="206"/>
      <x:c r="G31" s="206"/>
      <x:c r="H31" s="206"/>
      <x:c r="I31" s="206"/>
      <x:c r="J31" s="206"/>
      <x:c r="K31" s="206"/>
      <x:c r="L31" s="5"/>
    </x:row>
    <x:row r="32">
      <x:c r="A32" s="119"/>
      <x:c r="B32" s="206"/>
      <x:c r="C32" s="206"/>
      <x:c r="D32" s="206"/>
      <x:c r="E32" s="206"/>
      <x:c r="F32" s="206"/>
      <x:c r="G32" s="206"/>
      <x:c r="H32" s="206"/>
      <x:c r="I32" s="206"/>
      <x:c r="J32" s="206"/>
      <x:c r="K32" s="206"/>
      <x:c r="L32" s="5"/>
    </x:row>
    <x:row r="33">
      <x:c r="A33" s="119"/>
      <x:c r="B33" s="206"/>
      <x:c r="C33" s="206"/>
      <x:c r="D33" s="206"/>
      <x:c r="E33" s="206"/>
      <x:c r="F33" s="206"/>
      <x:c r="G33" s="206"/>
      <x:c r="H33" s="206"/>
      <x:c r="I33" s="206"/>
      <x:c r="J33" s="206"/>
      <x:c r="K33" s="206"/>
      <x:c r="L33" s="5"/>
    </x:row>
    <x:row r="34">
      <x:c r="A34" s="119"/>
      <x:c r="B34" s="206"/>
      <x:c r="C34" s="206"/>
      <x:c r="D34" s="206"/>
      <x:c r="E34" s="206"/>
      <x:c r="F34" s="206"/>
      <x:c r="G34" s="206"/>
      <x:c r="H34" s="206"/>
      <x:c r="I34" s="206"/>
      <x:c r="J34" s="206"/>
      <x:c r="K34" s="206"/>
      <x:c r="L34" s="5"/>
    </x:row>
    <x:row r="35">
      <x:c r="A35" s="119"/>
      <x:c r="B35" s="206"/>
      <x:c r="C35" s="206"/>
      <x:c r="D35" s="206"/>
      <x:c r="E35" s="206"/>
      <x:c r="F35" s="206"/>
      <x:c r="G35" s="206"/>
      <x:c r="H35" s="206"/>
      <x:c r="I35" s="206"/>
      <x:c r="J35" s="206"/>
      <x:c r="K35" s="206"/>
      <x:c r="L35" s="5"/>
    </x:row>
    <x:row r="36">
      <x:c r="A36" s="119"/>
      <x:c r="B36" s="206"/>
      <x:c r="C36" s="206"/>
      <x:c r="D36" s="206"/>
      <x:c r="E36" s="206"/>
      <x:c r="F36" s="206"/>
      <x:c r="G36" s="206"/>
      <x:c r="H36" s="206"/>
      <x:c r="I36" s="206"/>
      <x:c r="J36" s="206"/>
      <x:c r="K36" s="206"/>
      <x:c r="L36" s="5"/>
    </x:row>
    <x:row r="37">
      <x:c r="A37" s="119"/>
      <x:c r="B37" s="206"/>
      <x:c r="C37" s="206"/>
      <x:c r="D37" s="206"/>
      <x:c r="E37" s="206"/>
      <x:c r="F37" s="206"/>
      <x:c r="G37" s="206"/>
      <x:c r="H37" s="206"/>
      <x:c r="I37" s="206"/>
      <x:c r="J37" s="206"/>
      <x:c r="K37" s="206"/>
      <x:c r="L37" s="5"/>
    </x:row>
    <x:row r="38">
      <x:c r="A38" s="119"/>
      <x:c r="B38" s="206"/>
      <x:c r="C38" s="206"/>
      <x:c r="D38" s="206"/>
      <x:c r="E38" s="206"/>
      <x:c r="F38" s="206"/>
      <x:c r="G38" s="206"/>
      <x:c r="H38" s="206"/>
      <x:c r="I38" s="206"/>
      <x:c r="J38" s="206"/>
      <x:c r="K38" s="206"/>
      <x:c r="L38" s="5"/>
    </x:row>
    <x:row r="39">
      <x:c r="A39" s="119"/>
      <x:c r="B39" s="206"/>
      <x:c r="C39" s="206"/>
      <x:c r="D39" s="206"/>
      <x:c r="E39" s="206"/>
      <x:c r="F39" s="206"/>
      <x:c r="G39" s="206"/>
      <x:c r="H39" s="206"/>
      <x:c r="I39" s="206"/>
      <x:c r="J39" s="206"/>
      <x:c r="K39" s="206"/>
      <x:c r="L39" s="5"/>
    </x:row>
    <x:row r="40">
      <x:c r="A40" s="119"/>
      <x:c r="B40" s="206"/>
      <x:c r="C40" s="206"/>
      <x:c r="D40" s="206"/>
      <x:c r="E40" s="206"/>
      <x:c r="F40" s="206"/>
      <x:c r="G40" s="206"/>
      <x:c r="H40" s="206"/>
      <x:c r="I40" s="206"/>
      <x:c r="J40" s="206"/>
      <x:c r="K40" s="206"/>
      <x:c r="L40" s="5"/>
    </x:row>
    <x:row r="41">
      <x:c r="A41" s="119"/>
      <x:c r="B41" s="206"/>
      <x:c r="C41" s="206"/>
      <x:c r="D41" s="206"/>
      <x:c r="E41" s="206"/>
      <x:c r="F41" s="206"/>
      <x:c r="G41" s="206"/>
      <x:c r="H41" s="206"/>
      <x:c r="I41" s="206"/>
      <x:c r="J41" s="206"/>
      <x:c r="K41" s="206"/>
      <x:c r="L41" s="5"/>
    </x:row>
    <x:row r="42">
      <x:c r="A42" s="119"/>
      <x:c r="B42" s="206"/>
      <x:c r="C42" s="206"/>
      <x:c r="D42" s="206"/>
      <x:c r="E42" s="206"/>
      <x:c r="F42" s="206"/>
      <x:c r="G42" s="206"/>
      <x:c r="H42" s="206"/>
      <x:c r="I42" s="206"/>
      <x:c r="J42" s="206"/>
      <x:c r="K42" s="206"/>
      <x:c r="L42" s="5"/>
    </x:row>
    <x:row r="43">
      <x:c r="A43" s="119"/>
      <x:c r="B43" s="206"/>
      <x:c r="C43" s="206"/>
      <x:c r="D43" s="206"/>
      <x:c r="E43" s="206"/>
      <x:c r="F43" s="206"/>
      <x:c r="G43" s="206"/>
      <x:c r="H43" s="206"/>
      <x:c r="I43" s="206"/>
      <x:c r="J43" s="206"/>
      <x:c r="K43" s="206"/>
      <x:c r="L43" s="5"/>
    </x:row>
    <x:row r="44">
      <x:c r="A44" s="119"/>
      <x:c r="B44" s="206"/>
      <x:c r="C44" s="206"/>
      <x:c r="D44" s="206"/>
      <x:c r="E44" s="206"/>
      <x:c r="F44" s="206"/>
      <x:c r="G44" s="206"/>
      <x:c r="H44" s="206"/>
      <x:c r="I44" s="206"/>
      <x:c r="J44" s="206"/>
      <x:c r="K44" s="206"/>
      <x:c r="L44" s="5"/>
    </x:row>
    <x:row r="45">
      <x:c r="A45" s="119"/>
      <x:c r="B45" s="206"/>
      <x:c r="C45" s="206"/>
      <x:c r="D45" s="206"/>
      <x:c r="E45" s="206"/>
      <x:c r="F45" s="206"/>
      <x:c r="G45" s="206"/>
      <x:c r="H45" s="206"/>
      <x:c r="I45" s="206"/>
      <x:c r="J45" s="206"/>
      <x:c r="K45" s="206"/>
      <x:c r="L45" s="5"/>
    </x:row>
    <x:row r="46">
      <x:c r="A46" s="119"/>
      <x:c r="B46" s="206"/>
      <x:c r="C46" s="206"/>
      <x:c r="D46" s="206"/>
      <x:c r="E46" s="206"/>
      <x:c r="F46" s="206"/>
      <x:c r="G46" s="206"/>
      <x:c r="H46" s="206"/>
      <x:c r="I46" s="206"/>
      <x:c r="J46" s="206"/>
      <x:c r="K46" s="206"/>
      <x:c r="L46" s="5"/>
    </x:row>
    <x:row r="47">
      <x:c r="A47" s="119"/>
      <x:c r="B47" s="206"/>
      <x:c r="C47" s="206"/>
      <x:c r="D47" s="206"/>
      <x:c r="E47" s="206"/>
      <x:c r="F47" s="206"/>
      <x:c r="G47" s="206"/>
      <x:c r="H47" s="206"/>
      <x:c r="I47" s="206"/>
      <x:c r="J47" s="206"/>
      <x:c r="K47" s="206"/>
      <x:c r="L47" s="5"/>
    </x:row>
    <x:row r="48">
      <x:c r="A48" s="119"/>
      <x:c r="B48" s="206"/>
      <x:c r="C48" s="206"/>
      <x:c r="D48" s="206"/>
      <x:c r="E48" s="206"/>
      <x:c r="F48" s="206"/>
      <x:c r="G48" s="206"/>
      <x:c r="H48" s="206"/>
      <x:c r="I48" s="206"/>
      <x:c r="J48" s="206"/>
      <x:c r="K48" s="206"/>
      <x:c r="L48" s="5"/>
    </x:row>
    <x:row r="49">
      <x:c r="A49" s="119"/>
      <x:c r="B49" s="206"/>
      <x:c r="C49" s="206"/>
      <x:c r="D49" s="206"/>
      <x:c r="E49" s="206"/>
      <x:c r="F49" s="206"/>
      <x:c r="G49" s="206"/>
      <x:c r="H49" s="206"/>
      <x:c r="I49" s="206"/>
      <x:c r="J49" s="206"/>
      <x:c r="K49" s="206"/>
      <x:c r="L49" s="5"/>
    </x:row>
    <x:row r="50">
      <x:c r="A50" s="119"/>
      <x:c r="B50" s="206"/>
      <x:c r="C50" s="206"/>
      <x:c r="D50" s="206"/>
      <x:c r="E50" s="206"/>
      <x:c r="F50" s="206"/>
      <x:c r="G50" s="206"/>
      <x:c r="H50" s="206"/>
      <x:c r="I50" s="206"/>
      <x:c r="J50" s="206"/>
      <x:c r="K50" s="206"/>
      <x:c r="L50" s="5"/>
    </x:row>
    <x:row r="51">
      <x:c r="A51" s="119"/>
      <x:c r="B51" s="206"/>
      <x:c r="C51" s="206"/>
      <x:c r="D51" s="206"/>
      <x:c r="E51" s="206"/>
      <x:c r="F51" s="206"/>
      <x:c r="G51" s="206"/>
      <x:c r="H51" s="206"/>
      <x:c r="I51" s="206"/>
      <x:c r="J51" s="206"/>
      <x:c r="K51" s="206"/>
      <x:c r="L51" s="5"/>
    </x:row>
    <x:row r="52">
      <x:c r="A52" s="119"/>
      <x:c r="B52" s="206"/>
      <x:c r="C52" s="206"/>
      <x:c r="D52" s="206"/>
      <x:c r="E52" s="206"/>
      <x:c r="F52" s="206"/>
      <x:c r="G52" s="206"/>
      <x:c r="H52" s="206"/>
      <x:c r="I52" s="206"/>
      <x:c r="J52" s="206"/>
      <x:c r="K52" s="206"/>
      <x:c r="L52" s="5"/>
    </x:row>
    <x:row r="53">
      <x:c r="A53" s="119"/>
      <x:c r="B53" s="206"/>
      <x:c r="C53" s="206"/>
      <x:c r="D53" s="206"/>
      <x:c r="E53" s="206"/>
      <x:c r="F53" s="206"/>
      <x:c r="G53" s="206"/>
      <x:c r="H53" s="206"/>
      <x:c r="I53" s="206"/>
      <x:c r="J53" s="206"/>
      <x:c r="K53" s="206"/>
      <x:c r="L53" s="5"/>
    </x:row>
    <x:row r="54">
      <x:c r="A54" s="119"/>
      <x:c r="B54" s="206"/>
      <x:c r="C54" s="206"/>
      <x:c r="D54" s="206"/>
      <x:c r="E54" s="206"/>
      <x:c r="F54" s="206"/>
      <x:c r="G54" s="206"/>
      <x:c r="H54" s="206"/>
      <x:c r="I54" s="206"/>
      <x:c r="J54" s="206"/>
      <x:c r="K54" s="206"/>
      <x:c r="L54" s="5"/>
    </x:row>
    <x:row r="55">
      <x:c r="A55" s="119"/>
      <x:c r="B55" s="206"/>
      <x:c r="C55" s="206"/>
      <x:c r="D55" s="206"/>
      <x:c r="E55" s="206"/>
      <x:c r="F55" s="206"/>
      <x:c r="G55" s="206"/>
      <x:c r="H55" s="206"/>
      <x:c r="I55" s="206"/>
      <x:c r="J55" s="206"/>
      <x:c r="K55" s="206"/>
      <x:c r="L55" s="5"/>
    </x:row>
    <x:row r="56">
      <x:c r="A56" s="119"/>
      <x:c r="B56" s="206"/>
      <x:c r="C56" s="206"/>
      <x:c r="D56" s="206"/>
      <x:c r="E56" s="206"/>
      <x:c r="F56" s="206"/>
      <x:c r="G56" s="206"/>
      <x:c r="H56" s="206"/>
      <x:c r="I56" s="206"/>
      <x:c r="J56" s="206"/>
      <x:c r="K56" s="206"/>
      <x:c r="L56" s="5"/>
    </x:row>
    <x:row r="57">
      <x:c r="A57" s="119"/>
      <x:c r="B57" s="206"/>
      <x:c r="C57" s="206"/>
      <x:c r="D57" s="206"/>
      <x:c r="E57" s="206"/>
      <x:c r="F57" s="206"/>
      <x:c r="G57" s="206"/>
      <x:c r="H57" s="206"/>
      <x:c r="I57" s="206"/>
      <x:c r="J57" s="206"/>
      <x:c r="K57" s="206"/>
      <x:c r="L57" s="5"/>
    </x:row>
    <x:row r="58">
      <x:c r="A58" s="119"/>
      <x:c r="B58" s="206"/>
      <x:c r="C58" s="206"/>
      <x:c r="D58" s="206"/>
      <x:c r="E58" s="206"/>
      <x:c r="F58" s="206"/>
      <x:c r="G58" s="206"/>
      <x:c r="H58" s="206"/>
      <x:c r="I58" s="206"/>
      <x:c r="J58" s="206"/>
      <x:c r="K58" s="206"/>
      <x:c r="L58" s="5"/>
    </x:row>
    <x:row r="59">
      <x:c r="A59" s="119"/>
      <x:c r="B59" s="206"/>
      <x:c r="C59" s="206"/>
      <x:c r="D59" s="206"/>
      <x:c r="E59" s="206"/>
      <x:c r="F59" s="206"/>
      <x:c r="G59" s="206"/>
      <x:c r="H59" s="206"/>
      <x:c r="I59" s="206"/>
      <x:c r="J59" s="206"/>
      <x:c r="K59" s="206"/>
      <x:c r="L59" s="5"/>
    </x:row>
    <x:row r="60">
      <x:c r="A60" s="119"/>
      <x:c r="B60" s="206"/>
      <x:c r="C60" s="206"/>
      <x:c r="D60" s="206"/>
      <x:c r="E60" s="206"/>
      <x:c r="F60" s="206"/>
      <x:c r="G60" s="206"/>
      <x:c r="H60" s="206"/>
      <x:c r="I60" s="206"/>
      <x:c r="J60" s="206"/>
      <x:c r="K60" s="206"/>
      <x:c r="L60" s="5"/>
    </x:row>
    <x:row r="61">
      <x:c r="A61" s="119"/>
      <x:c r="B61" s="206"/>
      <x:c r="C61" s="206"/>
      <x:c r="D61" s="206"/>
      <x:c r="E61" s="206"/>
      <x:c r="F61" s="206"/>
      <x:c r="G61" s="206"/>
      <x:c r="H61" s="206"/>
      <x:c r="I61" s="206"/>
      <x:c r="J61" s="206"/>
      <x:c r="K61" s="206"/>
      <x:c r="L61" s="5"/>
    </x:row>
    <x:row r="62">
      <x:c r="A62" s="119"/>
      <x:c r="B62" s="206"/>
      <x:c r="C62" s="206"/>
      <x:c r="D62" s="206"/>
      <x:c r="E62" s="206"/>
      <x:c r="F62" s="206"/>
      <x:c r="G62" s="206"/>
      <x:c r="H62" s="206"/>
      <x:c r="I62" s="206"/>
      <x:c r="J62" s="206"/>
      <x:c r="K62" s="206"/>
      <x:c r="L62" s="5"/>
    </x:row>
    <x:row r="63">
      <x:c r="A63" s="119"/>
      <x:c r="B63" s="206"/>
      <x:c r="C63" s="206"/>
      <x:c r="D63" s="206"/>
      <x:c r="E63" s="206"/>
      <x:c r="F63" s="206"/>
      <x:c r="G63" s="206"/>
      <x:c r="H63" s="206"/>
      <x:c r="I63" s="206"/>
      <x:c r="J63" s="206"/>
      <x:c r="K63" s="206"/>
      <x:c r="L63" s="5"/>
    </x:row>
    <x:row r="64">
      <x:c r="A64" s="119"/>
      <x:c r="B64" s="206"/>
      <x:c r="C64" s="206"/>
      <x:c r="D64" s="206"/>
      <x:c r="E64" s="206"/>
      <x:c r="F64" s="206"/>
      <x:c r="G64" s="206"/>
      <x:c r="H64" s="206"/>
      <x:c r="I64" s="206"/>
      <x:c r="J64" s="206"/>
      <x:c r="K64" s="206"/>
      <x:c r="L64" s="5"/>
    </x:row>
    <x:row r="65">
      <x:c r="A65" s="119"/>
      <x:c r="B65" s="206"/>
      <x:c r="C65" s="206"/>
      <x:c r="D65" s="206"/>
      <x:c r="E65" s="206"/>
      <x:c r="F65" s="206"/>
      <x:c r="G65" s="206"/>
      <x:c r="H65" s="206"/>
      <x:c r="I65" s="206"/>
      <x:c r="J65" s="206"/>
      <x:c r="K65" s="206"/>
      <x:c r="L65" s="5"/>
    </x:row>
    <x:row r="66">
      <x:c r="A66" s="119"/>
      <x:c r="B66" s="206"/>
      <x:c r="C66" s="206"/>
      <x:c r="D66" s="206"/>
      <x:c r="E66" s="206"/>
      <x:c r="F66" s="206"/>
      <x:c r="G66" s="206"/>
      <x:c r="H66" s="206"/>
      <x:c r="I66" s="206"/>
      <x:c r="J66" s="206"/>
      <x:c r="K66" s="206"/>
      <x:c r="L66" s="5"/>
    </x:row>
    <x:row r="67">
      <x:c r="A67" s="119"/>
      <x:c r="B67" s="206"/>
      <x:c r="C67" s="206"/>
      <x:c r="D67" s="206"/>
      <x:c r="E67" s="206"/>
      <x:c r="F67" s="206"/>
      <x:c r="G67" s="206"/>
      <x:c r="H67" s="206"/>
      <x:c r="I67" s="206"/>
      <x:c r="J67" s="206"/>
      <x:c r="K67" s="206"/>
      <x:c r="L67" s="5"/>
    </x:row>
    <x:row r="68">
      <x:c r="A68" s="119"/>
      <x:c r="B68" s="206"/>
      <x:c r="C68" s="206"/>
      <x:c r="D68" s="206"/>
      <x:c r="E68" s="206"/>
      <x:c r="F68" s="206"/>
      <x:c r="G68" s="206"/>
      <x:c r="H68" s="206"/>
      <x:c r="I68" s="206"/>
      <x:c r="J68" s="206"/>
      <x:c r="K68" s="206"/>
      <x:c r="L68" s="5"/>
    </x:row>
    <x:row r="69">
      <x:c r="A69" s="119"/>
      <x:c r="B69" s="206"/>
      <x:c r="C69" s="206"/>
      <x:c r="D69" s="206"/>
      <x:c r="E69" s="206"/>
      <x:c r="F69" s="206"/>
      <x:c r="G69" s="206"/>
      <x:c r="H69" s="206"/>
      <x:c r="I69" s="206"/>
      <x:c r="J69" s="206"/>
      <x:c r="K69" s="206"/>
      <x:c r="L69" s="5"/>
    </x:row>
    <x:row r="70">
      <x:c r="A70" s="119"/>
      <x:c r="B70" s="206"/>
      <x:c r="C70" s="206"/>
      <x:c r="D70" s="206"/>
      <x:c r="E70" s="206"/>
      <x:c r="F70" s="206"/>
      <x:c r="G70" s="206"/>
      <x:c r="H70" s="206"/>
      <x:c r="I70" s="206"/>
      <x:c r="J70" s="206"/>
      <x:c r="K70" s="206"/>
      <x:c r="L70" s="5"/>
    </x:row>
    <x:row r="71">
      <x:c r="A71" s="119"/>
      <x:c r="B71" s="206"/>
      <x:c r="C71" s="206"/>
      <x:c r="D71" s="206"/>
      <x:c r="E71" s="206"/>
      <x:c r="F71" s="206"/>
      <x:c r="G71" s="206"/>
      <x:c r="H71" s="206"/>
      <x:c r="I71" s="206"/>
      <x:c r="J71" s="206"/>
      <x:c r="K71" s="206"/>
      <x:c r="L71" s="5"/>
    </x:row>
    <x:row r="72">
      <x:c r="A72" s="119"/>
      <x:c r="B72" s="206"/>
      <x:c r="C72" s="206"/>
      <x:c r="D72" s="206"/>
      <x:c r="E72" s="206"/>
      <x:c r="F72" s="206"/>
      <x:c r="G72" s="206"/>
      <x:c r="H72" s="206"/>
      <x:c r="I72" s="206"/>
      <x:c r="J72" s="206"/>
      <x:c r="K72" s="206"/>
      <x:c r="L72" s="5"/>
    </x:row>
    <x:row r="73">
      <x:c r="A73" s="119"/>
      <x:c r="B73" s="206"/>
      <x:c r="C73" s="206"/>
      <x:c r="D73" s="206"/>
      <x:c r="E73" s="206"/>
      <x:c r="F73" s="206"/>
      <x:c r="G73" s="206"/>
      <x:c r="H73" s="206"/>
      <x:c r="I73" s="206"/>
      <x:c r="J73" s="206"/>
      <x:c r="K73" s="206"/>
      <x:c r="L73" s="5"/>
    </x:row>
    <x:row r="74">
      <x:c r="A74" s="119"/>
      <x:c r="B74" s="206"/>
      <x:c r="C74" s="206"/>
      <x:c r="D74" s="206"/>
      <x:c r="E74" s="206"/>
      <x:c r="F74" s="206"/>
      <x:c r="G74" s="206"/>
      <x:c r="H74" s="206"/>
      <x:c r="I74" s="206"/>
      <x:c r="J74" s="206"/>
      <x:c r="K74" s="206"/>
      <x:c r="L74" s="5"/>
    </x:row>
    <x:row r="75">
      <x:c r="A75" s="119"/>
      <x:c r="B75" s="206"/>
      <x:c r="C75" s="206"/>
      <x:c r="D75" s="206"/>
      <x:c r="E75" s="206"/>
      <x:c r="F75" s="206"/>
      <x:c r="G75" s="206"/>
      <x:c r="H75" s="206"/>
      <x:c r="I75" s="206"/>
      <x:c r="J75" s="206"/>
      <x:c r="K75" s="206"/>
      <x:c r="L75" s="5"/>
    </x:row>
    <x:row r="76">
      <x:c r="A76" s="119"/>
      <x:c r="B76" s="206"/>
      <x:c r="C76" s="206"/>
      <x:c r="D76" s="206"/>
      <x:c r="E76" s="206"/>
      <x:c r="F76" s="206"/>
      <x:c r="G76" s="206"/>
      <x:c r="H76" s="206"/>
      <x:c r="I76" s="206"/>
      <x:c r="J76" s="206"/>
      <x:c r="K76" s="206"/>
      <x:c r="L76" s="5"/>
    </x:row>
    <x:row r="77">
      <x:c r="A77" s="119"/>
      <x:c r="B77" s="206"/>
      <x:c r="C77" s="206"/>
      <x:c r="D77" s="206"/>
      <x:c r="E77" s="206"/>
      <x:c r="F77" s="206"/>
      <x:c r="G77" s="206"/>
      <x:c r="H77" s="206"/>
      <x:c r="I77" s="206"/>
      <x:c r="J77" s="206"/>
      <x:c r="K77" s="206"/>
      <x:c r="L77" s="5"/>
    </x:row>
    <x:row r="78">
      <x:c r="A78" s="119"/>
      <x:c r="B78" s="206"/>
      <x:c r="C78" s="206"/>
      <x:c r="D78" s="206"/>
      <x:c r="E78" s="206"/>
      <x:c r="F78" s="206"/>
      <x:c r="G78" s="206"/>
      <x:c r="H78" s="206"/>
      <x:c r="I78" s="206"/>
      <x:c r="J78" s="206"/>
      <x:c r="K78" s="206"/>
      <x:c r="L78" s="5"/>
    </x:row>
    <x:row r="79">
      <x:c r="A79" s="119"/>
      <x:c r="B79" s="206"/>
      <x:c r="C79" s="206"/>
      <x:c r="D79" s="206"/>
      <x:c r="E79" s="206"/>
      <x:c r="F79" s="206"/>
      <x:c r="G79" s="206"/>
      <x:c r="H79" s="206"/>
      <x:c r="I79" s="206"/>
      <x:c r="J79" s="206"/>
      <x:c r="K79" s="206"/>
      <x:c r="L79" s="5"/>
    </x:row>
    <x:row r="80">
      <x:c r="A80" s="119"/>
      <x:c r="B80" s="206"/>
      <x:c r="C80" s="206"/>
      <x:c r="D80" s="206"/>
      <x:c r="E80" s="206"/>
      <x:c r="F80" s="206"/>
      <x:c r="G80" s="206"/>
      <x:c r="H80" s="206"/>
      <x:c r="I80" s="206"/>
      <x:c r="J80" s="206"/>
      <x:c r="K80" s="206"/>
      <x:c r="L80" s="5"/>
    </x:row>
    <x:row r="81">
      <x:c r="B81" s="260"/>
      <x:c r="C81" s="260"/>
      <x:c r="D81" s="260"/>
      <x:c r="E81" s="260"/>
      <x:c r="F81" s="260"/>
      <x:c r="G81" s="260"/>
      <x:c r="H81" s="260"/>
      <x:c r="I81" s="260"/>
      <x:c r="J81" s="260"/>
      <x:c r="K81" s="260"/>
    </x:row>
    <x:row r="82">
      <x:c r="B82" s="260"/>
      <x:c r="C82" s="260"/>
      <x:c r="D82" s="260"/>
      <x:c r="E82" s="260"/>
      <x:c r="F82" s="260"/>
      <x:c r="G82" s="260"/>
      <x:c r="H82" s="260"/>
      <x:c r="I82" s="260"/>
      <x:c r="J82" s="260"/>
      <x:c r="K82" s="260"/>
    </x:row>
    <x:row r="83">
      <x:c r="B83" s="260"/>
      <x:c r="C83" s="260"/>
      <x:c r="D83" s="260"/>
      <x:c r="E83" s="260"/>
      <x:c r="F83" s="260"/>
      <x:c r="G83" s="260"/>
      <x:c r="H83" s="260"/>
      <x:c r="I83" s="260"/>
      <x:c r="J83" s="260"/>
      <x:c r="K83" s="260"/>
    </x:row>
    <x:row r="84">
      <x:c r="B84" s="260"/>
      <x:c r="C84" s="260"/>
      <x:c r="D84" s="260"/>
      <x:c r="E84" s="260"/>
      <x:c r="F84" s="260"/>
      <x:c r="G84" s="260"/>
      <x:c r="H84" s="260"/>
      <x:c r="I84" s="260"/>
      <x:c r="J84" s="260"/>
      <x:c r="K84" s="260"/>
    </x:row>
    <x:row r="85">
      <x:c r="B85" s="260"/>
      <x:c r="C85" s="260"/>
      <x:c r="D85" s="260"/>
      <x:c r="E85" s="260"/>
      <x:c r="F85" s="260"/>
      <x:c r="G85" s="260"/>
      <x:c r="H85" s="260"/>
      <x:c r="I85" s="260"/>
      <x:c r="J85" s="260"/>
      <x:c r="K85" s="260"/>
    </x:row>
    <x:row r="86">
      <x:c r="B86" s="260"/>
      <x:c r="C86" s="260"/>
      <x:c r="D86" s="260"/>
      <x:c r="E86" s="260"/>
      <x:c r="F86" s="260"/>
      <x:c r="G86" s="260"/>
      <x:c r="H86" s="260"/>
      <x:c r="I86" s="260"/>
      <x:c r="J86" s="260"/>
      <x:c r="K86" s="260"/>
    </x:row>
    <x:row r="87">
      <x:c r="B87" s="260"/>
      <x:c r="C87" s="260"/>
      <x:c r="D87" s="260"/>
      <x:c r="E87" s="260"/>
      <x:c r="F87" s="260"/>
      <x:c r="G87" s="260"/>
      <x:c r="H87" s="260"/>
      <x:c r="I87" s="260"/>
      <x:c r="J87" s="260"/>
      <x:c r="K87" s="260"/>
    </x:row>
    <x:row r="88">
      <x:c r="B88" s="260"/>
      <x:c r="C88" s="260"/>
      <x:c r="D88" s="260"/>
      <x:c r="E88" s="260"/>
      <x:c r="F88" s="260"/>
      <x:c r="G88" s="260"/>
      <x:c r="H88" s="260"/>
      <x:c r="I88" s="260"/>
      <x:c r="J88" s="260"/>
      <x:c r="K88" s="260"/>
    </x:row>
    <x:row r="89">
      <x:c r="B89" s="260"/>
      <x:c r="C89" s="260"/>
      <x:c r="D89" s="260"/>
      <x:c r="E89" s="260"/>
      <x:c r="F89" s="260"/>
      <x:c r="G89" s="260"/>
      <x:c r="H89" s="260"/>
      <x:c r="I89" s="260"/>
      <x:c r="J89" s="260"/>
      <x:c r="K89" s="260"/>
    </x:row>
    <x:row r="90">
      <x:c r="B90" s="260"/>
      <x:c r="C90" s="260"/>
      <x:c r="D90" s="260"/>
      <x:c r="E90" s="260"/>
      <x:c r="F90" s="260"/>
      <x:c r="G90" s="260"/>
      <x:c r="H90" s="260"/>
      <x:c r="I90" s="260"/>
      <x:c r="J90" s="260"/>
      <x:c r="K90" s="260"/>
    </x:row>
    <x:row r="91">
      <x:c r="B91" s="260"/>
      <x:c r="C91" s="260"/>
      <x:c r="D91" s="260"/>
      <x:c r="E91" s="260"/>
      <x:c r="F91" s="260"/>
      <x:c r="G91" s="260"/>
      <x:c r="H91" s="260"/>
      <x:c r="I91" s="260"/>
      <x:c r="J91" s="260"/>
      <x:c r="K91" s="260"/>
    </x:row>
    <x:row r="92">
      <x:c r="B92" s="260"/>
      <x:c r="C92" s="260"/>
      <x:c r="D92" s="260"/>
      <x:c r="E92" s="260"/>
      <x:c r="F92" s="260"/>
      <x:c r="G92" s="260"/>
      <x:c r="H92" s="260"/>
      <x:c r="I92" s="260"/>
      <x:c r="J92" s="260"/>
      <x:c r="K92" s="260"/>
    </x:row>
    <x:row r="93">
      <x:c r="B93" s="260"/>
      <x:c r="C93" s="260"/>
      <x:c r="D93" s="260"/>
      <x:c r="E93" s="260"/>
      <x:c r="F93" s="260"/>
      <x:c r="G93" s="260"/>
      <x:c r="H93" s="260"/>
      <x:c r="I93" s="260"/>
      <x:c r="J93" s="260"/>
      <x:c r="K93" s="260"/>
    </x:row>
    <x:row r="94">
      <x:c r="B94" s="260"/>
      <x:c r="C94" s="260"/>
      <x:c r="D94" s="260"/>
      <x:c r="E94" s="260"/>
      <x:c r="F94" s="260"/>
      <x:c r="G94" s="260"/>
      <x:c r="H94" s="260"/>
      <x:c r="I94" s="260"/>
      <x:c r="J94" s="260"/>
      <x:c r="K94" s="260"/>
    </x:row>
    <x:row r="95">
      <x:c r="B95" s="260"/>
      <x:c r="C95" s="260"/>
      <x:c r="D95" s="260"/>
      <x:c r="E95" s="260"/>
      <x:c r="F95" s="260"/>
      <x:c r="G95" s="260"/>
      <x:c r="H95" s="260"/>
      <x:c r="I95" s="260"/>
      <x:c r="J95" s="260"/>
      <x:c r="K95" s="260"/>
    </x:row>
    <x:row r="96">
      <x:c r="B96" s="260"/>
      <x:c r="C96" s="260"/>
      <x:c r="D96" s="260"/>
      <x:c r="E96" s="260"/>
      <x:c r="F96" s="260"/>
      <x:c r="G96" s="260"/>
      <x:c r="H96" s="260"/>
      <x:c r="I96" s="260"/>
      <x:c r="J96" s="260"/>
      <x:c r="K96" s="260"/>
    </x:row>
    <x:row r="97">
      <x:c r="B97" s="260"/>
      <x:c r="C97" s="260"/>
      <x:c r="D97" s="260"/>
      <x:c r="E97" s="260"/>
      <x:c r="F97" s="260"/>
      <x:c r="G97" s="260"/>
      <x:c r="H97" s="260"/>
      <x:c r="I97" s="260"/>
      <x:c r="J97" s="260"/>
      <x:c r="K97" s="260"/>
    </x:row>
    <x:row r="98">
      <x:c r="B98" s="260"/>
      <x:c r="C98" s="260"/>
      <x:c r="D98" s="260"/>
      <x:c r="E98" s="260"/>
      <x:c r="F98" s="260"/>
      <x:c r="G98" s="260"/>
      <x:c r="H98" s="260"/>
      <x:c r="I98" s="260"/>
      <x:c r="J98" s="260"/>
      <x:c r="K98" s="260"/>
    </x:row>
    <x:row r="99">
      <x:c r="B99" s="260"/>
      <x:c r="C99" s="260"/>
      <x:c r="D99" s="260"/>
      <x:c r="E99" s="260"/>
      <x:c r="F99" s="260"/>
      <x:c r="G99" s="260"/>
      <x:c r="H99" s="260"/>
      <x:c r="I99" s="260"/>
      <x:c r="J99" s="260"/>
      <x:c r="K99" s="260"/>
    </x:row>
    <x:row r="100">
      <x:c r="B100" s="260"/>
      <x:c r="C100" s="260"/>
      <x:c r="D100" s="260"/>
      <x:c r="E100" s="260"/>
      <x:c r="F100" s="260"/>
      <x:c r="G100" s="260"/>
      <x:c r="H100" s="260"/>
      <x:c r="I100" s="260"/>
      <x:c r="J100" s="260"/>
      <x:c r="K100" s="260"/>
    </x:row>
    <x:row r="101">
      <x:c r="B101" s="260"/>
      <x:c r="C101" s="260"/>
      <x:c r="D101" s="260"/>
      <x:c r="E101" s="260"/>
      <x:c r="F101" s="260"/>
      <x:c r="G101" s="260"/>
      <x:c r="H101" s="260"/>
      <x:c r="I101" s="260"/>
      <x:c r="J101" s="260"/>
      <x:c r="K101" s="260"/>
    </x:row>
    <x:row r="102">
      <x:c r="B102" s="260"/>
      <x:c r="C102" s="260"/>
      <x:c r="D102" s="260"/>
      <x:c r="E102" s="260"/>
      <x:c r="F102" s="260"/>
      <x:c r="G102" s="260"/>
      <x:c r="H102" s="260"/>
      <x:c r="I102" s="260"/>
      <x:c r="J102" s="260"/>
      <x:c r="K102" s="260"/>
    </x:row>
    <x:row r="103">
      <x:c r="B103" s="260"/>
      <x:c r="C103" s="260"/>
      <x:c r="D103" s="260"/>
      <x:c r="E103" s="260"/>
      <x:c r="F103" s="260"/>
      <x:c r="G103" s="260"/>
      <x:c r="H103" s="260"/>
      <x:c r="I103" s="260"/>
      <x:c r="J103" s="260"/>
      <x:c r="K103" s="260"/>
    </x:row>
    <x:row r="104">
      <x:c r="B104" s="260"/>
      <x:c r="C104" s="260"/>
      <x:c r="D104" s="260"/>
      <x:c r="E104" s="260"/>
      <x:c r="F104" s="260"/>
      <x:c r="G104" s="260"/>
      <x:c r="H104" s="260"/>
      <x:c r="I104" s="260"/>
      <x:c r="J104" s="260"/>
      <x:c r="K104" s="260"/>
    </x:row>
    <x:row r="105">
      <x:c r="B105" s="260"/>
      <x:c r="C105" s="260"/>
      <x:c r="D105" s="260"/>
      <x:c r="E105" s="260"/>
      <x:c r="F105" s="260"/>
      <x:c r="G105" s="260"/>
      <x:c r="H105" s="260"/>
      <x:c r="I105" s="260"/>
      <x:c r="J105" s="260"/>
      <x:c r="K105" s="260"/>
    </x:row>
    <x:row r="106">
      <x:c r="B106" s="260"/>
      <x:c r="C106" s="260"/>
      <x:c r="D106" s="260"/>
      <x:c r="E106" s="260"/>
      <x:c r="F106" s="260"/>
      <x:c r="G106" s="260"/>
      <x:c r="H106" s="260"/>
      <x:c r="I106" s="260"/>
      <x:c r="J106" s="260"/>
      <x:c r="K106" s="260"/>
    </x:row>
    <x:row r="107">
      <x:c r="B107" s="260"/>
      <x:c r="C107" s="260"/>
      <x:c r="D107" s="260"/>
      <x:c r="E107" s="260"/>
      <x:c r="F107" s="260"/>
      <x:c r="G107" s="260"/>
      <x:c r="H107" s="260"/>
      <x:c r="I107" s="260"/>
      <x:c r="J107" s="260"/>
      <x:c r="K107" s="260"/>
    </x:row>
    <x:row r="108">
      <x:c r="B108" s="260"/>
      <x:c r="C108" s="260"/>
      <x:c r="D108" s="260"/>
      <x:c r="E108" s="260"/>
      <x:c r="F108" s="260"/>
      <x:c r="G108" s="260"/>
      <x:c r="H108" s="260"/>
      <x:c r="I108" s="260"/>
      <x:c r="J108" s="260"/>
      <x:c r="K108" s="260"/>
    </x:row>
    <x:row r="109">
      <x:c r="B109" s="260"/>
      <x:c r="C109" s="260"/>
      <x:c r="D109" s="260"/>
      <x:c r="E109" s="260"/>
      <x:c r="F109" s="260"/>
      <x:c r="G109" s="260"/>
      <x:c r="H109" s="260"/>
      <x:c r="I109" s="260"/>
      <x:c r="J109" s="260"/>
      <x:c r="K109" s="260"/>
    </x:row>
    <x:row r="110">
      <x:c r="B110" s="260"/>
      <x:c r="C110" s="260"/>
      <x:c r="D110" s="260"/>
      <x:c r="E110" s="260"/>
      <x:c r="F110" s="260"/>
      <x:c r="G110" s="260"/>
      <x:c r="H110" s="260"/>
      <x:c r="I110" s="260"/>
      <x:c r="J110" s="260"/>
      <x:c r="K110" s="260"/>
    </x:row>
    <x:row r="111">
      <x:c r="B111" s="260"/>
      <x:c r="C111" s="260"/>
      <x:c r="D111" s="260"/>
      <x:c r="E111" s="260"/>
      <x:c r="F111" s="260"/>
      <x:c r="G111" s="260"/>
      <x:c r="H111" s="260"/>
      <x:c r="I111" s="260"/>
      <x:c r="J111" s="260"/>
      <x:c r="K111" s="260"/>
    </x:row>
    <x:row r="112">
      <x:c r="B112" s="260"/>
      <x:c r="C112" s="260"/>
      <x:c r="D112" s="260"/>
      <x:c r="E112" s="260"/>
      <x:c r="F112" s="260"/>
      <x:c r="G112" s="260"/>
      <x:c r="H112" s="260"/>
      <x:c r="I112" s="260"/>
      <x:c r="J112" s="260"/>
      <x:c r="K112" s="260"/>
    </x:row>
    <x:row r="113">
      <x:c r="B113" s="260"/>
      <x:c r="C113" s="260"/>
      <x:c r="D113" s="260"/>
      <x:c r="E113" s="260"/>
      <x:c r="F113" s="260"/>
      <x:c r="G113" s="260"/>
      <x:c r="H113" s="260"/>
      <x:c r="I113" s="260"/>
      <x:c r="J113" s="260"/>
      <x:c r="K113" s="260"/>
    </x:row>
    <x:row r="114">
      <x:c r="B114" s="260"/>
      <x:c r="C114" s="260"/>
      <x:c r="D114" s="260"/>
      <x:c r="E114" s="260"/>
      <x:c r="F114" s="260"/>
      <x:c r="G114" s="260"/>
      <x:c r="H114" s="260"/>
      <x:c r="I114" s="260"/>
      <x:c r="J114" s="260"/>
      <x:c r="K114" s="260"/>
    </x:row>
    <x:row r="115">
      <x:c r="B115" s="260"/>
      <x:c r="C115" s="260"/>
      <x:c r="D115" s="260"/>
      <x:c r="E115" s="260"/>
      <x:c r="F115" s="260"/>
      <x:c r="G115" s="260"/>
      <x:c r="H115" s="260"/>
      <x:c r="I115" s="260"/>
      <x:c r="J115" s="260"/>
      <x:c r="K115" s="260"/>
    </x:row>
    <x:row r="116">
      <x:c r="B116" s="260"/>
      <x:c r="C116" s="260"/>
      <x:c r="D116" s="260"/>
      <x:c r="E116" s="260"/>
      <x:c r="F116" s="260"/>
      <x:c r="G116" s="260"/>
      <x:c r="H116" s="260"/>
      <x:c r="I116" s="260"/>
      <x:c r="J116" s="260"/>
      <x:c r="K116" s="260"/>
    </x:row>
    <x:row r="117">
      <x:c r="B117" s="260"/>
      <x:c r="C117" s="260"/>
      <x:c r="D117" s="260"/>
      <x:c r="E117" s="260"/>
      <x:c r="F117" s="260"/>
      <x:c r="G117" s="260"/>
      <x:c r="H117" s="260"/>
      <x:c r="I117" s="260"/>
      <x:c r="J117" s="260"/>
      <x:c r="K117" s="260"/>
    </x:row>
    <x:row r="118">
      <x:c r="B118" s="260"/>
      <x:c r="C118" s="260"/>
      <x:c r="D118" s="260"/>
      <x:c r="E118" s="260"/>
      <x:c r="F118" s="260"/>
      <x:c r="G118" s="260"/>
      <x:c r="H118" s="260"/>
      <x:c r="I118" s="260"/>
      <x:c r="J118" s="260"/>
      <x:c r="K118" s="260"/>
    </x:row>
    <x:row r="119">
      <x:c r="B119" s="260"/>
      <x:c r="C119" s="260"/>
      <x:c r="D119" s="260"/>
      <x:c r="E119" s="260"/>
      <x:c r="F119" s="260"/>
      <x:c r="G119" s="260"/>
      <x:c r="H119" s="260"/>
      <x:c r="I119" s="260"/>
      <x:c r="J119" s="260"/>
      <x:c r="K119" s="260"/>
    </x:row>
    <x:row r="120">
      <x:c r="B120" s="260"/>
      <x:c r="C120" s="260"/>
      <x:c r="D120" s="260"/>
      <x:c r="E120" s="260"/>
      <x:c r="F120" s="260"/>
      <x:c r="G120" s="260"/>
      <x:c r="H120" s="260"/>
      <x:c r="I120" s="260"/>
      <x:c r="J120" s="260"/>
      <x:c r="K120" s="260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31.43000030517578" hidden="0" customWidth="1"/>
    <x:col min="2" max="2" width="14.289999961853027" hidden="0" customWidth="1"/>
    <x:col min="3" max="3" width="14.289999961853027" hidden="0" customWidth="1"/>
    <x:col min="4" max="4" width="14.289999961853027" hidden="0" customWidth="1"/>
    <x:col min="5" max="5" width="14.289999961853027" hidden="0" customWidth="1"/>
    <x:col min="6" max="6" width="14.289999961853027" hidden="0" customWidth="1"/>
    <x:col min="7" max="7" width="14.289999961853027" hidden="0" customWidth="1"/>
    <x:col min="8" max="8" width="14.289999961853027" hidden="0" customWidth="1"/>
  </x:cols>
  <x:sheetData>
    <x:row r="1">
      <x:c r="A1" s="4" t="str">
        <x:v>FYE: February.  Units: $ in millions except per-share data, shares in millions, ratios, and noted operating drivers.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>
      <x:c r="A3" s="258" t="str">
        <x:v>Everpure Summary</x:v>
      </x:c>
      <x:c r="B3" s="258"/>
      <x:c r="C3" s="258"/>
      <x:c r="D3" s="258"/>
      <x:c r="E3" s="258"/>
      <x:c r="F3" s="258"/>
      <x:c r="G3" s="258"/>
      <x:c r="H3" s="258"/>
      <x:c r="I3" s="119"/>
      <x:c r="J3" s="119"/>
      <x:c r="K3" s="119"/>
      <x:c r="L3" s="5"/>
    </x:row>
    <x:row r="4">
      <x:c r="A4" s="119"/>
      <x:c r="B4" s="206"/>
      <x:c r="C4" s="206"/>
      <x:c r="D4" s="206"/>
      <x:c r="E4" s="206"/>
      <x:c r="F4" s="206"/>
      <x:c r="G4" s="206"/>
      <x:c r="H4" s="206"/>
      <x:c r="I4" s="206"/>
      <x:c r="J4" s="206"/>
      <x:c r="K4" s="206"/>
      <x:c r="L4" s="5"/>
    </x:row>
    <x:row r="5">
      <x:c r="A5" s="144" t="str">
        <x:v>Metric</x:v>
      </x:c>
      <x:c r="B5" s="274" t="str">
        <x:v>FY2024</x:v>
      </x:c>
      <x:c r="C5" s="274" t="str">
        <x:v>FY2025</x:v>
      </x:c>
      <x:c r="D5" s="274" t="str">
        <x:v>FY2026</x:v>
      </x:c>
      <x:c r="E5" s="274" t="str">
        <x:v>FY2027E</x:v>
      </x:c>
      <x:c r="F5" s="274" t="str">
        <x:v>FY2028E</x:v>
      </x:c>
      <x:c r="G5" s="274" t="str">
        <x:v>FY2029E</x:v>
      </x:c>
      <x:c r="H5" s="274" t="str">
        <x:v>FY2030E</x:v>
      </x:c>
      <x:c r="I5" s="206"/>
      <x:c r="J5" s="206"/>
      <x:c r="K5" s="206"/>
      <x:c r="L5" s="5"/>
    </x:row>
    <x:row r="6">
      <x:c r="A6" s="119" t="str">
        <x:v>Revenue</x:v>
      </x:c>
      <x:c r="B6" s="216" t="n">
        <x:f>Historicals_IS!E6</x:f>
        <x:v>2830.621</x:v>
      </x:c>
      <x:c r="C6" s="216" t="n">
        <x:f>Historicals_IS!F6</x:f>
        <x:v>3168.164</x:v>
      </x:c>
      <x:c r="D6" s="216" t="n">
        <x:f>Historicals_IS!G6</x:f>
        <x:v>3662.843</x:v>
      </x:c>
      <x:c r="E6" s="216" t="n">
        <x:f>IS_Forecast!B6</x:f>
        <x:v>4065.46325</x:v>
      </x:c>
      <x:c r="F6" s="216" t="n">
        <x:f>IS_Forecast!C6</x:f>
        <x:v>4467.393086</x:v>
      </x:c>
      <x:c r="G6" s="216" t="n">
        <x:f>IS_Forecast!D6</x:f>
        <x:v>4850.419825999999</x:v>
      </x:c>
      <x:c r="H6" s="216" t="n">
        <x:f>IS_Forecast!E6</x:f>
        <x:v>5211.284485</x:v>
      </x:c>
      <x:c r="I6" s="206"/>
      <x:c r="J6" s="206"/>
      <x:c r="K6" s="206"/>
      <x:c r="L6" s="5"/>
    </x:row>
    <x:row r="7">
      <x:c r="A7" s="119" t="str">
        <x:v>Gross margin</x:v>
      </x:c>
      <x:c r="B7" s="217" t="n">
        <x:f>Historicals_IS!E10/Historicals_IS!E6</x:f>
        <x:v>0.7140450805671265</x:v>
      </x:c>
      <x:c r="C7" s="217" t="n">
        <x:f>Historicals_IS!F10/Historicals_IS!F6</x:f>
        <x:v>0.6984199681582139</x:v>
      </x:c>
      <x:c r="D7" s="217" t="n">
        <x:f>Historicals_IS!G10/Historicals_IS!G6</x:f>
        <x:v>0.7038120388998382</x:v>
      </x:c>
      <x:c r="E7" s="217" t="n">
        <x:f>IS_Forecast!B10/IS_Forecast!B6</x:f>
        <x:v>0.7054986846431338</x:v>
      </x:c>
      <x:c r="F7" s="217" t="n">
        <x:f>IS_Forecast!C10/IS_Forecast!C6</x:f>
        <x:v>0.7083322277049341</x:v>
      </x:c>
      <x:c r="G7" s="217" t="n">
        <x:f>IS_Forecast!D10/IS_Forecast!D6</x:f>
        <x:v>0.7122062685404337</x:v>
      </x:c>
      <x:c r="H7" s="217" t="n">
        <x:f>IS_Forecast!E10/IS_Forecast!E6</x:f>
        <x:v>0.7155578007942892</x:v>
      </x:c>
      <x:c r="I7" s="206"/>
      <x:c r="J7" s="206"/>
      <x:c r="K7" s="206"/>
      <x:c r="L7" s="5"/>
    </x:row>
    <x:row r="8">
      <x:c r="A8" s="119" t="str">
        <x:v>Operating income</x:v>
      </x:c>
      <x:c r="B8" s="216" t="n">
        <x:f>Historicals_IS!E16</x:f>
        <x:v>53.551</x:v>
      </x:c>
      <x:c r="C8" s="216" t="n">
        <x:f>Historicals_IS!F16</x:f>
        <x:v>85.258</x:v>
      </x:c>
      <x:c r="D8" s="216" t="n">
        <x:f>Historicals_IS!G16</x:f>
        <x:v>114.816</x:v>
      </x:c>
      <x:c r="E8" s="216" t="n">
        <x:f>IS_Forecast!B16</x:f>
        <x:v>245.95597534000035</x:v>
      </x:c>
      <x:c r="F8" s="216" t="n">
        <x:f>IS_Forecast!C16</x:f>
        <x:v>345.4734966400006</x:v>
      </x:c>
      <x:c r="G8" s="216" t="n">
        <x:f>IS_Forecast!D16</x:f>
        <x:v>456.9394051299987</x:v>
      </x:c>
      <x:c r="H8" s="216" t="n">
        <x:f>IS_Forecast!E16</x:f>
        <x:v>576.1492654000003</x:v>
      </x:c>
      <x:c r="I8" s="206"/>
      <x:c r="J8" s="206"/>
      <x:c r="K8" s="206"/>
      <x:c r="L8" s="5"/>
    </x:row>
    <x:row r="9">
      <x:c r="A9" s="119" t="str">
        <x:v>Net income</x:v>
      </x:c>
      <x:c r="B9" s="216" t="n">
        <x:f>Historicals_IS!E22</x:f>
        <x:v>61.311</x:v>
      </x:c>
      <x:c r="C9" s="216" t="n">
        <x:f>Historicals_IS!F22</x:f>
        <x:v>106.739</x:v>
      </x:c>
      <x:c r="D9" s="216" t="n">
        <x:f>Historicals_IS!G22</x:f>
        <x:v>188.181</x:v>
      </x:c>
      <x:c r="E9" s="216" t="n">
        <x:f>IS_Forecast!B22</x:f>
        <x:v>199.2243400254003</x:v>
      </x:c>
      <x:c r="F9" s="216" t="n">
        <x:f>IS_Forecast!C22</x:f>
        <x:v>278.10616479520047</x:v>
      </x:c>
      <x:c r="G9" s="216" t="n">
        <x:f>IS_Forecast!D22</x:f>
        <x:v>365.551524103999</x:v>
      </x:c>
      <x:c r="H9" s="216" t="n">
        <x:f>IS_Forecast!E22</x:f>
        <x:v>458.0386659930003</x:v>
      </x:c>
      <x:c r="I9" s="206"/>
      <x:c r="J9" s="206"/>
      <x:c r="K9" s="206"/>
      <x:c r="L9" s="5"/>
    </x:row>
    <x:row r="10">
      <x:c r="A10" s="119" t="str">
        <x:v>FCFF</x:v>
      </x:c>
      <x:c r="B10" s="216" t="str"/>
      <x:c r="C10" s="216" t="str"/>
      <x:c r="D10" s="216" t="str"/>
      <x:c r="E10" s="216" t="n">
        <x:f>DCF!B11</x:f>
        <x:v>156.29582524437274</x:v>
      </x:c>
      <x:c r="F10" s="216" t="n">
        <x:f>DCF!C11</x:f>
        <x:v>314.0900310382217</x:v>
      </x:c>
      <x:c r="G10" s="216" t="n">
        <x:f>DCF!D11</x:f>
        <x:v>385.0530747799778</x:v>
      </x:c>
      <x:c r="H10" s="216" t="n">
        <x:f>DCF!E11</x:f>
        <x:v>479.84863754185665</x:v>
      </x:c>
      <x:c r="I10" s="206"/>
      <x:c r="J10" s="206"/>
      <x:c r="K10" s="206"/>
      <x:c r="L10" s="5"/>
    </x:row>
    <x:row r="11">
      <x:c r="A11" s="119"/>
      <x:c r="B11" s="206"/>
      <x:c r="C11" s="206"/>
      <x:c r="D11" s="206"/>
      <x:c r="E11" s="206"/>
      <x:c r="F11" s="206"/>
      <x:c r="G11" s="206"/>
      <x:c r="H11" s="206"/>
      <x:c r="I11" s="206"/>
      <x:c r="J11" s="206"/>
      <x:c r="K11" s="206"/>
      <x:c r="L11" s="5"/>
    </x:row>
    <x:row r="12">
      <x:c r="A12" s="119"/>
      <x:c r="B12" s="206"/>
      <x:c r="C12" s="206"/>
      <x:c r="D12" s="206"/>
      <x:c r="E12" s="206"/>
      <x:c r="F12" s="206"/>
      <x:c r="G12" s="206"/>
      <x:c r="H12" s="206"/>
      <x:c r="I12" s="206"/>
      <x:c r="J12" s="206"/>
      <x:c r="K12" s="206"/>
      <x:c r="L12" s="5"/>
    </x:row>
    <x:row r="13">
      <x:c r="A13" s="214" t="str">
        <x:v>Valuation output</x:v>
      </x:c>
      <x:c r="B13" s="214" t="str"/>
      <x:c r="C13" s="206"/>
      <x:c r="D13" s="214" t="str">
        <x:v>Model status</x:v>
      </x:c>
      <x:c r="E13" s="214" t="str">
        <x:f>IF(B19=B20,"PASS","REVIEW")</x:f>
        <x:v>PASS</x:v>
      </x:c>
      <x:c r="F13" s="206"/>
      <x:c r="G13" s="206"/>
      <x:c r="H13" s="206"/>
      <x:c r="I13" s="206"/>
      <x:c r="J13" s="206"/>
      <x:c r="K13" s="206"/>
      <x:c r="L13" s="5"/>
    </x:row>
    <x:row r="14">
      <x:c r="A14" s="119" t="str">
        <x:v>WACC</x:v>
      </x:c>
      <x:c r="B14" s="217" t="n">
        <x:f>WACC!B16</x:f>
        <x:v>0.08342150000000001</x:v>
      </x:c>
      <x:c r="C14" s="206"/>
      <x:c r="D14" s="206"/>
      <x:c r="E14" s="206"/>
      <x:c r="F14" s="206"/>
      <x:c r="G14" s="206"/>
      <x:c r="H14" s="206"/>
      <x:c r="I14" s="206"/>
      <x:c r="J14" s="206"/>
      <x:c r="K14" s="206"/>
      <x:c r="L14" s="5"/>
    </x:row>
    <x:row r="15">
      <x:c r="A15" s="119" t="str">
        <x:v>Terminal growth</x:v>
      </x:c>
      <x:c r="B15" s="217" t="n">
        <x:f>DCF!B19</x:f>
        <x:v>0.03</x:v>
      </x:c>
      <x:c r="C15" s="206"/>
      <x:c r="D15" s="206"/>
      <x:c r="E15" s="206"/>
      <x:c r="F15" s="206"/>
      <x:c r="G15" s="206"/>
      <x:c r="H15" s="206"/>
      <x:c r="I15" s="206"/>
      <x:c r="J15" s="206"/>
      <x:c r="K15" s="206"/>
      <x:c r="L15" s="5"/>
    </x:row>
    <x:row r="16">
      <x:c r="A16" s="119" t="str">
        <x:v>Enterprise value</x:v>
      </x:c>
      <x:c r="B16" s="216" t="n">
        <x:f>DCF!B25</x:f>
        <x:v>8991.968071804407</x:v>
      </x:c>
      <x:c r="C16" s="206"/>
      <x:c r="D16" s="206"/>
      <x:c r="E16" s="206"/>
      <x:c r="F16" s="206"/>
      <x:c r="G16" s="206"/>
      <x:c r="H16" s="206"/>
      <x:c r="I16" s="206"/>
      <x:c r="J16" s="206"/>
      <x:c r="K16" s="206"/>
      <x:c r="L16" s="5"/>
    </x:row>
    <x:row r="17">
      <x:c r="A17" s="119" t="str">
        <x:v>Equity value</x:v>
      </x:c>
      <x:c r="B17" s="216" t="n">
        <x:f>DCF!B31</x:f>
        <x:v>10539.287071804407</x:v>
      </x:c>
      <x:c r="C17" s="206"/>
      <x:c r="D17" s="206"/>
      <x:c r="E17" s="206"/>
      <x:c r="F17" s="206"/>
      <x:c r="G17" s="206"/>
      <x:c r="H17" s="206"/>
      <x:c r="I17" s="206"/>
      <x:c r="J17" s="206"/>
      <x:c r="K17" s="206"/>
      <x:c r="L17" s="5"/>
    </x:row>
    <x:row r="18">
      <x:c r="A18" s="119" t="str">
        <x:v>Per-share intrinsic value</x:v>
      </x:c>
      <x:c r="B18" s="262" t="n">
        <x:f>DCF!B33</x:f>
        <x:v>30.727501142313542</x:v>
      </x:c>
      <x:c r="C18" s="206"/>
      <x:c r="D18" s="206"/>
      <x:c r="E18" s="206"/>
      <x:c r="F18" s="206"/>
      <x:c r="G18" s="206"/>
      <x:c r="H18" s="206"/>
      <x:c r="I18" s="206"/>
      <x:c r="J18" s="206"/>
      <x:c r="K18" s="206"/>
      <x:c r="L18" s="5"/>
    </x:row>
    <x:row r="19">
      <x:c r="A19" s="119" t="str">
        <x:v>Checks TRUE count</x:v>
      </x:c>
      <x:c r="B19" s="206" t="n">
        <x:f>SUM(N(Checks!F4),N(Checks!F5),N(Checks!F6),N(Checks!F7),N(Checks!F8),N(Checks!F9),N(Checks!F10),N(Checks!F11),N(Checks!F12),N(Checks!F13),N(Checks!F14),N(Checks!F15),N(Checks!F16),N(Checks!F17),N(Checks!F18),N(Checks!F19),N(Checks!F20),N(Checks!F21),N(Checks!F22),N(Checks!F23),N(Checks!F24),N(Checks!F25),N(Checks!F26),N(Checks!F27),N(Checks!F28),N(Checks!F29),N(Checks!F30),N(Checks!F31),N(Checks!F32),N(Checks!F33),N(Checks!F34),N(Checks!F35),N(Checks!F36),N(Checks!F37),N(Checks!F38),N(Checks!F39),N(Checks!F40),N(Checks!F41),N(Checks!F42),N(Checks!F43),N(Checks!F44),N(Checks!F45),N(Checks!F46),N(Checks!F47),N(Checks!F48),N(Checks!F49),N(Checks!F50),N(Checks!F51),N(Checks!F52),N(Checks!F53),N(Checks!F54),N(Checks!F55),N(Checks!F56),N(Checks!F57),N(Checks!F58),N(Checks!F59),N(Checks!F60),N(Checks!F61),N(Checks!F62),N(Checks!F63),N(Checks!F64),N(Checks!F65),N(Checks!F66),N(Checks!F67),N(Checks!F68),N(Checks!F69),N(Checks!F70),N(Checks!F71),N(Checks!F72),N(Checks!F73),N(Checks!F74),N(Checks!F75),N(Checks!F76),N(Checks!F77))</x:f>
        <x:v>74</x:v>
      </x:c>
      <x:c r="C19" s="206"/>
      <x:c r="D19" s="206"/>
      <x:c r="E19" s="206"/>
      <x:c r="F19" s="206"/>
      <x:c r="G19" s="206"/>
      <x:c r="H19" s="206"/>
      <x:c r="I19" s="206"/>
      <x:c r="J19" s="206"/>
      <x:c r="K19" s="206"/>
      <x:c r="L19" s="5"/>
    </x:row>
    <x:row r="20">
      <x:c r="A20" s="119" t="str">
        <x:v>Checks total count</x:v>
      </x:c>
      <x:c r="B20" s="206" t="n">
        <x:f>ROWS(Checks!F4:F77)</x:f>
        <x:v>74</x:v>
      </x:c>
      <x:c r="C20" s="206"/>
      <x:c r="D20" s="206"/>
      <x:c r="E20" s="206"/>
      <x:c r="F20" s="206"/>
      <x:c r="G20" s="206"/>
      <x:c r="H20" s="206"/>
      <x:c r="I20" s="206"/>
      <x:c r="J20" s="206"/>
      <x:c r="K20" s="206"/>
      <x:c r="L20" s="5"/>
    </x:row>
    <x:row r="21">
      <x:c r="A21" s="119"/>
      <x:c r="B21" s="206"/>
      <x:c r="C21" s="206"/>
      <x:c r="D21" s="206"/>
      <x:c r="E21" s="206"/>
      <x:c r="F21" s="206"/>
      <x:c r="G21" s="206"/>
      <x:c r="H21" s="206"/>
      <x:c r="I21" s="206"/>
      <x:c r="J21" s="206"/>
      <x:c r="K21" s="206"/>
      <x:c r="L21" s="5"/>
    </x:row>
    <x:row r="22">
      <x:c r="A22" s="119"/>
      <x:c r="B22" s="206"/>
      <x:c r="C22" s="206"/>
      <x:c r="D22" s="206"/>
      <x:c r="E22" s="206"/>
      <x:c r="F22" s="206"/>
      <x:c r="G22" s="206"/>
      <x:c r="H22" s="206"/>
      <x:c r="I22" s="206"/>
      <x:c r="J22" s="206"/>
      <x:c r="K22" s="206"/>
      <x:c r="L22" s="5"/>
    </x:row>
    <x:row r="23">
      <x:c r="A23" s="119"/>
      <x:c r="B23" s="206"/>
      <x:c r="C23" s="206"/>
      <x:c r="D23" s="206"/>
      <x:c r="E23" s="206"/>
      <x:c r="F23" s="206"/>
      <x:c r="G23" s="206"/>
      <x:c r="H23" s="206"/>
      <x:c r="I23" s="206"/>
      <x:c r="J23" s="206"/>
      <x:c r="K23" s="206"/>
      <x:c r="L23" s="5"/>
    </x:row>
    <x:row r="24">
      <x:c r="A24" s="119"/>
      <x:c r="B24" s="206"/>
      <x:c r="C24" s="206"/>
      <x:c r="D24" s="206"/>
      <x:c r="E24" s="206"/>
      <x:c r="F24" s="206"/>
      <x:c r="G24" s="206"/>
      <x:c r="H24" s="206"/>
      <x:c r="I24" s="206"/>
      <x:c r="J24" s="206"/>
      <x:c r="K24" s="206"/>
      <x:c r="L24" s="5"/>
    </x:row>
    <x:row r="25">
      <x:c r="A25" s="119"/>
      <x:c r="B25" s="206"/>
      <x:c r="C25" s="206"/>
      <x:c r="D25" s="206"/>
      <x:c r="E25" s="206"/>
      <x:c r="F25" s="206"/>
      <x:c r="G25" s="206"/>
      <x:c r="H25" s="206"/>
      <x:c r="I25" s="206"/>
      <x:c r="J25" s="206"/>
      <x:c r="K25" s="206"/>
      <x:c r="L25" s="5"/>
    </x:row>
    <x:row r="26">
      <x:c r="A26" s="119"/>
      <x:c r="B26" s="206"/>
      <x:c r="C26" s="206"/>
      <x:c r="D26" s="206"/>
      <x:c r="E26" s="206"/>
      <x:c r="F26" s="206"/>
      <x:c r="G26" s="206"/>
      <x:c r="H26" s="206"/>
      <x:c r="I26" s="206"/>
      <x:c r="J26" s="206"/>
      <x:c r="K26" s="206"/>
      <x:c r="L26" s="5"/>
    </x:row>
    <x:row r="27">
      <x:c r="A27" s="119"/>
      <x:c r="B27" s="206"/>
      <x:c r="C27" s="206"/>
      <x:c r="D27" s="206"/>
      <x:c r="E27" s="206"/>
      <x:c r="F27" s="206"/>
      <x:c r="G27" s="206"/>
      <x:c r="H27" s="206"/>
      <x:c r="I27" s="206"/>
      <x:c r="J27" s="206"/>
      <x:c r="K27" s="206"/>
      <x:c r="L27" s="5"/>
    </x:row>
    <x:row r="28">
      <x:c r="A28" s="119"/>
      <x:c r="B28" s="206"/>
      <x:c r="C28" s="206"/>
      <x:c r="D28" s="206"/>
      <x:c r="E28" s="206"/>
      <x:c r="F28" s="206"/>
      <x:c r="G28" s="206"/>
      <x:c r="H28" s="206"/>
      <x:c r="I28" s="206"/>
      <x:c r="J28" s="206"/>
      <x:c r="K28" s="206"/>
      <x:c r="L28" s="5"/>
    </x:row>
    <x:row r="29">
      <x:c r="A29" s="119"/>
      <x:c r="B29" s="206"/>
      <x:c r="C29" s="206"/>
      <x:c r="D29" s="206"/>
      <x:c r="E29" s="206"/>
      <x:c r="F29" s="206"/>
      <x:c r="G29" s="206"/>
      <x:c r="H29" s="206"/>
      <x:c r="I29" s="206"/>
      <x:c r="J29" s="206"/>
      <x:c r="K29" s="206"/>
      <x:c r="L29" s="5"/>
    </x:row>
    <x:row r="30">
      <x:c r="A30" s="119"/>
      <x:c r="B30" s="206"/>
      <x:c r="C30" s="206"/>
      <x:c r="D30" s="206"/>
      <x:c r="E30" s="206"/>
      <x:c r="F30" s="206"/>
      <x:c r="G30" s="206"/>
      <x:c r="H30" s="206"/>
      <x:c r="I30" s="206"/>
      <x:c r="J30" s="206"/>
      <x:c r="K30" s="206"/>
      <x:c r="L30" s="5"/>
    </x:row>
    <x:row r="31">
      <x:c r="A31" s="119"/>
      <x:c r="B31" s="206"/>
      <x:c r="C31" s="206"/>
      <x:c r="D31" s="206"/>
      <x:c r="E31" s="206"/>
      <x:c r="F31" s="206"/>
      <x:c r="G31" s="206"/>
      <x:c r="H31" s="206"/>
      <x:c r="I31" s="206"/>
      <x:c r="J31" s="206"/>
      <x:c r="K31" s="206"/>
      <x:c r="L31" s="5"/>
    </x:row>
    <x:row r="32">
      <x:c r="A32" s="119"/>
      <x:c r="B32" s="206"/>
      <x:c r="C32" s="206"/>
      <x:c r="D32" s="206"/>
      <x:c r="E32" s="206"/>
      <x:c r="F32" s="206"/>
      <x:c r="G32" s="206"/>
      <x:c r="H32" s="206"/>
      <x:c r="I32" s="206"/>
      <x:c r="J32" s="206"/>
      <x:c r="K32" s="206"/>
      <x:c r="L32" s="5"/>
    </x:row>
    <x:row r="33">
      <x:c r="A33" s="119"/>
      <x:c r="B33" s="206"/>
      <x:c r="C33" s="206"/>
      <x:c r="D33" s="206"/>
      <x:c r="E33" s="206"/>
      <x:c r="F33" s="206"/>
      <x:c r="G33" s="206"/>
      <x:c r="H33" s="206"/>
      <x:c r="I33" s="206"/>
      <x:c r="J33" s="206"/>
      <x:c r="K33" s="206"/>
      <x:c r="L33" s="5"/>
    </x:row>
    <x:row r="34">
      <x:c r="A34" s="119"/>
      <x:c r="B34" s="206"/>
      <x:c r="C34" s="206"/>
      <x:c r="D34" s="206"/>
      <x:c r="E34" s="206"/>
      <x:c r="F34" s="206"/>
      <x:c r="G34" s="206"/>
      <x:c r="H34" s="206"/>
      <x:c r="I34" s="206"/>
      <x:c r="J34" s="206"/>
      <x:c r="K34" s="206"/>
      <x:c r="L34" s="5"/>
    </x:row>
    <x:row r="35">
      <x:c r="A35" s="119"/>
      <x:c r="B35" s="206"/>
      <x:c r="C35" s="206"/>
      <x:c r="D35" s="206"/>
      <x:c r="E35" s="206"/>
      <x:c r="F35" s="206"/>
      <x:c r="G35" s="206"/>
      <x:c r="H35" s="206"/>
      <x:c r="I35" s="206"/>
      <x:c r="J35" s="206"/>
      <x:c r="K35" s="206"/>
      <x:c r="L35" s="5"/>
    </x:row>
    <x:row r="36">
      <x:c r="A36" s="119"/>
      <x:c r="B36" s="206"/>
      <x:c r="C36" s="206"/>
      <x:c r="D36" s="206"/>
      <x:c r="E36" s="206"/>
      <x:c r="F36" s="206"/>
      <x:c r="G36" s="206"/>
      <x:c r="H36" s="206"/>
      <x:c r="I36" s="206"/>
      <x:c r="J36" s="206"/>
      <x:c r="K36" s="206"/>
      <x:c r="L36" s="5"/>
    </x:row>
    <x:row r="37">
      <x:c r="A37" s="119"/>
      <x:c r="B37" s="206"/>
      <x:c r="C37" s="206"/>
      <x:c r="D37" s="206"/>
      <x:c r="E37" s="206"/>
      <x:c r="F37" s="206"/>
      <x:c r="G37" s="206"/>
      <x:c r="H37" s="206"/>
      <x:c r="I37" s="206"/>
      <x:c r="J37" s="206"/>
      <x:c r="K37" s="206"/>
      <x:c r="L37" s="5"/>
    </x:row>
    <x:row r="38">
      <x:c r="A38" s="119"/>
      <x:c r="B38" s="206"/>
      <x:c r="C38" s="206"/>
      <x:c r="D38" s="206"/>
      <x:c r="E38" s="206"/>
      <x:c r="F38" s="206"/>
      <x:c r="G38" s="206"/>
      <x:c r="H38" s="206"/>
      <x:c r="I38" s="206"/>
      <x:c r="J38" s="206"/>
      <x:c r="K38" s="206"/>
      <x:c r="L38" s="5"/>
    </x:row>
    <x:row r="39">
      <x:c r="A39" s="119"/>
      <x:c r="B39" s="206"/>
      <x:c r="C39" s="206"/>
      <x:c r="D39" s="206"/>
      <x:c r="E39" s="206"/>
      <x:c r="F39" s="206"/>
      <x:c r="G39" s="206"/>
      <x:c r="H39" s="206"/>
      <x:c r="I39" s="206"/>
      <x:c r="J39" s="206"/>
      <x:c r="K39" s="206"/>
      <x:c r="L39" s="5"/>
    </x:row>
    <x:row r="40">
      <x:c r="A40" s="119"/>
      <x:c r="B40" s="206"/>
      <x:c r="C40" s="206"/>
      <x:c r="D40" s="206"/>
      <x:c r="E40" s="206"/>
      <x:c r="F40" s="206"/>
      <x:c r="G40" s="206"/>
      <x:c r="H40" s="206"/>
      <x:c r="I40" s="206"/>
      <x:c r="J40" s="206"/>
      <x:c r="K40" s="206"/>
      <x:c r="L40" s="5"/>
    </x:row>
    <x:row r="41">
      <x:c r="A41" s="119"/>
      <x:c r="B41" s="206"/>
      <x:c r="C41" s="206"/>
      <x:c r="D41" s="206"/>
      <x:c r="E41" s="206"/>
      <x:c r="F41" s="206"/>
      <x:c r="G41" s="206"/>
      <x:c r="H41" s="206"/>
      <x:c r="I41" s="206"/>
      <x:c r="J41" s="206"/>
      <x:c r="K41" s="206"/>
      <x:c r="L41" s="5"/>
    </x:row>
    <x:row r="42">
      <x:c r="A42" s="119"/>
      <x:c r="B42" s="206"/>
      <x:c r="C42" s="206"/>
      <x:c r="D42" s="206"/>
      <x:c r="E42" s="206"/>
      <x:c r="F42" s="206"/>
      <x:c r="G42" s="206"/>
      <x:c r="H42" s="206"/>
      <x:c r="I42" s="206"/>
      <x:c r="J42" s="206"/>
      <x:c r="K42" s="206"/>
      <x:c r="L42" s="5"/>
    </x:row>
    <x:row r="43">
      <x:c r="A43" s="119"/>
      <x:c r="B43" s="206"/>
      <x:c r="C43" s="206"/>
      <x:c r="D43" s="206"/>
      <x:c r="E43" s="206"/>
      <x:c r="F43" s="206"/>
      <x:c r="G43" s="206"/>
      <x:c r="H43" s="206"/>
      <x:c r="I43" s="206"/>
      <x:c r="J43" s="206"/>
      <x:c r="K43" s="206"/>
      <x:c r="L43" s="5"/>
    </x:row>
    <x:row r="44">
      <x:c r="A44" s="119"/>
      <x:c r="B44" s="206"/>
      <x:c r="C44" s="206"/>
      <x:c r="D44" s="206"/>
      <x:c r="E44" s="206"/>
      <x:c r="F44" s="206"/>
      <x:c r="G44" s="206"/>
      <x:c r="H44" s="206"/>
      <x:c r="I44" s="206"/>
      <x:c r="J44" s="206"/>
      <x:c r="K44" s="206"/>
      <x:c r="L44" s="5"/>
    </x:row>
    <x:row r="45">
      <x:c r="A45" s="119"/>
      <x:c r="B45" s="206"/>
      <x:c r="C45" s="206"/>
      <x:c r="D45" s="206"/>
      <x:c r="E45" s="206"/>
      <x:c r="F45" s="206"/>
      <x:c r="G45" s="206"/>
      <x:c r="H45" s="206"/>
      <x:c r="I45" s="206"/>
      <x:c r="J45" s="206"/>
      <x:c r="K45" s="206"/>
      <x:c r="L45" s="5"/>
    </x:row>
    <x:row r="46">
      <x:c r="A46" s="119"/>
      <x:c r="B46" s="206"/>
      <x:c r="C46" s="206"/>
      <x:c r="D46" s="206"/>
      <x:c r="E46" s="206"/>
      <x:c r="F46" s="206"/>
      <x:c r="G46" s="206"/>
      <x:c r="H46" s="206"/>
      <x:c r="I46" s="206"/>
      <x:c r="J46" s="206"/>
      <x:c r="K46" s="206"/>
      <x:c r="L46" s="5"/>
    </x:row>
    <x:row r="47">
      <x:c r="A47" s="119"/>
      <x:c r="B47" s="206"/>
      <x:c r="C47" s="206"/>
      <x:c r="D47" s="206"/>
      <x:c r="E47" s="206"/>
      <x:c r="F47" s="206"/>
      <x:c r="G47" s="206"/>
      <x:c r="H47" s="206"/>
      <x:c r="I47" s="206"/>
      <x:c r="J47" s="206"/>
      <x:c r="K47" s="206"/>
      <x:c r="L47" s="5"/>
    </x:row>
    <x:row r="48">
      <x:c r="A48" s="119"/>
      <x:c r="B48" s="206"/>
      <x:c r="C48" s="206"/>
      <x:c r="D48" s="206"/>
      <x:c r="E48" s="206"/>
      <x:c r="F48" s="206"/>
      <x:c r="G48" s="206"/>
      <x:c r="H48" s="206"/>
      <x:c r="I48" s="206"/>
      <x:c r="J48" s="206"/>
      <x:c r="K48" s="206"/>
      <x:c r="L48" s="5"/>
    </x:row>
    <x:row r="49">
      <x:c r="A49" s="119"/>
      <x:c r="B49" s="206"/>
      <x:c r="C49" s="206"/>
      <x:c r="D49" s="206"/>
      <x:c r="E49" s="206"/>
      <x:c r="F49" s="206"/>
      <x:c r="G49" s="206"/>
      <x:c r="H49" s="206"/>
      <x:c r="I49" s="206"/>
      <x:c r="J49" s="206"/>
      <x:c r="K49" s="206"/>
      <x:c r="L49" s="5"/>
    </x:row>
    <x:row r="50">
      <x:c r="A50" s="119"/>
      <x:c r="B50" s="206"/>
      <x:c r="C50" s="206"/>
      <x:c r="D50" s="206"/>
      <x:c r="E50" s="206"/>
      <x:c r="F50" s="206"/>
      <x:c r="G50" s="206"/>
      <x:c r="H50" s="206"/>
      <x:c r="I50" s="206"/>
      <x:c r="J50" s="206"/>
      <x:c r="K50" s="206"/>
      <x:c r="L50" s="5"/>
    </x:row>
    <x:row r="51">
      <x:c r="A51" s="119"/>
      <x:c r="B51" s="206"/>
      <x:c r="C51" s="206"/>
      <x:c r="D51" s="206"/>
      <x:c r="E51" s="206"/>
      <x:c r="F51" s="206"/>
      <x:c r="G51" s="206"/>
      <x:c r="H51" s="206"/>
      <x:c r="I51" s="206"/>
      <x:c r="J51" s="206"/>
      <x:c r="K51" s="206"/>
      <x:c r="L51" s="5"/>
    </x:row>
    <x:row r="52">
      <x:c r="A52" s="119"/>
      <x:c r="B52" s="206"/>
      <x:c r="C52" s="206"/>
      <x:c r="D52" s="206"/>
      <x:c r="E52" s="206"/>
      <x:c r="F52" s="206"/>
      <x:c r="G52" s="206"/>
      <x:c r="H52" s="206"/>
      <x:c r="I52" s="206"/>
      <x:c r="J52" s="206"/>
      <x:c r="K52" s="206"/>
      <x:c r="L52" s="5"/>
    </x:row>
    <x:row r="53">
      <x:c r="A53" s="119"/>
      <x:c r="B53" s="206"/>
      <x:c r="C53" s="206"/>
      <x:c r="D53" s="206"/>
      <x:c r="E53" s="206"/>
      <x:c r="F53" s="206"/>
      <x:c r="G53" s="206"/>
      <x:c r="H53" s="206"/>
      <x:c r="I53" s="206"/>
      <x:c r="J53" s="206"/>
      <x:c r="K53" s="206"/>
      <x:c r="L53" s="5"/>
    </x:row>
    <x:row r="54">
      <x:c r="A54" s="119"/>
      <x:c r="B54" s="206"/>
      <x:c r="C54" s="206"/>
      <x:c r="D54" s="206"/>
      <x:c r="E54" s="206"/>
      <x:c r="F54" s="206"/>
      <x:c r="G54" s="206"/>
      <x:c r="H54" s="206"/>
      <x:c r="I54" s="206"/>
      <x:c r="J54" s="206"/>
      <x:c r="K54" s="206"/>
      <x:c r="L54" s="5"/>
    </x:row>
    <x:row r="55">
      <x:c r="A55" s="119"/>
      <x:c r="B55" s="206"/>
      <x:c r="C55" s="206"/>
      <x:c r="D55" s="206"/>
      <x:c r="E55" s="206"/>
      <x:c r="F55" s="206"/>
      <x:c r="G55" s="206"/>
      <x:c r="H55" s="206"/>
      <x:c r="I55" s="206"/>
      <x:c r="J55" s="206"/>
      <x:c r="K55" s="206"/>
      <x:c r="L55" s="5"/>
    </x:row>
    <x:row r="56">
      <x:c r="A56" s="119"/>
      <x:c r="B56" s="206"/>
      <x:c r="C56" s="206"/>
      <x:c r="D56" s="206"/>
      <x:c r="E56" s="206"/>
      <x:c r="F56" s="206"/>
      <x:c r="G56" s="206"/>
      <x:c r="H56" s="206"/>
      <x:c r="I56" s="206"/>
      <x:c r="J56" s="206"/>
      <x:c r="K56" s="206"/>
      <x:c r="L56" s="5"/>
    </x:row>
    <x:row r="57">
      <x:c r="A57" s="119"/>
      <x:c r="B57" s="206"/>
      <x:c r="C57" s="206"/>
      <x:c r="D57" s="206"/>
      <x:c r="E57" s="206"/>
      <x:c r="F57" s="206"/>
      <x:c r="G57" s="206"/>
      <x:c r="H57" s="206"/>
      <x:c r="I57" s="206"/>
      <x:c r="J57" s="206"/>
      <x:c r="K57" s="206"/>
      <x:c r="L57" s="5"/>
    </x:row>
    <x:row r="58">
      <x:c r="A58" s="119"/>
      <x:c r="B58" s="206"/>
      <x:c r="C58" s="206"/>
      <x:c r="D58" s="206"/>
      <x:c r="E58" s="206"/>
      <x:c r="F58" s="206"/>
      <x:c r="G58" s="206"/>
      <x:c r="H58" s="206"/>
      <x:c r="I58" s="206"/>
      <x:c r="J58" s="206"/>
      <x:c r="K58" s="206"/>
      <x:c r="L58" s="5"/>
    </x:row>
    <x:row r="59">
      <x:c r="A59" s="119"/>
      <x:c r="B59" s="206"/>
      <x:c r="C59" s="206"/>
      <x:c r="D59" s="206"/>
      <x:c r="E59" s="206"/>
      <x:c r="F59" s="206"/>
      <x:c r="G59" s="206"/>
      <x:c r="H59" s="206"/>
      <x:c r="I59" s="206"/>
      <x:c r="J59" s="206"/>
      <x:c r="K59" s="206"/>
      <x:c r="L59" s="5"/>
    </x:row>
    <x:row r="60">
      <x:c r="A60" s="119"/>
      <x:c r="B60" s="206"/>
      <x:c r="C60" s="206"/>
      <x:c r="D60" s="206"/>
      <x:c r="E60" s="206"/>
      <x:c r="F60" s="206"/>
      <x:c r="G60" s="206"/>
      <x:c r="H60" s="206"/>
      <x:c r="I60" s="206"/>
      <x:c r="J60" s="206"/>
      <x:c r="K60" s="206"/>
      <x:c r="L60" s="5"/>
    </x:row>
    <x:row r="61">
      <x:c r="A61" s="119"/>
      <x:c r="B61" s="206"/>
      <x:c r="C61" s="206"/>
      <x:c r="D61" s="206"/>
      <x:c r="E61" s="206"/>
      <x:c r="F61" s="206"/>
      <x:c r="G61" s="206"/>
      <x:c r="H61" s="206"/>
      <x:c r="I61" s="206"/>
      <x:c r="J61" s="206"/>
      <x:c r="K61" s="206"/>
      <x:c r="L61" s="5"/>
    </x:row>
    <x:row r="62">
      <x:c r="A62" s="119"/>
      <x:c r="B62" s="206"/>
      <x:c r="C62" s="206"/>
      <x:c r="D62" s="206"/>
      <x:c r="E62" s="206"/>
      <x:c r="F62" s="206"/>
      <x:c r="G62" s="206"/>
      <x:c r="H62" s="206"/>
      <x:c r="I62" s="206"/>
      <x:c r="J62" s="206"/>
      <x:c r="K62" s="206"/>
      <x:c r="L62" s="5"/>
    </x:row>
    <x:row r="63">
      <x:c r="A63" s="119"/>
      <x:c r="B63" s="206"/>
      <x:c r="C63" s="206"/>
      <x:c r="D63" s="206"/>
      <x:c r="E63" s="206"/>
      <x:c r="F63" s="206"/>
      <x:c r="G63" s="206"/>
      <x:c r="H63" s="206"/>
      <x:c r="I63" s="206"/>
      <x:c r="J63" s="206"/>
      <x:c r="K63" s="206"/>
      <x:c r="L63" s="5"/>
    </x:row>
    <x:row r="64">
      <x:c r="A64" s="119"/>
      <x:c r="B64" s="206"/>
      <x:c r="C64" s="206"/>
      <x:c r="D64" s="206"/>
      <x:c r="E64" s="206"/>
      <x:c r="F64" s="206"/>
      <x:c r="G64" s="206"/>
      <x:c r="H64" s="206"/>
      <x:c r="I64" s="206"/>
      <x:c r="J64" s="206"/>
      <x:c r="K64" s="206"/>
      <x:c r="L64" s="5"/>
    </x:row>
    <x:row r="65">
      <x:c r="A65" s="119"/>
      <x:c r="B65" s="206"/>
      <x:c r="C65" s="206"/>
      <x:c r="D65" s="206"/>
      <x:c r="E65" s="206"/>
      <x:c r="F65" s="206"/>
      <x:c r="G65" s="206"/>
      <x:c r="H65" s="206"/>
      <x:c r="I65" s="206"/>
      <x:c r="J65" s="206"/>
      <x:c r="K65" s="206"/>
      <x:c r="L65" s="5"/>
    </x:row>
    <x:row r="66">
      <x:c r="A66" s="119"/>
      <x:c r="B66" s="206"/>
      <x:c r="C66" s="206"/>
      <x:c r="D66" s="206"/>
      <x:c r="E66" s="206"/>
      <x:c r="F66" s="206"/>
      <x:c r="G66" s="206"/>
      <x:c r="H66" s="206"/>
      <x:c r="I66" s="206"/>
      <x:c r="J66" s="206"/>
      <x:c r="K66" s="206"/>
      <x:c r="L66" s="5"/>
    </x:row>
    <x:row r="67">
      <x:c r="A67" s="119"/>
      <x:c r="B67" s="206"/>
      <x:c r="C67" s="206"/>
      <x:c r="D67" s="206"/>
      <x:c r="E67" s="206"/>
      <x:c r="F67" s="206"/>
      <x:c r="G67" s="206"/>
      <x:c r="H67" s="206"/>
      <x:c r="I67" s="206"/>
      <x:c r="J67" s="206"/>
      <x:c r="K67" s="206"/>
      <x:c r="L67" s="5"/>
    </x:row>
    <x:row r="68">
      <x:c r="A68" s="119"/>
      <x:c r="B68" s="206"/>
      <x:c r="C68" s="206"/>
      <x:c r="D68" s="206"/>
      <x:c r="E68" s="206"/>
      <x:c r="F68" s="206"/>
      <x:c r="G68" s="206"/>
      <x:c r="H68" s="206"/>
      <x:c r="I68" s="206"/>
      <x:c r="J68" s="206"/>
      <x:c r="K68" s="206"/>
      <x:c r="L68" s="5"/>
    </x:row>
    <x:row r="69">
      <x:c r="A69" s="119"/>
      <x:c r="B69" s="206"/>
      <x:c r="C69" s="206"/>
      <x:c r="D69" s="206"/>
      <x:c r="E69" s="206"/>
      <x:c r="F69" s="206"/>
      <x:c r="G69" s="206"/>
      <x:c r="H69" s="206"/>
      <x:c r="I69" s="206"/>
      <x:c r="J69" s="206"/>
      <x:c r="K69" s="206"/>
      <x:c r="L69" s="5"/>
    </x:row>
    <x:row r="70">
      <x:c r="A70" s="119"/>
      <x:c r="B70" s="206"/>
      <x:c r="C70" s="206"/>
      <x:c r="D70" s="206"/>
      <x:c r="E70" s="206"/>
      <x:c r="F70" s="206"/>
      <x:c r="G70" s="206"/>
      <x:c r="H70" s="206"/>
      <x:c r="I70" s="206"/>
      <x:c r="J70" s="206"/>
      <x:c r="K70" s="206"/>
      <x:c r="L70" s="5"/>
    </x:row>
    <x:row r="71">
      <x:c r="A71" s="119"/>
      <x:c r="B71" s="206"/>
      <x:c r="C71" s="206"/>
      <x:c r="D71" s="206"/>
      <x:c r="E71" s="206"/>
      <x:c r="F71" s="206"/>
      <x:c r="G71" s="206"/>
      <x:c r="H71" s="206"/>
      <x:c r="I71" s="206"/>
      <x:c r="J71" s="206"/>
      <x:c r="K71" s="206"/>
      <x:c r="L71" s="5"/>
    </x:row>
    <x:row r="72">
      <x:c r="A72" s="119"/>
      <x:c r="B72" s="206"/>
      <x:c r="C72" s="206"/>
      <x:c r="D72" s="206"/>
      <x:c r="E72" s="206"/>
      <x:c r="F72" s="206"/>
      <x:c r="G72" s="206"/>
      <x:c r="H72" s="206"/>
      <x:c r="I72" s="206"/>
      <x:c r="J72" s="206"/>
      <x:c r="K72" s="206"/>
      <x:c r="L72" s="5"/>
    </x:row>
    <x:row r="73">
      <x:c r="A73" s="119"/>
      <x:c r="B73" s="206"/>
      <x:c r="C73" s="206"/>
      <x:c r="D73" s="206"/>
      <x:c r="E73" s="206"/>
      <x:c r="F73" s="206"/>
      <x:c r="G73" s="206"/>
      <x:c r="H73" s="206"/>
      <x:c r="I73" s="206"/>
      <x:c r="J73" s="206"/>
      <x:c r="K73" s="206"/>
      <x:c r="L73" s="5"/>
    </x:row>
    <x:row r="74">
      <x:c r="A74" s="119"/>
      <x:c r="B74" s="206"/>
      <x:c r="C74" s="206"/>
      <x:c r="D74" s="206"/>
      <x:c r="E74" s="206"/>
      <x:c r="F74" s="206"/>
      <x:c r="G74" s="206"/>
      <x:c r="H74" s="206"/>
      <x:c r="I74" s="206"/>
      <x:c r="J74" s="206"/>
      <x:c r="K74" s="206"/>
      <x:c r="L74" s="5"/>
    </x:row>
    <x:row r="75">
      <x:c r="A75" s="119"/>
      <x:c r="B75" s="206"/>
      <x:c r="C75" s="206"/>
      <x:c r="D75" s="206"/>
      <x:c r="E75" s="206"/>
      <x:c r="F75" s="206"/>
      <x:c r="G75" s="206"/>
      <x:c r="H75" s="206"/>
      <x:c r="I75" s="206"/>
      <x:c r="J75" s="206"/>
      <x:c r="K75" s="206"/>
      <x:c r="L75" s="5"/>
    </x:row>
    <x:row r="76">
      <x:c r="A76" s="119"/>
      <x:c r="B76" s="206"/>
      <x:c r="C76" s="206"/>
      <x:c r="D76" s="206"/>
      <x:c r="E76" s="206"/>
      <x:c r="F76" s="206"/>
      <x:c r="G76" s="206"/>
      <x:c r="H76" s="206"/>
      <x:c r="I76" s="206"/>
      <x:c r="J76" s="206"/>
      <x:c r="K76" s="206"/>
      <x:c r="L76" s="5"/>
    </x:row>
    <x:row r="77">
      <x:c r="A77" s="119"/>
      <x:c r="B77" s="206"/>
      <x:c r="C77" s="206"/>
      <x:c r="D77" s="206"/>
      <x:c r="E77" s="206"/>
      <x:c r="F77" s="206"/>
      <x:c r="G77" s="206"/>
      <x:c r="H77" s="206"/>
      <x:c r="I77" s="206"/>
      <x:c r="J77" s="206"/>
      <x:c r="K77" s="206"/>
      <x:c r="L77" s="5"/>
    </x:row>
    <x:row r="78">
      <x:c r="A78" s="119"/>
      <x:c r="B78" s="206"/>
      <x:c r="C78" s="206"/>
      <x:c r="D78" s="206"/>
      <x:c r="E78" s="206"/>
      <x:c r="F78" s="206"/>
      <x:c r="G78" s="206"/>
      <x:c r="H78" s="206"/>
      <x:c r="I78" s="206"/>
      <x:c r="J78" s="206"/>
      <x:c r="K78" s="206"/>
      <x:c r="L78" s="5"/>
    </x:row>
    <x:row r="79">
      <x:c r="A79" s="119"/>
      <x:c r="B79" s="206"/>
      <x:c r="C79" s="206"/>
      <x:c r="D79" s="206"/>
      <x:c r="E79" s="206"/>
      <x:c r="F79" s="206"/>
      <x:c r="G79" s="206"/>
      <x:c r="H79" s="206"/>
      <x:c r="I79" s="206"/>
      <x:c r="J79" s="206"/>
      <x:c r="K79" s="206"/>
      <x:c r="L79" s="5"/>
    </x:row>
    <x:row r="80">
      <x:c r="A80" s="119"/>
      <x:c r="B80" s="206"/>
      <x:c r="C80" s="206"/>
      <x:c r="D80" s="206"/>
      <x:c r="E80" s="206"/>
      <x:c r="F80" s="206"/>
      <x:c r="G80" s="206"/>
      <x:c r="H80" s="206"/>
      <x:c r="I80" s="206"/>
      <x:c r="J80" s="206"/>
      <x:c r="K80" s="206"/>
      <x:c r="L80" s="5"/>
    </x:row>
    <x:row r="81">
      <x:c r="B81" s="260"/>
      <x:c r="C81" s="260"/>
      <x:c r="D81" s="260"/>
      <x:c r="E81" s="260"/>
      <x:c r="F81" s="260"/>
      <x:c r="G81" s="260"/>
      <x:c r="H81" s="260"/>
      <x:c r="I81" s="260"/>
      <x:c r="J81" s="260"/>
      <x:c r="K81" s="260"/>
    </x:row>
    <x:row r="82">
      <x:c r="B82" s="260"/>
      <x:c r="C82" s="260"/>
      <x:c r="D82" s="260"/>
      <x:c r="E82" s="260"/>
      <x:c r="F82" s="260"/>
      <x:c r="G82" s="260"/>
      <x:c r="H82" s="260"/>
      <x:c r="I82" s="260"/>
      <x:c r="J82" s="260"/>
      <x:c r="K82" s="260"/>
    </x:row>
    <x:row r="83">
      <x:c r="B83" s="260"/>
      <x:c r="C83" s="260"/>
      <x:c r="D83" s="260"/>
      <x:c r="E83" s="260"/>
      <x:c r="F83" s="260"/>
      <x:c r="G83" s="260"/>
      <x:c r="H83" s="260"/>
      <x:c r="I83" s="260"/>
      <x:c r="J83" s="260"/>
      <x:c r="K83" s="260"/>
    </x:row>
    <x:row r="84">
      <x:c r="B84" s="260"/>
      <x:c r="C84" s="260"/>
      <x:c r="D84" s="260"/>
      <x:c r="E84" s="260"/>
      <x:c r="F84" s="260"/>
      <x:c r="G84" s="260"/>
      <x:c r="H84" s="260"/>
      <x:c r="I84" s="260"/>
      <x:c r="J84" s="260"/>
      <x:c r="K84" s="260"/>
    </x:row>
    <x:row r="85">
      <x:c r="B85" s="260"/>
      <x:c r="C85" s="260"/>
      <x:c r="D85" s="260"/>
      <x:c r="E85" s="260"/>
      <x:c r="F85" s="260"/>
      <x:c r="G85" s="260"/>
      <x:c r="H85" s="260"/>
      <x:c r="I85" s="260"/>
      <x:c r="J85" s="260"/>
      <x:c r="K85" s="260"/>
    </x:row>
    <x:row r="86">
      <x:c r="B86" s="260"/>
      <x:c r="C86" s="260"/>
      <x:c r="D86" s="260"/>
      <x:c r="E86" s="260"/>
      <x:c r="F86" s="260"/>
      <x:c r="G86" s="260"/>
      <x:c r="H86" s="260"/>
      <x:c r="I86" s="260"/>
      <x:c r="J86" s="260"/>
      <x:c r="K86" s="260"/>
    </x:row>
    <x:row r="87">
      <x:c r="B87" s="260"/>
      <x:c r="C87" s="260"/>
      <x:c r="D87" s="260"/>
      <x:c r="E87" s="260"/>
      <x:c r="F87" s="260"/>
      <x:c r="G87" s="260"/>
      <x:c r="H87" s="260"/>
      <x:c r="I87" s="260"/>
      <x:c r="J87" s="260"/>
      <x:c r="K87" s="260"/>
    </x:row>
    <x:row r="88">
      <x:c r="B88" s="260"/>
      <x:c r="C88" s="260"/>
      <x:c r="D88" s="260"/>
      <x:c r="E88" s="260"/>
      <x:c r="F88" s="260"/>
      <x:c r="G88" s="260"/>
      <x:c r="H88" s="260"/>
      <x:c r="I88" s="260"/>
      <x:c r="J88" s="260"/>
      <x:c r="K88" s="260"/>
    </x:row>
    <x:row r="89">
      <x:c r="B89" s="260"/>
      <x:c r="C89" s="260"/>
      <x:c r="D89" s="260"/>
      <x:c r="E89" s="260"/>
      <x:c r="F89" s="260"/>
      <x:c r="G89" s="260"/>
      <x:c r="H89" s="260"/>
      <x:c r="I89" s="260"/>
      <x:c r="J89" s="260"/>
      <x:c r="K89" s="260"/>
    </x:row>
    <x:row r="90">
      <x:c r="B90" s="260"/>
      <x:c r="C90" s="260"/>
      <x:c r="D90" s="260"/>
      <x:c r="E90" s="260"/>
      <x:c r="F90" s="260"/>
      <x:c r="G90" s="260"/>
      <x:c r="H90" s="260"/>
      <x:c r="I90" s="260"/>
      <x:c r="J90" s="260"/>
      <x:c r="K90" s="260"/>
    </x:row>
    <x:row r="91">
      <x:c r="B91" s="260"/>
      <x:c r="C91" s="260"/>
      <x:c r="D91" s="260"/>
      <x:c r="E91" s="260"/>
      <x:c r="F91" s="260"/>
      <x:c r="G91" s="260"/>
      <x:c r="H91" s="260"/>
      <x:c r="I91" s="260"/>
      <x:c r="J91" s="260"/>
      <x:c r="K91" s="260"/>
    </x:row>
    <x:row r="92">
      <x:c r="B92" s="260"/>
      <x:c r="C92" s="260"/>
      <x:c r="D92" s="260"/>
      <x:c r="E92" s="260"/>
      <x:c r="F92" s="260"/>
      <x:c r="G92" s="260"/>
      <x:c r="H92" s="260"/>
      <x:c r="I92" s="260"/>
      <x:c r="J92" s="260"/>
      <x:c r="K92" s="260"/>
    </x:row>
    <x:row r="93">
      <x:c r="B93" s="260"/>
      <x:c r="C93" s="260"/>
      <x:c r="D93" s="260"/>
      <x:c r="E93" s="260"/>
      <x:c r="F93" s="260"/>
      <x:c r="G93" s="260"/>
      <x:c r="H93" s="260"/>
      <x:c r="I93" s="260"/>
      <x:c r="J93" s="260"/>
      <x:c r="K93" s="260"/>
    </x:row>
    <x:row r="94">
      <x:c r="B94" s="260"/>
      <x:c r="C94" s="260"/>
      <x:c r="D94" s="260"/>
      <x:c r="E94" s="260"/>
      <x:c r="F94" s="260"/>
      <x:c r="G94" s="260"/>
      <x:c r="H94" s="260"/>
      <x:c r="I94" s="260"/>
      <x:c r="J94" s="260"/>
      <x:c r="K94" s="260"/>
    </x:row>
    <x:row r="95">
      <x:c r="B95" s="260"/>
      <x:c r="C95" s="260"/>
      <x:c r="D95" s="260"/>
      <x:c r="E95" s="260"/>
      <x:c r="F95" s="260"/>
      <x:c r="G95" s="260"/>
      <x:c r="H95" s="260"/>
      <x:c r="I95" s="260"/>
      <x:c r="J95" s="260"/>
      <x:c r="K95" s="260"/>
    </x:row>
    <x:row r="96">
      <x:c r="B96" s="260"/>
      <x:c r="C96" s="260"/>
      <x:c r="D96" s="260"/>
      <x:c r="E96" s="260"/>
      <x:c r="F96" s="260"/>
      <x:c r="G96" s="260"/>
      <x:c r="H96" s="260"/>
      <x:c r="I96" s="260"/>
      <x:c r="J96" s="260"/>
      <x:c r="K96" s="260"/>
    </x:row>
    <x:row r="97">
      <x:c r="B97" s="260"/>
      <x:c r="C97" s="260"/>
      <x:c r="D97" s="260"/>
      <x:c r="E97" s="260"/>
      <x:c r="F97" s="260"/>
      <x:c r="G97" s="260"/>
      <x:c r="H97" s="260"/>
      <x:c r="I97" s="260"/>
      <x:c r="J97" s="260"/>
      <x:c r="K97" s="260"/>
    </x:row>
    <x:row r="98">
      <x:c r="B98" s="260"/>
      <x:c r="C98" s="260"/>
      <x:c r="D98" s="260"/>
      <x:c r="E98" s="260"/>
      <x:c r="F98" s="260"/>
      <x:c r="G98" s="260"/>
      <x:c r="H98" s="260"/>
      <x:c r="I98" s="260"/>
      <x:c r="J98" s="260"/>
      <x:c r="K98" s="260"/>
    </x:row>
    <x:row r="99">
      <x:c r="B99" s="260"/>
      <x:c r="C99" s="260"/>
      <x:c r="D99" s="260"/>
      <x:c r="E99" s="260"/>
      <x:c r="F99" s="260"/>
      <x:c r="G99" s="260"/>
      <x:c r="H99" s="260"/>
      <x:c r="I99" s="260"/>
      <x:c r="J99" s="260"/>
      <x:c r="K99" s="260"/>
    </x:row>
    <x:row r="100">
      <x:c r="B100" s="260"/>
      <x:c r="C100" s="260"/>
      <x:c r="D100" s="260"/>
      <x:c r="E100" s="260"/>
      <x:c r="F100" s="260"/>
      <x:c r="G100" s="260"/>
      <x:c r="H100" s="260"/>
      <x:c r="I100" s="260"/>
      <x:c r="J100" s="260"/>
      <x:c r="K100" s="260"/>
    </x:row>
    <x:row r="101">
      <x:c r="B101" s="260"/>
      <x:c r="C101" s="260"/>
      <x:c r="D101" s="260"/>
      <x:c r="E101" s="260"/>
      <x:c r="F101" s="260"/>
      <x:c r="G101" s="260"/>
      <x:c r="H101" s="260"/>
      <x:c r="I101" s="260"/>
      <x:c r="J101" s="260"/>
      <x:c r="K101" s="260"/>
    </x:row>
    <x:row r="102">
      <x:c r="B102" s="260"/>
      <x:c r="C102" s="260"/>
      <x:c r="D102" s="260"/>
      <x:c r="E102" s="260"/>
      <x:c r="F102" s="260"/>
      <x:c r="G102" s="260"/>
      <x:c r="H102" s="260"/>
      <x:c r="I102" s="260"/>
      <x:c r="J102" s="260"/>
      <x:c r="K102" s="260"/>
    </x:row>
    <x:row r="103">
      <x:c r="B103" s="260"/>
      <x:c r="C103" s="260"/>
      <x:c r="D103" s="260"/>
      <x:c r="E103" s="260"/>
      <x:c r="F103" s="260"/>
      <x:c r="G103" s="260"/>
      <x:c r="H103" s="260"/>
      <x:c r="I103" s="260"/>
      <x:c r="J103" s="260"/>
      <x:c r="K103" s="260"/>
    </x:row>
    <x:row r="104">
      <x:c r="B104" s="260"/>
      <x:c r="C104" s="260"/>
      <x:c r="D104" s="260"/>
      <x:c r="E104" s="260"/>
      <x:c r="F104" s="260"/>
      <x:c r="G104" s="260"/>
      <x:c r="H104" s="260"/>
      <x:c r="I104" s="260"/>
      <x:c r="J104" s="260"/>
      <x:c r="K104" s="260"/>
    </x:row>
    <x:row r="105">
      <x:c r="B105" s="260"/>
      <x:c r="C105" s="260"/>
      <x:c r="D105" s="260"/>
      <x:c r="E105" s="260"/>
      <x:c r="F105" s="260"/>
      <x:c r="G105" s="260"/>
      <x:c r="H105" s="260"/>
      <x:c r="I105" s="260"/>
      <x:c r="J105" s="260"/>
      <x:c r="K105" s="260"/>
    </x:row>
    <x:row r="106">
      <x:c r="B106" s="260"/>
      <x:c r="C106" s="260"/>
      <x:c r="D106" s="260"/>
      <x:c r="E106" s="260"/>
      <x:c r="F106" s="260"/>
      <x:c r="G106" s="260"/>
      <x:c r="H106" s="260"/>
      <x:c r="I106" s="260"/>
      <x:c r="J106" s="260"/>
      <x:c r="K106" s="260"/>
    </x:row>
    <x:row r="107">
      <x:c r="B107" s="260"/>
      <x:c r="C107" s="260"/>
      <x:c r="D107" s="260"/>
      <x:c r="E107" s="260"/>
      <x:c r="F107" s="260"/>
      <x:c r="G107" s="260"/>
      <x:c r="H107" s="260"/>
      <x:c r="I107" s="260"/>
      <x:c r="J107" s="260"/>
      <x:c r="K107" s="260"/>
    </x:row>
    <x:row r="108">
      <x:c r="B108" s="260"/>
      <x:c r="C108" s="260"/>
      <x:c r="D108" s="260"/>
      <x:c r="E108" s="260"/>
      <x:c r="F108" s="260"/>
      <x:c r="G108" s="260"/>
      <x:c r="H108" s="260"/>
      <x:c r="I108" s="260"/>
      <x:c r="J108" s="260"/>
      <x:c r="K108" s="260"/>
    </x:row>
    <x:row r="109">
      <x:c r="B109" s="260"/>
      <x:c r="C109" s="260"/>
      <x:c r="D109" s="260"/>
      <x:c r="E109" s="260"/>
      <x:c r="F109" s="260"/>
      <x:c r="G109" s="260"/>
      <x:c r="H109" s="260"/>
      <x:c r="I109" s="260"/>
      <x:c r="J109" s="260"/>
      <x:c r="K109" s="260"/>
    </x:row>
    <x:row r="110">
      <x:c r="B110" s="260"/>
      <x:c r="C110" s="260"/>
      <x:c r="D110" s="260"/>
      <x:c r="E110" s="260"/>
      <x:c r="F110" s="260"/>
      <x:c r="G110" s="260"/>
      <x:c r="H110" s="260"/>
      <x:c r="I110" s="260"/>
      <x:c r="J110" s="260"/>
      <x:c r="K110" s="260"/>
    </x:row>
    <x:row r="111">
      <x:c r="B111" s="260"/>
      <x:c r="C111" s="260"/>
      <x:c r="D111" s="260"/>
      <x:c r="E111" s="260"/>
      <x:c r="F111" s="260"/>
      <x:c r="G111" s="260"/>
      <x:c r="H111" s="260"/>
      <x:c r="I111" s="260"/>
      <x:c r="J111" s="260"/>
      <x:c r="K111" s="260"/>
    </x:row>
    <x:row r="112">
      <x:c r="B112" s="260"/>
      <x:c r="C112" s="260"/>
      <x:c r="D112" s="260"/>
      <x:c r="E112" s="260"/>
      <x:c r="F112" s="260"/>
      <x:c r="G112" s="260"/>
      <x:c r="H112" s="260"/>
      <x:c r="I112" s="260"/>
      <x:c r="J112" s="260"/>
      <x:c r="K112" s="260"/>
    </x:row>
    <x:row r="113">
      <x:c r="B113" s="260"/>
      <x:c r="C113" s="260"/>
      <x:c r="D113" s="260"/>
      <x:c r="E113" s="260"/>
      <x:c r="F113" s="260"/>
      <x:c r="G113" s="260"/>
      <x:c r="H113" s="260"/>
      <x:c r="I113" s="260"/>
      <x:c r="J113" s="260"/>
      <x:c r="K113" s="260"/>
    </x:row>
    <x:row r="114">
      <x:c r="B114" s="260"/>
      <x:c r="C114" s="260"/>
      <x:c r="D114" s="260"/>
      <x:c r="E114" s="260"/>
      <x:c r="F114" s="260"/>
      <x:c r="G114" s="260"/>
      <x:c r="H114" s="260"/>
      <x:c r="I114" s="260"/>
      <x:c r="J114" s="260"/>
      <x:c r="K114" s="260"/>
    </x:row>
    <x:row r="115">
      <x:c r="B115" s="260"/>
      <x:c r="C115" s="260"/>
      <x:c r="D115" s="260"/>
      <x:c r="E115" s="260"/>
      <x:c r="F115" s="260"/>
      <x:c r="G115" s="260"/>
      <x:c r="H115" s="260"/>
      <x:c r="I115" s="260"/>
      <x:c r="J115" s="260"/>
      <x:c r="K115" s="260"/>
    </x:row>
    <x:row r="116">
      <x:c r="B116" s="260"/>
      <x:c r="C116" s="260"/>
      <x:c r="D116" s="260"/>
      <x:c r="E116" s="260"/>
      <x:c r="F116" s="260"/>
      <x:c r="G116" s="260"/>
      <x:c r="H116" s="260"/>
      <x:c r="I116" s="260"/>
      <x:c r="J116" s="260"/>
      <x:c r="K116" s="260"/>
    </x:row>
    <x:row r="117">
      <x:c r="B117" s="260"/>
      <x:c r="C117" s="260"/>
      <x:c r="D117" s="260"/>
      <x:c r="E117" s="260"/>
      <x:c r="F117" s="260"/>
      <x:c r="G117" s="260"/>
      <x:c r="H117" s="260"/>
      <x:c r="I117" s="260"/>
      <x:c r="J117" s="260"/>
      <x:c r="K117" s="260"/>
    </x:row>
    <x:row r="118">
      <x:c r="B118" s="260"/>
      <x:c r="C118" s="260"/>
      <x:c r="D118" s="260"/>
      <x:c r="E118" s="260"/>
      <x:c r="F118" s="260"/>
      <x:c r="G118" s="260"/>
      <x:c r="H118" s="260"/>
      <x:c r="I118" s="260"/>
      <x:c r="J118" s="260"/>
      <x:c r="K118" s="260"/>
    </x:row>
    <x:row r="119">
      <x:c r="B119" s="260"/>
      <x:c r="C119" s="260"/>
      <x:c r="D119" s="260"/>
      <x:c r="E119" s="260"/>
      <x:c r="F119" s="260"/>
      <x:c r="G119" s="260"/>
      <x:c r="H119" s="260"/>
      <x:c r="I119" s="260"/>
      <x:c r="J119" s="260"/>
      <x:c r="K119" s="260"/>
    </x:row>
    <x:row r="120">
      <x:c r="B120" s="260"/>
      <x:c r="C120" s="260"/>
      <x:c r="D120" s="260"/>
      <x:c r="E120" s="260"/>
      <x:c r="F120" s="260"/>
      <x:c r="G120" s="260"/>
      <x:c r="H120" s="260"/>
      <x:c r="I120" s="260"/>
      <x:c r="J120" s="260"/>
      <x:c r="K120" s="260"/>
    </x:row>
  </x:sheetData>
  <x:mergeCells>
    <x:mergeCell ref="A3:H3"/>
  </x:mergeCells>
  <x:conditionalFormatting sqref="E13:E13">
    <x:cfRule type="containsText" dxfId="4" priority="1" operator="containsText" text="PASS"/>
  </x:conditionalFormatting>
  <x:pageMargins left="0.7" right="0.7" top="0.75" bottom="0.75" header="0.3" footer="0.3"/>
</x:worksheet>
</file>