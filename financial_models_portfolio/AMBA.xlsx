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8_{8E33C3BF-671E-4A82-9CC8-424F236C2D5A}" xr6:coauthVersionLast="47" xr6:coauthVersionMax="47" xr10:uidLastSave="{00000000-0000-0000-0000-000000000000}"/>
  <bookViews>
    <workbookView xWindow="-105" yWindow="0" windowWidth="14595" windowHeight="15585" activeTab="2" xr2:uid="{00000000-000D-0000-FFFF-FFFF00000000}"/>
  </bookViews>
  <sheets>
    <sheet name="Cover" sheetId="1" r:id="rId1"/>
    <sheet name="Financials" sheetId="2" r:id="rId2"/>
    <sheet name="Sales forecas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" i="3" l="1"/>
  <c r="E98" i="3"/>
  <c r="F98" i="3" s="1"/>
  <c r="G98" i="3" s="1"/>
  <c r="H98" i="3" s="1"/>
  <c r="I98" i="3" s="1"/>
  <c r="J98" i="3" s="1"/>
  <c r="E96" i="3"/>
  <c r="D95" i="3"/>
  <c r="E93" i="3"/>
  <c r="F93" i="3" s="1"/>
  <c r="G93" i="3" s="1"/>
  <c r="H93" i="3" s="1"/>
  <c r="I93" i="3" s="1"/>
  <c r="J93" i="3" s="1"/>
  <c r="E91" i="3"/>
  <c r="E90" i="3"/>
  <c r="D90" i="3"/>
  <c r="E88" i="3"/>
  <c r="F88" i="3" s="1"/>
  <c r="G88" i="3" s="1"/>
  <c r="H88" i="3" s="1"/>
  <c r="I88" i="3" s="1"/>
  <c r="J88" i="3" s="1"/>
  <c r="E86" i="3"/>
  <c r="F86" i="3" s="1"/>
  <c r="D85" i="3"/>
  <c r="E83" i="3"/>
  <c r="F83" i="3" s="1"/>
  <c r="G83" i="3" s="1"/>
  <c r="H83" i="3" s="1"/>
  <c r="I83" i="3" s="1"/>
  <c r="J83" i="3" s="1"/>
  <c r="E81" i="3"/>
  <c r="D80" i="3"/>
  <c r="E78" i="3"/>
  <c r="F78" i="3" s="1"/>
  <c r="G78" i="3" s="1"/>
  <c r="H78" i="3" s="1"/>
  <c r="I78" i="3" s="1"/>
  <c r="J78" i="3" s="1"/>
  <c r="E76" i="3"/>
  <c r="D75" i="3"/>
  <c r="E73" i="3"/>
  <c r="F73" i="3" s="1"/>
  <c r="G73" i="3" s="1"/>
  <c r="H73" i="3" s="1"/>
  <c r="I73" i="3" s="1"/>
  <c r="J73" i="3" s="1"/>
  <c r="E71" i="3"/>
  <c r="D70" i="3"/>
  <c r="E68" i="3"/>
  <c r="F68" i="3" s="1"/>
  <c r="G68" i="3" s="1"/>
  <c r="H68" i="3" s="1"/>
  <c r="I68" i="3" s="1"/>
  <c r="J68" i="3" s="1"/>
  <c r="E66" i="3"/>
  <c r="D65" i="3"/>
  <c r="E63" i="3"/>
  <c r="F63" i="3" s="1"/>
  <c r="G63" i="3" s="1"/>
  <c r="H63" i="3" s="1"/>
  <c r="I63" i="3" s="1"/>
  <c r="J63" i="3" s="1"/>
  <c r="E61" i="3"/>
  <c r="D60" i="3"/>
  <c r="E58" i="3"/>
  <c r="F58" i="3" s="1"/>
  <c r="G58" i="3" s="1"/>
  <c r="H58" i="3" s="1"/>
  <c r="I58" i="3" s="1"/>
  <c r="J58" i="3" s="1"/>
  <c r="E56" i="3"/>
  <c r="D55" i="3"/>
  <c r="E53" i="3"/>
  <c r="F51" i="3"/>
  <c r="E51" i="3"/>
  <c r="D50" i="3"/>
  <c r="E48" i="3"/>
  <c r="F48" i="3" s="1"/>
  <c r="G48" i="3" s="1"/>
  <c r="H48" i="3" s="1"/>
  <c r="I48" i="3" s="1"/>
  <c r="J48" i="3" s="1"/>
  <c r="E46" i="3"/>
  <c r="D45" i="3"/>
  <c r="E43" i="3"/>
  <c r="F43" i="3" s="1"/>
  <c r="G43" i="3" s="1"/>
  <c r="H43" i="3" s="1"/>
  <c r="I43" i="3" s="1"/>
  <c r="J43" i="3" s="1"/>
  <c r="E41" i="3"/>
  <c r="E40" i="3"/>
  <c r="D40" i="3"/>
  <c r="E38" i="3"/>
  <c r="F38" i="3" s="1"/>
  <c r="G38" i="3" s="1"/>
  <c r="H38" i="3" s="1"/>
  <c r="I38" i="3" s="1"/>
  <c r="J38" i="3" s="1"/>
  <c r="E36" i="3"/>
  <c r="F36" i="3" s="1"/>
  <c r="D35" i="3"/>
  <c r="E33" i="3"/>
  <c r="F33" i="3" s="1"/>
  <c r="G33" i="3" s="1"/>
  <c r="H33" i="3" s="1"/>
  <c r="I33" i="3" s="1"/>
  <c r="J33" i="3" s="1"/>
  <c r="E31" i="3"/>
  <c r="D30" i="3"/>
  <c r="E28" i="3"/>
  <c r="E26" i="3"/>
  <c r="F26" i="3" s="1"/>
  <c r="D25" i="3"/>
  <c r="E23" i="3"/>
  <c r="F23" i="3" s="1"/>
  <c r="G23" i="3" s="1"/>
  <c r="H23" i="3" s="1"/>
  <c r="I23" i="3" s="1"/>
  <c r="J23" i="3" s="1"/>
  <c r="E21" i="3"/>
  <c r="D20" i="3"/>
  <c r="E18" i="3"/>
  <c r="F18" i="3" s="1"/>
  <c r="G18" i="3" s="1"/>
  <c r="H18" i="3" s="1"/>
  <c r="I18" i="3" s="1"/>
  <c r="J18" i="3" s="1"/>
  <c r="E16" i="3"/>
  <c r="E11" i="3"/>
  <c r="D11" i="3"/>
  <c r="D9" i="3"/>
  <c r="E6" i="3"/>
  <c r="E7" i="3" s="1"/>
  <c r="D6" i="3"/>
  <c r="D4" i="3"/>
  <c r="D8" i="3" s="1"/>
  <c r="J11" i="2"/>
  <c r="J14" i="2" s="1"/>
  <c r="J16" i="2" s="1"/>
  <c r="J18" i="2" s="1"/>
  <c r="I11" i="2"/>
  <c r="I14" i="2" s="1"/>
  <c r="I16" i="2" s="1"/>
  <c r="I18" i="2" s="1"/>
  <c r="H11" i="2"/>
  <c r="H14" i="2" s="1"/>
  <c r="H16" i="2" s="1"/>
  <c r="H18" i="2" s="1"/>
  <c r="G11" i="2"/>
  <c r="G14" i="2" s="1"/>
  <c r="G16" i="2" s="1"/>
  <c r="G18" i="2" s="1"/>
  <c r="F11" i="2"/>
  <c r="F14" i="2" s="1"/>
  <c r="F16" i="2" s="1"/>
  <c r="F18" i="2" s="1"/>
  <c r="E11" i="2"/>
  <c r="E14" i="2" s="1"/>
  <c r="E16" i="2" s="1"/>
  <c r="E18" i="2" s="1"/>
  <c r="D11" i="2"/>
  <c r="D14" i="2" s="1"/>
  <c r="D16" i="2" s="1"/>
  <c r="D18" i="2" s="1"/>
  <c r="C11" i="2"/>
  <c r="C14" i="2" s="1"/>
  <c r="C16" i="2" s="1"/>
  <c r="C18" i="2" s="1"/>
  <c r="B11" i="2"/>
  <c r="B14" i="2" s="1"/>
  <c r="B16" i="2" s="1"/>
  <c r="B18" i="2" s="1"/>
  <c r="K11" i="2"/>
  <c r="K14" i="2" s="1"/>
  <c r="K16" i="2" s="1"/>
  <c r="K18" i="2" s="1"/>
  <c r="C4" i="1"/>
  <c r="C7" i="1" s="1"/>
  <c r="E100" i="3" l="1"/>
  <c r="F96" i="3"/>
  <c r="E95" i="3"/>
  <c r="F91" i="3"/>
  <c r="G86" i="3"/>
  <c r="F90" i="3"/>
  <c r="F81" i="3"/>
  <c r="E85" i="3"/>
  <c r="E80" i="3"/>
  <c r="F76" i="3"/>
  <c r="F71" i="3"/>
  <c r="E75" i="3"/>
  <c r="E70" i="3"/>
  <c r="F66" i="3"/>
  <c r="F61" i="3"/>
  <c r="E65" i="3"/>
  <c r="E60" i="3"/>
  <c r="F56" i="3"/>
  <c r="F53" i="3"/>
  <c r="G53" i="3" s="1"/>
  <c r="H53" i="3" s="1"/>
  <c r="I53" i="3" s="1"/>
  <c r="J53" i="3" s="1"/>
  <c r="E55" i="3"/>
  <c r="F55" i="3"/>
  <c r="G51" i="3"/>
  <c r="F46" i="3"/>
  <c r="E50" i="3"/>
  <c r="E45" i="3"/>
  <c r="F41" i="3"/>
  <c r="G36" i="3"/>
  <c r="F40" i="3"/>
  <c r="E35" i="3"/>
  <c r="F31" i="3"/>
  <c r="F28" i="3"/>
  <c r="G28" i="3" s="1"/>
  <c r="H28" i="3" s="1"/>
  <c r="I28" i="3" s="1"/>
  <c r="J28" i="3" s="1"/>
  <c r="E30" i="3"/>
  <c r="F30" i="3"/>
  <c r="G26" i="3"/>
  <c r="E25" i="3"/>
  <c r="E9" i="3" s="1"/>
  <c r="F21" i="3"/>
  <c r="F16" i="3"/>
  <c r="E20" i="3"/>
  <c r="E4" i="3" s="1"/>
  <c r="D10" i="3"/>
  <c r="D12" i="3"/>
  <c r="K19" i="2"/>
  <c r="K20" i="2"/>
  <c r="J19" i="2"/>
  <c r="J20" i="2"/>
  <c r="I19" i="2"/>
  <c r="I20" i="2"/>
  <c r="H19" i="2"/>
  <c r="H20" i="2"/>
  <c r="G19" i="2"/>
  <c r="G20" i="2"/>
  <c r="F19" i="2"/>
  <c r="F20" i="2"/>
  <c r="E19" i="2"/>
  <c r="E20" i="2"/>
  <c r="D20" i="2"/>
  <c r="D19" i="2"/>
  <c r="C19" i="2"/>
  <c r="C20" i="2"/>
  <c r="B19" i="2"/>
  <c r="B20" i="2"/>
  <c r="G96" i="3" l="1"/>
  <c r="F100" i="3"/>
  <c r="G91" i="3"/>
  <c r="F95" i="3"/>
  <c r="H86" i="3"/>
  <c r="G90" i="3"/>
  <c r="G81" i="3"/>
  <c r="F85" i="3"/>
  <c r="G76" i="3"/>
  <c r="F80" i="3"/>
  <c r="F75" i="3"/>
  <c r="G71" i="3"/>
  <c r="G66" i="3"/>
  <c r="F70" i="3"/>
  <c r="F65" i="3"/>
  <c r="G61" i="3"/>
  <c r="G56" i="3"/>
  <c r="F60" i="3"/>
  <c r="H51" i="3"/>
  <c r="G55" i="3"/>
  <c r="G46" i="3"/>
  <c r="F50" i="3"/>
  <c r="F45" i="3"/>
  <c r="G41" i="3"/>
  <c r="H36" i="3"/>
  <c r="G40" i="3"/>
  <c r="G31" i="3"/>
  <c r="F35" i="3"/>
  <c r="H26" i="3"/>
  <c r="G30" i="3"/>
  <c r="E10" i="3"/>
  <c r="E12" i="3"/>
  <c r="G21" i="3"/>
  <c r="F25" i="3"/>
  <c r="F9" i="3" s="1"/>
  <c r="F11" i="3"/>
  <c r="F6" i="3"/>
  <c r="F7" i="3" s="1"/>
  <c r="G16" i="3"/>
  <c r="F20" i="3"/>
  <c r="F4" i="3" s="1"/>
  <c r="E8" i="3"/>
  <c r="E5" i="3"/>
  <c r="H96" i="3" l="1"/>
  <c r="G100" i="3"/>
  <c r="H91" i="3"/>
  <c r="G95" i="3"/>
  <c r="I86" i="3"/>
  <c r="H90" i="3"/>
  <c r="H81" i="3"/>
  <c r="G85" i="3"/>
  <c r="H76" i="3"/>
  <c r="G80" i="3"/>
  <c r="G75" i="3"/>
  <c r="H71" i="3"/>
  <c r="G70" i="3"/>
  <c r="H66" i="3"/>
  <c r="G65" i="3"/>
  <c r="H61" i="3"/>
  <c r="H56" i="3"/>
  <c r="G60" i="3"/>
  <c r="I51" i="3"/>
  <c r="H55" i="3"/>
  <c r="H46" i="3"/>
  <c r="G50" i="3"/>
  <c r="H41" i="3"/>
  <c r="G45" i="3"/>
  <c r="I36" i="3"/>
  <c r="H40" i="3"/>
  <c r="H31" i="3"/>
  <c r="G35" i="3"/>
  <c r="H30" i="3"/>
  <c r="I26" i="3"/>
  <c r="H21" i="3"/>
  <c r="G25" i="3"/>
  <c r="G9" i="3" s="1"/>
  <c r="G11" i="3"/>
  <c r="F10" i="3"/>
  <c r="F12" i="3"/>
  <c r="G20" i="3"/>
  <c r="G6" i="3"/>
  <c r="G7" i="3" s="1"/>
  <c r="H16" i="3"/>
  <c r="F8" i="3"/>
  <c r="F5" i="3"/>
  <c r="I96" i="3" l="1"/>
  <c r="H100" i="3"/>
  <c r="I91" i="3"/>
  <c r="H95" i="3"/>
  <c r="J86" i="3"/>
  <c r="J90" i="3" s="1"/>
  <c r="I90" i="3"/>
  <c r="I81" i="3"/>
  <c r="H85" i="3"/>
  <c r="I76" i="3"/>
  <c r="H80" i="3"/>
  <c r="H75" i="3"/>
  <c r="I71" i="3"/>
  <c r="H70" i="3"/>
  <c r="I66" i="3"/>
  <c r="I61" i="3"/>
  <c r="H65" i="3"/>
  <c r="I56" i="3"/>
  <c r="H60" i="3"/>
  <c r="J51" i="3"/>
  <c r="J55" i="3" s="1"/>
  <c r="I55" i="3"/>
  <c r="I46" i="3"/>
  <c r="H50" i="3"/>
  <c r="I41" i="3"/>
  <c r="H45" i="3"/>
  <c r="J36" i="3"/>
  <c r="J40" i="3" s="1"/>
  <c r="I40" i="3"/>
  <c r="I31" i="3"/>
  <c r="H35" i="3"/>
  <c r="J26" i="3"/>
  <c r="J30" i="3" s="1"/>
  <c r="I30" i="3"/>
  <c r="I21" i="3"/>
  <c r="H25" i="3"/>
  <c r="H9" i="3" s="1"/>
  <c r="H11" i="3"/>
  <c r="G12" i="3"/>
  <c r="I16" i="3"/>
  <c r="H20" i="3"/>
  <c r="H6" i="3"/>
  <c r="H7" i="3" s="1"/>
  <c r="G4" i="3"/>
  <c r="G10" i="3" s="1"/>
  <c r="J96" i="3" l="1"/>
  <c r="J100" i="3" s="1"/>
  <c r="I100" i="3"/>
  <c r="J91" i="3"/>
  <c r="J95" i="3" s="1"/>
  <c r="I95" i="3"/>
  <c r="J81" i="3"/>
  <c r="J85" i="3" s="1"/>
  <c r="I85" i="3"/>
  <c r="J76" i="3"/>
  <c r="J80" i="3" s="1"/>
  <c r="I80" i="3"/>
  <c r="J71" i="3"/>
  <c r="J75" i="3" s="1"/>
  <c r="I75" i="3"/>
  <c r="I70" i="3"/>
  <c r="J66" i="3"/>
  <c r="J70" i="3" s="1"/>
  <c r="J61" i="3"/>
  <c r="J65" i="3" s="1"/>
  <c r="I65" i="3"/>
  <c r="J56" i="3"/>
  <c r="J60" i="3" s="1"/>
  <c r="I60" i="3"/>
  <c r="J46" i="3"/>
  <c r="J50" i="3" s="1"/>
  <c r="I50" i="3"/>
  <c r="I45" i="3"/>
  <c r="J41" i="3"/>
  <c r="J45" i="3" s="1"/>
  <c r="J31" i="3"/>
  <c r="J35" i="3" s="1"/>
  <c r="I35" i="3"/>
  <c r="J21" i="3"/>
  <c r="I25" i="3"/>
  <c r="I9" i="3" s="1"/>
  <c r="I11" i="3"/>
  <c r="H10" i="3"/>
  <c r="H12" i="3"/>
  <c r="I20" i="3"/>
  <c r="J16" i="3"/>
  <c r="I6" i="3"/>
  <c r="I7" i="3" s="1"/>
  <c r="G8" i="3"/>
  <c r="G5" i="3"/>
  <c r="H4" i="3"/>
  <c r="J25" i="3" l="1"/>
  <c r="J9" i="3" s="1"/>
  <c r="J11" i="3"/>
  <c r="I10" i="3"/>
  <c r="I12" i="3"/>
  <c r="J6" i="3"/>
  <c r="J7" i="3" s="1"/>
  <c r="J20" i="3"/>
  <c r="J4" i="3" s="1"/>
  <c r="H5" i="3"/>
  <c r="H8" i="3"/>
  <c r="I4" i="3"/>
  <c r="J12" i="3" l="1"/>
  <c r="J10" i="3"/>
  <c r="J5" i="3"/>
  <c r="J8" i="3"/>
  <c r="I5" i="3"/>
  <c r="I8" i="3"/>
</calcChain>
</file>

<file path=xl/sharedStrings.xml><?xml version="1.0" encoding="utf-8"?>
<sst xmlns="http://schemas.openxmlformats.org/spreadsheetml/2006/main" count="201" uniqueCount="84">
  <si>
    <t>Shares</t>
  </si>
  <si>
    <t>MC</t>
  </si>
  <si>
    <t>Cash</t>
  </si>
  <si>
    <t>Debt</t>
  </si>
  <si>
    <t>EV</t>
  </si>
  <si>
    <t>Period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</si>
  <si>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</si>
  <si>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</si>
  <si>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</si>
  <si>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</si>
  <si>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</si>
  <si>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</si>
  <si>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</si>
  <si>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</si>
  <si>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</si>
  <si>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</si>
  <si>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Revenue</t>
  </si>
  <si>
    <t>Cost of revenue</t>
  </si>
  <si>
    <t>Gross profit</t>
  </si>
  <si>
    <t>Research and development</t>
  </si>
  <si>
    <t>Selling, general and administrative</t>
  </si>
  <si>
    <t>Operating income</t>
  </si>
  <si>
    <t>Other financial income (expense)</t>
  </si>
  <si>
    <t>Income before income taxes</t>
  </si>
  <si>
    <t>Provision for income taxes</t>
  </si>
  <si>
    <t>Net income</t>
  </si>
  <si>
    <t>Basic EPS</t>
  </si>
  <si>
    <t>Diluted EPS</t>
  </si>
  <si>
    <t>Basic WASO</t>
  </si>
  <si>
    <t>Diluted WASO</t>
  </si>
  <si>
    <t>AMBA</t>
  </si>
  <si>
    <t>46 million SoC installed base</t>
  </si>
  <si>
    <t>Edge AI</t>
  </si>
  <si>
    <t>Hanwha lt edge ai agreement</t>
  </si>
  <si>
    <t>Fermi Wang- CEO</t>
  </si>
  <si>
    <t>Founded 2004</t>
  </si>
  <si>
    <t>Cvflow</t>
  </si>
  <si>
    <t>Summary</t>
  </si>
  <si>
    <t>Metric</t>
  </si>
  <si>
    <t>FY2026A</t>
  </si>
  <si>
    <t>FY2027E</t>
  </si>
  <si>
    <t>FY2028E</t>
  </si>
  <si>
    <t>FY2029E</t>
  </si>
  <si>
    <t>FY2030E</t>
  </si>
  <si>
    <t>FY2031E</t>
  </si>
  <si>
    <t>FY2032E</t>
  </si>
  <si>
    <t>Total Revenue ($mm)</t>
  </si>
  <si>
    <t>Revenue Growth</t>
  </si>
  <si>
    <t>Total Units (mm)</t>
  </si>
  <si>
    <t>Unit Growth</t>
  </si>
  <si>
    <t>Blended ASP ($/chip)</t>
  </si>
  <si>
    <t>AI Revenue ($mm)</t>
  </si>
  <si>
    <t>AI Mix of Revenue</t>
  </si>
  <si>
    <t>AI Units (mm)</t>
  </si>
  <si>
    <t>AI Blended ASP ($/chip)</t>
  </si>
  <si>
    <t>Chip-Level Build</t>
  </si>
  <si>
    <t>Chip / Family</t>
  </si>
  <si>
    <t>Legacy video processors</t>
  </si>
  <si>
    <t>Units (mm)</t>
  </si>
  <si>
    <t>Video processor</t>
  </si>
  <si>
    <t>Legacy</t>
  </si>
  <si>
    <t>ASP ($/chip)</t>
  </si>
  <si>
    <t>ASP Growth</t>
  </si>
  <si>
    <t>Revenue ($mm)</t>
  </si>
  <si>
    <t>CV28 / CV28M / CV28AQ</t>
  </si>
  <si>
    <t>Edge AI SoC</t>
  </si>
  <si>
    <t>2nd Gen</t>
  </si>
  <si>
    <t>CV25 / CV25A / CV25AQ</t>
  </si>
  <si>
    <t>CV22 / CV22A / CV22AQ</t>
  </si>
  <si>
    <t>CV22FS</t>
  </si>
  <si>
    <t>CV2 / CV2AQ</t>
  </si>
  <si>
    <t>CV2FS / CV20AQ</t>
  </si>
  <si>
    <t>CV52 / CV52A</t>
  </si>
  <si>
    <t>CV5 / CV5A</t>
  </si>
  <si>
    <t>CV75 / CV75A / CV75S</t>
  </si>
  <si>
    <t>3rd Gen</t>
  </si>
  <si>
    <t>CV72 / CV72AQ / CV72AX</t>
  </si>
  <si>
    <t>CV7</t>
  </si>
  <si>
    <t>CV3-AD635</t>
  </si>
  <si>
    <t>Automotive domain controller</t>
  </si>
  <si>
    <t>CV3-AD655</t>
  </si>
  <si>
    <t>CV3-AD685</t>
  </si>
  <si>
    <t>N1-655</t>
  </si>
  <si>
    <t>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</si>
</sst>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;[Red]\(#,##0\);\-"/>
    <numFmt numFmtId="165" formatCode="_(* #,##0_);_(* \(#,##0\);_(* &quot;-&quot;??_);_(@_)"/>
    <numFmt numFmtId="168" formatCode="\$#,##0.0;[Red]\(\$#,##0.0\);\-"/>
    <numFmt numFmtId="169" formatCode="0.0%;[Red]\(0.0%\);\-"/>
    <numFmt numFmtId="170" formatCode="#,##0.0;[Red]\(#,##0.0\);\-"/>
    <numFmt numFmtId="171" formatCode="\$0.00;[Red]\(\$0.00\);\-"/>
  </numFmts>
  <fonts count="12">
    <font>
      <sz val="11"/>
      <name val="Carlito"/>
    </font>
    <font>
      <sz val="11"/>
      <name val="Carlito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10"/>
      <color rgb="FF66666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165" fontId="3" fillId="0" borderId="0" xfId="1" applyNumberFormat="1" applyFont="1"/>
    <xf numFmtId="165" fontId="2" fillId="0" borderId="0" xfId="1" applyNumberFormat="1" applyFont="1"/>
    <xf numFmtId="43" fontId="2" fillId="0" borderId="0" xfId="1" applyFont="1"/>
    <xf numFmtId="0" fontId="4" fillId="0" borderId="0" xfId="0" applyFont="1" applyAlignment="1">
      <alignment horizontal="right"/>
    </xf>
    <xf numFmtId="165" fontId="0" fillId="0" borderId="0" xfId="1" applyNumberFormat="1" applyFont="1"/>
    <xf numFmtId="0" fontId="5" fillId="0" borderId="0" xfId="0" applyFont="1"/>
    <xf numFmtId="0" fontId="6" fillId="0" borderId="0" xfId="0" applyFont="1"/>
    <xf numFmtId="2" fontId="6" fillId="0" borderId="0" xfId="0" applyNumberFormat="1" applyFont="1"/>
    <xf numFmtId="3" fontId="5" fillId="0" borderId="0" xfId="0" applyNumberFormat="1" applyFont="1"/>
    <xf numFmtId="164" fontId="5" fillId="0" borderId="0" xfId="0" applyNumberFormat="1" applyFont="1"/>
    <xf numFmtId="0" fontId="7" fillId="2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right"/>
    </xf>
    <xf numFmtId="0" fontId="8" fillId="4" borderId="0" xfId="0" applyFont="1" applyFill="1" applyAlignment="1">
      <alignment horizontal="left"/>
    </xf>
    <xf numFmtId="168" fontId="8" fillId="4" borderId="0" xfId="0" applyNumberFormat="1" applyFont="1" applyFill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69" fontId="9" fillId="0" borderId="0" xfId="0" applyNumberFormat="1" applyFont="1" applyAlignment="1">
      <alignment horizontal="right"/>
    </xf>
    <xf numFmtId="170" fontId="9" fillId="0" borderId="0" xfId="0" applyNumberFormat="1" applyFont="1" applyAlignment="1">
      <alignment horizontal="right"/>
    </xf>
    <xf numFmtId="171" fontId="8" fillId="4" borderId="0" xfId="0" applyNumberFormat="1" applyFont="1" applyFill="1" applyAlignment="1">
      <alignment horizontal="right"/>
    </xf>
    <xf numFmtId="168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7" fillId="2" borderId="0" xfId="0" applyFont="1" applyFill="1" applyAlignment="1">
      <alignment horizontal="right"/>
    </xf>
    <xf numFmtId="0" fontId="9" fillId="0" borderId="0" xfId="0" applyFont="1" applyAlignment="1">
      <alignment horizontal="left" wrapText="1"/>
    </xf>
    <xf numFmtId="170" fontId="10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169" fontId="10" fillId="0" borderId="0" xfId="0" applyNumberFormat="1" applyFont="1" applyAlignment="1">
      <alignment horizontal="right"/>
    </xf>
    <xf numFmtId="171" fontId="10" fillId="0" borderId="0" xfId="0" applyNumberFormat="1" applyFont="1" applyAlignment="1">
      <alignment horizontal="right"/>
    </xf>
    <xf numFmtId="171" fontId="9" fillId="0" borderId="0" xfId="0" applyNumberFormat="1" applyFont="1" applyAlignment="1">
      <alignment horizontal="right"/>
    </xf>
    <xf numFmtId="0" fontId="8" fillId="0" borderId="0" xfId="0" applyFont="1" applyAlignment="1">
      <alignment horizontal="left" wrapText="1"/>
    </xf>
    <xf numFmtId="168" fontId="8" fillId="0" borderId="0" xfId="0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workbookViewId="0">
      <selection activeCell="B14" sqref="B14"/>
    </sheetView>
  </sheetViews>
  <sheetFormatPr defaultRowHeight="14.25"/>
  <cols>
    <col min="1" max="1" width="10" customWidth="1"/>
    <col min="2" max="2" width="18" customWidth="1"/>
    <col min="3" max="15" width="11" customWidth="1"/>
  </cols>
  <sheetData>
    <row r="1" spans="1:1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5">
      <c r="A2" s="8"/>
      <c r="B2" s="9" t="s">
        <v>30</v>
      </c>
      <c r="C2" s="10">
        <v>79.290000000000006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>
      <c r="A3" s="8"/>
      <c r="B3" s="8" t="s">
        <v>0</v>
      </c>
      <c r="C3" s="11">
        <v>44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>
      <c r="A4" s="8"/>
      <c r="B4" s="8" t="s">
        <v>1</v>
      </c>
      <c r="C4" s="12">
        <f>C3*C2</f>
        <v>3488.76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>
      <c r="A5" s="8"/>
      <c r="B5" s="8" t="s">
        <v>2</v>
      </c>
      <c r="C5" s="12">
        <v>277.8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>
      <c r="A6" s="8"/>
      <c r="B6" s="8" t="s">
        <v>3</v>
      </c>
      <c r="C6" s="12">
        <v>13.27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>
      <c r="A7" s="8"/>
      <c r="B7" s="8" t="s">
        <v>4</v>
      </c>
      <c r="C7" s="12">
        <f>C4-C5+C6</f>
        <v>3224.23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>
      <c r="B9" s="8" t="s">
        <v>31</v>
      </c>
    </row>
    <row r="10" spans="1:15">
      <c r="B10" s="8" t="s">
        <v>32</v>
      </c>
    </row>
    <row r="11" spans="1:15">
      <c r="B11" s="8" t="s">
        <v>33</v>
      </c>
    </row>
    <row r="12" spans="1:15">
      <c r="B12" s="8" t="s">
        <v>34</v>
      </c>
    </row>
    <row r="13" spans="1:15">
      <c r="B13" s="8" t="s">
        <v>35</v>
      </c>
    </row>
    <row r="14" spans="1:15">
      <c r="B14" s="8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E25" sqref="E25"/>
    </sheetView>
  </sheetViews>
  <sheetFormatPr defaultRowHeight="14.25"/>
  <cols>
    <col min="1" max="1" width="42" customWidth="1"/>
    <col min="2" max="11" width="12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15</v>
      </c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2" t="s">
        <v>16</v>
      </c>
      <c r="B9" s="3">
        <v>51.616</v>
      </c>
      <c r="C9" s="3">
        <v>54.472999999999999</v>
      </c>
      <c r="D9" s="3">
        <v>63.723999999999997</v>
      </c>
      <c r="E9" s="3">
        <v>82.653000000000006</v>
      </c>
      <c r="F9" s="3">
        <v>84.015000000000001</v>
      </c>
      <c r="G9" s="3">
        <v>85.872</v>
      </c>
      <c r="H9" s="3">
        <v>95.510999999999996</v>
      </c>
      <c r="I9" s="3">
        <v>108.452</v>
      </c>
      <c r="J9" s="3">
        <v>100.867</v>
      </c>
      <c r="K9" s="3">
        <v>100.357</v>
      </c>
    </row>
    <row r="10" spans="1:11">
      <c r="A10" s="1" t="s">
        <v>17</v>
      </c>
      <c r="B10" s="4">
        <v>20.763000000000002</v>
      </c>
      <c r="C10" s="4">
        <v>21.312999999999999</v>
      </c>
      <c r="D10" s="4">
        <v>24.983000000000001</v>
      </c>
      <c r="E10" s="4">
        <v>32.604999999999997</v>
      </c>
      <c r="F10" s="4">
        <v>33.634</v>
      </c>
      <c r="G10" s="4">
        <v>34.335999999999999</v>
      </c>
      <c r="H10" s="4">
        <v>39.28</v>
      </c>
      <c r="I10" s="4">
        <v>43.866</v>
      </c>
      <c r="J10" s="4">
        <v>41.954000000000001</v>
      </c>
      <c r="K10" s="4">
        <v>41.768000000000001</v>
      </c>
    </row>
    <row r="11" spans="1:11">
      <c r="A11" s="2" t="s">
        <v>18</v>
      </c>
      <c r="B11" s="3">
        <f t="shared" ref="B11:K11" si="0">B9-B10</f>
        <v>30.852999999999998</v>
      </c>
      <c r="C11" s="3">
        <f t="shared" si="0"/>
        <v>33.159999999999997</v>
      </c>
      <c r="D11" s="3">
        <f t="shared" si="0"/>
        <v>38.741</v>
      </c>
      <c r="E11" s="3">
        <f t="shared" si="0"/>
        <v>50.048000000000009</v>
      </c>
      <c r="F11" s="3">
        <f t="shared" si="0"/>
        <v>50.381</v>
      </c>
      <c r="G11" s="3">
        <f t="shared" si="0"/>
        <v>51.536000000000001</v>
      </c>
      <c r="H11" s="3">
        <f t="shared" si="0"/>
        <v>56.230999999999995</v>
      </c>
      <c r="I11" s="3">
        <f t="shared" si="0"/>
        <v>64.585999999999999</v>
      </c>
      <c r="J11" s="3">
        <f t="shared" si="0"/>
        <v>58.913000000000004</v>
      </c>
      <c r="K11" s="3">
        <f t="shared" si="0"/>
        <v>58.588999999999999</v>
      </c>
    </row>
    <row r="12" spans="1:11">
      <c r="A12" s="1" t="s">
        <v>19</v>
      </c>
      <c r="B12" s="4">
        <v>51.991999999999997</v>
      </c>
      <c r="C12" s="4">
        <v>54.137</v>
      </c>
      <c r="D12" s="4">
        <v>56.76</v>
      </c>
      <c r="E12" s="4">
        <v>58.389000000000003</v>
      </c>
      <c r="F12" s="4">
        <v>56.823</v>
      </c>
      <c r="G12" s="4">
        <v>58.819000000000003</v>
      </c>
      <c r="H12" s="4">
        <v>59.734000000000002</v>
      </c>
      <c r="I12" s="4">
        <v>61.451000000000001</v>
      </c>
      <c r="J12" s="4">
        <v>58.515000000000001</v>
      </c>
      <c r="K12" s="4">
        <v>58.14</v>
      </c>
    </row>
    <row r="13" spans="1:11">
      <c r="A13" s="1" t="s">
        <v>20</v>
      </c>
      <c r="B13" s="4">
        <v>20.574999999999999</v>
      </c>
      <c r="C13" s="4">
        <v>18.468</v>
      </c>
      <c r="D13" s="4">
        <v>18.268000000000001</v>
      </c>
      <c r="E13" s="4">
        <v>17.169</v>
      </c>
      <c r="F13" s="4">
        <v>18.911000000000001</v>
      </c>
      <c r="G13" s="4">
        <v>18.574999999999999</v>
      </c>
      <c r="H13" s="4">
        <v>18.486000000000001</v>
      </c>
      <c r="I13" s="4">
        <v>19.382999999999999</v>
      </c>
      <c r="J13" s="4">
        <v>18.829999999999998</v>
      </c>
      <c r="K13" s="4">
        <v>19.864999999999998</v>
      </c>
    </row>
    <row r="14" spans="1:11">
      <c r="A14" s="2" t="s">
        <v>21</v>
      </c>
      <c r="B14" s="3">
        <f t="shared" ref="B14:K14" si="1">B11-B12-B13</f>
        <v>-41.713999999999999</v>
      </c>
      <c r="C14" s="3">
        <f t="shared" si="1"/>
        <v>-39.445000000000007</v>
      </c>
      <c r="D14" s="3">
        <f t="shared" si="1"/>
        <v>-36.286999999999999</v>
      </c>
      <c r="E14" s="3">
        <f t="shared" si="1"/>
        <v>-25.509999999999994</v>
      </c>
      <c r="F14" s="3">
        <f t="shared" si="1"/>
        <v>-25.353000000000002</v>
      </c>
      <c r="G14" s="3">
        <f t="shared" si="1"/>
        <v>-25.858000000000001</v>
      </c>
      <c r="H14" s="3">
        <f t="shared" si="1"/>
        <v>-21.989000000000008</v>
      </c>
      <c r="I14" s="3">
        <f t="shared" si="1"/>
        <v>-16.248000000000001</v>
      </c>
      <c r="J14" s="3">
        <f t="shared" si="1"/>
        <v>-18.431999999999995</v>
      </c>
      <c r="K14" s="3">
        <f t="shared" si="1"/>
        <v>-19.416</v>
      </c>
    </row>
    <row r="15" spans="1:11">
      <c r="A15" s="1" t="s">
        <v>22</v>
      </c>
      <c r="B15" s="4">
        <v>2.1070000000000002</v>
      </c>
      <c r="C15" s="4">
        <v>2.2709999999999999</v>
      </c>
      <c r="D15" s="4">
        <v>2.145</v>
      </c>
      <c r="E15" s="4">
        <v>2.0910000000000002</v>
      </c>
      <c r="F15" s="4">
        <v>2.36</v>
      </c>
      <c r="G15" s="4">
        <v>2.1749999999999998</v>
      </c>
      <c r="H15" s="4">
        <v>2.2469999999999999</v>
      </c>
      <c r="I15" s="4">
        <v>2.0739999999999998</v>
      </c>
      <c r="J15" s="4">
        <v>2.3340000000000001</v>
      </c>
      <c r="K15" s="4">
        <v>2.0830000000000002</v>
      </c>
    </row>
    <row r="16" spans="1:11">
      <c r="A16" s="2" t="s">
        <v>23</v>
      </c>
      <c r="B16" s="3">
        <f t="shared" ref="B16:K16" si="2">B14+B15</f>
        <v>-39.606999999999999</v>
      </c>
      <c r="C16" s="3">
        <f t="shared" si="2"/>
        <v>-37.174000000000007</v>
      </c>
      <c r="D16" s="3">
        <f t="shared" si="2"/>
        <v>-34.141999999999996</v>
      </c>
      <c r="E16" s="3">
        <f t="shared" si="2"/>
        <v>-23.418999999999993</v>
      </c>
      <c r="F16" s="3">
        <f t="shared" si="2"/>
        <v>-22.993000000000002</v>
      </c>
      <c r="G16" s="3">
        <f t="shared" si="2"/>
        <v>-23.683</v>
      </c>
      <c r="H16" s="3">
        <f t="shared" si="2"/>
        <v>-19.742000000000008</v>
      </c>
      <c r="I16" s="3">
        <f t="shared" si="2"/>
        <v>-14.174000000000001</v>
      </c>
      <c r="J16" s="3">
        <f t="shared" si="2"/>
        <v>-16.097999999999995</v>
      </c>
      <c r="K16" s="3">
        <f t="shared" si="2"/>
        <v>-17.332999999999998</v>
      </c>
    </row>
    <row r="17" spans="1:11">
      <c r="A17" s="1" t="s">
        <v>24</v>
      </c>
      <c r="B17" s="4">
        <v>21</v>
      </c>
      <c r="C17" s="4">
        <v>0.75800000000000001</v>
      </c>
      <c r="D17" s="4">
        <v>0.747</v>
      </c>
      <c r="E17" s="4">
        <v>0.65200000000000002</v>
      </c>
      <c r="F17" s="4">
        <v>-2.7589999999999999</v>
      </c>
      <c r="G17" s="4">
        <v>0.64500000000000002</v>
      </c>
      <c r="H17" s="4">
        <v>0.253</v>
      </c>
      <c r="I17" s="4">
        <v>0.93300000000000005</v>
      </c>
      <c r="J17" s="4">
        <v>0.33700000000000002</v>
      </c>
      <c r="K17" s="4">
        <v>0.76</v>
      </c>
    </row>
    <row r="18" spans="1:11">
      <c r="A18" s="2" t="s">
        <v>25</v>
      </c>
      <c r="B18" s="3">
        <f t="shared" ref="B18:K18" si="3">B16-B17</f>
        <v>-60.606999999999999</v>
      </c>
      <c r="C18" s="3">
        <f t="shared" si="3"/>
        <v>-37.932000000000009</v>
      </c>
      <c r="D18" s="3">
        <f t="shared" si="3"/>
        <v>-34.888999999999996</v>
      </c>
      <c r="E18" s="3">
        <f t="shared" si="3"/>
        <v>-24.070999999999994</v>
      </c>
      <c r="F18" s="3">
        <f t="shared" si="3"/>
        <v>-20.234000000000002</v>
      </c>
      <c r="G18" s="3">
        <f t="shared" si="3"/>
        <v>-24.327999999999999</v>
      </c>
      <c r="H18" s="3">
        <f t="shared" si="3"/>
        <v>-19.995000000000008</v>
      </c>
      <c r="I18" s="3">
        <f t="shared" si="3"/>
        <v>-15.107000000000001</v>
      </c>
      <c r="J18" s="3">
        <f t="shared" si="3"/>
        <v>-16.434999999999995</v>
      </c>
      <c r="K18" s="3">
        <f t="shared" si="3"/>
        <v>-18.093</v>
      </c>
    </row>
    <row r="19" spans="1:11">
      <c r="A19" s="1" t="s">
        <v>26</v>
      </c>
      <c r="B19" s="5">
        <f t="shared" ref="B19:K19" si="4">B$18/B21</f>
        <v>-1.5007400195663001</v>
      </c>
      <c r="C19" s="5">
        <f t="shared" si="4"/>
        <v>-0.93027610968694041</v>
      </c>
      <c r="D19" s="5">
        <f t="shared" si="4"/>
        <v>-0.84826668304410469</v>
      </c>
      <c r="E19" s="5">
        <f t="shared" si="4"/>
        <v>-0.58031132951854547</v>
      </c>
      <c r="F19" s="5">
        <f t="shared" si="4"/>
        <v>-0.48373203014639821</v>
      </c>
      <c r="G19" s="5">
        <f t="shared" si="4"/>
        <v>-0.57622018318723656</v>
      </c>
      <c r="H19" s="5">
        <f t="shared" si="4"/>
        <v>-0.46995110980734983</v>
      </c>
      <c r="I19" s="5">
        <f t="shared" si="4"/>
        <v>-0.35241630165323767</v>
      </c>
      <c r="J19" s="5">
        <f t="shared" si="4"/>
        <v>-0.38058623479681292</v>
      </c>
      <c r="K19" s="5">
        <f t="shared" si="4"/>
        <v>-0.41492679717103992</v>
      </c>
    </row>
    <row r="20" spans="1:11">
      <c r="A20" s="1" t="s">
        <v>27</v>
      </c>
      <c r="B20" s="5">
        <f t="shared" ref="B20:K20" si="5">B$18/B22</f>
        <v>-1.5007400195663001</v>
      </c>
      <c r="C20" s="5">
        <f t="shared" si="5"/>
        <v>-0.93027610968694041</v>
      </c>
      <c r="D20" s="5">
        <f t="shared" si="5"/>
        <v>-0.84826668304410469</v>
      </c>
      <c r="E20" s="5">
        <f t="shared" si="5"/>
        <v>-0.58031132951854547</v>
      </c>
      <c r="F20" s="5">
        <f t="shared" si="5"/>
        <v>-0.48373203014639821</v>
      </c>
      <c r="G20" s="5">
        <f t="shared" si="5"/>
        <v>-0.57622018318723656</v>
      </c>
      <c r="H20" s="5">
        <f t="shared" si="5"/>
        <v>-0.46995110980734983</v>
      </c>
      <c r="I20" s="5">
        <f t="shared" si="5"/>
        <v>-0.35241630165323767</v>
      </c>
      <c r="J20" s="5">
        <f t="shared" si="5"/>
        <v>-0.38058623479681292</v>
      </c>
      <c r="K20" s="5">
        <f t="shared" si="5"/>
        <v>-0.41492679717103992</v>
      </c>
    </row>
    <row r="21" spans="1:11">
      <c r="A21" s="1" t="s">
        <v>28</v>
      </c>
      <c r="B21" s="7">
        <v>40.384743</v>
      </c>
      <c r="C21" s="7">
        <v>40.774991</v>
      </c>
      <c r="D21" s="7">
        <v>41.129753999999998</v>
      </c>
      <c r="E21" s="7">
        <v>41.479458999999999</v>
      </c>
      <c r="F21" s="7">
        <v>41.828944</v>
      </c>
      <c r="G21" s="7">
        <v>42.219971999999999</v>
      </c>
      <c r="H21" s="7">
        <v>42.546979</v>
      </c>
      <c r="I21" s="7">
        <v>42.866916000000003</v>
      </c>
      <c r="J21" s="7">
        <v>43.18338</v>
      </c>
      <c r="K21" s="7">
        <v>43.605282000000003</v>
      </c>
    </row>
    <row r="22" spans="1:11">
      <c r="A22" s="1" t="s">
        <v>29</v>
      </c>
      <c r="B22" s="7">
        <v>40.384743</v>
      </c>
      <c r="C22" s="7">
        <v>40.774991</v>
      </c>
      <c r="D22" s="7">
        <v>41.129753999999998</v>
      </c>
      <c r="E22" s="7">
        <v>41.479458999999999</v>
      </c>
      <c r="F22" s="7">
        <v>41.828944</v>
      </c>
      <c r="G22" s="7">
        <v>42.219971999999999</v>
      </c>
      <c r="H22" s="7">
        <v>42.546979</v>
      </c>
      <c r="I22" s="7">
        <v>42.866916000000003</v>
      </c>
      <c r="J22" s="7">
        <v>43.18338</v>
      </c>
      <c r="K22" s="7">
        <v>43.605282000000003</v>
      </c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70D41-D15D-4FE3-B533-ED7955652220}">
  <dimension ref="B2:J100"/>
  <sheetViews>
    <sheetView tabSelected="1" topLeftCell="A60" workbookViewId="0">
      <selection activeCell="L9" sqref="L9"/>
    </sheetView>
  </sheetViews>
  <sheetFormatPr defaultRowHeight="14.25"/>
  <cols>
    <col min="1" max="1" width="3" customWidth="1"/>
    <col min="2" max="2" width="13.875" customWidth="1"/>
  </cols>
  <sheetData>
    <row r="2" spans="2:10">
      <c r="B2" s="13" t="s">
        <v>37</v>
      </c>
      <c r="C2" s="13"/>
      <c r="D2" s="13"/>
      <c r="E2" s="13"/>
      <c r="F2" s="13"/>
      <c r="G2" s="13"/>
      <c r="H2" s="13"/>
      <c r="I2" s="13"/>
      <c r="J2" s="13"/>
    </row>
    <row r="3" spans="2:10">
      <c r="B3" s="14" t="s">
        <v>38</v>
      </c>
      <c r="C3" s="14"/>
      <c r="D3" s="15" t="s">
        <v>39</v>
      </c>
      <c r="E3" s="15" t="s">
        <v>40</v>
      </c>
      <c r="F3" s="15" t="s">
        <v>41</v>
      </c>
      <c r="G3" s="15" t="s">
        <v>42</v>
      </c>
      <c r="H3" s="15" t="s">
        <v>43</v>
      </c>
      <c r="I3" s="15" t="s">
        <v>44</v>
      </c>
      <c r="J3" s="15" t="s">
        <v>45</v>
      </c>
    </row>
    <row r="4" spans="2:10">
      <c r="B4" s="16" t="s">
        <v>46</v>
      </c>
      <c r="C4" s="16"/>
      <c r="D4" s="17">
        <f t="shared" ref="D4:J4" si="0">SUM(D20,D25,D30,D35,D40,D45,D50,D55,D60,D65,D70,D75,D80,D85,D90,D95,D100)</f>
        <v>390.70199999999994</v>
      </c>
      <c r="E4" s="17">
        <f t="shared" si="0"/>
        <v>440.48417755995166</v>
      </c>
      <c r="F4" s="17">
        <f t="shared" si="0"/>
        <v>496.18944657047041</v>
      </c>
      <c r="G4" s="17">
        <f t="shared" si="0"/>
        <v>557.4195964996394</v>
      </c>
      <c r="H4" s="17">
        <f t="shared" si="0"/>
        <v>614.36112942499847</v>
      </c>
      <c r="I4" s="17">
        <f t="shared" si="0"/>
        <v>657.9162705797296</v>
      </c>
      <c r="J4" s="17">
        <f t="shared" si="0"/>
        <v>686.43763711312363</v>
      </c>
    </row>
    <row r="5" spans="2:10">
      <c r="B5" s="18" t="s">
        <v>47</v>
      </c>
      <c r="C5" s="19"/>
      <c r="D5" s="20"/>
      <c r="E5" s="20">
        <f t="shared" ref="E5:J5" si="1">E4/D4-1</f>
        <v>0.12741725806356685</v>
      </c>
      <c r="F5" s="20">
        <f t="shared" si="1"/>
        <v>0.12646372298568442</v>
      </c>
      <c r="G5" s="20">
        <f t="shared" si="1"/>
        <v>0.12340075016180929</v>
      </c>
      <c r="H5" s="20">
        <f t="shared" si="1"/>
        <v>0.10215201130876617</v>
      </c>
      <c r="I5" s="20">
        <f t="shared" si="1"/>
        <v>7.0895014460787609E-2</v>
      </c>
      <c r="J5" s="20">
        <f t="shared" si="1"/>
        <v>4.3351058195083336E-2</v>
      </c>
    </row>
    <row r="6" spans="2:10">
      <c r="B6" s="18" t="s">
        <v>48</v>
      </c>
      <c r="C6" s="19"/>
      <c r="D6" s="21">
        <f t="shared" ref="D6:J6" si="2">SUM(D16,D21,D26,D31,D36,D41,D46,D51,D56,D61,D66,D71,D76,D81,D86,D91,D96)</f>
        <v>26.743914695404708</v>
      </c>
      <c r="E6" s="21">
        <f t="shared" si="2"/>
        <v>27.250247141813094</v>
      </c>
      <c r="F6" s="21">
        <f t="shared" si="2"/>
        <v>27.453874925167831</v>
      </c>
      <c r="G6" s="21">
        <f t="shared" si="2"/>
        <v>27.457079243686188</v>
      </c>
      <c r="H6" s="21">
        <f t="shared" si="2"/>
        <v>26.941731459879303</v>
      </c>
      <c r="I6" s="21">
        <f t="shared" si="2"/>
        <v>26.066996598578012</v>
      </c>
      <c r="J6" s="21">
        <f t="shared" si="2"/>
        <v>25.047522298249916</v>
      </c>
    </row>
    <row r="7" spans="2:10">
      <c r="B7" s="18" t="s">
        <v>49</v>
      </c>
      <c r="C7" s="19"/>
      <c r="D7" s="20"/>
      <c r="E7" s="20">
        <f t="shared" ref="E7:J7" si="3">E6/D6-1</f>
        <v>1.8932622698478285E-2</v>
      </c>
      <c r="F7" s="20">
        <f t="shared" si="3"/>
        <v>7.4725114343012766E-3</v>
      </c>
      <c r="G7" s="20">
        <f t="shared" si="3"/>
        <v>1.1671643901234319E-4</v>
      </c>
      <c r="H7" s="20">
        <f t="shared" si="3"/>
        <v>-1.8769213550832831E-2</v>
      </c>
      <c r="I7" s="20">
        <f t="shared" si="3"/>
        <v>-3.2467655711137855E-2</v>
      </c>
      <c r="J7" s="20">
        <f t="shared" si="3"/>
        <v>-3.9109772254457109E-2</v>
      </c>
    </row>
    <row r="8" spans="2:10">
      <c r="B8" s="16" t="s">
        <v>50</v>
      </c>
      <c r="C8" s="16"/>
      <c r="D8" s="22">
        <f t="shared" ref="D8:J8" si="4">D4/D6</f>
        <v>14.609005616785511</v>
      </c>
      <c r="E8" s="22">
        <f t="shared" si="4"/>
        <v>16.164410372780349</v>
      </c>
      <c r="F8" s="22">
        <f t="shared" si="4"/>
        <v>18.073566952678068</v>
      </c>
      <c r="G8" s="22">
        <f t="shared" si="4"/>
        <v>20.301489155217382</v>
      </c>
      <c r="H8" s="22">
        <f t="shared" si="4"/>
        <v>22.803327630961057</v>
      </c>
      <c r="I8" s="22">
        <f t="shared" si="4"/>
        <v>25.239435164372551</v>
      </c>
      <c r="J8" s="22">
        <f t="shared" si="4"/>
        <v>27.405410760372309</v>
      </c>
    </row>
    <row r="9" spans="2:10">
      <c r="B9" s="18" t="s">
        <v>51</v>
      </c>
      <c r="C9" s="19"/>
      <c r="D9" s="23">
        <f t="shared" ref="D9:J9" si="5">SUM(D25,D30,D35,D40,D45,D50,D55,D60,D65,D70,D75,D80,D85,D90,D95,D100)</f>
        <v>315.34910000000008</v>
      </c>
      <c r="E9" s="23">
        <f t="shared" si="5"/>
        <v>371.15950955995169</v>
      </c>
      <c r="F9" s="23">
        <f t="shared" si="5"/>
        <v>435.04508939447044</v>
      </c>
      <c r="G9" s="23">
        <f t="shared" si="5"/>
        <v>503.49027347040754</v>
      </c>
      <c r="H9" s="23">
        <f t="shared" si="5"/>
        <v>567.85248124458883</v>
      </c>
      <c r="I9" s="23">
        <f t="shared" si="5"/>
        <v>617.80721238894421</v>
      </c>
      <c r="J9" s="23">
        <f t="shared" si="5"/>
        <v>651.84758532939054</v>
      </c>
    </row>
    <row r="10" spans="2:10">
      <c r="B10" s="18" t="s">
        <v>52</v>
      </c>
      <c r="C10" s="19"/>
      <c r="D10" s="20">
        <f t="shared" ref="D10:J10" si="6">D9/D4</f>
        <v>0.80713459362890416</v>
      </c>
      <c r="E10" s="20">
        <f t="shared" si="6"/>
        <v>0.84261712104161879</v>
      </c>
      <c r="F10" s="20">
        <f t="shared" si="6"/>
        <v>0.87677215305844669</v>
      </c>
      <c r="G10" s="20">
        <f t="shared" si="6"/>
        <v>0.90325183512046348</v>
      </c>
      <c r="H10" s="20">
        <f t="shared" si="6"/>
        <v>0.92429754105058914</v>
      </c>
      <c r="I10" s="20">
        <f t="shared" si="6"/>
        <v>0.93903622697240352</v>
      </c>
      <c r="J10" s="20">
        <f t="shared" si="6"/>
        <v>0.94960933096675071</v>
      </c>
    </row>
    <row r="11" spans="2:10">
      <c r="B11" s="18" t="s">
        <v>53</v>
      </c>
      <c r="C11" s="19"/>
      <c r="D11" s="21">
        <f t="shared" ref="D11:J11" si="7">SUM(D21,D26,D31,D36,D41,D46,D51,D56,D61,D66,D71,D76,D81,D86,D91,D96)</f>
        <v>15.15116084925087</v>
      </c>
      <c r="E11" s="21">
        <f t="shared" si="7"/>
        <v>16.584913603351556</v>
      </c>
      <c r="F11" s="21">
        <f t="shared" si="7"/>
        <v>17.85507474055245</v>
      </c>
      <c r="G11" s="21">
        <f t="shared" si="7"/>
        <v>18.818159077532343</v>
      </c>
      <c r="H11" s="21">
        <f t="shared" si="7"/>
        <v>19.339481713663918</v>
      </c>
      <c r="I11" s="21">
        <f t="shared" si="7"/>
        <v>19.377016821908473</v>
      </c>
      <c r="J11" s="21">
        <f t="shared" si="7"/>
        <v>19.160340094780718</v>
      </c>
    </row>
    <row r="12" spans="2:10">
      <c r="B12" s="16" t="s">
        <v>54</v>
      </c>
      <c r="C12" s="16"/>
      <c r="D12" s="22">
        <f t="shared" ref="D12:J12" si="8">D9/D11</f>
        <v>20.813527302470167</v>
      </c>
      <c r="E12" s="22">
        <f t="shared" si="8"/>
        <v>22.379345375965425</v>
      </c>
      <c r="F12" s="22">
        <f t="shared" si="8"/>
        <v>24.365346867263227</v>
      </c>
      <c r="G12" s="22">
        <f t="shared" si="8"/>
        <v>26.755554111110804</v>
      </c>
      <c r="H12" s="22">
        <f t="shared" si="8"/>
        <v>29.362342261912023</v>
      </c>
      <c r="I12" s="22">
        <f t="shared" si="8"/>
        <v>31.88350498258459</v>
      </c>
      <c r="J12" s="22">
        <f t="shared" si="8"/>
        <v>34.020668845379944</v>
      </c>
    </row>
    <row r="13" spans="2:10">
      <c r="B13" s="19"/>
      <c r="C13" s="19"/>
      <c r="D13" s="24"/>
      <c r="E13" s="24"/>
      <c r="F13" s="24"/>
      <c r="G13" s="24"/>
      <c r="H13" s="24"/>
      <c r="I13" s="24"/>
      <c r="J13" s="24"/>
    </row>
    <row r="14" spans="2:10">
      <c r="B14" s="13" t="s">
        <v>55</v>
      </c>
      <c r="C14" s="13"/>
      <c r="D14" s="25"/>
      <c r="E14" s="25"/>
      <c r="F14" s="25"/>
      <c r="G14" s="25"/>
      <c r="H14" s="25"/>
      <c r="I14" s="25"/>
      <c r="J14" s="25"/>
    </row>
    <row r="15" spans="2:10">
      <c r="B15" s="14" t="s">
        <v>56</v>
      </c>
      <c r="C15" s="14" t="s">
        <v>38</v>
      </c>
      <c r="D15" s="15" t="s">
        <v>39</v>
      </c>
      <c r="E15" s="15" t="s">
        <v>40</v>
      </c>
      <c r="F15" s="15" t="s">
        <v>41</v>
      </c>
      <c r="G15" s="15" t="s">
        <v>42</v>
      </c>
      <c r="H15" s="15" t="s">
        <v>43</v>
      </c>
      <c r="I15" s="15" t="s">
        <v>44</v>
      </c>
      <c r="J15" s="15" t="s">
        <v>45</v>
      </c>
    </row>
    <row r="16" spans="2:10" ht="25.5">
      <c r="B16" s="26" t="s">
        <v>57</v>
      </c>
      <c r="C16" s="19" t="s">
        <v>58</v>
      </c>
      <c r="D16" s="27">
        <v>11.592753846153842</v>
      </c>
      <c r="E16" s="21">
        <f t="shared" ref="E16:J16" si="9">D16*(1+E17)</f>
        <v>10.665333538461535</v>
      </c>
      <c r="F16" s="21">
        <f t="shared" si="9"/>
        <v>9.5988001846153814</v>
      </c>
      <c r="G16" s="21">
        <f t="shared" si="9"/>
        <v>8.6389201661538433</v>
      </c>
      <c r="H16" s="21">
        <f t="shared" si="9"/>
        <v>7.6022497462153824</v>
      </c>
      <c r="I16" s="21">
        <f t="shared" si="9"/>
        <v>6.6899797766695368</v>
      </c>
      <c r="J16" s="21">
        <f t="shared" si="9"/>
        <v>5.8871822034691927</v>
      </c>
    </row>
    <row r="17" spans="2:10">
      <c r="B17" s="26" t="s">
        <v>59</v>
      </c>
      <c r="C17" s="28" t="s">
        <v>49</v>
      </c>
      <c r="D17" s="20"/>
      <c r="E17" s="29">
        <v>-0.08</v>
      </c>
      <c r="F17" s="29">
        <v>-0.1</v>
      </c>
      <c r="G17" s="29">
        <v>-0.1</v>
      </c>
      <c r="H17" s="29">
        <v>-0.12</v>
      </c>
      <c r="I17" s="29">
        <v>-0.12</v>
      </c>
      <c r="J17" s="29">
        <v>-0.12</v>
      </c>
    </row>
    <row r="18" spans="2:10">
      <c r="B18" s="26" t="s">
        <v>60</v>
      </c>
      <c r="C18" s="19" t="s">
        <v>61</v>
      </c>
      <c r="D18" s="30">
        <v>6.5</v>
      </c>
      <c r="E18" s="31">
        <f t="shared" ref="E18:J18" si="10">D18*(1+E19)</f>
        <v>6.5</v>
      </c>
      <c r="F18" s="31">
        <f t="shared" si="10"/>
        <v>6.37</v>
      </c>
      <c r="G18" s="31">
        <f t="shared" si="10"/>
        <v>6.2426000000000004</v>
      </c>
      <c r="H18" s="31">
        <f t="shared" si="10"/>
        <v>6.1177480000000006</v>
      </c>
      <c r="I18" s="31">
        <f t="shared" si="10"/>
        <v>5.9953930400000006</v>
      </c>
      <c r="J18" s="31">
        <f t="shared" si="10"/>
        <v>5.8754851792000009</v>
      </c>
    </row>
    <row r="19" spans="2:10">
      <c r="B19" s="26"/>
      <c r="C19" s="28" t="s">
        <v>62</v>
      </c>
      <c r="D19" s="20"/>
      <c r="E19" s="29">
        <v>0</v>
      </c>
      <c r="F19" s="29">
        <v>-0.02</v>
      </c>
      <c r="G19" s="29">
        <v>-0.02</v>
      </c>
      <c r="H19" s="29">
        <v>-0.02</v>
      </c>
      <c r="I19" s="29">
        <v>-0.02</v>
      </c>
      <c r="J19" s="29">
        <v>-0.02</v>
      </c>
    </row>
    <row r="20" spans="2:10">
      <c r="B20" s="32"/>
      <c r="C20" s="18" t="s">
        <v>63</v>
      </c>
      <c r="D20" s="33">
        <f t="shared" ref="D20:J20" si="11">D16*D18</f>
        <v>75.352899999999977</v>
      </c>
      <c r="E20" s="33">
        <f t="shared" si="11"/>
        <v>69.324667999999974</v>
      </c>
      <c r="F20" s="33">
        <f t="shared" si="11"/>
        <v>61.144357175999978</v>
      </c>
      <c r="G20" s="33">
        <f t="shared" si="11"/>
        <v>53.929323029231988</v>
      </c>
      <c r="H20" s="33">
        <f t="shared" si="11"/>
        <v>46.508648180409665</v>
      </c>
      <c r="I20" s="33">
        <f t="shared" si="11"/>
        <v>40.109058190785298</v>
      </c>
      <c r="J20" s="33">
        <f t="shared" si="11"/>
        <v>34.590051783733244</v>
      </c>
    </row>
    <row r="21" spans="2:10" ht="25.5">
      <c r="B21" s="26" t="s">
        <v>64</v>
      </c>
      <c r="C21" s="19" t="s">
        <v>58</v>
      </c>
      <c r="D21" s="27">
        <v>4.6164036639920472</v>
      </c>
      <c r="E21" s="21">
        <f t="shared" ref="E21:J21" si="12">D21*(1+E22)</f>
        <v>4.8472238471916498</v>
      </c>
      <c r="F21" s="21">
        <f t="shared" si="12"/>
        <v>4.9926405626073995</v>
      </c>
      <c r="G21" s="21">
        <f t="shared" si="12"/>
        <v>4.9926405626073995</v>
      </c>
      <c r="H21" s="21">
        <f t="shared" si="12"/>
        <v>4.8927877513552511</v>
      </c>
      <c r="I21" s="21">
        <f t="shared" si="12"/>
        <v>4.6481483637874881</v>
      </c>
      <c r="J21" s="21">
        <f t="shared" si="12"/>
        <v>4.4157409455981131</v>
      </c>
    </row>
    <row r="22" spans="2:10">
      <c r="B22" s="26" t="s">
        <v>65</v>
      </c>
      <c r="C22" s="28" t="s">
        <v>49</v>
      </c>
      <c r="D22" s="20"/>
      <c r="E22" s="29">
        <v>0.05</v>
      </c>
      <c r="F22" s="29">
        <v>0.03</v>
      </c>
      <c r="G22" s="29">
        <v>0</v>
      </c>
      <c r="H22" s="29">
        <v>-0.02</v>
      </c>
      <c r="I22" s="29">
        <v>-0.05</v>
      </c>
      <c r="J22" s="29">
        <v>-0.05</v>
      </c>
    </row>
    <row r="23" spans="2:10">
      <c r="B23" s="26" t="s">
        <v>66</v>
      </c>
      <c r="C23" s="19" t="s">
        <v>61</v>
      </c>
      <c r="D23" s="30">
        <v>10</v>
      </c>
      <c r="E23" s="31">
        <f t="shared" ref="E23:J23" si="13">D23*(1+E24)</f>
        <v>10.199999999999999</v>
      </c>
      <c r="F23" s="31">
        <f t="shared" si="13"/>
        <v>10.302</v>
      </c>
      <c r="G23" s="31">
        <f t="shared" si="13"/>
        <v>10.40502</v>
      </c>
      <c r="H23" s="31">
        <f t="shared" si="13"/>
        <v>10.40502</v>
      </c>
      <c r="I23" s="31">
        <f t="shared" si="13"/>
        <v>10.40502</v>
      </c>
      <c r="J23" s="31">
        <f t="shared" si="13"/>
        <v>10.40502</v>
      </c>
    </row>
    <row r="24" spans="2:10">
      <c r="B24" s="26"/>
      <c r="C24" s="28" t="s">
        <v>62</v>
      </c>
      <c r="D24" s="20"/>
      <c r="E24" s="29">
        <v>0.02</v>
      </c>
      <c r="F24" s="29">
        <v>0.01</v>
      </c>
      <c r="G24" s="29">
        <v>0.01</v>
      </c>
      <c r="H24" s="29">
        <v>0</v>
      </c>
      <c r="I24" s="29">
        <v>0</v>
      </c>
      <c r="J24" s="29">
        <v>0</v>
      </c>
    </row>
    <row r="25" spans="2:10">
      <c r="B25" s="32"/>
      <c r="C25" s="18" t="s">
        <v>63</v>
      </c>
      <c r="D25" s="33">
        <f t="shared" ref="D25:J25" si="14">D21*D23</f>
        <v>46.164036639920468</v>
      </c>
      <c r="E25" s="33">
        <f t="shared" si="14"/>
        <v>49.441683241354824</v>
      </c>
      <c r="F25" s="33">
        <f t="shared" si="14"/>
        <v>51.43418307598143</v>
      </c>
      <c r="G25" s="33">
        <f t="shared" si="14"/>
        <v>51.948524906741248</v>
      </c>
      <c r="H25" s="33">
        <f t="shared" si="14"/>
        <v>50.909554408606418</v>
      </c>
      <c r="I25" s="33">
        <f t="shared" si="14"/>
        <v>48.364076688176091</v>
      </c>
      <c r="J25" s="33">
        <f t="shared" si="14"/>
        <v>45.945872853767284</v>
      </c>
    </row>
    <row r="26" spans="2:10" ht="25.5">
      <c r="B26" s="26" t="s">
        <v>67</v>
      </c>
      <c r="C26" s="19" t="s">
        <v>58</v>
      </c>
      <c r="D26" s="27">
        <v>3.5510797415323441</v>
      </c>
      <c r="E26" s="21">
        <f t="shared" ref="E26:J26" si="15">D26*(1+E27)</f>
        <v>3.7996553234396084</v>
      </c>
      <c r="F26" s="21">
        <f t="shared" si="15"/>
        <v>3.9896380896115891</v>
      </c>
      <c r="G26" s="21">
        <f t="shared" si="15"/>
        <v>4.109327232299937</v>
      </c>
      <c r="H26" s="21">
        <f t="shared" si="15"/>
        <v>4.109327232299937</v>
      </c>
      <c r="I26" s="21">
        <f t="shared" si="15"/>
        <v>4.0271406876539384</v>
      </c>
      <c r="J26" s="21">
        <f t="shared" si="15"/>
        <v>3.9063264670243201</v>
      </c>
    </row>
    <row r="27" spans="2:10">
      <c r="B27" s="26" t="s">
        <v>65</v>
      </c>
      <c r="C27" s="28" t="s">
        <v>49</v>
      </c>
      <c r="D27" s="20"/>
      <c r="E27" s="29">
        <v>7.0000000000000007E-2</v>
      </c>
      <c r="F27" s="29">
        <v>0.05</v>
      </c>
      <c r="G27" s="29">
        <v>0.03</v>
      </c>
      <c r="H27" s="29">
        <v>0</v>
      </c>
      <c r="I27" s="29">
        <v>-0.02</v>
      </c>
      <c r="J27" s="29">
        <v>-0.03</v>
      </c>
    </row>
    <row r="28" spans="2:10">
      <c r="B28" s="26" t="s">
        <v>66</v>
      </c>
      <c r="C28" s="19" t="s">
        <v>61</v>
      </c>
      <c r="D28" s="30">
        <v>13</v>
      </c>
      <c r="E28" s="31">
        <f t="shared" ref="E28:J28" si="16">D28*(1+E29)</f>
        <v>13.26</v>
      </c>
      <c r="F28" s="31">
        <f t="shared" si="16"/>
        <v>13.3926</v>
      </c>
      <c r="G28" s="31">
        <f t="shared" si="16"/>
        <v>13.526526</v>
      </c>
      <c r="H28" s="31">
        <f t="shared" si="16"/>
        <v>13.526526</v>
      </c>
      <c r="I28" s="31">
        <f t="shared" si="16"/>
        <v>13.526526</v>
      </c>
      <c r="J28" s="31">
        <f t="shared" si="16"/>
        <v>13.526526</v>
      </c>
    </row>
    <row r="29" spans="2:10">
      <c r="B29" s="26"/>
      <c r="C29" s="28" t="s">
        <v>62</v>
      </c>
      <c r="D29" s="20"/>
      <c r="E29" s="29">
        <v>0.02</v>
      </c>
      <c r="F29" s="29">
        <v>0.01</v>
      </c>
      <c r="G29" s="29">
        <v>0.01</v>
      </c>
      <c r="H29" s="29">
        <v>0</v>
      </c>
      <c r="I29" s="29">
        <v>0</v>
      </c>
      <c r="J29" s="29">
        <v>0</v>
      </c>
    </row>
    <row r="30" spans="2:10">
      <c r="B30" s="32"/>
      <c r="C30" s="18" t="s">
        <v>63</v>
      </c>
      <c r="D30" s="33">
        <f t="shared" ref="D30:J30" si="17">D26*D28</f>
        <v>46.164036639920475</v>
      </c>
      <c r="E30" s="33">
        <f t="shared" si="17"/>
        <v>50.383429588809207</v>
      </c>
      <c r="F30" s="33">
        <f t="shared" si="17"/>
        <v>53.431627078932166</v>
      </c>
      <c r="G30" s="33">
        <f t="shared" si="17"/>
        <v>55.58492165021314</v>
      </c>
      <c r="H30" s="33">
        <f t="shared" si="17"/>
        <v>55.58492165021314</v>
      </c>
      <c r="I30" s="33">
        <f t="shared" si="17"/>
        <v>54.473223217208876</v>
      </c>
      <c r="J30" s="33">
        <f t="shared" si="17"/>
        <v>52.839026520692613</v>
      </c>
    </row>
    <row r="31" spans="2:10" ht="25.5">
      <c r="B31" s="26" t="s">
        <v>68</v>
      </c>
      <c r="C31" s="19" t="s">
        <v>58</v>
      </c>
      <c r="D31" s="27">
        <v>2.8408637932258753</v>
      </c>
      <c r="E31" s="21">
        <f t="shared" ref="E31:J31" si="18">D31*(1+E32)</f>
        <v>3.0681328966839456</v>
      </c>
      <c r="F31" s="21">
        <f t="shared" si="18"/>
        <v>3.2215395415181431</v>
      </c>
      <c r="G31" s="21">
        <f t="shared" si="18"/>
        <v>3.3181857277636877</v>
      </c>
      <c r="H31" s="21">
        <f t="shared" si="18"/>
        <v>3.3181857277636877</v>
      </c>
      <c r="I31" s="21">
        <f t="shared" si="18"/>
        <v>3.2518220132084137</v>
      </c>
      <c r="J31" s="21">
        <f t="shared" si="18"/>
        <v>3.1542673528121612</v>
      </c>
    </row>
    <row r="32" spans="2:10">
      <c r="B32" s="26" t="s">
        <v>65</v>
      </c>
      <c r="C32" s="28" t="s">
        <v>49</v>
      </c>
      <c r="D32" s="20"/>
      <c r="E32" s="29">
        <v>0.08</v>
      </c>
      <c r="F32" s="29">
        <v>0.05</v>
      </c>
      <c r="G32" s="29">
        <v>0.03</v>
      </c>
      <c r="H32" s="29">
        <v>0</v>
      </c>
      <c r="I32" s="29">
        <v>-0.02</v>
      </c>
      <c r="J32" s="29">
        <v>-0.03</v>
      </c>
    </row>
    <row r="33" spans="2:10">
      <c r="B33" s="26" t="s">
        <v>66</v>
      </c>
      <c r="C33" s="19" t="s">
        <v>61</v>
      </c>
      <c r="D33" s="30">
        <v>20</v>
      </c>
      <c r="E33" s="31">
        <f t="shared" ref="E33:J33" si="19">D33*(1+E34)</f>
        <v>20.399999999999999</v>
      </c>
      <c r="F33" s="31">
        <f t="shared" si="19"/>
        <v>20.603999999999999</v>
      </c>
      <c r="G33" s="31">
        <f t="shared" si="19"/>
        <v>20.810040000000001</v>
      </c>
      <c r="H33" s="31">
        <f t="shared" si="19"/>
        <v>20.810040000000001</v>
      </c>
      <c r="I33" s="31">
        <f t="shared" si="19"/>
        <v>20.810040000000001</v>
      </c>
      <c r="J33" s="31">
        <f t="shared" si="19"/>
        <v>20.810040000000001</v>
      </c>
    </row>
    <row r="34" spans="2:10">
      <c r="B34" s="26"/>
      <c r="C34" s="28" t="s">
        <v>62</v>
      </c>
      <c r="D34" s="20"/>
      <c r="E34" s="29">
        <v>0.02</v>
      </c>
      <c r="F34" s="29">
        <v>0.01</v>
      </c>
      <c r="G34" s="29">
        <v>0.01</v>
      </c>
      <c r="H34" s="29">
        <v>0</v>
      </c>
      <c r="I34" s="29">
        <v>0</v>
      </c>
      <c r="J34" s="29">
        <v>0</v>
      </c>
    </row>
    <row r="35" spans="2:10">
      <c r="B35" s="32"/>
      <c r="C35" s="18" t="s">
        <v>63</v>
      </c>
      <c r="D35" s="33">
        <f t="shared" ref="D35:J35" si="20">D31*D33</f>
        <v>56.817275864517505</v>
      </c>
      <c r="E35" s="33">
        <f t="shared" si="20"/>
        <v>62.589911092352487</v>
      </c>
      <c r="F35" s="33">
        <f t="shared" si="20"/>
        <v>66.376600713439814</v>
      </c>
      <c r="G35" s="33">
        <f t="shared" si="20"/>
        <v>69.051577722191453</v>
      </c>
      <c r="H35" s="33">
        <f t="shared" si="20"/>
        <v>69.051577722191453</v>
      </c>
      <c r="I35" s="33">
        <f t="shared" si="20"/>
        <v>67.670546167747617</v>
      </c>
      <c r="J35" s="33">
        <f t="shared" si="20"/>
        <v>65.640429782715188</v>
      </c>
    </row>
    <row r="36" spans="2:10">
      <c r="B36" s="26" t="s">
        <v>69</v>
      </c>
      <c r="C36" s="19" t="s">
        <v>58</v>
      </c>
      <c r="D36" s="27">
        <v>1.0653239224597031</v>
      </c>
      <c r="E36" s="21">
        <f t="shared" ref="E36:J36" si="21">D36*(1+E37)</f>
        <v>1.1718563147056735</v>
      </c>
      <c r="F36" s="21">
        <f t="shared" si="21"/>
        <v>1.2656048198821275</v>
      </c>
      <c r="G36" s="21">
        <f t="shared" si="21"/>
        <v>1.3288850608762339</v>
      </c>
      <c r="H36" s="21">
        <f t="shared" si="21"/>
        <v>1.3554627620937587</v>
      </c>
      <c r="I36" s="21">
        <f t="shared" si="21"/>
        <v>1.3554627620937587</v>
      </c>
      <c r="J36" s="21">
        <f t="shared" si="21"/>
        <v>1.3283535068518835</v>
      </c>
    </row>
    <row r="37" spans="2:10">
      <c r="B37" s="26" t="s">
        <v>65</v>
      </c>
      <c r="C37" s="28" t="s">
        <v>49</v>
      </c>
      <c r="D37" s="20"/>
      <c r="E37" s="29">
        <v>0.1</v>
      </c>
      <c r="F37" s="29">
        <v>0.08</v>
      </c>
      <c r="G37" s="29">
        <v>0.05</v>
      </c>
      <c r="H37" s="29">
        <v>0.02</v>
      </c>
      <c r="I37" s="29">
        <v>0</v>
      </c>
      <c r="J37" s="29">
        <v>-0.02</v>
      </c>
    </row>
    <row r="38" spans="2:10">
      <c r="B38" s="26" t="s">
        <v>66</v>
      </c>
      <c r="C38" s="19" t="s">
        <v>61</v>
      </c>
      <c r="D38" s="30">
        <v>28.5</v>
      </c>
      <c r="E38" s="31">
        <f t="shared" ref="E38:J38" si="22">D38*(1+E39)</f>
        <v>29.07</v>
      </c>
      <c r="F38" s="31">
        <f t="shared" si="22"/>
        <v>29.651400000000002</v>
      </c>
      <c r="G38" s="31">
        <f t="shared" si="22"/>
        <v>29.947914000000004</v>
      </c>
      <c r="H38" s="31">
        <f t="shared" si="22"/>
        <v>30.247393140000003</v>
      </c>
      <c r="I38" s="31">
        <f t="shared" si="22"/>
        <v>30.247393140000003</v>
      </c>
      <c r="J38" s="31">
        <f t="shared" si="22"/>
        <v>30.247393140000003</v>
      </c>
    </row>
    <row r="39" spans="2:10">
      <c r="B39" s="26"/>
      <c r="C39" s="28" t="s">
        <v>62</v>
      </c>
      <c r="D39" s="20"/>
      <c r="E39" s="29">
        <v>0.02</v>
      </c>
      <c r="F39" s="29">
        <v>0.02</v>
      </c>
      <c r="G39" s="29">
        <v>0.01</v>
      </c>
      <c r="H39" s="29">
        <v>0.01</v>
      </c>
      <c r="I39" s="29">
        <v>0</v>
      </c>
      <c r="J39" s="29">
        <v>0</v>
      </c>
    </row>
    <row r="40" spans="2:10">
      <c r="B40" s="32"/>
      <c r="C40" s="18" t="s">
        <v>63</v>
      </c>
      <c r="D40" s="33">
        <f t="shared" ref="D40:J40" si="23">D36*D38</f>
        <v>30.361731790101537</v>
      </c>
      <c r="E40" s="33">
        <f t="shared" si="23"/>
        <v>34.065863068493933</v>
      </c>
      <c r="F40" s="33">
        <f t="shared" si="23"/>
        <v>37.52695475625292</v>
      </c>
      <c r="G40" s="33">
        <f t="shared" si="23"/>
        <v>39.797335519006225</v>
      </c>
      <c r="H40" s="33">
        <f t="shared" si="23"/>
        <v>40.999215051680217</v>
      </c>
      <c r="I40" s="33">
        <f t="shared" si="23"/>
        <v>40.999215051680217</v>
      </c>
      <c r="J40" s="33">
        <f t="shared" si="23"/>
        <v>40.17923075064661</v>
      </c>
    </row>
    <row r="41" spans="2:10">
      <c r="B41" s="26" t="s">
        <v>70</v>
      </c>
      <c r="C41" s="19" t="s">
        <v>58</v>
      </c>
      <c r="D41" s="27">
        <v>1.4204318966129377</v>
      </c>
      <c r="E41" s="21">
        <f t="shared" ref="E41:J41" si="24">D41*(1+E42)</f>
        <v>1.4914534914435846</v>
      </c>
      <c r="F41" s="21">
        <f t="shared" si="24"/>
        <v>1.5212825612724563</v>
      </c>
      <c r="G41" s="21">
        <f t="shared" si="24"/>
        <v>1.5212825612724563</v>
      </c>
      <c r="H41" s="21">
        <f t="shared" si="24"/>
        <v>1.4908569100470073</v>
      </c>
      <c r="I41" s="21">
        <f t="shared" si="24"/>
        <v>1.431222633645127</v>
      </c>
      <c r="J41" s="21">
        <f t="shared" si="24"/>
        <v>1.3596615019628706</v>
      </c>
    </row>
    <row r="42" spans="2:10">
      <c r="B42" s="26" t="s">
        <v>65</v>
      </c>
      <c r="C42" s="28" t="s">
        <v>49</v>
      </c>
      <c r="D42" s="20"/>
      <c r="E42" s="29">
        <v>0.05</v>
      </c>
      <c r="F42" s="29">
        <v>0.02</v>
      </c>
      <c r="G42" s="29">
        <v>0</v>
      </c>
      <c r="H42" s="29">
        <v>-0.02</v>
      </c>
      <c r="I42" s="29">
        <v>-0.04</v>
      </c>
      <c r="J42" s="29">
        <v>-0.05</v>
      </c>
    </row>
    <row r="43" spans="2:10">
      <c r="B43" s="26" t="s">
        <v>66</v>
      </c>
      <c r="C43" s="19" t="s">
        <v>61</v>
      </c>
      <c r="D43" s="30">
        <v>40</v>
      </c>
      <c r="E43" s="31">
        <f t="shared" ref="E43:J43" si="25">D43*(1+E44)</f>
        <v>40.4</v>
      </c>
      <c r="F43" s="31">
        <f t="shared" si="25"/>
        <v>40.804000000000002</v>
      </c>
      <c r="G43" s="31">
        <f t="shared" si="25"/>
        <v>40.804000000000002</v>
      </c>
      <c r="H43" s="31">
        <f t="shared" si="25"/>
        <v>40.804000000000002</v>
      </c>
      <c r="I43" s="31">
        <f t="shared" si="25"/>
        <v>40.804000000000002</v>
      </c>
      <c r="J43" s="31">
        <f t="shared" si="25"/>
        <v>40.804000000000002</v>
      </c>
    </row>
    <row r="44" spans="2:10">
      <c r="B44" s="26"/>
      <c r="C44" s="28" t="s">
        <v>62</v>
      </c>
      <c r="D44" s="20"/>
      <c r="E44" s="29">
        <v>0.01</v>
      </c>
      <c r="F44" s="29">
        <v>0.01</v>
      </c>
      <c r="G44" s="29">
        <v>0</v>
      </c>
      <c r="H44" s="29">
        <v>0</v>
      </c>
      <c r="I44" s="29">
        <v>0</v>
      </c>
      <c r="J44" s="29">
        <v>0</v>
      </c>
    </row>
    <row r="45" spans="2:10">
      <c r="B45" s="32"/>
      <c r="C45" s="18" t="s">
        <v>63</v>
      </c>
      <c r="D45" s="33">
        <f t="shared" ref="D45:J45" si="26">D41*D43</f>
        <v>56.817275864517505</v>
      </c>
      <c r="E45" s="33">
        <f t="shared" si="26"/>
        <v>60.254721054320818</v>
      </c>
      <c r="F45" s="33">
        <f t="shared" si="26"/>
        <v>62.07441363016131</v>
      </c>
      <c r="G45" s="33">
        <f t="shared" si="26"/>
        <v>62.07441363016131</v>
      </c>
      <c r="H45" s="33">
        <f t="shared" si="26"/>
        <v>60.832925357558089</v>
      </c>
      <c r="I45" s="33">
        <f t="shared" si="26"/>
        <v>58.399608343255764</v>
      </c>
      <c r="J45" s="33">
        <f t="shared" si="26"/>
        <v>55.479627926092974</v>
      </c>
    </row>
    <row r="46" spans="2:10" ht="25.5">
      <c r="B46" s="26" t="s">
        <v>71</v>
      </c>
      <c r="C46" s="19" t="s">
        <v>58</v>
      </c>
      <c r="D46" s="27">
        <v>0.62143895476816013</v>
      </c>
      <c r="E46" s="21">
        <f t="shared" ref="E46:J46" si="27">D46*(1+E47)</f>
        <v>0.69601162934033944</v>
      </c>
      <c r="F46" s="21">
        <f t="shared" si="27"/>
        <v>0.7656127922743734</v>
      </c>
      <c r="G46" s="21">
        <f t="shared" si="27"/>
        <v>0.8192056877335796</v>
      </c>
      <c r="H46" s="21">
        <f t="shared" si="27"/>
        <v>0.84378185836558706</v>
      </c>
      <c r="I46" s="21">
        <f t="shared" si="27"/>
        <v>0.84378185836558706</v>
      </c>
      <c r="J46" s="21">
        <f t="shared" si="27"/>
        <v>0.82690622119827528</v>
      </c>
    </row>
    <row r="47" spans="2:10">
      <c r="B47" s="26" t="s">
        <v>65</v>
      </c>
      <c r="C47" s="28" t="s">
        <v>49</v>
      </c>
      <c r="D47" s="20"/>
      <c r="E47" s="29">
        <v>0.12</v>
      </c>
      <c r="F47" s="29">
        <v>0.1</v>
      </c>
      <c r="G47" s="29">
        <v>7.0000000000000007E-2</v>
      </c>
      <c r="H47" s="29">
        <v>0.03</v>
      </c>
      <c r="I47" s="29">
        <v>0</v>
      </c>
      <c r="J47" s="29">
        <v>-0.02</v>
      </c>
    </row>
    <row r="48" spans="2:10">
      <c r="B48" s="26" t="s">
        <v>66</v>
      </c>
      <c r="C48" s="19" t="s">
        <v>61</v>
      </c>
      <c r="D48" s="30">
        <v>45</v>
      </c>
      <c r="E48" s="31">
        <f t="shared" ref="E48:J48" si="28">D48*(1+E49)</f>
        <v>45.9</v>
      </c>
      <c r="F48" s="31">
        <f t="shared" si="28"/>
        <v>46.817999999999998</v>
      </c>
      <c r="G48" s="31">
        <f t="shared" si="28"/>
        <v>47.286180000000002</v>
      </c>
      <c r="H48" s="31">
        <f t="shared" si="28"/>
        <v>47.759041799999999</v>
      </c>
      <c r="I48" s="31">
        <f t="shared" si="28"/>
        <v>47.759041799999999</v>
      </c>
      <c r="J48" s="31">
        <f t="shared" si="28"/>
        <v>47.759041799999999</v>
      </c>
    </row>
    <row r="49" spans="2:10">
      <c r="B49" s="26"/>
      <c r="C49" s="28" t="s">
        <v>62</v>
      </c>
      <c r="D49" s="20"/>
      <c r="E49" s="29">
        <v>0.02</v>
      </c>
      <c r="F49" s="29">
        <v>0.02</v>
      </c>
      <c r="G49" s="29">
        <v>0.01</v>
      </c>
      <c r="H49" s="29">
        <v>0.01</v>
      </c>
      <c r="I49" s="29">
        <v>0</v>
      </c>
      <c r="J49" s="29">
        <v>0</v>
      </c>
    </row>
    <row r="50" spans="2:10">
      <c r="B50" s="32"/>
      <c r="C50" s="18" t="s">
        <v>63</v>
      </c>
      <c r="D50" s="33">
        <f t="shared" ref="D50:J50" si="29">D46*D48</f>
        <v>27.964752964567207</v>
      </c>
      <c r="E50" s="33">
        <f t="shared" si="29"/>
        <v>31.94693378672158</v>
      </c>
      <c r="F50" s="33">
        <f t="shared" si="29"/>
        <v>35.844459708701613</v>
      </c>
      <c r="G50" s="33">
        <f t="shared" si="29"/>
        <v>38.737107607193842</v>
      </c>
      <c r="H50" s="33">
        <f t="shared" si="29"/>
        <v>40.298213043763752</v>
      </c>
      <c r="I50" s="33">
        <f t="shared" si="29"/>
        <v>40.298213043763752</v>
      </c>
      <c r="J50" s="33">
        <f t="shared" si="29"/>
        <v>39.492248782888474</v>
      </c>
    </row>
    <row r="51" spans="2:10">
      <c r="B51" s="26" t="s">
        <v>72</v>
      </c>
      <c r="C51" s="19" t="s">
        <v>58</v>
      </c>
      <c r="D51" s="27">
        <v>0.44388496769154301</v>
      </c>
      <c r="E51" s="21">
        <f t="shared" ref="E51:J51" si="30">D51*(1+E52)</f>
        <v>0.55485620961442872</v>
      </c>
      <c r="F51" s="21">
        <f t="shared" si="30"/>
        <v>0.66582745153731449</v>
      </c>
      <c r="G51" s="21">
        <f t="shared" si="30"/>
        <v>0.76570156926791155</v>
      </c>
      <c r="H51" s="21">
        <f t="shared" si="30"/>
        <v>0.84227172619470281</v>
      </c>
      <c r="I51" s="21">
        <f t="shared" si="30"/>
        <v>0.88438531250443797</v>
      </c>
      <c r="J51" s="21">
        <f t="shared" si="30"/>
        <v>0.90207301875452672</v>
      </c>
    </row>
    <row r="52" spans="2:10">
      <c r="B52" s="26" t="s">
        <v>65</v>
      </c>
      <c r="C52" s="28" t="s">
        <v>49</v>
      </c>
      <c r="D52" s="20"/>
      <c r="E52" s="29">
        <v>0.25</v>
      </c>
      <c r="F52" s="29">
        <v>0.2</v>
      </c>
      <c r="G52" s="29">
        <v>0.15</v>
      </c>
      <c r="H52" s="29">
        <v>0.1</v>
      </c>
      <c r="I52" s="29">
        <v>0.05</v>
      </c>
      <c r="J52" s="29">
        <v>0.02</v>
      </c>
    </row>
    <row r="53" spans="2:10">
      <c r="B53" s="26" t="s">
        <v>66</v>
      </c>
      <c r="C53" s="19" t="s">
        <v>61</v>
      </c>
      <c r="D53" s="30">
        <v>40</v>
      </c>
      <c r="E53" s="31">
        <f t="shared" ref="E53:J53" si="31">D53*(1+E54)</f>
        <v>41.6</v>
      </c>
      <c r="F53" s="31">
        <f t="shared" si="31"/>
        <v>42.848000000000006</v>
      </c>
      <c r="G53" s="31">
        <f t="shared" si="31"/>
        <v>44.133440000000007</v>
      </c>
      <c r="H53" s="31">
        <f t="shared" si="31"/>
        <v>45.016108800000005</v>
      </c>
      <c r="I53" s="31">
        <f t="shared" si="31"/>
        <v>45.466269888000006</v>
      </c>
      <c r="J53" s="31">
        <f t="shared" si="31"/>
        <v>45.920932586880006</v>
      </c>
    </row>
    <row r="54" spans="2:10">
      <c r="B54" s="26"/>
      <c r="C54" s="28" t="s">
        <v>62</v>
      </c>
      <c r="D54" s="20"/>
      <c r="E54" s="29">
        <v>0.04</v>
      </c>
      <c r="F54" s="29">
        <v>0.03</v>
      </c>
      <c r="G54" s="29">
        <v>0.03</v>
      </c>
      <c r="H54" s="29">
        <v>0.02</v>
      </c>
      <c r="I54" s="29">
        <v>0.01</v>
      </c>
      <c r="J54" s="29">
        <v>0.01</v>
      </c>
    </row>
    <row r="55" spans="2:10">
      <c r="B55" s="32"/>
      <c r="C55" s="18" t="s">
        <v>63</v>
      </c>
      <c r="D55" s="33">
        <f t="shared" ref="D55:J55" si="32">D51*D53</f>
        <v>17.755398707661719</v>
      </c>
      <c r="E55" s="33">
        <f t="shared" si="32"/>
        <v>23.082018319960234</v>
      </c>
      <c r="F55" s="33">
        <f t="shared" si="32"/>
        <v>28.529374643470856</v>
      </c>
      <c r="G55" s="33">
        <f t="shared" si="32"/>
        <v>33.793044265191227</v>
      </c>
      <c r="H55" s="33">
        <f t="shared" si="32"/>
        <v>37.915795665544557</v>
      </c>
      <c r="I55" s="33">
        <f t="shared" si="32"/>
        <v>40.209701303310005</v>
      </c>
      <c r="J55" s="33">
        <f t="shared" si="32"/>
        <v>41.424034282669965</v>
      </c>
    </row>
    <row r="56" spans="2:10">
      <c r="B56" s="26" t="s">
        <v>73</v>
      </c>
      <c r="C56" s="19" t="s">
        <v>58</v>
      </c>
      <c r="D56" s="27">
        <v>0.31071947738408007</v>
      </c>
      <c r="E56" s="21">
        <f t="shared" ref="E56:J56" si="33">D56*(1+E57)</f>
        <v>0.40393532059930409</v>
      </c>
      <c r="F56" s="21">
        <f t="shared" si="33"/>
        <v>0.50491915074913007</v>
      </c>
      <c r="G56" s="21">
        <f t="shared" si="33"/>
        <v>0.60590298089895611</v>
      </c>
      <c r="H56" s="21">
        <f t="shared" si="33"/>
        <v>0.69678842803379948</v>
      </c>
      <c r="I56" s="21">
        <f t="shared" si="33"/>
        <v>0.76646727083717947</v>
      </c>
      <c r="J56" s="21">
        <f t="shared" si="33"/>
        <v>0.80479063437903853</v>
      </c>
    </row>
    <row r="57" spans="2:10">
      <c r="B57" s="26" t="s">
        <v>65</v>
      </c>
      <c r="C57" s="28" t="s">
        <v>49</v>
      </c>
      <c r="D57" s="20"/>
      <c r="E57" s="29">
        <v>0.3</v>
      </c>
      <c r="F57" s="29">
        <v>0.25</v>
      </c>
      <c r="G57" s="29">
        <v>0.2</v>
      </c>
      <c r="H57" s="29">
        <v>0.15</v>
      </c>
      <c r="I57" s="29">
        <v>0.1</v>
      </c>
      <c r="J57" s="29">
        <v>0.05</v>
      </c>
    </row>
    <row r="58" spans="2:10">
      <c r="B58" s="26" t="s">
        <v>66</v>
      </c>
      <c r="C58" s="19" t="s">
        <v>61</v>
      </c>
      <c r="D58" s="30">
        <v>60</v>
      </c>
      <c r="E58" s="31">
        <f t="shared" ref="E58:J58" si="34">D58*(1+E59)</f>
        <v>62.400000000000006</v>
      </c>
      <c r="F58" s="31">
        <f t="shared" si="34"/>
        <v>64.896000000000015</v>
      </c>
      <c r="G58" s="31">
        <f t="shared" si="34"/>
        <v>66.842880000000022</v>
      </c>
      <c r="H58" s="31">
        <f t="shared" si="34"/>
        <v>68.848166400000025</v>
      </c>
      <c r="I58" s="31">
        <f t="shared" si="34"/>
        <v>70.225129728000027</v>
      </c>
      <c r="J58" s="31">
        <f t="shared" si="34"/>
        <v>71.629632322560028</v>
      </c>
    </row>
    <row r="59" spans="2:10">
      <c r="B59" s="26"/>
      <c r="C59" s="28" t="s">
        <v>62</v>
      </c>
      <c r="D59" s="20"/>
      <c r="E59" s="29">
        <v>0.04</v>
      </c>
      <c r="F59" s="29">
        <v>0.04</v>
      </c>
      <c r="G59" s="29">
        <v>0.03</v>
      </c>
      <c r="H59" s="29">
        <v>0.03</v>
      </c>
      <c r="I59" s="29">
        <v>0.02</v>
      </c>
      <c r="J59" s="29">
        <v>0.02</v>
      </c>
    </row>
    <row r="60" spans="2:10">
      <c r="B60" s="32"/>
      <c r="C60" s="18" t="s">
        <v>63</v>
      </c>
      <c r="D60" s="33">
        <f t="shared" ref="D60:J60" si="35">D56*D58</f>
        <v>18.643168643044802</v>
      </c>
      <c r="E60" s="33">
        <f t="shared" si="35"/>
        <v>25.205564005396578</v>
      </c>
      <c r="F60" s="33">
        <f t="shared" si="35"/>
        <v>32.767233207015551</v>
      </c>
      <c r="G60" s="33">
        <f t="shared" si="35"/>
        <v>40.50030024387123</v>
      </c>
      <c r="H60" s="33">
        <f t="shared" si="35"/>
        <v>47.972605638865467</v>
      </c>
      <c r="I60" s="33">
        <f t="shared" si="35"/>
        <v>53.825263526807063</v>
      </c>
      <c r="J60" s="33">
        <f t="shared" si="35"/>
        <v>57.646857237210369</v>
      </c>
    </row>
    <row r="61" spans="2:10" ht="25.5">
      <c r="B61" s="26" t="s">
        <v>74</v>
      </c>
      <c r="C61" s="19" t="s">
        <v>58</v>
      </c>
      <c r="D61" s="27">
        <v>0.13316549030746289</v>
      </c>
      <c r="E61" s="21">
        <f t="shared" ref="E61:J61" si="36">D61*(1+E62)</f>
        <v>0.23303960803806006</v>
      </c>
      <c r="F61" s="21">
        <f t="shared" si="36"/>
        <v>0.34955941205709007</v>
      </c>
      <c r="G61" s="21">
        <f t="shared" si="36"/>
        <v>0.45442723567421711</v>
      </c>
      <c r="H61" s="21">
        <f t="shared" si="36"/>
        <v>0.54531268280906053</v>
      </c>
      <c r="I61" s="21">
        <f t="shared" si="36"/>
        <v>0.6271095852304196</v>
      </c>
      <c r="J61" s="21">
        <f t="shared" si="36"/>
        <v>0.68982054375346158</v>
      </c>
    </row>
    <row r="62" spans="2:10">
      <c r="B62" s="26" t="s">
        <v>65</v>
      </c>
      <c r="C62" s="28" t="s">
        <v>49</v>
      </c>
      <c r="D62" s="20"/>
      <c r="E62" s="29">
        <v>0.75</v>
      </c>
      <c r="F62" s="29">
        <v>0.5</v>
      </c>
      <c r="G62" s="29">
        <v>0.3</v>
      </c>
      <c r="H62" s="29">
        <v>0.2</v>
      </c>
      <c r="I62" s="29">
        <v>0.15</v>
      </c>
      <c r="J62" s="29">
        <v>0.1</v>
      </c>
    </row>
    <row r="63" spans="2:10">
      <c r="B63" s="26" t="s">
        <v>75</v>
      </c>
      <c r="C63" s="19" t="s">
        <v>61</v>
      </c>
      <c r="D63" s="30">
        <v>27.5</v>
      </c>
      <c r="E63" s="31">
        <f t="shared" ref="E63:J63" si="37">D63*(1+E64)</f>
        <v>28.324999999999999</v>
      </c>
      <c r="F63" s="31">
        <f t="shared" si="37"/>
        <v>29.17475</v>
      </c>
      <c r="G63" s="31">
        <f t="shared" si="37"/>
        <v>29.758244999999999</v>
      </c>
      <c r="H63" s="31">
        <f t="shared" si="37"/>
        <v>30.353409899999999</v>
      </c>
      <c r="I63" s="31">
        <f t="shared" si="37"/>
        <v>30.656943998999999</v>
      </c>
      <c r="J63" s="31">
        <f t="shared" si="37"/>
        <v>30.963513438989999</v>
      </c>
    </row>
    <row r="64" spans="2:10">
      <c r="B64" s="26"/>
      <c r="C64" s="28" t="s">
        <v>62</v>
      </c>
      <c r="D64" s="20"/>
      <c r="E64" s="29">
        <v>0.03</v>
      </c>
      <c r="F64" s="29">
        <v>0.03</v>
      </c>
      <c r="G64" s="29">
        <v>0.02</v>
      </c>
      <c r="H64" s="29">
        <v>0.02</v>
      </c>
      <c r="I64" s="29">
        <v>0.01</v>
      </c>
      <c r="J64" s="29">
        <v>0.01</v>
      </c>
    </row>
    <row r="65" spans="2:10">
      <c r="B65" s="32"/>
      <c r="C65" s="18" t="s">
        <v>63</v>
      </c>
      <c r="D65" s="33">
        <f t="shared" ref="D65:J65" si="38">D61*D63</f>
        <v>3.6620509834552295</v>
      </c>
      <c r="E65" s="33">
        <f t="shared" si="38"/>
        <v>6.6008468976780508</v>
      </c>
      <c r="F65" s="33">
        <f t="shared" si="38"/>
        <v>10.198308456912589</v>
      </c>
      <c r="G65" s="33">
        <f t="shared" si="38"/>
        <v>13.522957013866092</v>
      </c>
      <c r="H65" s="33">
        <f t="shared" si="38"/>
        <v>16.552099384972099</v>
      </c>
      <c r="I65" s="33">
        <f t="shared" si="38"/>
        <v>19.22526343564509</v>
      </c>
      <c r="J65" s="33">
        <f t="shared" si="38"/>
        <v>21.359267677001696</v>
      </c>
    </row>
    <row r="66" spans="2:10" ht="25.5">
      <c r="B66" s="26" t="s">
        <v>76</v>
      </c>
      <c r="C66" s="19" t="s">
        <v>58</v>
      </c>
      <c r="D66" s="27">
        <v>8.8776993538308605E-2</v>
      </c>
      <c r="E66" s="21">
        <f t="shared" ref="E66:J66" si="39">D66*(1+E67)</f>
        <v>0.16867628772278634</v>
      </c>
      <c r="F66" s="21">
        <f t="shared" si="39"/>
        <v>0.26988206035645818</v>
      </c>
      <c r="G66" s="21">
        <f t="shared" si="39"/>
        <v>0.3778348844990414</v>
      </c>
      <c r="H66" s="21">
        <f t="shared" si="39"/>
        <v>0.47229360562380174</v>
      </c>
      <c r="I66" s="21">
        <f t="shared" si="39"/>
        <v>0.54313764646737195</v>
      </c>
      <c r="J66" s="21">
        <f t="shared" si="39"/>
        <v>0.59745141111410915</v>
      </c>
    </row>
    <row r="67" spans="2:10">
      <c r="B67" s="26" t="s">
        <v>65</v>
      </c>
      <c r="C67" s="28" t="s">
        <v>49</v>
      </c>
      <c r="D67" s="20"/>
      <c r="E67" s="29">
        <v>0.9</v>
      </c>
      <c r="F67" s="29">
        <v>0.6</v>
      </c>
      <c r="G67" s="29">
        <v>0.4</v>
      </c>
      <c r="H67" s="29">
        <v>0.25</v>
      </c>
      <c r="I67" s="29">
        <v>0.15</v>
      </c>
      <c r="J67" s="29">
        <v>0.1</v>
      </c>
    </row>
    <row r="68" spans="2:10">
      <c r="B68" s="26" t="s">
        <v>75</v>
      </c>
      <c r="C68" s="19" t="s">
        <v>61</v>
      </c>
      <c r="D68" s="30">
        <v>47.5</v>
      </c>
      <c r="E68" s="31">
        <f t="shared" ref="E68:J68" si="40">D68*(1+E69)</f>
        <v>49.4</v>
      </c>
      <c r="F68" s="31">
        <f t="shared" si="40"/>
        <v>51.375999999999998</v>
      </c>
      <c r="G68" s="31">
        <f t="shared" si="40"/>
        <v>52.917279999999998</v>
      </c>
      <c r="H68" s="31">
        <f t="shared" si="40"/>
        <v>54.504798399999999</v>
      </c>
      <c r="I68" s="31">
        <f t="shared" si="40"/>
        <v>55.594894367999999</v>
      </c>
      <c r="J68" s="31">
        <f t="shared" si="40"/>
        <v>56.70679225536</v>
      </c>
    </row>
    <row r="69" spans="2:10">
      <c r="B69" s="26"/>
      <c r="C69" s="28" t="s">
        <v>62</v>
      </c>
      <c r="D69" s="20"/>
      <c r="E69" s="29">
        <v>0.04</v>
      </c>
      <c r="F69" s="29">
        <v>0.04</v>
      </c>
      <c r="G69" s="29">
        <v>0.03</v>
      </c>
      <c r="H69" s="29">
        <v>0.03</v>
      </c>
      <c r="I69" s="29">
        <v>0.02</v>
      </c>
      <c r="J69" s="29">
        <v>0.02</v>
      </c>
    </row>
    <row r="70" spans="2:10">
      <c r="B70" s="32"/>
      <c r="C70" s="18" t="s">
        <v>63</v>
      </c>
      <c r="D70" s="33">
        <f t="shared" ref="D70:J70" si="41">D66*D68</f>
        <v>4.2169071930696589</v>
      </c>
      <c r="E70" s="33">
        <f t="shared" si="41"/>
        <v>8.332608613505645</v>
      </c>
      <c r="F70" s="33">
        <f t="shared" si="41"/>
        <v>13.865460732873395</v>
      </c>
      <c r="G70" s="33">
        <f t="shared" si="41"/>
        <v>19.993994376803432</v>
      </c>
      <c r="H70" s="33">
        <f t="shared" si="41"/>
        <v>25.742267760134418</v>
      </c>
      <c r="I70" s="33">
        <f t="shared" si="41"/>
        <v>30.195680082637672</v>
      </c>
      <c r="J70" s="33">
        <f t="shared" si="41"/>
        <v>33.879553052719466</v>
      </c>
    </row>
    <row r="71" spans="2:10">
      <c r="B71" s="26" t="s">
        <v>77</v>
      </c>
      <c r="C71" s="19" t="s">
        <v>58</v>
      </c>
      <c r="D71" s="27">
        <v>0.02</v>
      </c>
      <c r="E71" s="21">
        <f t="shared" ref="E71:J71" si="42">D71*(1+E72)</f>
        <v>0.05</v>
      </c>
      <c r="F71" s="21">
        <f t="shared" si="42"/>
        <v>0.1</v>
      </c>
      <c r="G71" s="21">
        <f t="shared" si="42"/>
        <v>0.16000000000000003</v>
      </c>
      <c r="H71" s="21">
        <f t="shared" si="42"/>
        <v>0.22400000000000003</v>
      </c>
      <c r="I71" s="21">
        <f t="shared" si="42"/>
        <v>0.28000000000000003</v>
      </c>
      <c r="J71" s="21">
        <f t="shared" si="42"/>
        <v>0.32200000000000001</v>
      </c>
    </row>
    <row r="72" spans="2:10">
      <c r="B72" s="26" t="s">
        <v>65</v>
      </c>
      <c r="C72" s="28" t="s">
        <v>49</v>
      </c>
      <c r="D72" s="20"/>
      <c r="E72" s="29">
        <v>1.5</v>
      </c>
      <c r="F72" s="29">
        <v>1</v>
      </c>
      <c r="G72" s="29">
        <v>0.6</v>
      </c>
      <c r="H72" s="29">
        <v>0.4</v>
      </c>
      <c r="I72" s="29">
        <v>0.25</v>
      </c>
      <c r="J72" s="29">
        <v>0.15</v>
      </c>
    </row>
    <row r="73" spans="2:10">
      <c r="B73" s="26" t="s">
        <v>75</v>
      </c>
      <c r="C73" s="19" t="s">
        <v>61</v>
      </c>
      <c r="D73" s="30">
        <v>70</v>
      </c>
      <c r="E73" s="31">
        <f t="shared" ref="E73:J73" si="43">D73*(1+E74)</f>
        <v>72.8</v>
      </c>
      <c r="F73" s="31">
        <f t="shared" si="43"/>
        <v>75.712000000000003</v>
      </c>
      <c r="G73" s="31">
        <f t="shared" si="43"/>
        <v>77.983360000000005</v>
      </c>
      <c r="H73" s="31">
        <f t="shared" si="43"/>
        <v>80.322860800000001</v>
      </c>
      <c r="I73" s="31">
        <f t="shared" si="43"/>
        <v>81.929318015999996</v>
      </c>
      <c r="J73" s="31">
        <f t="shared" si="43"/>
        <v>83.567904376320001</v>
      </c>
    </row>
    <row r="74" spans="2:10">
      <c r="B74" s="26"/>
      <c r="C74" s="28" t="s">
        <v>62</v>
      </c>
      <c r="D74" s="20"/>
      <c r="E74" s="29">
        <v>0.04</v>
      </c>
      <c r="F74" s="29">
        <v>0.04</v>
      </c>
      <c r="G74" s="29">
        <v>0.03</v>
      </c>
      <c r="H74" s="29">
        <v>0.03</v>
      </c>
      <c r="I74" s="29">
        <v>0.02</v>
      </c>
      <c r="J74" s="29">
        <v>0.02</v>
      </c>
    </row>
    <row r="75" spans="2:10">
      <c r="B75" s="32"/>
      <c r="C75" s="18" t="s">
        <v>63</v>
      </c>
      <c r="D75" s="33">
        <f t="shared" ref="D75:J75" si="44">D71*D73</f>
        <v>1.4000000000000001</v>
      </c>
      <c r="E75" s="33">
        <f t="shared" si="44"/>
        <v>3.64</v>
      </c>
      <c r="F75" s="33">
        <f t="shared" si="44"/>
        <v>7.571200000000001</v>
      </c>
      <c r="G75" s="33">
        <f t="shared" si="44"/>
        <v>12.477337600000004</v>
      </c>
      <c r="H75" s="33">
        <f t="shared" si="44"/>
        <v>17.992320819200003</v>
      </c>
      <c r="I75" s="33">
        <f t="shared" si="44"/>
        <v>22.94020904448</v>
      </c>
      <c r="J75" s="33">
        <f t="shared" si="44"/>
        <v>26.90886520917504</v>
      </c>
    </row>
    <row r="76" spans="2:10">
      <c r="B76" s="26" t="s">
        <v>78</v>
      </c>
      <c r="C76" s="19" t="s">
        <v>58</v>
      </c>
      <c r="D76" s="27">
        <v>1.775539870766172E-2</v>
      </c>
      <c r="E76" s="21">
        <f t="shared" ref="E76:J76" si="45">D76*(1+E77)</f>
        <v>3.9061877156855787E-2</v>
      </c>
      <c r="F76" s="21">
        <f t="shared" si="45"/>
        <v>7.4217566598025989E-2</v>
      </c>
      <c r="G76" s="21">
        <f t="shared" si="45"/>
        <v>0.11874810655684159</v>
      </c>
      <c r="H76" s="21">
        <f t="shared" si="45"/>
        <v>0.16624734917957823</v>
      </c>
      <c r="I76" s="21">
        <f t="shared" si="45"/>
        <v>0.20780918647447277</v>
      </c>
      <c r="J76" s="21">
        <f t="shared" si="45"/>
        <v>0.23898056444564367</v>
      </c>
    </row>
    <row r="77" spans="2:10" ht="25.5">
      <c r="B77" s="26" t="s">
        <v>79</v>
      </c>
      <c r="C77" s="28" t="s">
        <v>49</v>
      </c>
      <c r="D77" s="20"/>
      <c r="E77" s="29">
        <v>1.2</v>
      </c>
      <c r="F77" s="29">
        <v>0.9</v>
      </c>
      <c r="G77" s="29">
        <v>0.6</v>
      </c>
      <c r="H77" s="29">
        <v>0.4</v>
      </c>
      <c r="I77" s="29">
        <v>0.25</v>
      </c>
      <c r="J77" s="29">
        <v>0.15</v>
      </c>
    </row>
    <row r="78" spans="2:10">
      <c r="B78" s="26" t="s">
        <v>75</v>
      </c>
      <c r="C78" s="19" t="s">
        <v>61</v>
      </c>
      <c r="D78" s="30">
        <v>75</v>
      </c>
      <c r="E78" s="31">
        <f t="shared" ref="E78:J78" si="46">D78*(1+E79)</f>
        <v>78.75</v>
      </c>
      <c r="F78" s="31">
        <f t="shared" si="46"/>
        <v>81.900000000000006</v>
      </c>
      <c r="G78" s="31">
        <f t="shared" si="46"/>
        <v>84.357000000000014</v>
      </c>
      <c r="H78" s="31">
        <f t="shared" si="46"/>
        <v>86.044140000000013</v>
      </c>
      <c r="I78" s="31">
        <f t="shared" si="46"/>
        <v>87.765022800000011</v>
      </c>
      <c r="J78" s="31">
        <f t="shared" si="46"/>
        <v>88.642673028000019</v>
      </c>
    </row>
    <row r="79" spans="2:10">
      <c r="B79" s="26"/>
      <c r="C79" s="28" t="s">
        <v>62</v>
      </c>
      <c r="D79" s="20"/>
      <c r="E79" s="29">
        <v>0.05</v>
      </c>
      <c r="F79" s="29">
        <v>0.04</v>
      </c>
      <c r="G79" s="29">
        <v>0.03</v>
      </c>
      <c r="H79" s="29">
        <v>0.02</v>
      </c>
      <c r="I79" s="29">
        <v>0.02</v>
      </c>
      <c r="J79" s="29">
        <v>0.01</v>
      </c>
    </row>
    <row r="80" spans="2:10">
      <c r="B80" s="32"/>
      <c r="C80" s="18" t="s">
        <v>63</v>
      </c>
      <c r="D80" s="33">
        <f t="shared" ref="D80:J80" si="47">D76*D78</f>
        <v>1.331654903074629</v>
      </c>
      <c r="E80" s="33">
        <f t="shared" si="47"/>
        <v>3.0761228261023934</v>
      </c>
      <c r="F80" s="33">
        <f t="shared" si="47"/>
        <v>6.0784187043783291</v>
      </c>
      <c r="G80" s="33">
        <f t="shared" si="47"/>
        <v>10.017234024815489</v>
      </c>
      <c r="H80" s="33">
        <f t="shared" si="47"/>
        <v>14.304610187436516</v>
      </c>
      <c r="I80" s="33">
        <f t="shared" si="47"/>
        <v>18.238377988981558</v>
      </c>
      <c r="J80" s="33">
        <f t="shared" si="47"/>
        <v>21.183876034202079</v>
      </c>
    </row>
    <row r="81" spans="2:10">
      <c r="B81" s="26" t="s">
        <v>80</v>
      </c>
      <c r="C81" s="19" t="s">
        <v>58</v>
      </c>
      <c r="D81" s="27">
        <v>8.8776993538308598E-3</v>
      </c>
      <c r="E81" s="21">
        <f t="shared" ref="E81:J81" si="48">D81*(1+E82)</f>
        <v>2.2194248384577148E-2</v>
      </c>
      <c r="F81" s="21">
        <f t="shared" si="48"/>
        <v>4.4388496769154295E-2</v>
      </c>
      <c r="G81" s="21">
        <f t="shared" si="48"/>
        <v>7.5460444507562299E-2</v>
      </c>
      <c r="H81" s="21">
        <f t="shared" si="48"/>
        <v>0.10941764453596534</v>
      </c>
      <c r="I81" s="21">
        <f t="shared" si="48"/>
        <v>0.13677205566995668</v>
      </c>
      <c r="J81" s="21">
        <f t="shared" si="48"/>
        <v>0.15728786402045017</v>
      </c>
    </row>
    <row r="82" spans="2:10" ht="25.5">
      <c r="B82" s="26" t="s">
        <v>79</v>
      </c>
      <c r="C82" s="28" t="s">
        <v>49</v>
      </c>
      <c r="D82" s="20"/>
      <c r="E82" s="29">
        <v>1.5</v>
      </c>
      <c r="F82" s="29">
        <v>1</v>
      </c>
      <c r="G82" s="29">
        <v>0.7</v>
      </c>
      <c r="H82" s="29">
        <v>0.45</v>
      </c>
      <c r="I82" s="29">
        <v>0.25</v>
      </c>
      <c r="J82" s="29">
        <v>0.15</v>
      </c>
    </row>
    <row r="83" spans="2:10">
      <c r="B83" s="26" t="s">
        <v>75</v>
      </c>
      <c r="C83" s="19" t="s">
        <v>61</v>
      </c>
      <c r="D83" s="30">
        <v>150</v>
      </c>
      <c r="E83" s="31">
        <f t="shared" ref="E83:J83" si="49">D83*(1+E84)</f>
        <v>157.5</v>
      </c>
      <c r="F83" s="31">
        <f t="shared" si="49"/>
        <v>163.80000000000001</v>
      </c>
      <c r="G83" s="31">
        <f t="shared" si="49"/>
        <v>168.71400000000003</v>
      </c>
      <c r="H83" s="31">
        <f t="shared" si="49"/>
        <v>172.08828000000003</v>
      </c>
      <c r="I83" s="31">
        <f t="shared" si="49"/>
        <v>175.53004560000002</v>
      </c>
      <c r="J83" s="31">
        <f t="shared" si="49"/>
        <v>177.28534605600004</v>
      </c>
    </row>
    <row r="84" spans="2:10">
      <c r="B84" s="26"/>
      <c r="C84" s="28" t="s">
        <v>62</v>
      </c>
      <c r="D84" s="20"/>
      <c r="E84" s="29">
        <v>0.05</v>
      </c>
      <c r="F84" s="29">
        <v>0.04</v>
      </c>
      <c r="G84" s="29">
        <v>0.03</v>
      </c>
      <c r="H84" s="29">
        <v>0.02</v>
      </c>
      <c r="I84" s="29">
        <v>0.02</v>
      </c>
      <c r="J84" s="29">
        <v>0.01</v>
      </c>
    </row>
    <row r="85" spans="2:10">
      <c r="B85" s="32"/>
      <c r="C85" s="18" t="s">
        <v>63</v>
      </c>
      <c r="D85" s="33">
        <f t="shared" ref="D85:J85" si="50">D81*D83</f>
        <v>1.331654903074629</v>
      </c>
      <c r="E85" s="33">
        <f t="shared" si="50"/>
        <v>3.4955941205709009</v>
      </c>
      <c r="F85" s="33">
        <f t="shared" si="50"/>
        <v>7.2708357707874738</v>
      </c>
      <c r="G85" s="33">
        <f t="shared" si="50"/>
        <v>12.731233434648868</v>
      </c>
      <c r="H85" s="33">
        <f t="shared" si="50"/>
        <v>18.829494249845677</v>
      </c>
      <c r="I85" s="33">
        <f t="shared" si="50"/>
        <v>24.007605168553237</v>
      </c>
      <c r="J85" s="33">
        <f t="shared" si="50"/>
        <v>27.884833403274584</v>
      </c>
    </row>
    <row r="86" spans="2:10">
      <c r="B86" s="26" t="s">
        <v>81</v>
      </c>
      <c r="C86" s="19" t="s">
        <v>58</v>
      </c>
      <c r="D86" s="27">
        <v>4.4388496769154299E-3</v>
      </c>
      <c r="E86" s="21">
        <f t="shared" ref="E86:J86" si="51">D86*(1+E87)</f>
        <v>1.331654903074629E-2</v>
      </c>
      <c r="F86" s="21">
        <f t="shared" si="51"/>
        <v>2.9962235319179152E-2</v>
      </c>
      <c r="G86" s="21">
        <f t="shared" si="51"/>
        <v>5.3932023574522474E-2</v>
      </c>
      <c r="H86" s="21">
        <f t="shared" si="51"/>
        <v>8.0898035361783707E-2</v>
      </c>
      <c r="I86" s="21">
        <f t="shared" si="51"/>
        <v>0.10516744597031882</v>
      </c>
      <c r="J86" s="21">
        <f t="shared" si="51"/>
        <v>0.12094256286586663</v>
      </c>
    </row>
    <row r="87" spans="2:10" ht="25.5">
      <c r="B87" s="26" t="s">
        <v>79</v>
      </c>
      <c r="C87" s="28" t="s">
        <v>49</v>
      </c>
      <c r="D87" s="20"/>
      <c r="E87" s="29">
        <v>2</v>
      </c>
      <c r="F87" s="29">
        <v>1.25</v>
      </c>
      <c r="G87" s="29">
        <v>0.8</v>
      </c>
      <c r="H87" s="29">
        <v>0.5</v>
      </c>
      <c r="I87" s="29">
        <v>0.3</v>
      </c>
      <c r="J87" s="29">
        <v>0.15</v>
      </c>
    </row>
    <row r="88" spans="2:10">
      <c r="B88" s="26" t="s">
        <v>75</v>
      </c>
      <c r="C88" s="19" t="s">
        <v>61</v>
      </c>
      <c r="D88" s="30">
        <v>300</v>
      </c>
      <c r="E88" s="31">
        <f t="shared" ref="E88:J88" si="52">D88*(1+E89)</f>
        <v>315</v>
      </c>
      <c r="F88" s="31">
        <f t="shared" si="52"/>
        <v>327.60000000000002</v>
      </c>
      <c r="G88" s="31">
        <f t="shared" si="52"/>
        <v>337.42800000000005</v>
      </c>
      <c r="H88" s="31">
        <f t="shared" si="52"/>
        <v>344.17656000000005</v>
      </c>
      <c r="I88" s="31">
        <f t="shared" si="52"/>
        <v>351.06009120000004</v>
      </c>
      <c r="J88" s="31">
        <f t="shared" si="52"/>
        <v>354.57069211200007</v>
      </c>
    </row>
    <row r="89" spans="2:10">
      <c r="B89" s="26"/>
      <c r="C89" s="28" t="s">
        <v>62</v>
      </c>
      <c r="D89" s="20"/>
      <c r="E89" s="29">
        <v>0.05</v>
      </c>
      <c r="F89" s="29">
        <v>0.04</v>
      </c>
      <c r="G89" s="29">
        <v>0.03</v>
      </c>
      <c r="H89" s="29">
        <v>0.02</v>
      </c>
      <c r="I89" s="29">
        <v>0.02</v>
      </c>
      <c r="J89" s="29">
        <v>0.01</v>
      </c>
    </row>
    <row r="90" spans="2:10">
      <c r="B90" s="32"/>
      <c r="C90" s="18" t="s">
        <v>63</v>
      </c>
      <c r="D90" s="33">
        <f t="shared" ref="D90:J90" si="53">D86*D88</f>
        <v>1.331654903074629</v>
      </c>
      <c r="E90" s="33">
        <f t="shared" si="53"/>
        <v>4.1947129446850813</v>
      </c>
      <c r="F90" s="33">
        <f t="shared" si="53"/>
        <v>9.8156282905630903</v>
      </c>
      <c r="G90" s="33">
        <f t="shared" si="53"/>
        <v>18.198174850703971</v>
      </c>
      <c r="H90" s="33">
        <f t="shared" si="53"/>
        <v>27.843207521577074</v>
      </c>
      <c r="I90" s="33">
        <f t="shared" si="53"/>
        <v>36.920093173611207</v>
      </c>
      <c r="J90" s="33">
        <f t="shared" si="53"/>
        <v>42.882688221149408</v>
      </c>
    </row>
    <row r="91" spans="2:10">
      <c r="B91" s="26" t="s">
        <v>82</v>
      </c>
      <c r="C91" s="19" t="s">
        <v>58</v>
      </c>
      <c r="D91" s="27">
        <v>5.0000000000000001E-3</v>
      </c>
      <c r="E91" s="21">
        <f t="shared" ref="E91:J91" si="54">D91*(1+E92)</f>
        <v>1.4999999999999999E-2</v>
      </c>
      <c r="F91" s="21">
        <f t="shared" si="54"/>
        <v>3.3750000000000002E-2</v>
      </c>
      <c r="G91" s="21">
        <f t="shared" si="54"/>
        <v>6.4125000000000001E-2</v>
      </c>
      <c r="H91" s="21">
        <f t="shared" si="54"/>
        <v>0.10260000000000001</v>
      </c>
      <c r="I91" s="21">
        <f t="shared" si="54"/>
        <v>0.14364000000000002</v>
      </c>
      <c r="J91" s="21">
        <f t="shared" si="54"/>
        <v>0.17955000000000002</v>
      </c>
    </row>
    <row r="92" spans="2:10">
      <c r="B92" s="26" t="s">
        <v>65</v>
      </c>
      <c r="C92" s="28" t="s">
        <v>49</v>
      </c>
      <c r="D92" s="20"/>
      <c r="E92" s="29">
        <v>2</v>
      </c>
      <c r="F92" s="29">
        <v>1.25</v>
      </c>
      <c r="G92" s="29">
        <v>0.9</v>
      </c>
      <c r="H92" s="29">
        <v>0.6</v>
      </c>
      <c r="I92" s="29">
        <v>0.4</v>
      </c>
      <c r="J92" s="29">
        <v>0.25</v>
      </c>
    </row>
    <row r="93" spans="2:10">
      <c r="B93" s="26" t="s">
        <v>75</v>
      </c>
      <c r="C93" s="19" t="s">
        <v>61</v>
      </c>
      <c r="D93" s="30">
        <v>112.5</v>
      </c>
      <c r="E93" s="31">
        <f t="shared" ref="E93:J93" si="55">D93*(1+E94)</f>
        <v>119.25</v>
      </c>
      <c r="F93" s="31">
        <f t="shared" si="55"/>
        <v>125.21250000000001</v>
      </c>
      <c r="G93" s="31">
        <f t="shared" si="55"/>
        <v>130.221</v>
      </c>
      <c r="H93" s="31">
        <f t="shared" si="55"/>
        <v>134.12763000000001</v>
      </c>
      <c r="I93" s="31">
        <f t="shared" si="55"/>
        <v>138.15145890000002</v>
      </c>
      <c r="J93" s="31">
        <f t="shared" si="55"/>
        <v>140.91448807800003</v>
      </c>
    </row>
    <row r="94" spans="2:10">
      <c r="B94" s="26"/>
      <c r="C94" s="28" t="s">
        <v>62</v>
      </c>
      <c r="D94" s="20"/>
      <c r="E94" s="29">
        <v>0.06</v>
      </c>
      <c r="F94" s="29">
        <v>0.05</v>
      </c>
      <c r="G94" s="29">
        <v>0.04</v>
      </c>
      <c r="H94" s="29">
        <v>0.03</v>
      </c>
      <c r="I94" s="29">
        <v>0.03</v>
      </c>
      <c r="J94" s="29">
        <v>0.02</v>
      </c>
    </row>
    <row r="95" spans="2:10">
      <c r="B95" s="32"/>
      <c r="C95" s="18" t="s">
        <v>63</v>
      </c>
      <c r="D95" s="33">
        <f t="shared" ref="D95:J95" si="56">D91*D93</f>
        <v>0.5625</v>
      </c>
      <c r="E95" s="33">
        <f t="shared" si="56"/>
        <v>1.7887499999999998</v>
      </c>
      <c r="F95" s="33">
        <f t="shared" si="56"/>
        <v>4.225921875</v>
      </c>
      <c r="G95" s="33">
        <f t="shared" si="56"/>
        <v>8.350421625000001</v>
      </c>
      <c r="H95" s="33">
        <f t="shared" si="56"/>
        <v>13.761494838000003</v>
      </c>
      <c r="I95" s="33">
        <f t="shared" si="56"/>
        <v>19.844075556396007</v>
      </c>
      <c r="J95" s="33">
        <f t="shared" si="56"/>
        <v>25.301196334404906</v>
      </c>
    </row>
    <row r="96" spans="2:10">
      <c r="B96" s="26" t="s">
        <v>83</v>
      </c>
      <c r="C96" s="19" t="s">
        <v>58</v>
      </c>
      <c r="D96" s="27">
        <v>3.0000000000000001E-3</v>
      </c>
      <c r="E96" s="21">
        <f t="shared" ref="E96:J96" si="57">D96*(1+E97)</f>
        <v>1.0500000000000001E-2</v>
      </c>
      <c r="F96" s="21">
        <f t="shared" si="57"/>
        <v>2.6250000000000002E-2</v>
      </c>
      <c r="G96" s="21">
        <f t="shared" si="57"/>
        <v>5.2500000000000005E-2</v>
      </c>
      <c r="H96" s="21">
        <f t="shared" si="57"/>
        <v>8.925000000000001E-2</v>
      </c>
      <c r="I96" s="21">
        <f t="shared" si="57"/>
        <v>0.12495000000000001</v>
      </c>
      <c r="J96" s="21">
        <f t="shared" si="57"/>
        <v>0.15618750000000001</v>
      </c>
    </row>
    <row r="97" spans="2:10">
      <c r="B97" s="26" t="s">
        <v>65</v>
      </c>
      <c r="C97" s="28" t="s">
        <v>49</v>
      </c>
      <c r="D97" s="20"/>
      <c r="E97" s="29">
        <v>2.5</v>
      </c>
      <c r="F97" s="29">
        <v>1.5</v>
      </c>
      <c r="G97" s="29">
        <v>1</v>
      </c>
      <c r="H97" s="29">
        <v>0.7</v>
      </c>
      <c r="I97" s="29">
        <v>0.4</v>
      </c>
      <c r="J97" s="29">
        <v>0.25</v>
      </c>
    </row>
    <row r="98" spans="2:10">
      <c r="B98" s="26" t="s">
        <v>75</v>
      </c>
      <c r="C98" s="19" t="s">
        <v>61</v>
      </c>
      <c r="D98" s="30">
        <v>275</v>
      </c>
      <c r="E98" s="31">
        <f t="shared" ref="E98:J98" si="58">D98*(1+E99)</f>
        <v>291.5</v>
      </c>
      <c r="F98" s="31">
        <f t="shared" si="58"/>
        <v>306.07499999999999</v>
      </c>
      <c r="G98" s="31">
        <f t="shared" si="58"/>
        <v>318.31799999999998</v>
      </c>
      <c r="H98" s="31">
        <f t="shared" si="58"/>
        <v>327.86754000000002</v>
      </c>
      <c r="I98" s="31">
        <f t="shared" si="58"/>
        <v>337.70356620000001</v>
      </c>
      <c r="J98" s="31">
        <f t="shared" si="58"/>
        <v>344.45763752400001</v>
      </c>
    </row>
    <row r="99" spans="2:10">
      <c r="B99" s="26"/>
      <c r="C99" s="28" t="s">
        <v>62</v>
      </c>
      <c r="D99" s="20"/>
      <c r="E99" s="29">
        <v>0.06</v>
      </c>
      <c r="F99" s="29">
        <v>0.05</v>
      </c>
      <c r="G99" s="29">
        <v>0.04</v>
      </c>
      <c r="H99" s="29">
        <v>0.03</v>
      </c>
      <c r="I99" s="29">
        <v>0.03</v>
      </c>
      <c r="J99" s="29">
        <v>0.02</v>
      </c>
    </row>
    <row r="100" spans="2:10">
      <c r="B100" s="32"/>
      <c r="C100" s="18" t="s">
        <v>63</v>
      </c>
      <c r="D100" s="33">
        <f t="shared" ref="D100:J100" si="59">D96*D98</f>
        <v>0.82500000000000007</v>
      </c>
      <c r="E100" s="33">
        <f t="shared" si="59"/>
        <v>3.0607500000000001</v>
      </c>
      <c r="F100" s="33">
        <f t="shared" si="59"/>
        <v>8.0344687500000003</v>
      </c>
      <c r="G100" s="33">
        <f t="shared" si="59"/>
        <v>16.711695000000002</v>
      </c>
      <c r="H100" s="33">
        <f t="shared" si="59"/>
        <v>29.262177945000005</v>
      </c>
      <c r="I100" s="33">
        <f t="shared" si="59"/>
        <v>42.196060596690003</v>
      </c>
      <c r="J100" s="33">
        <f t="shared" si="59"/>
        <v>53.799977260779755</v>
      </c>
    </row>
  </sheetData>
  <mergeCells count="2">
    <mergeCell ref="B2:J2"/>
    <mergeCell ref="B14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Financials</vt:lpstr>
      <vt:lpstr>Sales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Tomohawk WR</cp:lastModifiedBy>
  <dcterms:created xsi:type="dcterms:W3CDTF">2026-07-04T01:53:34Z</dcterms:created>
  <dcterms:modified xsi:type="dcterms:W3CDTF">2026-07-05T03:49:14Z</dcterms:modified>
</cp:coreProperties>
</file>