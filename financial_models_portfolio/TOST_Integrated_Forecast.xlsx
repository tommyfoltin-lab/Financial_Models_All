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tommyfoltin/Downloads/"/>
    </mc:Choice>
  </mc:AlternateContent>
  <xr:revisionPtr revIDLastSave="0" documentId="13_ncr:1_{5861CF14-962E-4A4F-9655-D3811D4DA07E}" xr6:coauthVersionLast="47" xr6:coauthVersionMax="47" xr10:uidLastSave="{00000000-0000-0000-0000-000000000000}"/>
  <bookViews>
    <workbookView xWindow="0" yWindow="740" windowWidth="29400" windowHeight="18380" tabRatio="984" activeTab="8" xr2:uid="{00000000-000D-0000-FFFF-FFFF00000000}"/>
  </bookViews>
  <sheets>
    <sheet name="Summary" sheetId="7" r:id="rId1"/>
    <sheet name="Rev COGS Buildout " sheetId="9" r:id="rId2"/>
    <sheet name="Assumptions" sheetId="10" r:id="rId3"/>
    <sheet name="Income Statement" sheetId="1" r:id="rId4"/>
    <sheet name="Balance Sheet" sheetId="2" r:id="rId5"/>
    <sheet name="Cash Flow" sheetId="3" r:id="rId6"/>
    <sheet name="CFS new" sheetId="13" r:id="rId7"/>
    <sheet name="Calcs" sheetId="12" r:id="rId8"/>
    <sheet name="Metrics" sheetId="5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1" i="5" l="1"/>
  <c r="F60" i="5"/>
  <c r="H53" i="5"/>
  <c r="G53" i="5"/>
  <c r="G54" i="5" s="1"/>
  <c r="F54" i="5"/>
  <c r="C10" i="5"/>
  <c r="D10" i="5"/>
  <c r="E10" i="5"/>
  <c r="B10" i="5"/>
  <c r="G10" i="5"/>
  <c r="H10" i="5"/>
  <c r="H21" i="5" s="1"/>
  <c r="I10" i="5"/>
  <c r="J10" i="5"/>
  <c r="F10" i="5"/>
  <c r="G45" i="5"/>
  <c r="H45" i="5"/>
  <c r="I45" i="5"/>
  <c r="J45" i="5"/>
  <c r="F45" i="5"/>
  <c r="G44" i="5"/>
  <c r="H44" i="5"/>
  <c r="I44" i="5"/>
  <c r="J44" i="5"/>
  <c r="F44" i="5"/>
  <c r="F5" i="5"/>
  <c r="G5" i="5" s="1"/>
  <c r="H5" i="5" s="1"/>
  <c r="I5" i="5" s="1"/>
  <c r="J5" i="5" s="1"/>
  <c r="E5" i="5"/>
  <c r="F9" i="5"/>
  <c r="G9" i="5"/>
  <c r="H9" i="5"/>
  <c r="I9" i="5"/>
  <c r="J9" i="5"/>
  <c r="F11" i="5"/>
  <c r="F12" i="5" s="1"/>
  <c r="G11" i="5"/>
  <c r="H11" i="5"/>
  <c r="I11" i="5"/>
  <c r="J11" i="5"/>
  <c r="G12" i="5"/>
  <c r="H12" i="5"/>
  <c r="I12" i="5"/>
  <c r="J12" i="5"/>
  <c r="F16" i="5"/>
  <c r="J16" i="5"/>
  <c r="F17" i="5"/>
  <c r="G17" i="5"/>
  <c r="H17" i="5"/>
  <c r="I17" i="5"/>
  <c r="J17" i="5"/>
  <c r="F18" i="5"/>
  <c r="G18" i="5"/>
  <c r="H18" i="5"/>
  <c r="I18" i="5"/>
  <c r="J18" i="5"/>
  <c r="F20" i="5"/>
  <c r="G20" i="5"/>
  <c r="H20" i="5"/>
  <c r="I20" i="5"/>
  <c r="J20" i="5"/>
  <c r="F21" i="5"/>
  <c r="I21" i="5"/>
  <c r="J21" i="5"/>
  <c r="F22" i="5"/>
  <c r="G22" i="5"/>
  <c r="H22" i="5"/>
  <c r="I22" i="5"/>
  <c r="J22" i="5"/>
  <c r="F23" i="5"/>
  <c r="G23" i="5"/>
  <c r="H23" i="5"/>
  <c r="I23" i="5"/>
  <c r="J23" i="5"/>
  <c r="F24" i="5"/>
  <c r="G24" i="5"/>
  <c r="H24" i="5"/>
  <c r="I24" i="5"/>
  <c r="J24" i="5"/>
  <c r="F25" i="5"/>
  <c r="G25" i="5"/>
  <c r="H25" i="5"/>
  <c r="I25" i="5"/>
  <c r="J25" i="5"/>
  <c r="F27" i="5"/>
  <c r="G27" i="5"/>
  <c r="H27" i="5"/>
  <c r="I27" i="5"/>
  <c r="J27" i="5"/>
  <c r="F28" i="5"/>
  <c r="G28" i="5"/>
  <c r="H28" i="5"/>
  <c r="I28" i="5"/>
  <c r="J28" i="5"/>
  <c r="F31" i="5"/>
  <c r="G31" i="5"/>
  <c r="H31" i="5"/>
  <c r="I31" i="5"/>
  <c r="J31" i="5"/>
  <c r="F32" i="5"/>
  <c r="G32" i="5"/>
  <c r="H32" i="5"/>
  <c r="I32" i="5"/>
  <c r="J32" i="5"/>
  <c r="F33" i="5"/>
  <c r="G33" i="5"/>
  <c r="H33" i="5"/>
  <c r="I33" i="5"/>
  <c r="J33" i="5"/>
  <c r="F34" i="5"/>
  <c r="G34" i="5"/>
  <c r="H34" i="5"/>
  <c r="I34" i="5"/>
  <c r="J34" i="5"/>
  <c r="F35" i="5"/>
  <c r="G35" i="5"/>
  <c r="H35" i="5"/>
  <c r="I35" i="5"/>
  <c r="J35" i="5"/>
  <c r="F36" i="5"/>
  <c r="G36" i="5"/>
  <c r="H36" i="5"/>
  <c r="I36" i="5"/>
  <c r="J36" i="5"/>
  <c r="F37" i="5"/>
  <c r="G37" i="5"/>
  <c r="H37" i="5"/>
  <c r="I37" i="5"/>
  <c r="J37" i="5"/>
  <c r="F38" i="5"/>
  <c r="G38" i="5"/>
  <c r="H38" i="5"/>
  <c r="I38" i="5"/>
  <c r="J38" i="5"/>
  <c r="F39" i="5"/>
  <c r="G39" i="5"/>
  <c r="H39" i="5"/>
  <c r="I39" i="5"/>
  <c r="J39" i="5"/>
  <c r="F40" i="5"/>
  <c r="F41" i="5" s="1"/>
  <c r="G40" i="5"/>
  <c r="G41" i="5" s="1"/>
  <c r="H40" i="5"/>
  <c r="H41" i="5" s="1"/>
  <c r="I40" i="5"/>
  <c r="I41" i="5" s="1"/>
  <c r="J40" i="5"/>
  <c r="J41" i="5" s="1"/>
  <c r="F46" i="5"/>
  <c r="G46" i="5"/>
  <c r="H46" i="5"/>
  <c r="I46" i="5"/>
  <c r="J46" i="5"/>
  <c r="F8" i="10"/>
  <c r="G8" i="13"/>
  <c r="H8" i="13"/>
  <c r="I8" i="13"/>
  <c r="J8" i="13"/>
  <c r="G9" i="13"/>
  <c r="H9" i="13"/>
  <c r="I9" i="13"/>
  <c r="J9" i="13"/>
  <c r="G10" i="13"/>
  <c r="H10" i="13"/>
  <c r="I10" i="13"/>
  <c r="J10" i="13"/>
  <c r="G11" i="13"/>
  <c r="H11" i="13"/>
  <c r="I11" i="13"/>
  <c r="J11" i="13"/>
  <c r="G12" i="13"/>
  <c r="H12" i="13"/>
  <c r="I12" i="13"/>
  <c r="J12" i="13"/>
  <c r="G13" i="13"/>
  <c r="H13" i="13"/>
  <c r="I13" i="13"/>
  <c r="J13" i="13"/>
  <c r="G14" i="13"/>
  <c r="H14" i="13"/>
  <c r="I14" i="13"/>
  <c r="J14" i="13"/>
  <c r="G15" i="13"/>
  <c r="H15" i="13"/>
  <c r="I15" i="13"/>
  <c r="J15" i="13"/>
  <c r="G16" i="13"/>
  <c r="H16" i="13"/>
  <c r="I16" i="13"/>
  <c r="J16" i="13"/>
  <c r="G17" i="13"/>
  <c r="H17" i="13"/>
  <c r="I17" i="13"/>
  <c r="J17" i="13"/>
  <c r="G18" i="13"/>
  <c r="H18" i="13"/>
  <c r="I18" i="13"/>
  <c r="J18" i="13"/>
  <c r="G19" i="13"/>
  <c r="H19" i="13"/>
  <c r="I19" i="13"/>
  <c r="J19" i="13"/>
  <c r="G20" i="13"/>
  <c r="H20" i="13"/>
  <c r="I20" i="13"/>
  <c r="J20" i="13"/>
  <c r="G23" i="13"/>
  <c r="G26" i="13" s="1"/>
  <c r="H23" i="13"/>
  <c r="I23" i="13"/>
  <c r="J23" i="13"/>
  <c r="G24" i="13"/>
  <c r="H24" i="13"/>
  <c r="I24" i="13"/>
  <c r="J24" i="13"/>
  <c r="G25" i="13"/>
  <c r="H25" i="13"/>
  <c r="I25" i="13"/>
  <c r="J25" i="13"/>
  <c r="H26" i="13"/>
  <c r="I26" i="13"/>
  <c r="J26" i="13"/>
  <c r="G28" i="13"/>
  <c r="H28" i="13"/>
  <c r="I28" i="13"/>
  <c r="J28" i="13"/>
  <c r="G29" i="13"/>
  <c r="H29" i="13"/>
  <c r="I29" i="13"/>
  <c r="J29" i="13"/>
  <c r="G30" i="13"/>
  <c r="H30" i="13"/>
  <c r="I30" i="13"/>
  <c r="J30" i="13"/>
  <c r="G31" i="13"/>
  <c r="H31" i="13"/>
  <c r="I31" i="13"/>
  <c r="J31" i="13"/>
  <c r="G32" i="13"/>
  <c r="H32" i="13"/>
  <c r="I32" i="13"/>
  <c r="J32" i="13"/>
  <c r="G33" i="13"/>
  <c r="H33" i="13"/>
  <c r="I33" i="13"/>
  <c r="J33" i="13"/>
  <c r="G34" i="13"/>
  <c r="H34" i="13"/>
  <c r="I34" i="13"/>
  <c r="J34" i="13"/>
  <c r="G35" i="13"/>
  <c r="H35" i="13"/>
  <c r="I35" i="13"/>
  <c r="J35" i="13"/>
  <c r="F40" i="13"/>
  <c r="E41" i="13"/>
  <c r="F34" i="13"/>
  <c r="F30" i="13"/>
  <c r="F31" i="13"/>
  <c r="F32" i="13"/>
  <c r="F33" i="13"/>
  <c r="F29" i="13"/>
  <c r="F28" i="13"/>
  <c r="F26" i="13"/>
  <c r="F25" i="13"/>
  <c r="F24" i="13"/>
  <c r="F23" i="13"/>
  <c r="F20" i="13"/>
  <c r="F19" i="13"/>
  <c r="F17" i="13"/>
  <c r="F18" i="13"/>
  <c r="F16" i="13"/>
  <c r="F14" i="13"/>
  <c r="F15" i="13"/>
  <c r="F13" i="13"/>
  <c r="F12" i="13"/>
  <c r="F10" i="13"/>
  <c r="F11" i="13"/>
  <c r="F9" i="13"/>
  <c r="F8" i="13"/>
  <c r="C5" i="13"/>
  <c r="D5" i="13" s="1"/>
  <c r="E5" i="13" s="1"/>
  <c r="F5" i="13" s="1"/>
  <c r="G5" i="13" s="1"/>
  <c r="H5" i="13" s="1"/>
  <c r="I5" i="13" s="1"/>
  <c r="J5" i="13" s="1"/>
  <c r="F42" i="2"/>
  <c r="G42" i="2"/>
  <c r="H42" i="2"/>
  <c r="I42" i="2"/>
  <c r="J42" i="2"/>
  <c r="F43" i="2"/>
  <c r="G43" i="2"/>
  <c r="H43" i="2"/>
  <c r="I43" i="2"/>
  <c r="J43" i="2"/>
  <c r="F44" i="2"/>
  <c r="G44" i="2"/>
  <c r="H44" i="2"/>
  <c r="I44" i="2"/>
  <c r="J44" i="2"/>
  <c r="F45" i="2"/>
  <c r="G45" i="2"/>
  <c r="H45" i="2"/>
  <c r="I45" i="2"/>
  <c r="J45" i="2"/>
  <c r="G41" i="2"/>
  <c r="H41" i="2"/>
  <c r="I41" i="2"/>
  <c r="J41" i="2"/>
  <c r="F41" i="2"/>
  <c r="G36" i="2"/>
  <c r="H36" i="2"/>
  <c r="I36" i="2"/>
  <c r="J36" i="2"/>
  <c r="F36" i="2"/>
  <c r="F35" i="2"/>
  <c r="G35" i="2"/>
  <c r="H35" i="2"/>
  <c r="I35" i="2"/>
  <c r="J35" i="2"/>
  <c r="G34" i="2"/>
  <c r="H34" i="2"/>
  <c r="I34" i="2"/>
  <c r="J34" i="2"/>
  <c r="F34" i="2"/>
  <c r="G28" i="2"/>
  <c r="H28" i="2"/>
  <c r="I28" i="2"/>
  <c r="J28" i="2"/>
  <c r="G29" i="2"/>
  <c r="H29" i="2"/>
  <c r="I29" i="2"/>
  <c r="J29" i="2"/>
  <c r="G30" i="2"/>
  <c r="H30" i="2"/>
  <c r="I30" i="2"/>
  <c r="J30" i="2"/>
  <c r="F29" i="2"/>
  <c r="F30" i="2"/>
  <c r="F28" i="2"/>
  <c r="F22" i="2"/>
  <c r="G22" i="2"/>
  <c r="H22" i="2"/>
  <c r="I22" i="2"/>
  <c r="J22" i="2"/>
  <c r="G21" i="2"/>
  <c r="H21" i="2"/>
  <c r="I21" i="2"/>
  <c r="J21" i="2"/>
  <c r="F21" i="2"/>
  <c r="F20" i="2"/>
  <c r="G20" i="2"/>
  <c r="H20" i="2"/>
  <c r="I20" i="2"/>
  <c r="J20" i="2"/>
  <c r="G19" i="2"/>
  <c r="H19" i="2"/>
  <c r="I19" i="2"/>
  <c r="J19" i="2"/>
  <c r="F19" i="2"/>
  <c r="G17" i="2"/>
  <c r="H17" i="2"/>
  <c r="I17" i="2"/>
  <c r="J17" i="2"/>
  <c r="F17" i="2"/>
  <c r="G10" i="2"/>
  <c r="H10" i="2"/>
  <c r="I10" i="2"/>
  <c r="J10" i="2"/>
  <c r="G11" i="2"/>
  <c r="H11" i="2"/>
  <c r="I11" i="2"/>
  <c r="J11" i="2"/>
  <c r="G12" i="2"/>
  <c r="H12" i="2"/>
  <c r="I12" i="2"/>
  <c r="J12" i="2"/>
  <c r="G13" i="2"/>
  <c r="H13" i="2"/>
  <c r="I13" i="2"/>
  <c r="J13" i="2"/>
  <c r="F13" i="2"/>
  <c r="F12" i="2"/>
  <c r="F11" i="2"/>
  <c r="F10" i="2"/>
  <c r="F40" i="10"/>
  <c r="G40" i="10" s="1"/>
  <c r="H40" i="10" s="1"/>
  <c r="I40" i="10" s="1"/>
  <c r="J40" i="10" s="1"/>
  <c r="F41" i="10"/>
  <c r="G41" i="10"/>
  <c r="H41" i="10" s="1"/>
  <c r="I41" i="10" s="1"/>
  <c r="J41" i="10" s="1"/>
  <c r="F42" i="10"/>
  <c r="G42" i="10" s="1"/>
  <c r="H42" i="10" s="1"/>
  <c r="I42" i="10" s="1"/>
  <c r="J42" i="10" s="1"/>
  <c r="F43" i="10"/>
  <c r="G43" i="10" s="1"/>
  <c r="H43" i="10" s="1"/>
  <c r="I43" i="10" s="1"/>
  <c r="J43" i="10" s="1"/>
  <c r="G39" i="10"/>
  <c r="H39" i="10" s="1"/>
  <c r="I39" i="10" s="1"/>
  <c r="J39" i="10" s="1"/>
  <c r="F39" i="10"/>
  <c r="G37" i="10"/>
  <c r="H37" i="10" s="1"/>
  <c r="I37" i="10" s="1"/>
  <c r="J37" i="10" s="1"/>
  <c r="F37" i="10"/>
  <c r="F36" i="10"/>
  <c r="G36" i="10" s="1"/>
  <c r="H36" i="10" s="1"/>
  <c r="I36" i="10" s="1"/>
  <c r="J36" i="10" s="1"/>
  <c r="G35" i="10"/>
  <c r="H35" i="10" s="1"/>
  <c r="I35" i="10" s="1"/>
  <c r="J35" i="10" s="1"/>
  <c r="F35" i="10"/>
  <c r="G27" i="10"/>
  <c r="H27" i="10"/>
  <c r="I27" i="10"/>
  <c r="J27" i="10"/>
  <c r="F27" i="10"/>
  <c r="G26" i="10"/>
  <c r="H26" i="10"/>
  <c r="I26" i="10"/>
  <c r="J26" i="10"/>
  <c r="F26" i="10"/>
  <c r="G23" i="10"/>
  <c r="F23" i="10"/>
  <c r="G18" i="2"/>
  <c r="H18" i="2"/>
  <c r="I18" i="2"/>
  <c r="J18" i="2"/>
  <c r="F18" i="2"/>
  <c r="G16" i="2"/>
  <c r="H16" i="2"/>
  <c r="I16" i="2"/>
  <c r="J16" i="2"/>
  <c r="F16" i="2"/>
  <c r="F32" i="1"/>
  <c r="F31" i="1"/>
  <c r="G38" i="12"/>
  <c r="H38" i="12"/>
  <c r="I38" i="12"/>
  <c r="J38" i="12"/>
  <c r="F38" i="12"/>
  <c r="F39" i="12" s="1"/>
  <c r="E37" i="12"/>
  <c r="G33" i="12"/>
  <c r="H33" i="12"/>
  <c r="I33" i="12"/>
  <c r="J33" i="12"/>
  <c r="F33" i="12"/>
  <c r="F34" i="12" s="1"/>
  <c r="E32" i="12"/>
  <c r="G27" i="12"/>
  <c r="H27" i="12"/>
  <c r="I27" i="12"/>
  <c r="J27" i="12"/>
  <c r="G28" i="12"/>
  <c r="H28" i="12"/>
  <c r="I28" i="12"/>
  <c r="J28" i="12"/>
  <c r="F28" i="12"/>
  <c r="F27" i="12"/>
  <c r="F26" i="12"/>
  <c r="E29" i="12"/>
  <c r="C37" i="2"/>
  <c r="D37" i="2"/>
  <c r="E37" i="2"/>
  <c r="B37" i="2"/>
  <c r="E23" i="12"/>
  <c r="F20" i="12" s="1"/>
  <c r="G16" i="12"/>
  <c r="H16" i="12"/>
  <c r="I16" i="12"/>
  <c r="J16" i="12"/>
  <c r="F16" i="12"/>
  <c r="D47" i="10"/>
  <c r="E47" i="10"/>
  <c r="C47" i="10"/>
  <c r="E17" i="12"/>
  <c r="G10" i="12"/>
  <c r="H10" i="12"/>
  <c r="I10" i="12"/>
  <c r="J10" i="12"/>
  <c r="F10" i="12"/>
  <c r="C50" i="10"/>
  <c r="D50" i="10"/>
  <c r="E50" i="10"/>
  <c r="B50" i="10"/>
  <c r="E11" i="12"/>
  <c r="F5" i="12"/>
  <c r="G5" i="12"/>
  <c r="H5" i="12"/>
  <c r="I5" i="12"/>
  <c r="J5" i="12"/>
  <c r="D5" i="12"/>
  <c r="E5" i="12"/>
  <c r="C5" i="12"/>
  <c r="C31" i="2"/>
  <c r="D31" i="2"/>
  <c r="E31" i="2"/>
  <c r="B31" i="2"/>
  <c r="C5" i="2"/>
  <c r="D5" i="2" s="1"/>
  <c r="E5" i="2" s="1"/>
  <c r="F5" i="2" s="1"/>
  <c r="G5" i="2" s="1"/>
  <c r="H5" i="2" s="1"/>
  <c r="I5" i="2" s="1"/>
  <c r="J5" i="2" s="1"/>
  <c r="C46" i="10"/>
  <c r="D46" i="10"/>
  <c r="E46" i="10"/>
  <c r="B40" i="10"/>
  <c r="C40" i="10"/>
  <c r="D40" i="10"/>
  <c r="E40" i="10"/>
  <c r="B41" i="10"/>
  <c r="C41" i="10"/>
  <c r="D41" i="10"/>
  <c r="E41" i="10"/>
  <c r="B42" i="10"/>
  <c r="C42" i="10"/>
  <c r="D42" i="10"/>
  <c r="E42" i="10"/>
  <c r="B43" i="10"/>
  <c r="C43" i="10"/>
  <c r="D43" i="10"/>
  <c r="E43" i="10"/>
  <c r="C39" i="10"/>
  <c r="D39" i="10"/>
  <c r="E39" i="10"/>
  <c r="B39" i="10"/>
  <c r="C35" i="10"/>
  <c r="D35" i="10"/>
  <c r="E35" i="10"/>
  <c r="C36" i="10"/>
  <c r="D36" i="10"/>
  <c r="E36" i="10"/>
  <c r="B36" i="10"/>
  <c r="B35" i="10"/>
  <c r="C26" i="10"/>
  <c r="D26" i="10"/>
  <c r="E26" i="10"/>
  <c r="C27" i="10"/>
  <c r="D27" i="10"/>
  <c r="E27" i="10"/>
  <c r="C28" i="10"/>
  <c r="D28" i="10"/>
  <c r="E28" i="10"/>
  <c r="B28" i="10"/>
  <c r="B27" i="10"/>
  <c r="B26" i="10"/>
  <c r="C21" i="10"/>
  <c r="D21" i="10"/>
  <c r="E21" i="10"/>
  <c r="C22" i="10"/>
  <c r="D22" i="10"/>
  <c r="E22" i="10"/>
  <c r="C24" i="10"/>
  <c r="D24" i="10"/>
  <c r="E24" i="10"/>
  <c r="B24" i="10"/>
  <c r="B22" i="10"/>
  <c r="B21" i="10"/>
  <c r="F33" i="1"/>
  <c r="G33" i="1"/>
  <c r="H33" i="1"/>
  <c r="I33" i="1"/>
  <c r="J33" i="1"/>
  <c r="F34" i="1"/>
  <c r="G34" i="1"/>
  <c r="H34" i="1"/>
  <c r="I34" i="1"/>
  <c r="J34" i="1"/>
  <c r="F35" i="1"/>
  <c r="G35" i="1"/>
  <c r="H35" i="1"/>
  <c r="I35" i="1"/>
  <c r="J35" i="1"/>
  <c r="F36" i="1"/>
  <c r="G36" i="1"/>
  <c r="H36" i="1"/>
  <c r="I36" i="1"/>
  <c r="J36" i="1"/>
  <c r="G26" i="1"/>
  <c r="H26" i="1"/>
  <c r="I26" i="1"/>
  <c r="J26" i="1"/>
  <c r="F26" i="1"/>
  <c r="G25" i="1"/>
  <c r="H25" i="1"/>
  <c r="I25" i="1"/>
  <c r="J25" i="1"/>
  <c r="F25" i="1"/>
  <c r="G16" i="1"/>
  <c r="H16" i="1"/>
  <c r="I16" i="1"/>
  <c r="J16" i="1"/>
  <c r="F17" i="1"/>
  <c r="G17" i="1"/>
  <c r="H17" i="1"/>
  <c r="I17" i="1"/>
  <c r="J17" i="1"/>
  <c r="F10" i="1"/>
  <c r="G10" i="1"/>
  <c r="H10" i="1"/>
  <c r="I10" i="1"/>
  <c r="J10" i="1"/>
  <c r="C5" i="1"/>
  <c r="D5" i="1" s="1"/>
  <c r="E5" i="1" s="1"/>
  <c r="F5" i="1" s="1"/>
  <c r="G5" i="1" s="1"/>
  <c r="H5" i="1" s="1"/>
  <c r="I5" i="1" s="1"/>
  <c r="J5" i="1" s="1"/>
  <c r="C10" i="10"/>
  <c r="D10" i="10"/>
  <c r="E10" i="10"/>
  <c r="B10" i="10"/>
  <c r="B18" i="10"/>
  <c r="C18" i="10"/>
  <c r="D18" i="10"/>
  <c r="E18" i="10"/>
  <c r="F18" i="10" s="1"/>
  <c r="G18" i="10" s="1"/>
  <c r="H18" i="10" s="1"/>
  <c r="I18" i="10" s="1"/>
  <c r="J18" i="10" s="1"/>
  <c r="C17" i="10"/>
  <c r="D17" i="10"/>
  <c r="E17" i="10"/>
  <c r="F17" i="10" s="1"/>
  <c r="G17" i="10" s="1"/>
  <c r="H17" i="10" s="1"/>
  <c r="I17" i="10" s="1"/>
  <c r="J17" i="10" s="1"/>
  <c r="B17" i="10"/>
  <c r="C11" i="10"/>
  <c r="D11" i="10"/>
  <c r="E11" i="10"/>
  <c r="C12" i="10"/>
  <c r="D12" i="10"/>
  <c r="E12" i="10"/>
  <c r="C13" i="10"/>
  <c r="D13" i="10"/>
  <c r="E13" i="10"/>
  <c r="C14" i="10"/>
  <c r="D14" i="10"/>
  <c r="E14" i="10"/>
  <c r="C15" i="10"/>
  <c r="D15" i="10"/>
  <c r="E15" i="10"/>
  <c r="B12" i="10"/>
  <c r="B13" i="10"/>
  <c r="B14" i="10"/>
  <c r="B15" i="10"/>
  <c r="B11" i="10"/>
  <c r="C5" i="10"/>
  <c r="D5" i="10" s="1"/>
  <c r="E5" i="10" s="1"/>
  <c r="F5" i="10" s="1"/>
  <c r="G5" i="10" s="1"/>
  <c r="H5" i="10" s="1"/>
  <c r="I5" i="10" s="1"/>
  <c r="J5" i="10" s="1"/>
  <c r="B50" i="9"/>
  <c r="B68" i="9" s="1"/>
  <c r="C59" i="9"/>
  <c r="D59" i="9"/>
  <c r="E59" i="9"/>
  <c r="B59" i="9"/>
  <c r="C56" i="9"/>
  <c r="D56" i="9"/>
  <c r="E56" i="9"/>
  <c r="B56" i="9"/>
  <c r="C53" i="9"/>
  <c r="D53" i="9"/>
  <c r="D54" i="9" s="1"/>
  <c r="E53" i="9"/>
  <c r="B53" i="9"/>
  <c r="E50" i="9"/>
  <c r="E68" i="9" s="1"/>
  <c r="D50" i="9"/>
  <c r="D68" i="9" s="1"/>
  <c r="C50" i="9"/>
  <c r="C68" i="9" s="1"/>
  <c r="G54" i="9"/>
  <c r="H54" i="9" s="1"/>
  <c r="I54" i="9" s="1"/>
  <c r="J54" i="9" s="1"/>
  <c r="C32" i="9"/>
  <c r="D32" i="9"/>
  <c r="E32" i="9"/>
  <c r="C33" i="9"/>
  <c r="D33" i="9"/>
  <c r="E33" i="9"/>
  <c r="D31" i="9"/>
  <c r="E31" i="9"/>
  <c r="C31" i="9"/>
  <c r="D22" i="9"/>
  <c r="E22" i="9"/>
  <c r="C22" i="9"/>
  <c r="F22" i="9" s="1"/>
  <c r="C9" i="9"/>
  <c r="D9" i="9"/>
  <c r="E9" i="9"/>
  <c r="B9" i="9"/>
  <c r="F14" i="9"/>
  <c r="D15" i="9"/>
  <c r="E15" i="9"/>
  <c r="C15" i="9"/>
  <c r="C19" i="9"/>
  <c r="D19" i="9"/>
  <c r="E19" i="9"/>
  <c r="B19" i="9"/>
  <c r="C18" i="9"/>
  <c r="D18" i="9"/>
  <c r="E18" i="9"/>
  <c r="F18" i="9" s="1"/>
  <c r="G18" i="9" s="1"/>
  <c r="B18" i="9"/>
  <c r="C16" i="9"/>
  <c r="D16" i="9"/>
  <c r="E16" i="9"/>
  <c r="B16" i="9"/>
  <c r="E28" i="9"/>
  <c r="E66" i="9" s="1"/>
  <c r="D28" i="9"/>
  <c r="D66" i="9" s="1"/>
  <c r="C28" i="9"/>
  <c r="C66" i="9" s="1"/>
  <c r="B28" i="9"/>
  <c r="C5" i="9"/>
  <c r="D5" i="9" s="1"/>
  <c r="E5" i="9" s="1"/>
  <c r="F5" i="9" s="1"/>
  <c r="G5" i="9" s="1"/>
  <c r="H5" i="9" s="1"/>
  <c r="I5" i="9" s="1"/>
  <c r="J5" i="9" s="1"/>
  <c r="C3" i="7"/>
  <c r="C4" i="7" s="1"/>
  <c r="C45" i="5"/>
  <c r="D45" i="5"/>
  <c r="E45" i="5"/>
  <c r="B45" i="5"/>
  <c r="C39" i="5"/>
  <c r="D39" i="5"/>
  <c r="E39" i="5"/>
  <c r="C40" i="5"/>
  <c r="D40" i="5"/>
  <c r="E40" i="5"/>
  <c r="B40" i="5"/>
  <c r="B39" i="5"/>
  <c r="C33" i="5"/>
  <c r="D33" i="5"/>
  <c r="E33" i="5"/>
  <c r="C34" i="5"/>
  <c r="D34" i="5"/>
  <c r="E34" i="5"/>
  <c r="C5" i="7" s="1"/>
  <c r="E35" i="5"/>
  <c r="B34" i="5"/>
  <c r="B33" i="5"/>
  <c r="C28" i="5"/>
  <c r="D28" i="5"/>
  <c r="E28" i="5"/>
  <c r="D27" i="5"/>
  <c r="E27" i="5"/>
  <c r="C27" i="5"/>
  <c r="C51" i="3"/>
  <c r="D51" i="3"/>
  <c r="E51" i="3"/>
  <c r="B51" i="3"/>
  <c r="C42" i="3"/>
  <c r="D42" i="3"/>
  <c r="E42" i="3"/>
  <c r="B42" i="3"/>
  <c r="C47" i="2"/>
  <c r="D47" i="2"/>
  <c r="E47" i="2"/>
  <c r="B47" i="2"/>
  <c r="B38" i="2"/>
  <c r="C22" i="2"/>
  <c r="D22" i="2"/>
  <c r="E22" i="2"/>
  <c r="B22" i="2"/>
  <c r="C14" i="2"/>
  <c r="D14" i="2"/>
  <c r="E14" i="2"/>
  <c r="B14" i="2"/>
  <c r="C18" i="1"/>
  <c r="D18" i="1"/>
  <c r="E18" i="1"/>
  <c r="B18" i="1"/>
  <c r="C11" i="1"/>
  <c r="D11" i="1"/>
  <c r="E11" i="1"/>
  <c r="B11" i="1"/>
  <c r="I53" i="5" l="1"/>
  <c r="H54" i="5"/>
  <c r="G16" i="5"/>
  <c r="G21" i="5"/>
  <c r="H16" i="5"/>
  <c r="I16" i="5"/>
  <c r="F50" i="5"/>
  <c r="F49" i="5"/>
  <c r="F48" i="5"/>
  <c r="G50" i="5"/>
  <c r="G49" i="5"/>
  <c r="G48" i="5"/>
  <c r="H50" i="5"/>
  <c r="H49" i="5"/>
  <c r="H48" i="5"/>
  <c r="I50" i="5"/>
  <c r="I49" i="5"/>
  <c r="I48" i="5"/>
  <c r="J50" i="5"/>
  <c r="J49" i="5"/>
  <c r="J48" i="5"/>
  <c r="F29" i="12"/>
  <c r="F35" i="13"/>
  <c r="F15" i="12"/>
  <c r="F14" i="12"/>
  <c r="F17" i="12" s="1"/>
  <c r="F9" i="12"/>
  <c r="F8" i="12"/>
  <c r="F11" i="12" s="1"/>
  <c r="C37" i="10"/>
  <c r="C31" i="10"/>
  <c r="C33" i="10"/>
  <c r="C23" i="10"/>
  <c r="D37" i="10"/>
  <c r="D31" i="10"/>
  <c r="D33" i="10"/>
  <c r="D23" i="10"/>
  <c r="E37" i="10"/>
  <c r="E31" i="10"/>
  <c r="E33" i="10"/>
  <c r="E23" i="10"/>
  <c r="B37" i="10"/>
  <c r="B33" i="10"/>
  <c r="B31" i="10"/>
  <c r="B23" i="10"/>
  <c r="C48" i="10"/>
  <c r="C32" i="10"/>
  <c r="C29" i="10"/>
  <c r="D48" i="10"/>
  <c r="D32" i="10"/>
  <c r="D29" i="10"/>
  <c r="E48" i="10"/>
  <c r="E32" i="10"/>
  <c r="E29" i="10"/>
  <c r="B48" i="10"/>
  <c r="B32" i="10"/>
  <c r="B29" i="10"/>
  <c r="C38" i="2"/>
  <c r="D38" i="2"/>
  <c r="E38" i="2"/>
  <c r="C36" i="5"/>
  <c r="C37" i="5"/>
  <c r="C23" i="2"/>
  <c r="C38" i="5" s="1"/>
  <c r="D23" i="2"/>
  <c r="D38" i="5" s="1"/>
  <c r="D37" i="5"/>
  <c r="E23" i="2"/>
  <c r="E38" i="5" s="1"/>
  <c r="E37" i="5"/>
  <c r="B37" i="5"/>
  <c r="B23" i="2"/>
  <c r="B38" i="5" s="1"/>
  <c r="C31" i="5"/>
  <c r="C32" i="5"/>
  <c r="D31" i="5"/>
  <c r="D32" i="5"/>
  <c r="E32" i="5"/>
  <c r="E31" i="5"/>
  <c r="B31" i="5"/>
  <c r="B32" i="5"/>
  <c r="C48" i="2"/>
  <c r="D48" i="2"/>
  <c r="E48" i="2"/>
  <c r="B48" i="2"/>
  <c r="F47" i="1"/>
  <c r="F46" i="1"/>
  <c r="C20" i="1"/>
  <c r="C8" i="10"/>
  <c r="C25" i="5"/>
  <c r="C9" i="10"/>
  <c r="C24" i="5"/>
  <c r="C23" i="5"/>
  <c r="D20" i="1"/>
  <c r="D24" i="5"/>
  <c r="D9" i="10"/>
  <c r="D25" i="5"/>
  <c r="D23" i="5"/>
  <c r="D8" i="10"/>
  <c r="E20" i="1"/>
  <c r="E8" i="10"/>
  <c r="E24" i="5"/>
  <c r="E25" i="5"/>
  <c r="E9" i="10"/>
  <c r="E23" i="5"/>
  <c r="B20" i="1"/>
  <c r="B9" i="10"/>
  <c r="B8" i="10"/>
  <c r="B25" i="5"/>
  <c r="B23" i="5"/>
  <c r="B24" i="5"/>
  <c r="B62" i="9"/>
  <c r="E62" i="9"/>
  <c r="C62" i="9"/>
  <c r="D62" i="9"/>
  <c r="E67" i="9"/>
  <c r="E69" i="9"/>
  <c r="E70" i="9" s="1"/>
  <c r="D67" i="9"/>
  <c r="D69" i="9"/>
  <c r="D70" i="9" s="1"/>
  <c r="B37" i="9"/>
  <c r="B66" i="9"/>
  <c r="C69" i="9"/>
  <c r="C70" i="9" s="1"/>
  <c r="C60" i="9"/>
  <c r="D57" i="9"/>
  <c r="D60" i="9"/>
  <c r="E57" i="9"/>
  <c r="C57" i="9"/>
  <c r="C54" i="9"/>
  <c r="E60" i="9"/>
  <c r="F59" i="9"/>
  <c r="F53" i="9"/>
  <c r="E54" i="9"/>
  <c r="C34" i="9"/>
  <c r="D10" i="9"/>
  <c r="E40" i="9"/>
  <c r="E37" i="9"/>
  <c r="D37" i="9"/>
  <c r="D34" i="9"/>
  <c r="G22" i="9"/>
  <c r="H22" i="9" s="1"/>
  <c r="I22" i="9" s="1"/>
  <c r="J22" i="9" s="1"/>
  <c r="F27" i="9"/>
  <c r="E43" i="9"/>
  <c r="F43" i="9" s="1"/>
  <c r="E38" i="9"/>
  <c r="E39" i="9"/>
  <c r="E34" i="9"/>
  <c r="D43" i="9"/>
  <c r="D38" i="9"/>
  <c r="D39" i="9"/>
  <c r="D40" i="9"/>
  <c r="C43" i="9"/>
  <c r="C38" i="9"/>
  <c r="C39" i="9"/>
  <c r="C40" i="9"/>
  <c r="C37" i="9"/>
  <c r="B43" i="9"/>
  <c r="B38" i="9"/>
  <c r="B39" i="9"/>
  <c r="B40" i="9"/>
  <c r="C10" i="9"/>
  <c r="D17" i="9"/>
  <c r="E10" i="9"/>
  <c r="F10" i="9" s="1"/>
  <c r="H18" i="9"/>
  <c r="C17" i="9"/>
  <c r="G14" i="9"/>
  <c r="F16" i="9"/>
  <c r="E17" i="9"/>
  <c r="C35" i="5"/>
  <c r="D36" i="5"/>
  <c r="D35" i="5"/>
  <c r="C41" i="5"/>
  <c r="E41" i="5"/>
  <c r="B41" i="5"/>
  <c r="D41" i="5"/>
  <c r="C6" i="7"/>
  <c r="C7" i="7" s="1"/>
  <c r="E36" i="5"/>
  <c r="B36" i="5"/>
  <c r="B35" i="5"/>
  <c r="I54" i="5" l="1"/>
  <c r="J53" i="5"/>
  <c r="F33" i="2"/>
  <c r="F37" i="2" s="1"/>
  <c r="G26" i="12"/>
  <c r="G29" i="12" s="1"/>
  <c r="G15" i="12"/>
  <c r="G14" i="12"/>
  <c r="G17" i="12" s="1"/>
  <c r="G8" i="12"/>
  <c r="G9" i="12"/>
  <c r="C50" i="2"/>
  <c r="D50" i="2"/>
  <c r="E50" i="2"/>
  <c r="B50" i="2"/>
  <c r="G47" i="1"/>
  <c r="G8" i="10"/>
  <c r="G46" i="1"/>
  <c r="C9" i="5"/>
  <c r="C28" i="1"/>
  <c r="C38" i="1" s="1"/>
  <c r="D28" i="1"/>
  <c r="D38" i="1" s="1"/>
  <c r="D9" i="5"/>
  <c r="E9" i="5"/>
  <c r="C9" i="7" s="1"/>
  <c r="E28" i="1"/>
  <c r="E38" i="1" s="1"/>
  <c r="B28" i="1"/>
  <c r="B38" i="1" s="1"/>
  <c r="B9" i="5"/>
  <c r="F57" i="9"/>
  <c r="C67" i="9"/>
  <c r="B69" i="9"/>
  <c r="B70" i="9" s="1"/>
  <c r="G59" i="9"/>
  <c r="F48" i="9"/>
  <c r="F16" i="1" s="1"/>
  <c r="G53" i="9"/>
  <c r="E63" i="9"/>
  <c r="D63" i="9"/>
  <c r="C63" i="9"/>
  <c r="G27" i="9"/>
  <c r="F33" i="9"/>
  <c r="G43" i="9"/>
  <c r="G10" i="9"/>
  <c r="H10" i="9" s="1"/>
  <c r="I10" i="9" s="1"/>
  <c r="J10" i="9" s="1"/>
  <c r="F9" i="9"/>
  <c r="I18" i="9"/>
  <c r="H14" i="9"/>
  <c r="G16" i="9"/>
  <c r="F13" i="9"/>
  <c r="F26" i="9" s="1"/>
  <c r="F9" i="1" s="1"/>
  <c r="J54" i="5" l="1"/>
  <c r="F59" i="5"/>
  <c r="G33" i="2"/>
  <c r="G37" i="2" s="1"/>
  <c r="H26" i="12"/>
  <c r="H29" i="12" s="1"/>
  <c r="G11" i="12"/>
  <c r="H15" i="12"/>
  <c r="H14" i="12"/>
  <c r="H17" i="12" s="1"/>
  <c r="H9" i="12"/>
  <c r="H8" i="12"/>
  <c r="H47" i="1"/>
  <c r="H46" i="1"/>
  <c r="C17" i="5"/>
  <c r="C20" i="5"/>
  <c r="C11" i="5"/>
  <c r="C41" i="1"/>
  <c r="C16" i="10"/>
  <c r="D41" i="1"/>
  <c r="D16" i="10"/>
  <c r="D17" i="5"/>
  <c r="D20" i="5"/>
  <c r="D11" i="5"/>
  <c r="E17" i="5"/>
  <c r="E20" i="5"/>
  <c r="E11" i="5"/>
  <c r="E41" i="1"/>
  <c r="E16" i="10"/>
  <c r="B41" i="1"/>
  <c r="B16" i="10"/>
  <c r="B20" i="5"/>
  <c r="B11" i="5"/>
  <c r="B21" i="5"/>
  <c r="F56" i="9"/>
  <c r="F47" i="9" s="1"/>
  <c r="F15" i="1" s="1"/>
  <c r="G57" i="9"/>
  <c r="H57" i="9" s="1"/>
  <c r="I57" i="9" s="1"/>
  <c r="J57" i="9" s="1"/>
  <c r="G48" i="9"/>
  <c r="H59" i="9"/>
  <c r="H53" i="9"/>
  <c r="G33" i="9"/>
  <c r="H27" i="9"/>
  <c r="H43" i="9"/>
  <c r="F19" i="9"/>
  <c r="F32" i="9"/>
  <c r="F25" i="9"/>
  <c r="G9" i="9"/>
  <c r="J18" i="9"/>
  <c r="H16" i="9"/>
  <c r="G13" i="9"/>
  <c r="G26" i="9" s="1"/>
  <c r="G9" i="1" s="1"/>
  <c r="I14" i="9"/>
  <c r="H33" i="2" l="1"/>
  <c r="H37" i="2" s="1"/>
  <c r="I26" i="12"/>
  <c r="I29" i="12" s="1"/>
  <c r="H11" i="12"/>
  <c r="I14" i="12"/>
  <c r="I15" i="12"/>
  <c r="I17" i="12"/>
  <c r="G56" i="9"/>
  <c r="H56" i="9" s="1"/>
  <c r="F46" i="9"/>
  <c r="F8" i="1"/>
  <c r="F11" i="1" s="1"/>
  <c r="J47" i="1"/>
  <c r="I47" i="1"/>
  <c r="I46" i="1"/>
  <c r="J46" i="1"/>
  <c r="C12" i="5"/>
  <c r="C18" i="5"/>
  <c r="C22" i="5"/>
  <c r="C44" i="5"/>
  <c r="C46" i="5" s="1"/>
  <c r="C16" i="5"/>
  <c r="C21" i="5"/>
  <c r="C44" i="1"/>
  <c r="C8" i="3"/>
  <c r="C33" i="3" s="1"/>
  <c r="C55" i="3" s="1"/>
  <c r="C43" i="1"/>
  <c r="D43" i="1"/>
  <c r="D44" i="1"/>
  <c r="D8" i="3"/>
  <c r="D33" i="3" s="1"/>
  <c r="D55" i="3" s="1"/>
  <c r="D12" i="5"/>
  <c r="D22" i="5"/>
  <c r="D18" i="5"/>
  <c r="D44" i="5"/>
  <c r="D46" i="5" s="1"/>
  <c r="D21" i="5"/>
  <c r="D16" i="5"/>
  <c r="E22" i="5"/>
  <c r="E12" i="5"/>
  <c r="C8" i="7" s="1"/>
  <c r="E18" i="5"/>
  <c r="E44" i="5"/>
  <c r="E46" i="5" s="1"/>
  <c r="C10" i="7"/>
  <c r="E21" i="5"/>
  <c r="E16" i="5"/>
  <c r="E8" i="3"/>
  <c r="E33" i="3" s="1"/>
  <c r="E55" i="3" s="1"/>
  <c r="E43" i="1"/>
  <c r="E44" i="1"/>
  <c r="B43" i="1"/>
  <c r="B8" i="3"/>
  <c r="B33" i="3" s="1"/>
  <c r="B55" i="3" s="1"/>
  <c r="B57" i="3" s="1"/>
  <c r="C56" i="3" s="1"/>
  <c r="B44" i="1"/>
  <c r="B12" i="5"/>
  <c r="B22" i="5"/>
  <c r="B44" i="5"/>
  <c r="B46" i="5" s="1"/>
  <c r="H48" i="9"/>
  <c r="I59" i="9"/>
  <c r="I53" i="9"/>
  <c r="G47" i="9"/>
  <c r="G15" i="1" s="1"/>
  <c r="H33" i="9"/>
  <c r="I27" i="9"/>
  <c r="I43" i="9"/>
  <c r="F31" i="9"/>
  <c r="F28" i="9"/>
  <c r="F66" i="9" s="1"/>
  <c r="G19" i="9"/>
  <c r="G32" i="9"/>
  <c r="G25" i="9"/>
  <c r="H9" i="9"/>
  <c r="I16" i="9"/>
  <c r="H13" i="9"/>
  <c r="H26" i="9" s="1"/>
  <c r="H9" i="1" s="1"/>
  <c r="J14" i="9"/>
  <c r="I33" i="2" l="1"/>
  <c r="I37" i="2" s="1"/>
  <c r="J26" i="12"/>
  <c r="J29" i="12" s="1"/>
  <c r="J33" i="2" s="1"/>
  <c r="J37" i="2" s="1"/>
  <c r="I9" i="12"/>
  <c r="I8" i="12"/>
  <c r="I11" i="12" s="1"/>
  <c r="J15" i="12"/>
  <c r="J14" i="12"/>
  <c r="J17" i="12" s="1"/>
  <c r="F14" i="1"/>
  <c r="F18" i="1" s="1"/>
  <c r="F20" i="1" s="1"/>
  <c r="F50" i="9"/>
  <c r="F68" i="9" s="1"/>
  <c r="F23" i="1"/>
  <c r="F24" i="1"/>
  <c r="G46" i="9"/>
  <c r="G14" i="1" s="1"/>
  <c r="G18" i="1" s="1"/>
  <c r="G8" i="1"/>
  <c r="G11" i="1" s="1"/>
  <c r="C57" i="3"/>
  <c r="D56" i="3" s="1"/>
  <c r="D57" i="3" s="1"/>
  <c r="E56" i="3" s="1"/>
  <c r="E57" i="3" s="1"/>
  <c r="C48" i="5"/>
  <c r="C49" i="5"/>
  <c r="C50" i="5"/>
  <c r="D49" i="5"/>
  <c r="D50" i="5"/>
  <c r="D48" i="5"/>
  <c r="E50" i="5"/>
  <c r="E49" i="5"/>
  <c r="E48" i="5"/>
  <c r="C11" i="7"/>
  <c r="B50" i="5"/>
  <c r="B49" i="5"/>
  <c r="G50" i="9"/>
  <c r="G68" i="9" s="1"/>
  <c r="F67" i="9"/>
  <c r="F69" i="9"/>
  <c r="F70" i="9" s="1"/>
  <c r="I48" i="9"/>
  <c r="J59" i="9"/>
  <c r="J53" i="9"/>
  <c r="H47" i="9"/>
  <c r="H15" i="1" s="1"/>
  <c r="I56" i="9"/>
  <c r="F37" i="9"/>
  <c r="F62" i="9"/>
  <c r="F63" i="9" s="1"/>
  <c r="I33" i="9"/>
  <c r="J27" i="9"/>
  <c r="J43" i="9"/>
  <c r="F38" i="9"/>
  <c r="F42" i="9"/>
  <c r="F39" i="9"/>
  <c r="F34" i="9"/>
  <c r="F40" i="9"/>
  <c r="G31" i="9"/>
  <c r="G28" i="9"/>
  <c r="G66" i="9" s="1"/>
  <c r="H19" i="9"/>
  <c r="H32" i="9"/>
  <c r="H25" i="9"/>
  <c r="I9" i="9"/>
  <c r="J16" i="9"/>
  <c r="J13" i="9" s="1"/>
  <c r="J26" i="9" s="1"/>
  <c r="J9" i="1" s="1"/>
  <c r="I13" i="9"/>
  <c r="I26" i="9" s="1"/>
  <c r="I9" i="1" s="1"/>
  <c r="J8" i="12" l="1"/>
  <c r="J9" i="12"/>
  <c r="J11" i="12" s="1"/>
  <c r="G23" i="1"/>
  <c r="G24" i="1"/>
  <c r="F28" i="1"/>
  <c r="F38" i="1" s="1"/>
  <c r="F39" i="1" s="1"/>
  <c r="F41" i="1" s="1"/>
  <c r="F7" i="13" s="1"/>
  <c r="F21" i="13" s="1"/>
  <c r="G20" i="1"/>
  <c r="H46" i="9"/>
  <c r="H14" i="1" s="1"/>
  <c r="H18" i="1" s="1"/>
  <c r="H8" i="1"/>
  <c r="H11" i="1" s="1"/>
  <c r="J48" i="9"/>
  <c r="H50" i="9"/>
  <c r="H68" i="9" s="1"/>
  <c r="G67" i="9"/>
  <c r="G69" i="9"/>
  <c r="G70" i="9" s="1"/>
  <c r="I47" i="9"/>
  <c r="I15" i="1" s="1"/>
  <c r="J56" i="9"/>
  <c r="J47" i="9" s="1"/>
  <c r="J15" i="1" s="1"/>
  <c r="G37" i="9"/>
  <c r="G62" i="9"/>
  <c r="G63" i="9" s="1"/>
  <c r="J33" i="9"/>
  <c r="G38" i="9"/>
  <c r="G39" i="9"/>
  <c r="G42" i="9"/>
  <c r="G34" i="9"/>
  <c r="G40" i="9"/>
  <c r="H31" i="9"/>
  <c r="H28" i="9"/>
  <c r="H66" i="9" s="1"/>
  <c r="J19" i="9"/>
  <c r="J32" i="9"/>
  <c r="I19" i="9"/>
  <c r="I32" i="9"/>
  <c r="I25" i="9"/>
  <c r="J9" i="9"/>
  <c r="J25" i="9" s="1"/>
  <c r="F22" i="12" l="1"/>
  <c r="F21" i="12"/>
  <c r="F43" i="1"/>
  <c r="F44" i="1"/>
  <c r="H23" i="1"/>
  <c r="H24" i="1"/>
  <c r="G28" i="1"/>
  <c r="H20" i="1"/>
  <c r="H28" i="1" s="1"/>
  <c r="I46" i="9"/>
  <c r="I14" i="1" s="1"/>
  <c r="I18" i="1" s="1"/>
  <c r="I8" i="1"/>
  <c r="I11" i="1" s="1"/>
  <c r="J46" i="9"/>
  <c r="J14" i="1" s="1"/>
  <c r="J18" i="1" s="1"/>
  <c r="J8" i="1"/>
  <c r="J11" i="1" s="1"/>
  <c r="I50" i="9"/>
  <c r="I68" i="9" s="1"/>
  <c r="J50" i="9"/>
  <c r="J68" i="9" s="1"/>
  <c r="H67" i="9"/>
  <c r="H69" i="9"/>
  <c r="H70" i="9" s="1"/>
  <c r="H37" i="9"/>
  <c r="H62" i="9"/>
  <c r="H63" i="9" s="1"/>
  <c r="H38" i="9"/>
  <c r="H42" i="9"/>
  <c r="H39" i="9"/>
  <c r="H34" i="9"/>
  <c r="H40" i="9"/>
  <c r="I31" i="9"/>
  <c r="I28" i="9"/>
  <c r="I66" i="9" s="1"/>
  <c r="J31" i="9"/>
  <c r="J28" i="9"/>
  <c r="J66" i="9" s="1"/>
  <c r="F23" i="12" l="1"/>
  <c r="F36" i="13"/>
  <c r="F37" i="13" s="1"/>
  <c r="F39" i="13" s="1"/>
  <c r="F41" i="13" s="1"/>
  <c r="I24" i="1"/>
  <c r="I23" i="1"/>
  <c r="J23" i="1"/>
  <c r="J24" i="1"/>
  <c r="J20" i="1"/>
  <c r="I20" i="1"/>
  <c r="I67" i="9"/>
  <c r="I69" i="9"/>
  <c r="I70" i="9" s="1"/>
  <c r="J67" i="9"/>
  <c r="J69" i="9"/>
  <c r="J70" i="9" s="1"/>
  <c r="I37" i="9"/>
  <c r="I62" i="9"/>
  <c r="I63" i="9" s="1"/>
  <c r="J37" i="9"/>
  <c r="J62" i="9"/>
  <c r="I38" i="9"/>
  <c r="I42" i="9"/>
  <c r="I39" i="9"/>
  <c r="I34" i="9"/>
  <c r="I40" i="9"/>
  <c r="J38" i="9"/>
  <c r="J39" i="9"/>
  <c r="J42" i="9"/>
  <c r="J34" i="9"/>
  <c r="J40" i="9"/>
  <c r="F46" i="2" l="1"/>
  <c r="F47" i="2" s="1"/>
  <c r="G20" i="12"/>
  <c r="G40" i="13"/>
  <c r="F9" i="2"/>
  <c r="F27" i="2"/>
  <c r="J28" i="1"/>
  <c r="I28" i="1"/>
  <c r="J63" i="9"/>
  <c r="F14" i="2" l="1"/>
  <c r="F23" i="2" s="1"/>
  <c r="F32" i="12"/>
  <c r="G34" i="12" s="1"/>
  <c r="G31" i="1" s="1"/>
  <c r="F31" i="2"/>
  <c r="F38" i="2" s="1"/>
  <c r="F48" i="2" s="1"/>
  <c r="F37" i="12"/>
  <c r="G39" i="12" s="1"/>
  <c r="G32" i="1" s="1"/>
  <c r="G38" i="1" l="1"/>
  <c r="G39" i="1" s="1"/>
  <c r="G41" i="1" s="1"/>
  <c r="F50" i="2"/>
  <c r="G7" i="13" l="1"/>
  <c r="G21" i="13" s="1"/>
  <c r="G21" i="12"/>
  <c r="G44" i="1"/>
  <c r="G43" i="1"/>
  <c r="G22" i="12"/>
  <c r="G23" i="12" l="1"/>
  <c r="G36" i="13"/>
  <c r="G37" i="13" s="1"/>
  <c r="G39" i="13" s="1"/>
  <c r="G41" i="13" s="1"/>
  <c r="H20" i="12" l="1"/>
  <c r="G46" i="2"/>
  <c r="G47" i="2" s="1"/>
  <c r="G9" i="2"/>
  <c r="H40" i="13"/>
  <c r="G27" i="2"/>
  <c r="G32" i="12" l="1"/>
  <c r="H34" i="12" s="1"/>
  <c r="H31" i="1" s="1"/>
  <c r="G14" i="2"/>
  <c r="G23" i="2" s="1"/>
  <c r="G31" i="2"/>
  <c r="G38" i="2" s="1"/>
  <c r="G48" i="2" s="1"/>
  <c r="G37" i="12"/>
  <c r="H39" i="12" s="1"/>
  <c r="H32" i="1" s="1"/>
  <c r="G50" i="2" l="1"/>
  <c r="H38" i="1"/>
  <c r="H39" i="1" s="1"/>
  <c r="H41" i="1" s="1"/>
  <c r="H43" i="1" l="1"/>
  <c r="H7" i="13"/>
  <c r="H21" i="13" s="1"/>
  <c r="H22" i="12"/>
  <c r="H44" i="1"/>
  <c r="H21" i="12"/>
  <c r="H23" i="12" l="1"/>
  <c r="H36" i="13"/>
  <c r="H37" i="13" s="1"/>
  <c r="H39" i="13" s="1"/>
  <c r="H41" i="13" s="1"/>
  <c r="H46" i="2" l="1"/>
  <c r="H47" i="2" s="1"/>
  <c r="I20" i="12"/>
  <c r="H9" i="2"/>
  <c r="I40" i="13"/>
  <c r="H27" i="2"/>
  <c r="H32" i="12" l="1"/>
  <c r="I34" i="12" s="1"/>
  <c r="I31" i="1" s="1"/>
  <c r="H14" i="2"/>
  <c r="H23" i="2" s="1"/>
  <c r="H31" i="2"/>
  <c r="H38" i="2" s="1"/>
  <c r="H48" i="2" s="1"/>
  <c r="H37" i="12"/>
  <c r="I39" i="12" s="1"/>
  <c r="I32" i="1" s="1"/>
  <c r="H50" i="2" l="1"/>
  <c r="I38" i="1"/>
  <c r="I39" i="1" s="1"/>
  <c r="I41" i="1" s="1"/>
  <c r="I43" i="1" l="1"/>
  <c r="I44" i="1"/>
  <c r="I22" i="12"/>
  <c r="I21" i="12"/>
  <c r="I7" i="13"/>
  <c r="I21" i="13" s="1"/>
  <c r="I23" i="12" l="1"/>
  <c r="I36" i="13"/>
  <c r="I37" i="13" s="1"/>
  <c r="I39" i="13" s="1"/>
  <c r="I41" i="13" s="1"/>
  <c r="J20" i="12" l="1"/>
  <c r="I46" i="2"/>
  <c r="I47" i="2" s="1"/>
  <c r="I9" i="2"/>
  <c r="J40" i="13"/>
  <c r="I27" i="2"/>
  <c r="I14" i="2" l="1"/>
  <c r="I23" i="2" s="1"/>
  <c r="I32" i="12"/>
  <c r="J34" i="12" s="1"/>
  <c r="J31" i="1" s="1"/>
  <c r="I31" i="2"/>
  <c r="I38" i="2" s="1"/>
  <c r="I48" i="2" s="1"/>
  <c r="I37" i="12"/>
  <c r="J39" i="12" s="1"/>
  <c r="J32" i="1" s="1"/>
  <c r="J38" i="1" l="1"/>
  <c r="J39" i="1" s="1"/>
  <c r="J41" i="1" s="1"/>
  <c r="I50" i="2"/>
  <c r="J22" i="12" l="1"/>
  <c r="J21" i="12"/>
  <c r="J7" i="13"/>
  <c r="J21" i="13" s="1"/>
  <c r="J44" i="1"/>
  <c r="J43" i="1"/>
  <c r="J23" i="12" l="1"/>
  <c r="J46" i="2" s="1"/>
  <c r="J47" i="2" s="1"/>
  <c r="J36" i="13"/>
  <c r="J37" i="13" s="1"/>
  <c r="J39" i="13" s="1"/>
  <c r="J41" i="13" s="1"/>
  <c r="J9" i="2" l="1"/>
  <c r="J27" i="2"/>
  <c r="J14" i="2" l="1"/>
  <c r="J23" i="2" s="1"/>
  <c r="J32" i="12"/>
  <c r="J37" i="12"/>
  <c r="J31" i="2"/>
  <c r="J38" i="2" s="1"/>
  <c r="J48" i="2" s="1"/>
  <c r="J50" i="2" s="1"/>
</calcChain>
</file>

<file path=xl/sharedStrings.xml><?xml version="1.0" encoding="utf-8"?>
<sst xmlns="http://schemas.openxmlformats.org/spreadsheetml/2006/main" count="368" uniqueCount="263">
  <si>
    <t>TOAST, INC.</t>
  </si>
  <si>
    <t>Consolidated Statements of Operations</t>
  </si>
  <si>
    <t>(in millions, except per share amounts)</t>
  </si>
  <si>
    <t>Year Ended December 31,</t>
  </si>
  <si>
    <t>2022</t>
  </si>
  <si>
    <t>2023</t>
  </si>
  <si>
    <t>2024</t>
  </si>
  <si>
    <t>2025</t>
  </si>
  <si>
    <t>Revenue:</t>
  </si>
  <si>
    <t>Subscription services</t>
  </si>
  <si>
    <t>Financial technology solutions</t>
  </si>
  <si>
    <t>Hardware and professional services</t>
  </si>
  <si>
    <t>Total revenue</t>
  </si>
  <si>
    <t>Costs of revenue:</t>
  </si>
  <si>
    <t>Amortization of acquired intangible assets</t>
  </si>
  <si>
    <t>Total costs of revenue</t>
  </si>
  <si>
    <t>Gross profit</t>
  </si>
  <si>
    <t>Operating expenses:</t>
  </si>
  <si>
    <t>Sales and marketing</t>
  </si>
  <si>
    <t>Research and development</t>
  </si>
  <si>
    <t>General and administrative</t>
  </si>
  <si>
    <t>Restructuring expenses</t>
  </si>
  <si>
    <t>Income (loss) from operations</t>
  </si>
  <si>
    <t>Other income (expenses):</t>
  </si>
  <si>
    <t>Change in fair value of warrant liability</t>
  </si>
  <si>
    <t>Change in fair value of derivative liability</t>
  </si>
  <si>
    <t>Loss on debt extinguishment</t>
  </si>
  <si>
    <t>Other income, net</t>
  </si>
  <si>
    <t>Income (loss) before income taxes</t>
  </si>
  <si>
    <t>Income tax (expense) benefit</t>
  </si>
  <si>
    <t>Net income (loss)</t>
  </si>
  <si>
    <t>Basic</t>
  </si>
  <si>
    <t>Diluted</t>
  </si>
  <si>
    <t>Consolidated Balance Sheets</t>
  </si>
  <si>
    <t>(in millions, except for number of shares and par value)</t>
  </si>
  <si>
    <t>December 31,</t>
  </si>
  <si>
    <t>Assets:</t>
  </si>
  <si>
    <t>Current Assets:</t>
  </si>
  <si>
    <t>Cash and cash equivalents</t>
  </si>
  <si>
    <t>Marketable securities</t>
  </si>
  <si>
    <t>Accounts receivable, net</t>
  </si>
  <si>
    <t>Inventories, net</t>
  </si>
  <si>
    <t>Other current assets</t>
  </si>
  <si>
    <t>Total current assets</t>
  </si>
  <si>
    <t>Property and equipment, net</t>
  </si>
  <si>
    <t>Operating lease right-of-use assets</t>
  </si>
  <si>
    <t>Intangible assets, net</t>
  </si>
  <si>
    <t>Goodwill</t>
  </si>
  <si>
    <t>Restricted cash</t>
  </si>
  <si>
    <t>Other non-current assets</t>
  </si>
  <si>
    <t>Total non-current assets</t>
  </si>
  <si>
    <t>Total assets</t>
  </si>
  <si>
    <t>Liabilities and Stockholders' Equity</t>
  </si>
  <si>
    <t>Current liabilities:</t>
  </si>
  <si>
    <t>Accounts payable</t>
  </si>
  <si>
    <t>Deferred revenue</t>
  </si>
  <si>
    <t>Accrued expenses and other current liabilities</t>
  </si>
  <si>
    <t>Total current liabilities</t>
  </si>
  <si>
    <t>Warrants to purchase common stock</t>
  </si>
  <si>
    <t>Operating lease liabilities, non-current</t>
  </si>
  <si>
    <t>Other long-term liabilities</t>
  </si>
  <si>
    <t>Total liabilities</t>
  </si>
  <si>
    <t>Stockholders' Equity:</t>
  </si>
  <si>
    <t>Preferred stock</t>
  </si>
  <si>
    <t>Common stock</t>
  </si>
  <si>
    <t>Treasury stock</t>
  </si>
  <si>
    <t>Accumulated other comprehensive income (loss)</t>
  </si>
  <si>
    <t>Additional paid-in capital</t>
  </si>
  <si>
    <t>Accumulated deficit</t>
  </si>
  <si>
    <t>Total stockholders' equity</t>
  </si>
  <si>
    <t>Total liabilities and stockholders' equity</t>
  </si>
  <si>
    <t>Consolidated Statements of Cash Flows</t>
  </si>
  <si>
    <t>(in millions)</t>
  </si>
  <si>
    <t>Cash flows from operating activities:</t>
  </si>
  <si>
    <t>Adjustments to reconcile net income (loss) to net cash provided by (used in) operating activities:</t>
  </si>
  <si>
    <t>Stock-based compensation expense</t>
  </si>
  <si>
    <t>Amortization of deferred contract acquisition costs</t>
  </si>
  <si>
    <t>Credit loss expense</t>
  </si>
  <si>
    <t>Non-cash interest on convertible notes</t>
  </si>
  <si>
    <t>Stock-based charitable contribution expense</t>
  </si>
  <si>
    <t>Asset impairments</t>
  </si>
  <si>
    <t>Gain on warrant extinguishment</t>
  </si>
  <si>
    <t>Other non-cash items</t>
  </si>
  <si>
    <t>Changes in operating assets and liabilities:</t>
  </si>
  <si>
    <t>Deferred contract acquisition costs</t>
  </si>
  <si>
    <t>Operating lease right-of-use assets and operating lease liabilities, net</t>
  </si>
  <si>
    <t>Other assets and liabilities</t>
  </si>
  <si>
    <t>Net cash provided by (used in) operating activities</t>
  </si>
  <si>
    <t>Cash flows from investing activities:</t>
  </si>
  <si>
    <t>Cash paid for acquisition, net of cash acquired</t>
  </si>
  <si>
    <t>Capital expenditures</t>
  </si>
  <si>
    <t>Purchases of marketable securities</t>
  </si>
  <si>
    <t>Proceeds from the sale of marketable securities</t>
  </si>
  <si>
    <t>Maturities of marketable securities</t>
  </si>
  <si>
    <t>Other investing activities</t>
  </si>
  <si>
    <t>Net cash used in investing activities</t>
  </si>
  <si>
    <t>Cash flows from financing activities:</t>
  </si>
  <si>
    <t>Payments of issuance costs of the revolving credit facility</t>
  </si>
  <si>
    <t>Proceeds from issuance of common stock</t>
  </si>
  <si>
    <t>Change in customer funds obligations, net</t>
  </si>
  <si>
    <t>Warrant repurchase</t>
  </si>
  <si>
    <t>Repurchases of Class A common stock</t>
  </si>
  <si>
    <t>Other financing activities</t>
  </si>
  <si>
    <t>Net cash provided by financing activities</t>
  </si>
  <si>
    <t>Effect of exchange rate changes on cash and cash equivalents and restricted cash</t>
  </si>
  <si>
    <t>Net increase (decrease) in cash, cash equivalents, cash held on behalf of customers and restricted cash</t>
  </si>
  <si>
    <t>Cash, cash equivalents, cash held on behalf of customers and restricted cash at beginning of period</t>
  </si>
  <si>
    <t>Cash, cash equivalents, cash held on behalf of customers and restricted cash at end of period</t>
  </si>
  <si>
    <t>Reconciliation of cash, cash equivalents, cash held on behalf of customers and restricted cash</t>
  </si>
  <si>
    <t>Cash held on behalf of customers</t>
  </si>
  <si>
    <t>Total cash, cash equivalents, cash held on behalf of customers and restricted cash</t>
  </si>
  <si>
    <t xml:space="preserve">Total long-term liabilities </t>
  </si>
  <si>
    <t>Balance</t>
  </si>
  <si>
    <t>Metrics</t>
  </si>
  <si>
    <t>Revenue Growth YoY:</t>
  </si>
  <si>
    <t>Total Revenue</t>
  </si>
  <si>
    <t>Revenue % Breakdown:</t>
  </si>
  <si>
    <t>Gross Margin</t>
  </si>
  <si>
    <t>EBIT</t>
  </si>
  <si>
    <t>Normalized Earnings</t>
  </si>
  <si>
    <t>Normalized EPS</t>
  </si>
  <si>
    <t>Growth Rates:</t>
  </si>
  <si>
    <t>Net Income</t>
  </si>
  <si>
    <t>Margins:</t>
  </si>
  <si>
    <t>Basic WASO Change</t>
  </si>
  <si>
    <t>Diluted WASO Change</t>
  </si>
  <si>
    <t>INCOME STATEMENT</t>
  </si>
  <si>
    <t>BALANCE SHEET</t>
  </si>
  <si>
    <t>Quick Ratio</t>
  </si>
  <si>
    <t>NOWC</t>
  </si>
  <si>
    <t>Total Debt</t>
  </si>
  <si>
    <t>Debt to cash</t>
  </si>
  <si>
    <t>Total Cash</t>
  </si>
  <si>
    <t>Debt to equity</t>
  </si>
  <si>
    <t>LT Assets to LT Liabilities</t>
  </si>
  <si>
    <t>Assets to Liabilities</t>
  </si>
  <si>
    <t>Total Operating Assets</t>
  </si>
  <si>
    <t>Total Operating Liabilities</t>
  </si>
  <si>
    <t>Opertating Assets to Operating Liabilities</t>
  </si>
  <si>
    <t>CASH FLOW STATEMENT</t>
  </si>
  <si>
    <t>Normalized OCF (less SBC)</t>
  </si>
  <si>
    <t>Reinvestment</t>
  </si>
  <si>
    <t>FCF</t>
  </si>
  <si>
    <t>FCF Growth</t>
  </si>
  <si>
    <t>FCF Margin</t>
  </si>
  <si>
    <t>FCF / Share</t>
  </si>
  <si>
    <t>TOST</t>
  </si>
  <si>
    <t>Shares</t>
  </si>
  <si>
    <t>MC</t>
  </si>
  <si>
    <t>Cash</t>
  </si>
  <si>
    <t>Debt</t>
  </si>
  <si>
    <t>EV</t>
  </si>
  <si>
    <t>P/E</t>
  </si>
  <si>
    <t>EV/EBIT</t>
  </si>
  <si>
    <t>EV/EBITDA</t>
  </si>
  <si>
    <t>EBITDA</t>
  </si>
  <si>
    <t>EV/FCF</t>
  </si>
  <si>
    <t>ARR</t>
  </si>
  <si>
    <t>Gross Payment Volume</t>
  </si>
  <si>
    <t>Locations</t>
  </si>
  <si>
    <t>GPV / Location</t>
  </si>
  <si>
    <t>Fintech Sales / GPV</t>
  </si>
  <si>
    <t>Fintech Sales / Location (Not $mm)</t>
  </si>
  <si>
    <t>FINTECH SALES CALCS:</t>
  </si>
  <si>
    <t>Location growth</t>
  </si>
  <si>
    <t>GPV / Location % Growth</t>
  </si>
  <si>
    <t>SUBSCRIPTION SALES CALCS:</t>
  </si>
  <si>
    <t>Sub Revenue / Location</t>
  </si>
  <si>
    <t>ARR / Total Sales</t>
  </si>
  <si>
    <t>ARR per Location growth %</t>
  </si>
  <si>
    <t>Hardware Growth Rate</t>
  </si>
  <si>
    <t>Segment COGS Margin %:</t>
  </si>
  <si>
    <t>Change</t>
  </si>
  <si>
    <t>Total COGS Margin</t>
  </si>
  <si>
    <t>Total Sales</t>
  </si>
  <si>
    <t>Growth %</t>
  </si>
  <si>
    <t>Total COGS</t>
  </si>
  <si>
    <t>Gross Profit</t>
  </si>
  <si>
    <t>SUMMARY</t>
  </si>
  <si>
    <t>HARDWARE SALES CALCS:</t>
  </si>
  <si>
    <t>Revenue + COGS Forecast</t>
  </si>
  <si>
    <t>Core Assumptions</t>
  </si>
  <si>
    <t>Sales and marketing- % of sales</t>
  </si>
  <si>
    <t>Research and development- % of sales</t>
  </si>
  <si>
    <t>Restructuring expenses- $</t>
  </si>
  <si>
    <t>Change in fair value of warrant liability- $</t>
  </si>
  <si>
    <t>Change in fair value of derivative liability- $</t>
  </si>
  <si>
    <t>Loss on debt extinguishment- $</t>
  </si>
  <si>
    <t>Other income, net- $</t>
  </si>
  <si>
    <t>ETR</t>
  </si>
  <si>
    <t>Basic WASO</t>
  </si>
  <si>
    <t>Diluted WASO</t>
  </si>
  <si>
    <t>General and administrative- $</t>
  </si>
  <si>
    <t xml:space="preserve">Depreciation  </t>
  </si>
  <si>
    <t xml:space="preserve">Amortization  </t>
  </si>
  <si>
    <t>Marketable securities- $</t>
  </si>
  <si>
    <t>Accounts receivable, net- % of sales</t>
  </si>
  <si>
    <t>Inventories, net- % of COGS</t>
  </si>
  <si>
    <t>Other current assets- % of sales</t>
  </si>
  <si>
    <t>Operating lease right-of-use assets- $</t>
  </si>
  <si>
    <t>Goodwill- $</t>
  </si>
  <si>
    <t>Restricted cash- $</t>
  </si>
  <si>
    <t>Other non-current assets- % of Sales</t>
  </si>
  <si>
    <t>Accounts payable- % of COGS</t>
  </si>
  <si>
    <t>Deferred revenue- % of Sales</t>
  </si>
  <si>
    <t>Accrued expenses and other current liabilities- % of COGS</t>
  </si>
  <si>
    <t>Warrants to purchase common stock- $</t>
  </si>
  <si>
    <t>Operating lease liabilities, non-current- $</t>
  </si>
  <si>
    <t>Other long-term liabilities- % of COGS</t>
  </si>
  <si>
    <t>Preferred stock- $</t>
  </si>
  <si>
    <t>Common stock- $</t>
  </si>
  <si>
    <t>Treasury stock- $</t>
  </si>
  <si>
    <t>Accumulated other comprehensive income (loss)- $</t>
  </si>
  <si>
    <t>Additional paid-in capital- $</t>
  </si>
  <si>
    <t>OTHER</t>
  </si>
  <si>
    <t>Amortization- % of Prev Intangibles</t>
  </si>
  <si>
    <t>CapEx</t>
  </si>
  <si>
    <t>CapEx- % of Sales</t>
  </si>
  <si>
    <t>Depreciation- % of Prev PPE</t>
  </si>
  <si>
    <t>D&amp;A</t>
  </si>
  <si>
    <t>Revolver</t>
  </si>
  <si>
    <t>Calculations</t>
  </si>
  <si>
    <t>PPE Schedule</t>
  </si>
  <si>
    <t>Beginning</t>
  </si>
  <si>
    <t>Depreciation</t>
  </si>
  <si>
    <t>Ending</t>
  </si>
  <si>
    <t>Intangibles Schedule</t>
  </si>
  <si>
    <t>Amortization</t>
  </si>
  <si>
    <t>Additions to</t>
  </si>
  <si>
    <t>RE Schedule</t>
  </si>
  <si>
    <t>Shareholder return</t>
  </si>
  <si>
    <t>Net income</t>
  </si>
  <si>
    <t>Additions to intangibles- $</t>
  </si>
  <si>
    <t>Interest Expense</t>
  </si>
  <si>
    <t>Interest income</t>
  </si>
  <si>
    <t>Interest Earned on cash</t>
  </si>
  <si>
    <t>Debt Issuance</t>
  </si>
  <si>
    <t>Repayment of Debt- $</t>
  </si>
  <si>
    <t>Debt Issuance- $</t>
  </si>
  <si>
    <t>Interest payed on debt</t>
  </si>
  <si>
    <t>Debt Schedule</t>
  </si>
  <si>
    <t>Repayments</t>
  </si>
  <si>
    <t>Issuance</t>
  </si>
  <si>
    <t>Rate earned</t>
  </si>
  <si>
    <t>Interest Expense Schedule</t>
  </si>
  <si>
    <t>Rate payed</t>
  </si>
  <si>
    <t>Expense</t>
  </si>
  <si>
    <t>Income</t>
  </si>
  <si>
    <t>Interest Income Schedule</t>
  </si>
  <si>
    <t>Shareholder Return- % of Net income</t>
  </si>
  <si>
    <t>LT Debt</t>
  </si>
  <si>
    <t>Cash + marketable securities</t>
  </si>
  <si>
    <t>Forecasted Cash Flow</t>
  </si>
  <si>
    <t>CFFO</t>
  </si>
  <si>
    <t>Additions to intangibles</t>
  </si>
  <si>
    <t>Marketable security change</t>
  </si>
  <si>
    <t>CFFI</t>
  </si>
  <si>
    <t>Warrant repurchase change</t>
  </si>
  <si>
    <t>Debt Repayment</t>
  </si>
  <si>
    <t>CFFF</t>
  </si>
  <si>
    <t>Change in cash</t>
  </si>
  <si>
    <t>Beginning cash</t>
  </si>
  <si>
    <t>Ending 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</si>
</sst>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  <numFmt numFmtId="166" formatCode="0.0%"/>
  </numFmts>
  <fonts count="15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Arial"/>
      <family val="2"/>
    </font>
    <font>
      <sz val="10"/>
      <name val="Arial"/>
      <family val="2"/>
    </font>
    <font>
      <b/>
      <u/>
      <sz val="11"/>
      <color theme="1"/>
      <name val="Calibri"/>
      <family val="2"/>
      <scheme val="minor"/>
    </font>
    <font>
      <b/>
      <u/>
      <sz val="10"/>
      <name val="Arial"/>
      <family val="2"/>
    </font>
    <font>
      <i/>
      <sz val="10"/>
      <name val="Arial"/>
      <family val="2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5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4" fillId="0" borderId="0" xfId="0" applyFont="1"/>
    <xf numFmtId="0" fontId="5" fillId="0" borderId="0" xfId="0" applyFont="1" applyAlignment="1">
      <alignment indent="1"/>
    </xf>
    <xf numFmtId="0" fontId="4" fillId="0" borderId="1" xfId="0" applyFont="1" applyBorder="1" applyAlignment="1">
      <alignment indent="2"/>
    </xf>
    <xf numFmtId="0" fontId="4" fillId="0" borderId="1" xfId="0" applyFont="1" applyBorder="1"/>
    <xf numFmtId="0" fontId="4" fillId="0" borderId="2" xfId="0" applyFont="1" applyBorder="1"/>
    <xf numFmtId="0" fontId="5" fillId="0" borderId="0" xfId="0" applyFont="1"/>
    <xf numFmtId="0" fontId="4" fillId="0" borderId="1" xfId="0" applyFont="1" applyBorder="1" applyAlignment="1">
      <alignment indent="1"/>
    </xf>
    <xf numFmtId="43" fontId="5" fillId="0" borderId="0" xfId="1" applyFont="1"/>
    <xf numFmtId="43" fontId="0" fillId="0" borderId="0" xfId="1" applyFont="1"/>
    <xf numFmtId="164" fontId="0" fillId="0" borderId="0" xfId="1" applyNumberFormat="1" applyFont="1"/>
    <xf numFmtId="165" fontId="5" fillId="0" borderId="0" xfId="1" applyNumberFormat="1" applyFont="1"/>
    <xf numFmtId="165" fontId="4" fillId="0" borderId="1" xfId="1" applyNumberFormat="1" applyFont="1" applyBorder="1"/>
    <xf numFmtId="165" fontId="0" fillId="0" borderId="0" xfId="1" applyNumberFormat="1" applyFont="1"/>
    <xf numFmtId="165" fontId="4" fillId="0" borderId="0" xfId="1" applyNumberFormat="1" applyFont="1"/>
    <xf numFmtId="165" fontId="4" fillId="0" borderId="2" xfId="1" applyNumberFormat="1" applyFont="1" applyBorder="1"/>
    <xf numFmtId="165" fontId="0" fillId="0" borderId="0" xfId="0" applyNumberFormat="1"/>
    <xf numFmtId="0" fontId="7" fillId="0" borderId="0" xfId="0" applyFont="1" applyAlignment="1">
      <alignment indent="1"/>
    </xf>
    <xf numFmtId="165" fontId="7" fillId="0" borderId="0" xfId="1" applyNumberFormat="1" applyFont="1"/>
    <xf numFmtId="0" fontId="8" fillId="0" borderId="0" xfId="0" applyFont="1"/>
    <xf numFmtId="0" fontId="9" fillId="0" borderId="0" xfId="0" applyFont="1"/>
    <xf numFmtId="9" fontId="0" fillId="0" borderId="0" xfId="0" applyNumberFormat="1"/>
    <xf numFmtId="166" fontId="0" fillId="0" borderId="0" xfId="0" applyNumberFormat="1"/>
    <xf numFmtId="0" fontId="10" fillId="0" borderId="0" xfId="0" applyFont="1" applyAlignment="1">
      <alignment indent="1"/>
    </xf>
    <xf numFmtId="166" fontId="8" fillId="0" borderId="0" xfId="0" applyNumberFormat="1" applyFont="1"/>
    <xf numFmtId="43" fontId="0" fillId="0" borderId="0" xfId="0" applyNumberFormat="1"/>
    <xf numFmtId="0" fontId="10" fillId="0" borderId="0" xfId="0" applyFont="1" applyAlignment="1">
      <alignment horizontal="left"/>
    </xf>
    <xf numFmtId="0" fontId="11" fillId="0" borderId="0" xfId="0" applyFont="1"/>
    <xf numFmtId="165" fontId="8" fillId="0" borderId="0" xfId="0" applyNumberFormat="1" applyFont="1"/>
    <xf numFmtId="0" fontId="11" fillId="0" borderId="1" xfId="0" applyFont="1" applyBorder="1"/>
    <xf numFmtId="0" fontId="0" fillId="0" borderId="1" xfId="0" applyBorder="1"/>
    <xf numFmtId="166" fontId="0" fillId="0" borderId="0" xfId="1" applyNumberFormat="1" applyFont="1"/>
    <xf numFmtId="43" fontId="8" fillId="0" borderId="0" xfId="1" applyFont="1"/>
    <xf numFmtId="164" fontId="0" fillId="0" borderId="0" xfId="0" applyNumberFormat="1"/>
    <xf numFmtId="0" fontId="4" fillId="0" borderId="0" xfId="0" applyFont="1" applyAlignment="1">
      <alignment indent="2"/>
    </xf>
    <xf numFmtId="165" fontId="4" fillId="0" borderId="0" xfId="1" applyNumberFormat="1" applyFont="1" applyBorder="1"/>
    <xf numFmtId="165" fontId="5" fillId="0" borderId="0" xfId="1" applyNumberFormat="1" applyFont="1" applyBorder="1"/>
    <xf numFmtId="165" fontId="8" fillId="0" borderId="0" xfId="1" applyNumberFormat="1" applyFont="1"/>
    <xf numFmtId="166" fontId="0" fillId="0" borderId="0" xfId="2" applyNumberFormat="1" applyFont="1"/>
    <xf numFmtId="166" fontId="0" fillId="0" borderId="1" xfId="0" applyNumberFormat="1" applyBorder="1"/>
    <xf numFmtId="166" fontId="0" fillId="0" borderId="1" xfId="2" applyNumberFormat="1" applyFont="1" applyBorder="1"/>
    <xf numFmtId="166" fontId="6" fillId="0" borderId="1" xfId="1" applyNumberFormat="1" applyFont="1" applyBorder="1"/>
    <xf numFmtId="0" fontId="10" fillId="0" borderId="1" xfId="0" applyFont="1" applyBorder="1" applyAlignment="1">
      <alignment indent="1"/>
    </xf>
    <xf numFmtId="166" fontId="8" fillId="0" borderId="1" xfId="0" applyNumberFormat="1" applyFont="1" applyBorder="1"/>
    <xf numFmtId="0" fontId="12" fillId="0" borderId="0" xfId="0" applyFont="1" applyAlignment="1">
      <alignment horizontal="left"/>
    </xf>
    <xf numFmtId="8" fontId="0" fillId="0" borderId="0" xfId="0" applyNumberFormat="1"/>
    <xf numFmtId="0" fontId="13" fillId="0" borderId="0" xfId="0" applyFont="1"/>
    <xf numFmtId="165" fontId="14" fillId="0" borderId="0" xfId="1" applyNumberFormat="1" applyFont="1"/>
    <xf numFmtId="0" fontId="14" fillId="0" borderId="0" xfId="0" applyFont="1"/>
    <xf numFmtId="0" fontId="0" fillId="0" borderId="3" xfId="0" applyBorder="1"/>
    <xf numFmtId="0" fontId="2" fillId="2" borderId="3" xfId="0" applyFont="1" applyFill="1" applyBorder="1" applyAlignment="1">
      <alignment horizontal="center"/>
    </xf>
    <xf numFmtId="165" fontId="0" fillId="0" borderId="3" xfId="1" applyNumberFormat="1" applyFont="1" applyBorder="1"/>
    <xf numFmtId="165" fontId="8" fillId="0" borderId="3" xfId="1" applyNumberFormat="1" applyFont="1" applyBorder="1"/>
    <xf numFmtId="0" fontId="8" fillId="0" borderId="3" xfId="0" applyFont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376C1-EA4A-470E-A954-8CBDF1583A24}">
  <dimension ref="B2:C11"/>
  <sheetViews>
    <sheetView zoomScale="160" zoomScaleNormal="160" workbookViewId="0">
      <selection activeCell="C11" sqref="C11"/>
    </sheetView>
  </sheetViews>
  <sheetFormatPr baseColWidth="10" defaultColWidth="8.83203125" defaultRowHeight="15" x14ac:dyDescent="0.2"/>
  <cols>
    <col min="2" max="2" width="11.1640625" customWidth="1"/>
    <col min="3" max="3" width="10.6640625" bestFit="1" customWidth="1"/>
  </cols>
  <sheetData>
    <row r="2" spans="2:3" s="24" customFormat="1" x14ac:dyDescent="0.2">
      <c r="B2" s="24" t="s">
        <v>146</v>
      </c>
      <c r="C2" s="37">
        <v>26.47</v>
      </c>
    </row>
    <row r="3" spans="2:3" x14ac:dyDescent="0.2">
      <c r="B3" t="s">
        <v>147</v>
      </c>
      <c r="C3" s="18">
        <f>'Income Statement'!E47</f>
        <v>607</v>
      </c>
    </row>
    <row r="4" spans="2:3" x14ac:dyDescent="0.2">
      <c r="B4" t="s">
        <v>148</v>
      </c>
      <c r="C4" s="18">
        <f>C3*C2</f>
        <v>16067.289999999999</v>
      </c>
    </row>
    <row r="5" spans="2:3" x14ac:dyDescent="0.2">
      <c r="B5" t="s">
        <v>149</v>
      </c>
      <c r="C5" s="18">
        <f>Metrics!E34</f>
        <v>1991</v>
      </c>
    </row>
    <row r="6" spans="2:3" x14ac:dyDescent="0.2">
      <c r="B6" t="s">
        <v>150</v>
      </c>
      <c r="C6" s="18">
        <f>Metrics!E33</f>
        <v>20</v>
      </c>
    </row>
    <row r="7" spans="2:3" x14ac:dyDescent="0.2">
      <c r="B7" t="s">
        <v>151</v>
      </c>
      <c r="C7" s="18">
        <f>C4-C5+C6</f>
        <v>14096.289999999999</v>
      </c>
    </row>
    <row r="8" spans="2:3" x14ac:dyDescent="0.2">
      <c r="B8" t="s">
        <v>152</v>
      </c>
      <c r="C8" s="15">
        <f>C2/Metrics!E12</f>
        <v>45.775754985754986</v>
      </c>
    </row>
    <row r="9" spans="2:3" x14ac:dyDescent="0.2">
      <c r="B9" t="s">
        <v>153</v>
      </c>
      <c r="C9" s="38">
        <f>C7/Metrics!E9</f>
        <v>46.369374999999998</v>
      </c>
    </row>
    <row r="10" spans="2:3" x14ac:dyDescent="0.2">
      <c r="B10" t="s">
        <v>154</v>
      </c>
      <c r="C10" s="38">
        <f>C7/Metrics!E10</f>
        <v>38.305135869565213</v>
      </c>
    </row>
    <row r="11" spans="2:3" x14ac:dyDescent="0.2">
      <c r="B11" t="s">
        <v>156</v>
      </c>
      <c r="C11" s="38">
        <f>C7/Metrics!E46</f>
        <v>38.619972602739722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26283-81E0-463B-A86D-54A3E4655DF8}">
  <dimension ref="A1:J70"/>
  <sheetViews>
    <sheetView zoomScale="160" zoomScaleNormal="160" workbookViewId="0">
      <selection activeCell="C23" sqref="C23"/>
    </sheetView>
  </sheetViews>
  <sheetFormatPr baseColWidth="10" defaultColWidth="8.83203125" defaultRowHeight="15" x14ac:dyDescent="0.2"/>
  <cols>
    <col min="1" max="1" width="50" customWidth="1"/>
    <col min="2" max="10" width="11.1640625" customWidth="1"/>
  </cols>
  <sheetData>
    <row r="1" spans="1:10" ht="16" x14ac:dyDescent="0.2">
      <c r="A1" s="1" t="s">
        <v>0</v>
      </c>
    </row>
    <row r="2" spans="1:10" x14ac:dyDescent="0.2">
      <c r="A2" s="2" t="s">
        <v>180</v>
      </c>
    </row>
    <row r="3" spans="1:10" x14ac:dyDescent="0.2">
      <c r="A3" s="3" t="s">
        <v>2</v>
      </c>
    </row>
    <row r="5" spans="1:10" x14ac:dyDescent="0.2">
      <c r="A5" s="4" t="s">
        <v>3</v>
      </c>
      <c r="B5" s="5" t="s">
        <v>4</v>
      </c>
      <c r="C5" s="5">
        <f>B5+1</f>
        <v>2023</v>
      </c>
      <c r="D5" s="5">
        <f t="shared" ref="D5:E5" si="0">C5+1</f>
        <v>2024</v>
      </c>
      <c r="E5" s="5">
        <f t="shared" si="0"/>
        <v>2025</v>
      </c>
      <c r="F5" s="5">
        <f t="shared" ref="F5:J5" si="1">E5+1</f>
        <v>2026</v>
      </c>
      <c r="G5" s="5">
        <f t="shared" si="1"/>
        <v>2027</v>
      </c>
      <c r="H5" s="5">
        <f t="shared" si="1"/>
        <v>2028</v>
      </c>
      <c r="I5" s="5">
        <f t="shared" si="1"/>
        <v>2029</v>
      </c>
      <c r="J5" s="5">
        <f t="shared" si="1"/>
        <v>2030</v>
      </c>
    </row>
    <row r="7" spans="1:10" x14ac:dyDescent="0.2">
      <c r="A7" s="32" t="s">
        <v>166</v>
      </c>
    </row>
    <row r="8" spans="1:10" x14ac:dyDescent="0.2">
      <c r="F8" s="18"/>
      <c r="G8" s="18"/>
      <c r="H8" s="18"/>
      <c r="I8" s="18"/>
      <c r="J8" s="18"/>
    </row>
    <row r="9" spans="1:10" x14ac:dyDescent="0.2">
      <c r="A9" t="s">
        <v>167</v>
      </c>
      <c r="B9" s="18">
        <f>(B25/B14)*1000000</f>
        <v>4101.2658227848106</v>
      </c>
      <c r="C9" s="18">
        <f>(C25/C14)*1000000</f>
        <v>4716.9811320754716</v>
      </c>
      <c r="D9" s="18">
        <f>(D25/D14)*1000000</f>
        <v>5268.6567164179105</v>
      </c>
      <c r="E9" s="18">
        <f>(E25/E14)*1000000</f>
        <v>5707.3170731707314</v>
      </c>
      <c r="F9" s="21">
        <f>E9*(1+F10)</f>
        <v>6125.426454305999</v>
      </c>
      <c r="G9" s="21">
        <f t="shared" ref="G9:J9" si="2">F9*(1+G10)</f>
        <v>6512.9116291816499</v>
      </c>
      <c r="H9" s="21">
        <f t="shared" si="2"/>
        <v>6859.7794114582684</v>
      </c>
      <c r="I9" s="21">
        <f t="shared" si="2"/>
        <v>7156.5230509197327</v>
      </c>
      <c r="J9" s="21">
        <f t="shared" si="2"/>
        <v>7394.5381390535122</v>
      </c>
    </row>
    <row r="10" spans="1:10" x14ac:dyDescent="0.2">
      <c r="A10" t="s">
        <v>169</v>
      </c>
      <c r="B10" s="18"/>
      <c r="C10" s="36">
        <f>C9/B9-1</f>
        <v>0.15012811553692051</v>
      </c>
      <c r="D10" s="36">
        <f t="shared" ref="D10:E10" si="3">D9/C9-1</f>
        <v>0.11695522388059709</v>
      </c>
      <c r="E10" s="36">
        <f t="shared" si="3"/>
        <v>8.3258481310025445E-2</v>
      </c>
      <c r="F10" s="27">
        <f>E10-1%</f>
        <v>7.325848131002545E-2</v>
      </c>
      <c r="G10" s="27">
        <f t="shared" ref="G10:J10" si="4">F10-1%</f>
        <v>6.3258481310025455E-2</v>
      </c>
      <c r="H10" s="27">
        <f t="shared" si="4"/>
        <v>5.3258481310025453E-2</v>
      </c>
      <c r="I10" s="27">
        <f t="shared" si="4"/>
        <v>4.3258481310025451E-2</v>
      </c>
      <c r="J10" s="27">
        <f t="shared" si="4"/>
        <v>3.3258481310025449E-2</v>
      </c>
    </row>
    <row r="12" spans="1:10" x14ac:dyDescent="0.2">
      <c r="A12" s="32" t="s">
        <v>163</v>
      </c>
    </row>
    <row r="13" spans="1:10" x14ac:dyDescent="0.2">
      <c r="A13" t="s">
        <v>158</v>
      </c>
      <c r="B13" s="18">
        <v>91700</v>
      </c>
      <c r="C13" s="18">
        <v>126100</v>
      </c>
      <c r="D13" s="18">
        <v>159100</v>
      </c>
      <c r="E13" s="18">
        <v>195100</v>
      </c>
      <c r="F13" s="18">
        <f>F14*F16</f>
        <v>231019.81341463412</v>
      </c>
      <c r="G13" s="18">
        <f>G14*G16</f>
        <v>261051.19833475605</v>
      </c>
      <c r="H13" s="18">
        <f>H14*H16</f>
        <v>289949.2083860322</v>
      </c>
      <c r="I13" s="18">
        <f>I14*I16</f>
        <v>314127.15410424687</v>
      </c>
      <c r="J13" s="18">
        <f>J14*J16</f>
        <v>335961.97731405572</v>
      </c>
    </row>
    <row r="14" spans="1:10" x14ac:dyDescent="0.2">
      <c r="A14" t="s">
        <v>159</v>
      </c>
      <c r="B14" s="18">
        <v>79000</v>
      </c>
      <c r="C14" s="18">
        <v>106000</v>
      </c>
      <c r="D14" s="18">
        <v>134000</v>
      </c>
      <c r="E14" s="18">
        <v>164000</v>
      </c>
      <c r="F14" s="18">
        <f>E14+F15</f>
        <v>194000</v>
      </c>
      <c r="G14" s="18">
        <f t="shared" ref="G14:J14" si="5">F14+G15</f>
        <v>219000</v>
      </c>
      <c r="H14" s="18">
        <f t="shared" si="5"/>
        <v>243000</v>
      </c>
      <c r="I14" s="18">
        <f t="shared" si="5"/>
        <v>263000</v>
      </c>
      <c r="J14" s="18">
        <f t="shared" si="5"/>
        <v>281000</v>
      </c>
    </row>
    <row r="15" spans="1:10" x14ac:dyDescent="0.2">
      <c r="A15" t="s">
        <v>164</v>
      </c>
      <c r="B15" s="18"/>
      <c r="C15" s="18">
        <f>C14-B14</f>
        <v>27000</v>
      </c>
      <c r="D15" s="18">
        <f t="shared" ref="D15:E15" si="6">D14-C14</f>
        <v>28000</v>
      </c>
      <c r="E15" s="18">
        <f t="shared" si="6"/>
        <v>30000</v>
      </c>
      <c r="F15" s="18">
        <v>30000</v>
      </c>
      <c r="G15" s="18">
        <v>25000</v>
      </c>
      <c r="H15" s="18">
        <v>24000</v>
      </c>
      <c r="I15" s="18">
        <v>20000</v>
      </c>
      <c r="J15" s="18">
        <v>18000</v>
      </c>
    </row>
    <row r="16" spans="1:10" x14ac:dyDescent="0.2">
      <c r="A16" t="s">
        <v>160</v>
      </c>
      <c r="B16" s="14">
        <f>B13/B14</f>
        <v>1.160759493670886</v>
      </c>
      <c r="C16" s="14">
        <f>C13/C14</f>
        <v>1.189622641509434</v>
      </c>
      <c r="D16" s="14">
        <f>D13/D14</f>
        <v>1.1873134328358208</v>
      </c>
      <c r="E16" s="14">
        <f>E13/E14</f>
        <v>1.1896341463414635</v>
      </c>
      <c r="F16" s="14">
        <f>E16*(1+F17)</f>
        <v>1.1908237804878048</v>
      </c>
      <c r="G16" s="14">
        <f t="shared" ref="G16:J16" si="7">F16*(1+G17)</f>
        <v>1.1920146042682924</v>
      </c>
      <c r="H16" s="14">
        <f t="shared" si="7"/>
        <v>1.1932066188725605</v>
      </c>
      <c r="I16" s="14">
        <f t="shared" si="7"/>
        <v>1.194399825491433</v>
      </c>
      <c r="J16" s="14">
        <f t="shared" si="7"/>
        <v>1.1955942253169243</v>
      </c>
    </row>
    <row r="17" spans="1:10" x14ac:dyDescent="0.2">
      <c r="A17" t="s">
        <v>165</v>
      </c>
      <c r="B17" s="14"/>
      <c r="C17" s="36">
        <f>C16/B16-1</f>
        <v>2.4865743503220239E-2</v>
      </c>
      <c r="D17" s="36">
        <f t="shared" ref="D17:E17" si="8">D16/C16-1</f>
        <v>-1.9411270372957645E-3</v>
      </c>
      <c r="E17" s="36">
        <f t="shared" si="8"/>
        <v>1.9545921417731815E-3</v>
      </c>
      <c r="F17" s="36">
        <v>1E-3</v>
      </c>
      <c r="G17" s="36">
        <v>1E-3</v>
      </c>
      <c r="H17" s="36">
        <v>1E-3</v>
      </c>
      <c r="I17" s="36">
        <v>1E-3</v>
      </c>
      <c r="J17" s="36">
        <v>1E-3</v>
      </c>
    </row>
    <row r="18" spans="1:10" x14ac:dyDescent="0.2">
      <c r="A18" t="s">
        <v>161</v>
      </c>
      <c r="B18" s="36">
        <f>B26/B13</f>
        <v>2.4732824427480916E-2</v>
      </c>
      <c r="C18" s="36">
        <f>C26/C13</f>
        <v>2.5289452815226012E-2</v>
      </c>
      <c r="D18" s="36">
        <f>D26/D13</f>
        <v>2.5474544311753614E-2</v>
      </c>
      <c r="E18" s="36">
        <f>E26/E13</f>
        <v>2.5817529472065608E-2</v>
      </c>
      <c r="F18" s="36">
        <f>E18</f>
        <v>2.5817529472065608E-2</v>
      </c>
      <c r="G18" s="36">
        <f t="shared" ref="G18:J18" si="9">F18</f>
        <v>2.5817529472065608E-2</v>
      </c>
      <c r="H18" s="36">
        <f t="shared" si="9"/>
        <v>2.5817529472065608E-2</v>
      </c>
      <c r="I18" s="36">
        <f t="shared" si="9"/>
        <v>2.5817529472065608E-2</v>
      </c>
      <c r="J18" s="36">
        <f t="shared" si="9"/>
        <v>2.5817529472065608E-2</v>
      </c>
    </row>
    <row r="19" spans="1:10" x14ac:dyDescent="0.2">
      <c r="A19" t="s">
        <v>162</v>
      </c>
      <c r="B19" s="18">
        <f t="shared" ref="B19:J19" si="10">(B26/B14)*1000000</f>
        <v>28708.860759493673</v>
      </c>
      <c r="C19" s="18">
        <f t="shared" si="10"/>
        <v>30084.905660377361</v>
      </c>
      <c r="D19" s="18">
        <f t="shared" si="10"/>
        <v>30246.268656716416</v>
      </c>
      <c r="E19" s="18">
        <f t="shared" si="10"/>
        <v>30713.414634146342</v>
      </c>
      <c r="F19" s="18">
        <f t="shared" si="10"/>
        <v>30744.128048780483</v>
      </c>
      <c r="G19" s="18">
        <f t="shared" si="10"/>
        <v>30774.872176829263</v>
      </c>
      <c r="H19" s="18">
        <f t="shared" si="10"/>
        <v>30805.647049006086</v>
      </c>
      <c r="I19" s="18">
        <f t="shared" si="10"/>
        <v>30836.45269605509</v>
      </c>
      <c r="J19" s="18">
        <f t="shared" si="10"/>
        <v>30867.289148751144</v>
      </c>
    </row>
    <row r="21" spans="1:10" x14ac:dyDescent="0.2">
      <c r="A21" s="32" t="s">
        <v>179</v>
      </c>
    </row>
    <row r="22" spans="1:10" s="35" customFormat="1" x14ac:dyDescent="0.2">
      <c r="A22" s="35" t="s">
        <v>170</v>
      </c>
      <c r="C22" s="44">
        <f>C27/B27-1</f>
        <v>0.26618705035971213</v>
      </c>
      <c r="D22" s="44">
        <f t="shared" ref="D22:E22" si="11">D27/C27-1</f>
        <v>0.14204545454545459</v>
      </c>
      <c r="E22" s="44">
        <f t="shared" si="11"/>
        <v>-0.10447761194029848</v>
      </c>
      <c r="F22" s="45">
        <f>AVERAGE(C22:E22)</f>
        <v>0.10125163098828942</v>
      </c>
      <c r="G22" s="45">
        <f>F22</f>
        <v>0.10125163098828942</v>
      </c>
      <c r="H22" s="45">
        <f t="shared" ref="H22:J22" si="12">G22</f>
        <v>0.10125163098828942</v>
      </c>
      <c r="I22" s="45">
        <f t="shared" si="12"/>
        <v>0.10125163098828942</v>
      </c>
      <c r="J22" s="45">
        <f t="shared" si="12"/>
        <v>0.10125163098828942</v>
      </c>
    </row>
    <row r="24" spans="1:10" x14ac:dyDescent="0.2">
      <c r="A24" s="6" t="s">
        <v>8</v>
      </c>
    </row>
    <row r="25" spans="1:10" x14ac:dyDescent="0.2">
      <c r="A25" s="7" t="s">
        <v>9</v>
      </c>
      <c r="B25" s="41">
        <v>324</v>
      </c>
      <c r="C25" s="41">
        <v>500</v>
      </c>
      <c r="D25" s="41">
        <v>706</v>
      </c>
      <c r="E25" s="41">
        <v>936</v>
      </c>
      <c r="F25" s="41">
        <f>(F9*F13)/1000000</f>
        <v>1415.0948765588357</v>
      </c>
      <c r="G25" s="41">
        <f>(G9*G13)/1000000</f>
        <v>1700.2033854462381</v>
      </c>
      <c r="H25" s="41">
        <f>(H9*H13)/1000000</f>
        <v>1988.9876100551269</v>
      </c>
      <c r="I25" s="41">
        <f>(I9*I13)/1000000</f>
        <v>2248.058219266858</v>
      </c>
      <c r="J25" s="41">
        <f>(J9*J13)/1000000</f>
        <v>2484.283654520616</v>
      </c>
    </row>
    <row r="26" spans="1:10" x14ac:dyDescent="0.2">
      <c r="A26" s="7" t="s">
        <v>10</v>
      </c>
      <c r="B26" s="41">
        <v>2268</v>
      </c>
      <c r="C26" s="41">
        <v>3189</v>
      </c>
      <c r="D26" s="41">
        <v>4053</v>
      </c>
      <c r="E26" s="41">
        <v>5037</v>
      </c>
      <c r="F26" s="41">
        <f>F18*F13</f>
        <v>5964.3608414634136</v>
      </c>
      <c r="G26" s="41">
        <f>G18*G13</f>
        <v>6739.6970067256088</v>
      </c>
      <c r="H26" s="41">
        <f>H18*H13</f>
        <v>7485.7722329084791</v>
      </c>
      <c r="I26" s="41">
        <f>I18*I13</f>
        <v>8109.9870590624887</v>
      </c>
      <c r="J26" s="41">
        <f>J18*J13</f>
        <v>8673.7082507990708</v>
      </c>
    </row>
    <row r="27" spans="1:10" x14ac:dyDescent="0.2">
      <c r="A27" s="7" t="s">
        <v>11</v>
      </c>
      <c r="B27" s="41">
        <v>139</v>
      </c>
      <c r="C27" s="41">
        <v>176</v>
      </c>
      <c r="D27" s="41">
        <v>201</v>
      </c>
      <c r="E27" s="41">
        <v>180</v>
      </c>
      <c r="F27" s="41">
        <f>E27*(1+F22)</f>
        <v>198.22529357789207</v>
      </c>
      <c r="G27" s="41">
        <f t="shared" ref="G27:J27" si="13">F27*(1+G22)</f>
        <v>218.29592785578612</v>
      </c>
      <c r="H27" s="41">
        <f t="shared" si="13"/>
        <v>240.39874658928642</v>
      </c>
      <c r="I27" s="41">
        <f t="shared" si="13"/>
        <v>264.73951176899214</v>
      </c>
      <c r="J27" s="41">
        <f t="shared" si="13"/>
        <v>291.544819122646</v>
      </c>
    </row>
    <row r="28" spans="1:10" x14ac:dyDescent="0.2">
      <c r="A28" s="39" t="s">
        <v>12</v>
      </c>
      <c r="B28" s="40">
        <f>SUM(B25:B27)</f>
        <v>2731</v>
      </c>
      <c r="C28" s="40">
        <f t="shared" ref="C28:E28" si="14">SUM(C25:C27)</f>
        <v>3865</v>
      </c>
      <c r="D28" s="40">
        <f t="shared" si="14"/>
        <v>4960</v>
      </c>
      <c r="E28" s="40">
        <f t="shared" si="14"/>
        <v>6153</v>
      </c>
      <c r="F28" s="40">
        <f t="shared" ref="F28" si="15">SUM(F25:F27)</f>
        <v>7577.6810116001416</v>
      </c>
      <c r="G28" s="40">
        <f t="shared" ref="G28" si="16">SUM(G25:G27)</f>
        <v>8658.1963200276332</v>
      </c>
      <c r="H28" s="40">
        <f t="shared" ref="H28" si="17">SUM(H25:H27)</f>
        <v>9715.1585895528915</v>
      </c>
      <c r="I28" s="40">
        <f t="shared" ref="I28" si="18">SUM(I25:I27)</f>
        <v>10622.78479009834</v>
      </c>
      <c r="J28" s="40">
        <f t="shared" ref="J28" si="19">SUM(J25:J27)</f>
        <v>11449.536724442332</v>
      </c>
    </row>
    <row r="30" spans="1:10" x14ac:dyDescent="0.2">
      <c r="A30" t="s">
        <v>114</v>
      </c>
    </row>
    <row r="31" spans="1:10" x14ac:dyDescent="0.2">
      <c r="A31" s="7" t="s">
        <v>9</v>
      </c>
      <c r="C31" s="27">
        <f>C25/B25-1</f>
        <v>0.54320987654320985</v>
      </c>
      <c r="D31" s="27">
        <f t="shared" ref="D31:J31" si="20">D25/C25-1</f>
        <v>0.41199999999999992</v>
      </c>
      <c r="E31" s="27">
        <f t="shared" si="20"/>
        <v>0.32577903682719556</v>
      </c>
      <c r="F31" s="27">
        <f t="shared" si="20"/>
        <v>0.51185350059704682</v>
      </c>
      <c r="G31" s="27">
        <f t="shared" si="20"/>
        <v>0.2014766031665074</v>
      </c>
      <c r="H31" s="27">
        <f t="shared" si="20"/>
        <v>0.16985275237120767</v>
      </c>
      <c r="I31" s="27">
        <f t="shared" si="20"/>
        <v>0.1302525002679884</v>
      </c>
      <c r="J31" s="27">
        <f t="shared" si="20"/>
        <v>0.10507976760975368</v>
      </c>
    </row>
    <row r="32" spans="1:10" x14ac:dyDescent="0.2">
      <c r="A32" s="7" t="s">
        <v>10</v>
      </c>
      <c r="C32" s="27">
        <f t="shared" ref="C32:J32" si="21">C26/B26-1</f>
        <v>0.40608465608465605</v>
      </c>
      <c r="D32" s="27">
        <f t="shared" si="21"/>
        <v>0.27093132643461892</v>
      </c>
      <c r="E32" s="27">
        <f t="shared" si="21"/>
        <v>0.24278312361213916</v>
      </c>
      <c r="F32" s="27">
        <f t="shared" si="21"/>
        <v>0.18410975609756086</v>
      </c>
      <c r="G32" s="27">
        <f t="shared" si="21"/>
        <v>0.12999484536082484</v>
      </c>
      <c r="H32" s="27">
        <f t="shared" si="21"/>
        <v>0.11069863013698611</v>
      </c>
      <c r="I32" s="27">
        <f t="shared" si="21"/>
        <v>8.3386831275719997E-2</v>
      </c>
      <c r="J32" s="27">
        <f t="shared" si="21"/>
        <v>6.9509505703421848E-2</v>
      </c>
    </row>
    <row r="33" spans="1:10" x14ac:dyDescent="0.2">
      <c r="A33" s="7" t="s">
        <v>11</v>
      </c>
      <c r="C33" s="27">
        <f t="shared" ref="C33:J33" si="22">C27/B27-1</f>
        <v>0.26618705035971213</v>
      </c>
      <c r="D33" s="27">
        <f t="shared" si="22"/>
        <v>0.14204545454545459</v>
      </c>
      <c r="E33" s="27">
        <f t="shared" si="22"/>
        <v>-0.10447761194029848</v>
      </c>
      <c r="F33" s="27">
        <f t="shared" si="22"/>
        <v>0.10125163098828938</v>
      </c>
      <c r="G33" s="27">
        <f t="shared" si="22"/>
        <v>0.10125163098828938</v>
      </c>
      <c r="H33" s="27">
        <f t="shared" si="22"/>
        <v>0.10125163098828938</v>
      </c>
      <c r="I33" s="27">
        <f t="shared" si="22"/>
        <v>0.10125163098828938</v>
      </c>
      <c r="J33" s="27">
        <f t="shared" si="22"/>
        <v>0.10125163098828938</v>
      </c>
    </row>
    <row r="34" spans="1:10" s="24" customFormat="1" x14ac:dyDescent="0.2">
      <c r="A34" s="22" t="s">
        <v>115</v>
      </c>
      <c r="C34" s="29">
        <f t="shared" ref="C34:J34" si="23">C28/B28-1</f>
        <v>0.41523251556206509</v>
      </c>
      <c r="D34" s="29">
        <f t="shared" si="23"/>
        <v>0.2833117723156533</v>
      </c>
      <c r="E34" s="29">
        <f t="shared" si="23"/>
        <v>0.24052419354838706</v>
      </c>
      <c r="F34" s="29">
        <f t="shared" si="23"/>
        <v>0.23154250147897626</v>
      </c>
      <c r="G34" s="29">
        <f t="shared" si="23"/>
        <v>0.14259181757234263</v>
      </c>
      <c r="H34" s="29">
        <f t="shared" si="23"/>
        <v>0.1220764961266072</v>
      </c>
      <c r="I34" s="29">
        <f t="shared" si="23"/>
        <v>9.3423714309867956E-2</v>
      </c>
      <c r="J34" s="29">
        <f t="shared" si="23"/>
        <v>7.7828173184363081E-2</v>
      </c>
    </row>
    <row r="36" spans="1:10" x14ac:dyDescent="0.2">
      <c r="A36" t="s">
        <v>116</v>
      </c>
    </row>
    <row r="37" spans="1:10" x14ac:dyDescent="0.2">
      <c r="A37" s="7" t="s">
        <v>9</v>
      </c>
      <c r="B37" s="27">
        <f>B25/B$28</f>
        <v>0.11863786158916148</v>
      </c>
      <c r="C37" s="27">
        <f t="shared" ref="C37:J37" si="24">C25/C$28</f>
        <v>0.12936610608020699</v>
      </c>
      <c r="D37" s="27">
        <f t="shared" si="24"/>
        <v>0.14233870967741935</v>
      </c>
      <c r="E37" s="27">
        <f t="shared" si="24"/>
        <v>0.15212091662603608</v>
      </c>
      <c r="F37" s="27">
        <f t="shared" si="24"/>
        <v>0.18674511033026675</v>
      </c>
      <c r="G37" s="27">
        <f t="shared" si="24"/>
        <v>0.19636923472310591</v>
      </c>
      <c r="H37" s="27">
        <f t="shared" si="24"/>
        <v>0.20473032856035586</v>
      </c>
      <c r="I37" s="27">
        <f t="shared" si="24"/>
        <v>0.21162607204113817</v>
      </c>
      <c r="J37" s="27">
        <f t="shared" si="24"/>
        <v>0.21697678380446583</v>
      </c>
    </row>
    <row r="38" spans="1:10" x14ac:dyDescent="0.2">
      <c r="A38" s="7" t="s">
        <v>10</v>
      </c>
      <c r="B38" s="27">
        <f t="shared" ref="B38:J38" si="25">B26/B$28</f>
        <v>0.83046503112413039</v>
      </c>
      <c r="C38" s="27">
        <f t="shared" si="25"/>
        <v>0.82509702457956013</v>
      </c>
      <c r="D38" s="27">
        <f t="shared" si="25"/>
        <v>0.81713709677419355</v>
      </c>
      <c r="E38" s="27">
        <f t="shared" si="25"/>
        <v>0.81862506094588006</v>
      </c>
      <c r="F38" s="27">
        <f t="shared" si="25"/>
        <v>0.78709579254299444</v>
      </c>
      <c r="G38" s="27">
        <f t="shared" si="25"/>
        <v>0.77841813209244703</v>
      </c>
      <c r="H38" s="27">
        <f t="shared" si="25"/>
        <v>0.77052496507450086</v>
      </c>
      <c r="I38" s="27">
        <f t="shared" si="25"/>
        <v>0.76345207206136112</v>
      </c>
      <c r="J38" s="27">
        <f t="shared" si="25"/>
        <v>0.7575597563072175</v>
      </c>
    </row>
    <row r="39" spans="1:10" x14ac:dyDescent="0.2">
      <c r="A39" s="7" t="s">
        <v>11</v>
      </c>
      <c r="B39" s="27">
        <f t="shared" ref="B39:J39" si="26">B27/B$28</f>
        <v>5.0897107286708168E-2</v>
      </c>
      <c r="C39" s="27">
        <f t="shared" si="26"/>
        <v>4.5536869340232856E-2</v>
      </c>
      <c r="D39" s="27">
        <f t="shared" si="26"/>
        <v>4.05241935483871E-2</v>
      </c>
      <c r="E39" s="27">
        <f t="shared" si="26"/>
        <v>2.9254022428083861E-2</v>
      </c>
      <c r="F39" s="27">
        <f t="shared" si="26"/>
        <v>2.6159097126738754E-2</v>
      </c>
      <c r="G39" s="27">
        <f t="shared" si="26"/>
        <v>2.521263318444706E-2</v>
      </c>
      <c r="H39" s="27">
        <f t="shared" si="26"/>
        <v>2.4744706365143337E-2</v>
      </c>
      <c r="I39" s="27">
        <f t="shared" si="26"/>
        <v>2.4921855897500615E-2</v>
      </c>
      <c r="J39" s="27">
        <f t="shared" si="26"/>
        <v>2.5463459888316674E-2</v>
      </c>
    </row>
    <row r="40" spans="1:10" s="24" customFormat="1" x14ac:dyDescent="0.2">
      <c r="A40" s="22" t="s">
        <v>115</v>
      </c>
      <c r="B40" s="29">
        <f t="shared" ref="B40:J40" si="27">B28/B$28</f>
        <v>1</v>
      </c>
      <c r="C40" s="29">
        <f t="shared" si="27"/>
        <v>1</v>
      </c>
      <c r="D40" s="29">
        <f t="shared" si="27"/>
        <v>1</v>
      </c>
      <c r="E40" s="29">
        <f t="shared" si="27"/>
        <v>1</v>
      </c>
      <c r="F40" s="29">
        <f t="shared" si="27"/>
        <v>1</v>
      </c>
      <c r="G40" s="29">
        <f t="shared" si="27"/>
        <v>1</v>
      </c>
      <c r="H40" s="29">
        <f t="shared" si="27"/>
        <v>1</v>
      </c>
      <c r="I40" s="29">
        <f t="shared" si="27"/>
        <v>1</v>
      </c>
      <c r="J40" s="29">
        <f t="shared" si="27"/>
        <v>1</v>
      </c>
    </row>
    <row r="41" spans="1:10" s="24" customFormat="1" x14ac:dyDescent="0.2">
      <c r="A41" s="22"/>
      <c r="B41" s="29"/>
      <c r="C41" s="29"/>
      <c r="D41" s="29"/>
      <c r="E41" s="29"/>
      <c r="F41" s="29"/>
      <c r="G41" s="29"/>
      <c r="H41" s="29"/>
      <c r="I41" s="29"/>
      <c r="J41" s="29"/>
    </row>
    <row r="42" spans="1:10" s="24" customFormat="1" x14ac:dyDescent="0.2">
      <c r="A42" s="24" t="s">
        <v>157</v>
      </c>
      <c r="B42" s="42">
        <v>901</v>
      </c>
      <c r="C42" s="42">
        <v>1218</v>
      </c>
      <c r="D42" s="42">
        <v>1626</v>
      </c>
      <c r="E42" s="42">
        <v>2047</v>
      </c>
      <c r="F42" s="42">
        <f>F43*F28</f>
        <v>2520.9675005274648</v>
      </c>
      <c r="G42" s="42">
        <f>G43*G28</f>
        <v>2880.4368384684813</v>
      </c>
      <c r="H42" s="42">
        <f>H43*H28</f>
        <v>3232.0704750227155</v>
      </c>
      <c r="I42" s="42">
        <f>I43*I28</f>
        <v>3534.022503710597</v>
      </c>
      <c r="J42" s="42">
        <f>J43*J28</f>
        <v>3809.0690191668218</v>
      </c>
    </row>
    <row r="43" spans="1:10" s="35" customFormat="1" x14ac:dyDescent="0.2">
      <c r="A43" s="35" t="s">
        <v>168</v>
      </c>
      <c r="B43" s="46">
        <f>B42/B28</f>
        <v>0.32991578176492126</v>
      </c>
      <c r="C43" s="46">
        <f>C42/C28</f>
        <v>0.31513583441138421</v>
      </c>
      <c r="D43" s="46">
        <f>D42/D28</f>
        <v>0.32782258064516129</v>
      </c>
      <c r="E43" s="46">
        <f>E42/E28</f>
        <v>0.33268324394604259</v>
      </c>
      <c r="F43" s="44">
        <f>E43</f>
        <v>0.33268324394604259</v>
      </c>
      <c r="G43" s="44">
        <f t="shared" ref="G43:J43" si="28">F43</f>
        <v>0.33268324394604259</v>
      </c>
      <c r="H43" s="44">
        <f t="shared" si="28"/>
        <v>0.33268324394604259</v>
      </c>
      <c r="I43" s="44">
        <f t="shared" si="28"/>
        <v>0.33268324394604259</v>
      </c>
      <c r="J43" s="44">
        <f t="shared" si="28"/>
        <v>0.33268324394604259</v>
      </c>
    </row>
    <row r="44" spans="1:10" s="24" customFormat="1" x14ac:dyDescent="0.2">
      <c r="A44" s="22"/>
      <c r="B44" s="29"/>
      <c r="C44" s="29"/>
      <c r="D44" s="29"/>
      <c r="E44" s="29"/>
      <c r="F44" s="29"/>
      <c r="G44" s="29"/>
      <c r="H44" s="29"/>
      <c r="I44" s="29"/>
      <c r="J44" s="29"/>
    </row>
    <row r="45" spans="1:10" s="24" customFormat="1" x14ac:dyDescent="0.2">
      <c r="A45" s="6" t="s">
        <v>13</v>
      </c>
      <c r="B45" s="18"/>
      <c r="C45" s="18"/>
      <c r="D45" s="18"/>
      <c r="E45" s="18"/>
      <c r="F45" s="29"/>
      <c r="G45" s="29"/>
      <c r="H45" s="29"/>
      <c r="I45" s="29"/>
      <c r="J45" s="29"/>
    </row>
    <row r="46" spans="1:10" s="24" customFormat="1" x14ac:dyDescent="0.2">
      <c r="A46" s="7" t="s">
        <v>9</v>
      </c>
      <c r="B46" s="16">
        <v>112</v>
      </c>
      <c r="C46" s="16">
        <v>166</v>
      </c>
      <c r="D46" s="16">
        <v>219</v>
      </c>
      <c r="E46" s="16">
        <v>264</v>
      </c>
      <c r="F46" s="42">
        <f>F53*F25</f>
        <v>377.90290100923778</v>
      </c>
      <c r="G46" s="42">
        <f t="shared" ref="G46:J46" si="29">G53*G25</f>
        <v>430.23864643510058</v>
      </c>
      <c r="H46" s="42">
        <f t="shared" si="29"/>
        <v>477.45902577784858</v>
      </c>
      <c r="I46" s="42">
        <f t="shared" si="29"/>
        <v>512.67255902972897</v>
      </c>
      <c r="J46" s="42">
        <f t="shared" si="29"/>
        <v>539.21695219274386</v>
      </c>
    </row>
    <row r="47" spans="1:10" s="24" customFormat="1" x14ac:dyDescent="0.2">
      <c r="A47" s="7" t="s">
        <v>10</v>
      </c>
      <c r="B47" s="16">
        <v>1792</v>
      </c>
      <c r="C47" s="16">
        <v>2503</v>
      </c>
      <c r="D47" s="16">
        <v>3175</v>
      </c>
      <c r="E47" s="16">
        <v>3891</v>
      </c>
      <c r="F47" s="42">
        <f>F56*F26</f>
        <v>4572.3009461005713</v>
      </c>
      <c r="G47" s="42">
        <f t="shared" ref="G47:J47" si="30">G56*G26</f>
        <v>5130.4173000004266</v>
      </c>
      <c r="H47" s="42">
        <f t="shared" si="30"/>
        <v>5661.8173088976655</v>
      </c>
      <c r="I47" s="42">
        <f t="shared" si="30"/>
        <v>6098.4170146923361</v>
      </c>
      <c r="J47" s="42">
        <f t="shared" si="30"/>
        <v>6488.6614543005599</v>
      </c>
    </row>
    <row r="48" spans="1:10" s="24" customFormat="1" x14ac:dyDescent="0.2">
      <c r="A48" s="7" t="s">
        <v>11</v>
      </c>
      <c r="B48" s="16">
        <v>311</v>
      </c>
      <c r="C48" s="16">
        <v>357</v>
      </c>
      <c r="D48" s="16">
        <v>371</v>
      </c>
      <c r="E48" s="16">
        <v>400</v>
      </c>
      <c r="F48" s="42">
        <f>F59*F27</f>
        <v>440.50065239531574</v>
      </c>
      <c r="G48" s="42">
        <f t="shared" ref="G48:J48" si="31">G59*G27</f>
        <v>485.10206190174694</v>
      </c>
      <c r="H48" s="42">
        <f t="shared" si="31"/>
        <v>534.21943686508098</v>
      </c>
      <c r="I48" s="42">
        <f t="shared" si="31"/>
        <v>588.3100261533159</v>
      </c>
      <c r="J48" s="42">
        <f t="shared" si="31"/>
        <v>647.87737582810223</v>
      </c>
    </row>
    <row r="49" spans="1:10" s="24" customFormat="1" x14ac:dyDescent="0.2">
      <c r="A49" s="7" t="s">
        <v>14</v>
      </c>
      <c r="B49" s="16">
        <v>5</v>
      </c>
      <c r="C49" s="16">
        <v>5</v>
      </c>
      <c r="D49" s="16">
        <v>5</v>
      </c>
      <c r="E49" s="16">
        <v>5</v>
      </c>
      <c r="F49" s="42">
        <v>0</v>
      </c>
      <c r="G49" s="42">
        <v>0</v>
      </c>
      <c r="H49" s="42">
        <v>0</v>
      </c>
      <c r="I49" s="42">
        <v>0</v>
      </c>
      <c r="J49" s="42">
        <v>0</v>
      </c>
    </row>
    <row r="50" spans="1:10" s="24" customFormat="1" x14ac:dyDescent="0.2">
      <c r="A50" s="39" t="s">
        <v>15</v>
      </c>
      <c r="B50" s="40">
        <f t="shared" ref="B50:E50" si="32">SUM(B46:B49)</f>
        <v>2220</v>
      </c>
      <c r="C50" s="40">
        <f t="shared" si="32"/>
        <v>3031</v>
      </c>
      <c r="D50" s="40">
        <f t="shared" si="32"/>
        <v>3770</v>
      </c>
      <c r="E50" s="40">
        <f t="shared" si="32"/>
        <v>4560</v>
      </c>
      <c r="F50" s="40">
        <f t="shared" ref="F50" si="33">SUM(F46:F49)</f>
        <v>5390.7044995051256</v>
      </c>
      <c r="G50" s="40">
        <f t="shared" ref="G50" si="34">SUM(G46:G49)</f>
        <v>6045.7580083372741</v>
      </c>
      <c r="H50" s="40">
        <f t="shared" ref="H50" si="35">SUM(H46:H49)</f>
        <v>6673.4957715405944</v>
      </c>
      <c r="I50" s="40">
        <f t="shared" ref="I50" si="36">SUM(I46:I49)</f>
        <v>7199.3995998753817</v>
      </c>
      <c r="J50" s="40">
        <f t="shared" ref="J50" si="37">SUM(J46:J49)</f>
        <v>7675.7557823214056</v>
      </c>
    </row>
    <row r="51" spans="1:10" s="24" customFormat="1" x14ac:dyDescent="0.2">
      <c r="A51" s="22"/>
      <c r="B51" s="29"/>
      <c r="C51" s="29"/>
      <c r="D51" s="29"/>
      <c r="E51" s="29"/>
      <c r="F51" s="29"/>
      <c r="G51" s="29"/>
      <c r="H51" s="29"/>
      <c r="I51" s="29"/>
      <c r="J51" s="29"/>
    </row>
    <row r="52" spans="1:10" s="24" customFormat="1" x14ac:dyDescent="0.2">
      <c r="A52" t="s">
        <v>171</v>
      </c>
      <c r="B52" s="29"/>
      <c r="C52" s="29"/>
      <c r="D52" s="29"/>
      <c r="E52" s="29"/>
      <c r="F52" s="29"/>
      <c r="G52" s="29"/>
      <c r="H52" s="29"/>
      <c r="I52" s="29"/>
      <c r="J52" s="29"/>
    </row>
    <row r="53" spans="1:10" s="24" customFormat="1" x14ac:dyDescent="0.2">
      <c r="A53" s="7" t="s">
        <v>9</v>
      </c>
      <c r="B53" s="29">
        <f>B46/B25</f>
        <v>0.34567901234567899</v>
      </c>
      <c r="C53" s="29">
        <f t="shared" ref="C53:E53" si="38">C46/C25</f>
        <v>0.33200000000000002</v>
      </c>
      <c r="D53" s="29">
        <f t="shared" si="38"/>
        <v>0.3101983002832861</v>
      </c>
      <c r="E53" s="29">
        <f t="shared" si="38"/>
        <v>0.28205128205128205</v>
      </c>
      <c r="F53" s="29">
        <f>E53+F54</f>
        <v>0.26705128205128204</v>
      </c>
      <c r="G53" s="29">
        <f t="shared" ref="G53:J53" si="39">F53+G54</f>
        <v>0.25305128205128202</v>
      </c>
      <c r="H53" s="29">
        <f t="shared" si="39"/>
        <v>0.24005128205128201</v>
      </c>
      <c r="I53" s="29">
        <f t="shared" si="39"/>
        <v>0.228051282051282</v>
      </c>
      <c r="J53" s="29">
        <f t="shared" si="39"/>
        <v>0.21705128205128199</v>
      </c>
    </row>
    <row r="54" spans="1:10" s="24" customFormat="1" x14ac:dyDescent="0.2">
      <c r="A54" s="28" t="s">
        <v>172</v>
      </c>
      <c r="B54" s="29"/>
      <c r="C54" s="29">
        <f>C53-B53</f>
        <v>-1.3679012345678976E-2</v>
      </c>
      <c r="D54" s="29">
        <f t="shared" ref="D54:E54" si="40">D53-C53</f>
        <v>-2.1801699716713918E-2</v>
      </c>
      <c r="E54" s="29">
        <f t="shared" si="40"/>
        <v>-2.8147018232004051E-2</v>
      </c>
      <c r="F54" s="29">
        <v>-1.4999999999999999E-2</v>
      </c>
      <c r="G54" s="29">
        <f>F54+0.1%</f>
        <v>-1.3999999999999999E-2</v>
      </c>
      <c r="H54" s="29">
        <f t="shared" ref="H54:J54" si="41">G54+0.1%</f>
        <v>-1.2999999999999998E-2</v>
      </c>
      <c r="I54" s="29">
        <f t="shared" si="41"/>
        <v>-1.1999999999999997E-2</v>
      </c>
      <c r="J54" s="29">
        <f t="shared" si="41"/>
        <v>-1.0999999999999996E-2</v>
      </c>
    </row>
    <row r="55" spans="1:10" s="24" customFormat="1" x14ac:dyDescent="0.2">
      <c r="A55" s="7"/>
      <c r="B55" s="29"/>
      <c r="C55" s="29"/>
      <c r="D55" s="29"/>
      <c r="E55" s="29"/>
      <c r="F55" s="29"/>
      <c r="G55" s="29"/>
      <c r="H55" s="29"/>
      <c r="I55" s="29"/>
      <c r="J55" s="29"/>
    </row>
    <row r="56" spans="1:10" s="24" customFormat="1" x14ac:dyDescent="0.2">
      <c r="A56" s="7" t="s">
        <v>10</v>
      </c>
      <c r="B56" s="29">
        <f>B47/B$26</f>
        <v>0.79012345679012341</v>
      </c>
      <c r="C56" s="29">
        <f t="shared" ref="C56:E56" si="42">C47/C$26</f>
        <v>0.78488554405769839</v>
      </c>
      <c r="D56" s="29">
        <f t="shared" si="42"/>
        <v>0.78337034295583519</v>
      </c>
      <c r="E56" s="29">
        <f t="shared" si="42"/>
        <v>0.7724836212030971</v>
      </c>
      <c r="F56" s="29">
        <f>E56+F57</f>
        <v>0.76660367600742163</v>
      </c>
      <c r="G56" s="29">
        <f t="shared" ref="G56" si="43">F56+G57</f>
        <v>0.76122373081174621</v>
      </c>
      <c r="H56" s="29">
        <f t="shared" ref="H56" si="44">G56+H57</f>
        <v>0.75634378561607074</v>
      </c>
      <c r="I56" s="29">
        <f t="shared" ref="I56" si="45">H56+I57</f>
        <v>0.75196384042039532</v>
      </c>
      <c r="J56" s="29">
        <f t="shared" ref="J56" si="46">I56+J57</f>
        <v>0.74808389522471985</v>
      </c>
    </row>
    <row r="57" spans="1:10" s="24" customFormat="1" x14ac:dyDescent="0.2">
      <c r="A57" s="28" t="s">
        <v>172</v>
      </c>
      <c r="B57" s="29"/>
      <c r="C57" s="29">
        <f>C56-B56</f>
        <v>-5.2379127324250208E-3</v>
      </c>
      <c r="D57" s="29">
        <f t="shared" ref="D57" si="47">D56-C56</f>
        <v>-1.5152011018632061E-3</v>
      </c>
      <c r="E57" s="29">
        <f t="shared" ref="E57" si="48">E56-D56</f>
        <v>-1.0886721752738082E-2</v>
      </c>
      <c r="F57" s="29">
        <f>AVERAGE(C57:E57)</f>
        <v>-5.8799451956754361E-3</v>
      </c>
      <c r="G57" s="29">
        <f>F57+0.05%</f>
        <v>-5.3799451956754365E-3</v>
      </c>
      <c r="H57" s="29">
        <f t="shared" ref="H57:J57" si="49">G57+0.05%</f>
        <v>-4.879945195675436E-3</v>
      </c>
      <c r="I57" s="29">
        <f t="shared" si="49"/>
        <v>-4.3799451956754356E-3</v>
      </c>
      <c r="J57" s="29">
        <f t="shared" si="49"/>
        <v>-3.8799451956754356E-3</v>
      </c>
    </row>
    <row r="58" spans="1:10" s="24" customFormat="1" x14ac:dyDescent="0.2">
      <c r="A58" s="7"/>
      <c r="B58" s="29"/>
      <c r="C58" s="29"/>
      <c r="D58" s="29"/>
      <c r="E58" s="29"/>
      <c r="F58" s="29"/>
      <c r="G58" s="29"/>
      <c r="H58" s="29"/>
      <c r="I58" s="29"/>
      <c r="J58" s="29"/>
    </row>
    <row r="59" spans="1:10" s="24" customFormat="1" x14ac:dyDescent="0.2">
      <c r="A59" s="7" t="s">
        <v>11</v>
      </c>
      <c r="B59" s="29">
        <f>B48/B27</f>
        <v>2.2374100719424459</v>
      </c>
      <c r="C59" s="29">
        <f t="shared" ref="C59:E59" si="50">C48/C27</f>
        <v>2.0284090909090908</v>
      </c>
      <c r="D59" s="29">
        <f t="shared" si="50"/>
        <v>1.8457711442786069</v>
      </c>
      <c r="E59" s="29">
        <f t="shared" si="50"/>
        <v>2.2222222222222223</v>
      </c>
      <c r="F59" s="29">
        <f>E59+F60</f>
        <v>2.2222222222222223</v>
      </c>
      <c r="G59" s="29">
        <f t="shared" ref="G59" si="51">F59+G60</f>
        <v>2.2222222222222223</v>
      </c>
      <c r="H59" s="29">
        <f t="shared" ref="H59" si="52">G59+H60</f>
        <v>2.2222222222222223</v>
      </c>
      <c r="I59" s="29">
        <f t="shared" ref="I59" si="53">H59+I60</f>
        <v>2.2222222222222223</v>
      </c>
      <c r="J59" s="29">
        <f t="shared" ref="J59" si="54">I59+J60</f>
        <v>2.2222222222222223</v>
      </c>
    </row>
    <row r="60" spans="1:10" s="24" customFormat="1" x14ac:dyDescent="0.2">
      <c r="A60" s="28" t="s">
        <v>172</v>
      </c>
      <c r="B60" s="29"/>
      <c r="C60" s="29">
        <f>C59-B59</f>
        <v>-0.20900098103335507</v>
      </c>
      <c r="D60" s="29">
        <f t="shared" ref="D60" si="55">D59-C59</f>
        <v>-0.18263794663048394</v>
      </c>
      <c r="E60" s="29">
        <f t="shared" ref="E60" si="56">E59-D59</f>
        <v>0.37645107794361543</v>
      </c>
      <c r="F60" s="29">
        <v>0</v>
      </c>
      <c r="G60" s="29">
        <v>0</v>
      </c>
      <c r="H60" s="29">
        <v>0</v>
      </c>
      <c r="I60" s="29">
        <v>0</v>
      </c>
      <c r="J60" s="29">
        <v>0</v>
      </c>
    </row>
    <row r="61" spans="1:10" s="24" customFormat="1" x14ac:dyDescent="0.2">
      <c r="A61" s="7"/>
      <c r="B61" s="29"/>
      <c r="C61" s="29"/>
      <c r="D61" s="29"/>
      <c r="E61" s="29"/>
      <c r="F61" s="29"/>
      <c r="G61" s="29"/>
      <c r="H61" s="29"/>
      <c r="I61" s="29"/>
      <c r="J61" s="29"/>
    </row>
    <row r="62" spans="1:10" x14ac:dyDescent="0.2">
      <c r="A62" s="22" t="s">
        <v>173</v>
      </c>
      <c r="B62" s="29">
        <f>B50/B28</f>
        <v>0.81288905162943981</v>
      </c>
      <c r="C62" s="29">
        <f t="shared" ref="C62:E62" si="57">C50/C28</f>
        <v>0.78421733505821478</v>
      </c>
      <c r="D62" s="29">
        <f t="shared" si="57"/>
        <v>0.76008064516129037</v>
      </c>
      <c r="E62" s="29">
        <f t="shared" si="57"/>
        <v>0.74110190151145783</v>
      </c>
      <c r="F62" s="29">
        <f t="shared" ref="F62:J62" si="58">F50/F28</f>
        <v>0.71139237601224881</v>
      </c>
      <c r="G62" s="29">
        <f t="shared" si="58"/>
        <v>0.69826991498824997</v>
      </c>
      <c r="H62" s="29">
        <f t="shared" si="58"/>
        <v>0.68691578320881741</v>
      </c>
      <c r="I62" s="29">
        <f t="shared" si="58"/>
        <v>0.67773185112307388</v>
      </c>
      <c r="J62" s="29">
        <f t="shared" si="58"/>
        <v>0.67039880888239745</v>
      </c>
    </row>
    <row r="63" spans="1:10" s="35" customFormat="1" x14ac:dyDescent="0.2">
      <c r="A63" s="47" t="s">
        <v>172</v>
      </c>
      <c r="B63" s="48"/>
      <c r="C63" s="48">
        <f>C62-B62</f>
        <v>-2.8671716571225025E-2</v>
      </c>
      <c r="D63" s="48">
        <f t="shared" ref="D63" si="59">D62-C62</f>
        <v>-2.4136689896924413E-2</v>
      </c>
      <c r="E63" s="48">
        <f t="shared" ref="E63" si="60">E62-D62</f>
        <v>-1.8978743649832541E-2</v>
      </c>
      <c r="F63" s="48">
        <f t="shared" ref="F63" si="61">F62-E62</f>
        <v>-2.9709525499209022E-2</v>
      </c>
      <c r="G63" s="48">
        <f t="shared" ref="G63" si="62">G62-F62</f>
        <v>-1.3122461023998833E-2</v>
      </c>
      <c r="H63" s="48">
        <f t="shared" ref="H63" si="63">H62-G62</f>
        <v>-1.1354131779432564E-2</v>
      </c>
      <c r="I63" s="48">
        <f t="shared" ref="I63" si="64">I62-H62</f>
        <v>-9.1839320857435292E-3</v>
      </c>
      <c r="J63" s="48">
        <f t="shared" ref="J63" si="65">J62-I62</f>
        <v>-7.3330422406764351E-3</v>
      </c>
    </row>
    <row r="65" spans="1:10" x14ac:dyDescent="0.2">
      <c r="A65" s="49" t="s">
        <v>178</v>
      </c>
    </row>
    <row r="66" spans="1:10" x14ac:dyDescent="0.2">
      <c r="A66" s="28" t="s">
        <v>174</v>
      </c>
      <c r="B66" s="21">
        <f>B28</f>
        <v>2731</v>
      </c>
      <c r="C66" s="21">
        <f t="shared" ref="C66:J66" si="66">C28</f>
        <v>3865</v>
      </c>
      <c r="D66" s="21">
        <f t="shared" si="66"/>
        <v>4960</v>
      </c>
      <c r="E66" s="21">
        <f t="shared" si="66"/>
        <v>6153</v>
      </c>
      <c r="F66" s="21">
        <f t="shared" si="66"/>
        <v>7577.6810116001416</v>
      </c>
      <c r="G66" s="21">
        <f t="shared" si="66"/>
        <v>8658.1963200276332</v>
      </c>
      <c r="H66" s="21">
        <f t="shared" si="66"/>
        <v>9715.1585895528915</v>
      </c>
      <c r="I66" s="21">
        <f t="shared" si="66"/>
        <v>10622.78479009834</v>
      </c>
      <c r="J66" s="21">
        <f t="shared" si="66"/>
        <v>11449.536724442332</v>
      </c>
    </row>
    <row r="67" spans="1:10" x14ac:dyDescent="0.2">
      <c r="A67" s="28" t="s">
        <v>175</v>
      </c>
      <c r="C67" s="27">
        <f>C66/B66-1</f>
        <v>0.41523251556206509</v>
      </c>
      <c r="D67" s="27">
        <f t="shared" ref="D67:J67" si="67">D66/C66-1</f>
        <v>0.2833117723156533</v>
      </c>
      <c r="E67" s="27">
        <f t="shared" si="67"/>
        <v>0.24052419354838706</v>
      </c>
      <c r="F67" s="27">
        <f t="shared" si="67"/>
        <v>0.23154250147897626</v>
      </c>
      <c r="G67" s="27">
        <f t="shared" si="67"/>
        <v>0.14259181757234263</v>
      </c>
      <c r="H67" s="27">
        <f t="shared" si="67"/>
        <v>0.1220764961266072</v>
      </c>
      <c r="I67" s="27">
        <f t="shared" si="67"/>
        <v>9.3423714309867956E-2</v>
      </c>
      <c r="J67" s="27">
        <f t="shared" si="67"/>
        <v>7.7828173184363081E-2</v>
      </c>
    </row>
    <row r="68" spans="1:10" x14ac:dyDescent="0.2">
      <c r="A68" s="28" t="s">
        <v>176</v>
      </c>
      <c r="B68" s="21">
        <f>B50</f>
        <v>2220</v>
      </c>
      <c r="C68" s="21">
        <f t="shared" ref="C68:J68" si="68">C50</f>
        <v>3031</v>
      </c>
      <c r="D68" s="21">
        <f t="shared" si="68"/>
        <v>3770</v>
      </c>
      <c r="E68" s="21">
        <f t="shared" si="68"/>
        <v>4560</v>
      </c>
      <c r="F68" s="21">
        <f t="shared" si="68"/>
        <v>5390.7044995051256</v>
      </c>
      <c r="G68" s="21">
        <f t="shared" si="68"/>
        <v>6045.7580083372741</v>
      </c>
      <c r="H68" s="21">
        <f t="shared" si="68"/>
        <v>6673.4957715405944</v>
      </c>
      <c r="I68" s="21">
        <f t="shared" si="68"/>
        <v>7199.3995998753817</v>
      </c>
      <c r="J68" s="21">
        <f t="shared" si="68"/>
        <v>7675.7557823214056</v>
      </c>
    </row>
    <row r="69" spans="1:10" x14ac:dyDescent="0.2">
      <c r="A69" s="28" t="s">
        <v>177</v>
      </c>
      <c r="B69" s="21">
        <f>B66-B68</f>
        <v>511</v>
      </c>
      <c r="C69" s="21">
        <f t="shared" ref="C69:J69" si="69">C66-C68</f>
        <v>834</v>
      </c>
      <c r="D69" s="21">
        <f t="shared" si="69"/>
        <v>1190</v>
      </c>
      <c r="E69" s="21">
        <f t="shared" si="69"/>
        <v>1593</v>
      </c>
      <c r="F69" s="21">
        <f t="shared" si="69"/>
        <v>2186.976512095016</v>
      </c>
      <c r="G69" s="21">
        <f t="shared" si="69"/>
        <v>2612.4383116903591</v>
      </c>
      <c r="H69" s="21">
        <f t="shared" si="69"/>
        <v>3041.6628180122971</v>
      </c>
      <c r="I69" s="21">
        <f t="shared" si="69"/>
        <v>3423.385190222958</v>
      </c>
      <c r="J69" s="21">
        <f t="shared" si="69"/>
        <v>3773.7809421209267</v>
      </c>
    </row>
    <row r="70" spans="1:10" x14ac:dyDescent="0.2">
      <c r="A70" s="28" t="s">
        <v>117</v>
      </c>
      <c r="B70" s="27">
        <f>B69/B66</f>
        <v>0.18711094837056022</v>
      </c>
      <c r="C70" s="27">
        <f t="shared" ref="C70:J70" si="70">C69/C66</f>
        <v>0.21578266494178525</v>
      </c>
      <c r="D70" s="27">
        <f t="shared" si="70"/>
        <v>0.23991935483870969</v>
      </c>
      <c r="E70" s="27">
        <f t="shared" si="70"/>
        <v>0.25889809848854217</v>
      </c>
      <c r="F70" s="27">
        <f t="shared" si="70"/>
        <v>0.28860762398775125</v>
      </c>
      <c r="G70" s="27">
        <f t="shared" si="70"/>
        <v>0.30173008501175003</v>
      </c>
      <c r="H70" s="27">
        <f t="shared" si="70"/>
        <v>0.31308421679118259</v>
      </c>
      <c r="I70" s="27">
        <f t="shared" si="70"/>
        <v>0.32226814887692612</v>
      </c>
      <c r="J70" s="27">
        <f t="shared" si="70"/>
        <v>0.32960119111760261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6C111-10A5-4DB4-8CCE-C1440AF3471F}">
  <dimension ref="A1:J54"/>
  <sheetViews>
    <sheetView zoomScale="160" zoomScaleNormal="160" workbookViewId="0">
      <selection activeCell="E55" sqref="E55"/>
    </sheetView>
  </sheetViews>
  <sheetFormatPr baseColWidth="10" defaultColWidth="8.83203125" defaultRowHeight="15" x14ac:dyDescent="0.2"/>
  <cols>
    <col min="1" max="1" width="50" customWidth="1"/>
    <col min="2" max="10" width="11.1640625" customWidth="1"/>
  </cols>
  <sheetData>
    <row r="1" spans="1:10" ht="16" x14ac:dyDescent="0.2">
      <c r="A1" s="1" t="s">
        <v>0</v>
      </c>
    </row>
    <row r="2" spans="1:10" x14ac:dyDescent="0.2">
      <c r="A2" s="2" t="s">
        <v>181</v>
      </c>
    </row>
    <row r="3" spans="1:10" x14ac:dyDescent="0.2">
      <c r="A3" s="3" t="s">
        <v>2</v>
      </c>
    </row>
    <row r="5" spans="1:10" x14ac:dyDescent="0.2">
      <c r="A5" s="4" t="s">
        <v>3</v>
      </c>
      <c r="B5" s="5" t="s">
        <v>4</v>
      </c>
      <c r="C5" s="5">
        <f>B5+1</f>
        <v>2023</v>
      </c>
      <c r="D5" s="5">
        <f t="shared" ref="D5:J5" si="0">C5+1</f>
        <v>2024</v>
      </c>
      <c r="E5" s="5">
        <f t="shared" si="0"/>
        <v>2025</v>
      </c>
      <c r="F5" s="5">
        <f t="shared" si="0"/>
        <v>2026</v>
      </c>
      <c r="G5" s="5">
        <f t="shared" si="0"/>
        <v>2027</v>
      </c>
      <c r="H5" s="5">
        <f t="shared" si="0"/>
        <v>2028</v>
      </c>
      <c r="I5" s="5">
        <f t="shared" si="0"/>
        <v>2029</v>
      </c>
      <c r="J5" s="5">
        <f t="shared" si="0"/>
        <v>2030</v>
      </c>
    </row>
    <row r="7" spans="1:10" x14ac:dyDescent="0.2">
      <c r="A7" s="32" t="s">
        <v>126</v>
      </c>
    </row>
    <row r="8" spans="1:10" x14ac:dyDescent="0.2">
      <c r="A8" t="s">
        <v>182</v>
      </c>
      <c r="B8" s="27">
        <f>'Income Statement'!B23/'Income Statement'!B$11</f>
        <v>0.11680703039179788</v>
      </c>
      <c r="C8" s="27">
        <f>'Income Statement'!C23/'Income Statement'!C$11</f>
        <v>0.10375161707632601</v>
      </c>
      <c r="D8" s="27">
        <f>'Income Statement'!D23/'Income Statement'!D$11</f>
        <v>9.4758064516129031E-2</v>
      </c>
      <c r="E8" s="27">
        <f>'Income Statement'!E23/'Income Statement'!E$11</f>
        <v>9.2800260035754922E-2</v>
      </c>
      <c r="F8" s="27">
        <f>E8-0.5%</f>
        <v>8.7800260035754918E-2</v>
      </c>
      <c r="G8" s="27">
        <f>F8-0.5%</f>
        <v>8.2800260035754913E-2</v>
      </c>
      <c r="H8" s="27">
        <v>0.08</v>
      </c>
      <c r="I8" s="27">
        <v>0.08</v>
      </c>
      <c r="J8" s="27">
        <v>0.08</v>
      </c>
    </row>
    <row r="9" spans="1:10" x14ac:dyDescent="0.2">
      <c r="A9" t="s">
        <v>183</v>
      </c>
      <c r="B9" s="27">
        <f>'Income Statement'!B24/'Income Statement'!B$11</f>
        <v>0.10325887953130722</v>
      </c>
      <c r="C9" s="27">
        <f>'Income Statement'!C24/'Income Statement'!C$11</f>
        <v>9.2626131953428198E-2</v>
      </c>
      <c r="D9" s="27">
        <f>'Income Statement'!D24/'Income Statement'!D$11</f>
        <v>7.0766129032258068E-2</v>
      </c>
      <c r="E9" s="27">
        <f>'Income Statement'!E24/'Income Statement'!E$11</f>
        <v>6.078335771168536E-2</v>
      </c>
      <c r="F9" s="27">
        <v>5.5E-2</v>
      </c>
      <c r="G9" s="27">
        <v>5.2999999999999999E-2</v>
      </c>
      <c r="H9" s="27">
        <v>0.05</v>
      </c>
      <c r="I9" s="27">
        <v>0.05</v>
      </c>
      <c r="J9" s="27">
        <v>0.05</v>
      </c>
    </row>
    <row r="10" spans="1:10" x14ac:dyDescent="0.2">
      <c r="A10" t="s">
        <v>192</v>
      </c>
      <c r="B10" s="18">
        <f>'Income Statement'!B25</f>
        <v>294</v>
      </c>
      <c r="C10" s="18">
        <f>'Income Statement'!C25</f>
        <v>362</v>
      </c>
      <c r="D10" s="18">
        <f>'Income Statement'!D25</f>
        <v>307</v>
      </c>
      <c r="E10" s="18">
        <f>'Income Statement'!E25</f>
        <v>344</v>
      </c>
      <c r="F10" s="18">
        <v>350</v>
      </c>
      <c r="G10" s="18">
        <v>375</v>
      </c>
      <c r="H10" s="18">
        <v>400</v>
      </c>
      <c r="I10" s="18">
        <v>415</v>
      </c>
      <c r="J10" s="18">
        <v>420</v>
      </c>
    </row>
    <row r="11" spans="1:10" x14ac:dyDescent="0.2">
      <c r="A11" t="s">
        <v>184</v>
      </c>
      <c r="B11" s="18">
        <f>'Income Statement'!B26</f>
        <v>0</v>
      </c>
      <c r="C11" s="18">
        <f>'Income Statement'!C26</f>
        <v>0</v>
      </c>
      <c r="D11" s="18">
        <f>'Income Statement'!D26</f>
        <v>46</v>
      </c>
      <c r="E11" s="18">
        <f>'Income Statement'!E26</f>
        <v>12</v>
      </c>
      <c r="F11" s="18">
        <v>0</v>
      </c>
      <c r="G11" s="18">
        <v>0</v>
      </c>
      <c r="H11" s="18">
        <v>0</v>
      </c>
      <c r="I11" s="18">
        <v>0</v>
      </c>
      <c r="J11" s="18">
        <v>0</v>
      </c>
    </row>
    <row r="12" spans="1:10" x14ac:dyDescent="0.2">
      <c r="A12" t="s">
        <v>185</v>
      </c>
      <c r="B12" s="18">
        <f>'Income Statement'!B33</f>
        <v>95</v>
      </c>
      <c r="C12" s="18">
        <f>'Income Statement'!C33</f>
        <v>3</v>
      </c>
      <c r="D12" s="18">
        <f>'Income Statement'!D33</f>
        <v>-49</v>
      </c>
      <c r="E12" s="18">
        <f>'Income Statement'!E33</f>
        <v>3</v>
      </c>
      <c r="F12" s="18">
        <v>0</v>
      </c>
      <c r="G12" s="18">
        <v>0</v>
      </c>
      <c r="H12" s="18">
        <v>0</v>
      </c>
      <c r="I12" s="18">
        <v>0</v>
      </c>
      <c r="J12" s="18">
        <v>0</v>
      </c>
    </row>
    <row r="13" spans="1:10" x14ac:dyDescent="0.2">
      <c r="A13" t="s">
        <v>186</v>
      </c>
      <c r="B13" s="18">
        <f>'Income Statement'!B34</f>
        <v>0</v>
      </c>
      <c r="C13" s="18">
        <f>'Income Statement'!C34</f>
        <v>0</v>
      </c>
      <c r="D13" s="18">
        <f>'Income Statement'!D34</f>
        <v>0</v>
      </c>
      <c r="E13" s="18">
        <f>'Income Statement'!E34</f>
        <v>0</v>
      </c>
      <c r="F13" s="18">
        <v>0</v>
      </c>
      <c r="G13" s="18">
        <v>0</v>
      </c>
      <c r="H13" s="18">
        <v>0</v>
      </c>
      <c r="I13" s="18">
        <v>0</v>
      </c>
      <c r="J13" s="18">
        <v>0</v>
      </c>
    </row>
    <row r="14" spans="1:10" x14ac:dyDescent="0.2">
      <c r="A14" t="s">
        <v>187</v>
      </c>
      <c r="B14" s="18">
        <f>'Income Statement'!B35</f>
        <v>0</v>
      </c>
      <c r="C14" s="18">
        <f>'Income Statement'!C35</f>
        <v>0</v>
      </c>
      <c r="D14" s="18">
        <f>'Income Statement'!D35</f>
        <v>0</v>
      </c>
      <c r="E14" s="18">
        <f>'Income Statement'!E35</f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</row>
    <row r="15" spans="1:10" x14ac:dyDescent="0.2">
      <c r="A15" t="s">
        <v>188</v>
      </c>
      <c r="B15" s="18">
        <f>'Income Statement'!B36</f>
        <v>1</v>
      </c>
      <c r="C15" s="18">
        <f>'Income Statement'!C36</f>
        <v>3</v>
      </c>
      <c r="D15" s="18">
        <f>'Income Statement'!D36</f>
        <v>13</v>
      </c>
      <c r="E15" s="18">
        <f>'Income Statement'!E36</f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</row>
    <row r="16" spans="1:10" x14ac:dyDescent="0.2">
      <c r="A16" t="s">
        <v>189</v>
      </c>
      <c r="B16" s="27">
        <f>'Income Statement'!B39/-'Income Statement'!B38</f>
        <v>7.2202166064981952E-3</v>
      </c>
      <c r="C16" s="27">
        <f>'Income Statement'!C39/-'Income Statement'!C38</f>
        <v>-8.1967213114754103E-3</v>
      </c>
      <c r="D16" s="27">
        <f>'Income Statement'!D39/-'Income Statement'!D38</f>
        <v>0.13636363636363635</v>
      </c>
      <c r="E16" s="27">
        <f>'Income Statement'!E39/-'Income Statement'!E38</f>
        <v>1.1560693641618497E-2</v>
      </c>
      <c r="F16" s="27">
        <v>0.24</v>
      </c>
      <c r="G16" s="27">
        <v>0.24</v>
      </c>
      <c r="H16" s="27">
        <v>0.24</v>
      </c>
      <c r="I16" s="27">
        <v>0.24</v>
      </c>
      <c r="J16" s="27">
        <v>0.24</v>
      </c>
    </row>
    <row r="17" spans="1:10" x14ac:dyDescent="0.2">
      <c r="A17" t="s">
        <v>190</v>
      </c>
      <c r="B17" s="30">
        <f>'Income Statement'!B46</f>
        <v>512</v>
      </c>
      <c r="C17" s="30">
        <f>'Income Statement'!C46</f>
        <v>532</v>
      </c>
      <c r="D17" s="30">
        <f>'Income Statement'!D46</f>
        <v>559</v>
      </c>
      <c r="E17" s="30">
        <f>'Income Statement'!E46</f>
        <v>582</v>
      </c>
      <c r="F17" s="30">
        <f>E17+8</f>
        <v>590</v>
      </c>
      <c r="G17" s="30">
        <f t="shared" ref="G17:J18" si="1">F17+8</f>
        <v>598</v>
      </c>
      <c r="H17" s="30">
        <f t="shared" si="1"/>
        <v>606</v>
      </c>
      <c r="I17" s="30">
        <f t="shared" si="1"/>
        <v>614</v>
      </c>
      <c r="J17" s="30">
        <f t="shared" si="1"/>
        <v>622</v>
      </c>
    </row>
    <row r="18" spans="1:10" x14ac:dyDescent="0.2">
      <c r="A18" t="s">
        <v>191</v>
      </c>
      <c r="B18" s="30">
        <f>'Income Statement'!B47</f>
        <v>512</v>
      </c>
      <c r="C18" s="30">
        <f>'Income Statement'!C47</f>
        <v>533</v>
      </c>
      <c r="D18" s="30">
        <f>'Income Statement'!D47</f>
        <v>591</v>
      </c>
      <c r="E18" s="30">
        <f>'Income Statement'!E47</f>
        <v>607</v>
      </c>
      <c r="F18" s="30">
        <f>E18+8</f>
        <v>615</v>
      </c>
      <c r="G18" s="30">
        <f t="shared" si="1"/>
        <v>623</v>
      </c>
      <c r="H18" s="30">
        <f t="shared" si="1"/>
        <v>631</v>
      </c>
      <c r="I18" s="30">
        <f t="shared" si="1"/>
        <v>639</v>
      </c>
      <c r="J18" s="30">
        <f t="shared" si="1"/>
        <v>647</v>
      </c>
    </row>
    <row r="20" spans="1:10" x14ac:dyDescent="0.2">
      <c r="A20" s="32" t="s">
        <v>127</v>
      </c>
    </row>
    <row r="21" spans="1:10" x14ac:dyDescent="0.2">
      <c r="A21" t="s">
        <v>195</v>
      </c>
      <c r="B21" s="18">
        <f>+'Balance Sheet'!B10</f>
        <v>474</v>
      </c>
      <c r="C21" s="18">
        <f>+'Balance Sheet'!C10</f>
        <v>519</v>
      </c>
      <c r="D21" s="18">
        <f>+'Balance Sheet'!D10</f>
        <v>514</v>
      </c>
      <c r="E21" s="18">
        <f>+'Balance Sheet'!E10</f>
        <v>638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</row>
    <row r="22" spans="1:10" x14ac:dyDescent="0.2">
      <c r="A22" t="s">
        <v>196</v>
      </c>
      <c r="B22" s="27">
        <f>'Balance Sheet'!B11/'Rev COGS Buildout '!B$28</f>
        <v>2.8194800439399488E-2</v>
      </c>
      <c r="C22" s="27">
        <f>'Balance Sheet'!C11/'Rev COGS Buildout '!C$28</f>
        <v>1.7852522639068565E-2</v>
      </c>
      <c r="D22" s="27">
        <f>'Balance Sheet'!D11/'Rev COGS Buildout '!D$28</f>
        <v>2.3185483870967742E-2</v>
      </c>
      <c r="E22" s="27">
        <f>'Balance Sheet'!E11/'Rev COGS Buildout '!E$28</f>
        <v>2.0640338046481393E-2</v>
      </c>
      <c r="F22" s="27">
        <v>0.02</v>
      </c>
      <c r="G22" s="27">
        <v>0.02</v>
      </c>
      <c r="H22" s="27">
        <v>0.02</v>
      </c>
      <c r="I22" s="27">
        <v>0.02</v>
      </c>
      <c r="J22" s="27">
        <v>0.02</v>
      </c>
    </row>
    <row r="23" spans="1:10" x14ac:dyDescent="0.2">
      <c r="A23" t="s">
        <v>197</v>
      </c>
      <c r="B23" s="27">
        <f>'Balance Sheet'!B12/'Income Statement'!B$18</f>
        <v>4.954954954954955E-2</v>
      </c>
      <c r="C23" s="27">
        <f>'Balance Sheet'!C12/'Income Statement'!C$18</f>
        <v>3.8931045859452326E-2</v>
      </c>
      <c r="D23" s="27">
        <f>'Balance Sheet'!D12/'Income Statement'!D$18</f>
        <v>3.1299734748010608E-2</v>
      </c>
      <c r="E23" s="27">
        <f>'Balance Sheet'!E12/'Income Statement'!E$18</f>
        <v>2.5000000000000001E-2</v>
      </c>
      <c r="F23" s="27">
        <f>E23-0.2%</f>
        <v>2.3E-2</v>
      </c>
      <c r="G23" s="27">
        <f t="shared" ref="G23" si="2">F23-0.2%</f>
        <v>2.0999999999999998E-2</v>
      </c>
      <c r="H23" s="27">
        <v>0.02</v>
      </c>
      <c r="I23" s="27">
        <v>0.02</v>
      </c>
      <c r="J23" s="27">
        <v>0.02</v>
      </c>
    </row>
    <row r="24" spans="1:10" x14ac:dyDescent="0.2">
      <c r="A24" t="s">
        <v>198</v>
      </c>
      <c r="B24" s="27">
        <f>'Balance Sheet'!B13/'Rev COGS Buildout '!B$28</f>
        <v>7.28670816550714E-2</v>
      </c>
      <c r="C24" s="27">
        <f>'Balance Sheet'!C13/'Rev COGS Buildout '!C$28</f>
        <v>6.7011642949547215E-2</v>
      </c>
      <c r="D24" s="27">
        <f>'Balance Sheet'!D13/'Rev COGS Buildout '!D$28</f>
        <v>6.5524193548387094E-2</v>
      </c>
      <c r="E24" s="27">
        <f>'Balance Sheet'!E13/'Rev COGS Buildout '!E$28</f>
        <v>7.1022265561514711E-2</v>
      </c>
      <c r="F24" s="27">
        <v>6.5000000000000002E-2</v>
      </c>
      <c r="G24" s="27">
        <v>6.5000000000000002E-2</v>
      </c>
      <c r="H24" s="27">
        <v>6.5000000000000002E-2</v>
      </c>
      <c r="I24" s="27">
        <v>6.5000000000000002E-2</v>
      </c>
      <c r="J24" s="27">
        <v>6.5000000000000002E-2</v>
      </c>
    </row>
    <row r="26" spans="1:10" x14ac:dyDescent="0.2">
      <c r="A26" t="s">
        <v>199</v>
      </c>
      <c r="B26">
        <f>'Balance Sheet'!B17</f>
        <v>77</v>
      </c>
      <c r="C26">
        <f>'Balance Sheet'!C17</f>
        <v>36</v>
      </c>
      <c r="D26">
        <f>'Balance Sheet'!D17</f>
        <v>25</v>
      </c>
      <c r="E26">
        <f>'Balance Sheet'!E17</f>
        <v>27</v>
      </c>
      <c r="F26" s="18">
        <f>E26</f>
        <v>27</v>
      </c>
      <c r="G26" s="18">
        <f t="shared" ref="G26:J26" si="3">F26</f>
        <v>27</v>
      </c>
      <c r="H26" s="18">
        <f t="shared" si="3"/>
        <v>27</v>
      </c>
      <c r="I26" s="18">
        <f t="shared" si="3"/>
        <v>27</v>
      </c>
      <c r="J26" s="18">
        <f t="shared" si="3"/>
        <v>27</v>
      </c>
    </row>
    <row r="27" spans="1:10" x14ac:dyDescent="0.2">
      <c r="A27" t="s">
        <v>200</v>
      </c>
      <c r="B27">
        <f>'Balance Sheet'!B19</f>
        <v>107</v>
      </c>
      <c r="C27">
        <f>'Balance Sheet'!C19</f>
        <v>113</v>
      </c>
      <c r="D27">
        <f>'Balance Sheet'!D19</f>
        <v>113</v>
      </c>
      <c r="E27">
        <f>'Balance Sheet'!E19</f>
        <v>113</v>
      </c>
      <c r="F27" s="18">
        <f>E27</f>
        <v>113</v>
      </c>
      <c r="G27" s="18">
        <f t="shared" ref="G27:J27" si="4">F27</f>
        <v>113</v>
      </c>
      <c r="H27" s="18">
        <f t="shared" si="4"/>
        <v>113</v>
      </c>
      <c r="I27" s="18">
        <f t="shared" si="4"/>
        <v>113</v>
      </c>
      <c r="J27" s="18">
        <f t="shared" si="4"/>
        <v>113</v>
      </c>
    </row>
    <row r="28" spans="1:10" x14ac:dyDescent="0.2">
      <c r="A28" t="s">
        <v>201</v>
      </c>
      <c r="B28">
        <f>'Balance Sheet'!B20</f>
        <v>28</v>
      </c>
      <c r="C28">
        <f>'Balance Sheet'!C20</f>
        <v>55</v>
      </c>
      <c r="D28">
        <f>'Balance Sheet'!D20</f>
        <v>59</v>
      </c>
      <c r="E28">
        <f>'Balance Sheet'!E20</f>
        <v>71</v>
      </c>
      <c r="F28" s="18">
        <v>0</v>
      </c>
      <c r="G28" s="18">
        <v>0</v>
      </c>
      <c r="H28" s="18">
        <v>0</v>
      </c>
      <c r="I28" s="18">
        <v>0</v>
      </c>
      <c r="J28" s="18">
        <v>0</v>
      </c>
    </row>
    <row r="29" spans="1:10" x14ac:dyDescent="0.2">
      <c r="A29" t="s">
        <v>202</v>
      </c>
      <c r="B29" s="27">
        <f>'Balance Sheet'!B21/'Income Statement'!B11</f>
        <v>1.9040644452581471E-2</v>
      </c>
      <c r="C29" s="27">
        <f>'Balance Sheet'!C21/'Income Statement'!C11</f>
        <v>2.1474773609314358E-2</v>
      </c>
      <c r="D29" s="27">
        <f>'Balance Sheet'!D21/'Income Statement'!D11</f>
        <v>2.379032258064516E-2</v>
      </c>
      <c r="E29" s="27">
        <f>'Balance Sheet'!E21/'Income Statement'!E11</f>
        <v>2.3728262636112465E-2</v>
      </c>
      <c r="F29" s="27">
        <v>2.1999999999999999E-2</v>
      </c>
      <c r="G29" s="27">
        <v>2.1999999999999999E-2</v>
      </c>
      <c r="H29" s="27">
        <v>2.1999999999999999E-2</v>
      </c>
      <c r="I29" s="27">
        <v>2.1999999999999999E-2</v>
      </c>
      <c r="J29" s="27">
        <v>2.1999999999999999E-2</v>
      </c>
    </row>
    <row r="31" spans="1:10" x14ac:dyDescent="0.2">
      <c r="A31" t="s">
        <v>203</v>
      </c>
      <c r="B31" s="27">
        <f>'Balance Sheet'!B28/'Income Statement'!B$18</f>
        <v>1.3513513513513514E-2</v>
      </c>
      <c r="C31" s="27">
        <f>'Balance Sheet'!C28/'Income Statement'!C$18</f>
        <v>1.0557571758495546E-2</v>
      </c>
      <c r="D31" s="27">
        <f>'Balance Sheet'!D28/'Income Statement'!D$18</f>
        <v>9.8143236074270564E-3</v>
      </c>
      <c r="E31" s="27">
        <f>'Balance Sheet'!E28/'Income Statement'!E$18</f>
        <v>1.030701754385965E-2</v>
      </c>
      <c r="F31" s="27">
        <v>0.01</v>
      </c>
      <c r="G31" s="27">
        <v>0.01</v>
      </c>
      <c r="H31" s="27">
        <v>0.01</v>
      </c>
      <c r="I31" s="27">
        <v>0.01</v>
      </c>
      <c r="J31" s="27">
        <v>0.01</v>
      </c>
    </row>
    <row r="32" spans="1:10" x14ac:dyDescent="0.2">
      <c r="A32" t="s">
        <v>204</v>
      </c>
      <c r="B32" s="27">
        <f>'Balance Sheet'!B29/'Income Statement'!B11</f>
        <v>1.4280483339436104E-2</v>
      </c>
      <c r="C32" s="27">
        <f>'Balance Sheet'!C29/'Income Statement'!C11</f>
        <v>1.0090556274256144E-2</v>
      </c>
      <c r="D32" s="27">
        <f>'Balance Sheet'!D29/'Income Statement'!D11</f>
        <v>1.189516129032258E-2</v>
      </c>
      <c r="E32" s="27">
        <f>'Balance Sheet'!E29/'Income Statement'!E11</f>
        <v>1.1051519583942793E-2</v>
      </c>
      <c r="F32" s="27">
        <v>0.01</v>
      </c>
      <c r="G32" s="27">
        <v>0.01</v>
      </c>
      <c r="H32" s="27">
        <v>0.01</v>
      </c>
      <c r="I32" s="27">
        <v>0.01</v>
      </c>
      <c r="J32" s="27">
        <v>0.01</v>
      </c>
    </row>
    <row r="33" spans="1:10" x14ac:dyDescent="0.2">
      <c r="A33" t="s">
        <v>205</v>
      </c>
      <c r="B33" s="27">
        <f>'Balance Sheet'!B30/'Income Statement'!B$18</f>
        <v>0.19234234234234235</v>
      </c>
      <c r="C33" s="27">
        <f>'Balance Sheet'!C30/'Income Statement'!C$18</f>
        <v>0.19531507753216759</v>
      </c>
      <c r="D33" s="27">
        <f>'Balance Sheet'!D30/'Income Statement'!D$18</f>
        <v>0.18965517241379309</v>
      </c>
      <c r="E33" s="27">
        <f>'Balance Sheet'!E30/'Income Statement'!E$18</f>
        <v>0.18728070175438596</v>
      </c>
      <c r="F33" s="27">
        <v>0.19</v>
      </c>
      <c r="G33" s="27">
        <v>0.19</v>
      </c>
      <c r="H33" s="27">
        <v>0.19</v>
      </c>
      <c r="I33" s="27">
        <v>0.19</v>
      </c>
      <c r="J33" s="27">
        <v>0.19</v>
      </c>
    </row>
    <row r="35" spans="1:10" x14ac:dyDescent="0.2">
      <c r="A35" t="s">
        <v>206</v>
      </c>
      <c r="B35">
        <f>'Balance Sheet'!B34</f>
        <v>68</v>
      </c>
      <c r="C35">
        <f>'Balance Sheet'!C34</f>
        <v>64</v>
      </c>
      <c r="D35">
        <f>'Balance Sheet'!D34</f>
        <v>22</v>
      </c>
      <c r="E35">
        <f>'Balance Sheet'!E34</f>
        <v>19</v>
      </c>
      <c r="F35">
        <f>E35</f>
        <v>19</v>
      </c>
      <c r="G35">
        <f t="shared" ref="G35:J36" si="5">F35</f>
        <v>19</v>
      </c>
      <c r="H35">
        <f t="shared" si="5"/>
        <v>19</v>
      </c>
      <c r="I35">
        <f t="shared" si="5"/>
        <v>19</v>
      </c>
      <c r="J35">
        <f t="shared" si="5"/>
        <v>19</v>
      </c>
    </row>
    <row r="36" spans="1:10" x14ac:dyDescent="0.2">
      <c r="A36" t="s">
        <v>207</v>
      </c>
      <c r="B36">
        <f>'Balance Sheet'!B35</f>
        <v>80</v>
      </c>
      <c r="C36">
        <f>'Balance Sheet'!C35</f>
        <v>33</v>
      </c>
      <c r="D36">
        <f>'Balance Sheet'!D35</f>
        <v>24</v>
      </c>
      <c r="E36">
        <f>'Balance Sheet'!E35</f>
        <v>20</v>
      </c>
      <c r="F36">
        <f>E36</f>
        <v>20</v>
      </c>
      <c r="G36">
        <f t="shared" si="5"/>
        <v>20</v>
      </c>
      <c r="H36">
        <f t="shared" si="5"/>
        <v>20</v>
      </c>
      <c r="I36">
        <f t="shared" si="5"/>
        <v>20</v>
      </c>
      <c r="J36">
        <f t="shared" si="5"/>
        <v>20</v>
      </c>
    </row>
    <row r="37" spans="1:10" x14ac:dyDescent="0.2">
      <c r="A37" t="s">
        <v>208</v>
      </c>
      <c r="B37" s="27">
        <f>'Balance Sheet'!B36/'Income Statement'!B18</f>
        <v>8.5585585585585579E-3</v>
      </c>
      <c r="C37" s="27">
        <f>'Balance Sheet'!C36/'Income Statement'!C18</f>
        <v>1.3196964698119432E-3</v>
      </c>
      <c r="D37" s="27">
        <f>'Balance Sheet'!D36/'Income Statement'!D18</f>
        <v>1.5915119363395225E-3</v>
      </c>
      <c r="E37" s="27">
        <f>'Balance Sheet'!E36/'Income Statement'!E18</f>
        <v>2.8508771929824563E-3</v>
      </c>
      <c r="F37" s="27">
        <f>E37</f>
        <v>2.8508771929824563E-3</v>
      </c>
      <c r="G37" s="27">
        <f t="shared" ref="G37:J37" si="6">F37</f>
        <v>2.8508771929824563E-3</v>
      </c>
      <c r="H37" s="27">
        <f t="shared" si="6"/>
        <v>2.8508771929824563E-3</v>
      </c>
      <c r="I37" s="27">
        <f t="shared" si="6"/>
        <v>2.8508771929824563E-3</v>
      </c>
      <c r="J37" s="27">
        <f t="shared" si="6"/>
        <v>2.8508771929824563E-3</v>
      </c>
    </row>
    <row r="39" spans="1:10" x14ac:dyDescent="0.2">
      <c r="A39" t="s">
        <v>209</v>
      </c>
      <c r="B39" s="18">
        <f>'Balance Sheet'!B41</f>
        <v>0</v>
      </c>
      <c r="C39" s="18">
        <f>'Balance Sheet'!C41</f>
        <v>0</v>
      </c>
      <c r="D39" s="18">
        <f>'Balance Sheet'!D41</f>
        <v>0</v>
      </c>
      <c r="E39" s="18">
        <f>'Balance Sheet'!E41</f>
        <v>0</v>
      </c>
      <c r="F39" s="21">
        <f>E39</f>
        <v>0</v>
      </c>
      <c r="G39" s="21">
        <f t="shared" ref="G39:J39" si="7">F39</f>
        <v>0</v>
      </c>
      <c r="H39" s="21">
        <f t="shared" si="7"/>
        <v>0</v>
      </c>
      <c r="I39" s="21">
        <f t="shared" si="7"/>
        <v>0</v>
      </c>
      <c r="J39" s="21">
        <f t="shared" si="7"/>
        <v>0</v>
      </c>
    </row>
    <row r="40" spans="1:10" x14ac:dyDescent="0.2">
      <c r="A40" t="s">
        <v>210</v>
      </c>
      <c r="B40" s="18">
        <f>'Balance Sheet'!B42</f>
        <v>0</v>
      </c>
      <c r="C40" s="18">
        <f>'Balance Sheet'!C42</f>
        <v>0</v>
      </c>
      <c r="D40" s="18">
        <f>'Balance Sheet'!D42</f>
        <v>0</v>
      </c>
      <c r="E40" s="18">
        <f>'Balance Sheet'!E42</f>
        <v>0</v>
      </c>
      <c r="F40" s="21">
        <f t="shared" ref="F40:J40" si="8">E40</f>
        <v>0</v>
      </c>
      <c r="G40" s="21">
        <f t="shared" si="8"/>
        <v>0</v>
      </c>
      <c r="H40" s="21">
        <f t="shared" si="8"/>
        <v>0</v>
      </c>
      <c r="I40" s="21">
        <f t="shared" si="8"/>
        <v>0</v>
      </c>
      <c r="J40" s="21">
        <f t="shared" si="8"/>
        <v>0</v>
      </c>
    </row>
    <row r="41" spans="1:10" x14ac:dyDescent="0.2">
      <c r="A41" t="s">
        <v>211</v>
      </c>
      <c r="B41" s="18">
        <f>'Balance Sheet'!B43</f>
        <v>0</v>
      </c>
      <c r="C41" s="18">
        <f>'Balance Sheet'!C43</f>
        <v>0</v>
      </c>
      <c r="D41" s="18">
        <f>'Balance Sheet'!D43</f>
        <v>0</v>
      </c>
      <c r="E41" s="18">
        <f>'Balance Sheet'!E43</f>
        <v>0</v>
      </c>
      <c r="F41" s="21">
        <f t="shared" ref="F41:J41" si="9">E41</f>
        <v>0</v>
      </c>
      <c r="G41" s="21">
        <f t="shared" si="9"/>
        <v>0</v>
      </c>
      <c r="H41" s="21">
        <f t="shared" si="9"/>
        <v>0</v>
      </c>
      <c r="I41" s="21">
        <f t="shared" si="9"/>
        <v>0</v>
      </c>
      <c r="J41" s="21">
        <f t="shared" si="9"/>
        <v>0</v>
      </c>
    </row>
    <row r="42" spans="1:10" x14ac:dyDescent="0.2">
      <c r="A42" t="s">
        <v>212</v>
      </c>
      <c r="B42" s="18">
        <f>'Balance Sheet'!B44</f>
        <v>-2</v>
      </c>
      <c r="C42" s="18">
        <f>'Balance Sheet'!C44</f>
        <v>0</v>
      </c>
      <c r="D42" s="18">
        <f>'Balance Sheet'!D44</f>
        <v>-1</v>
      </c>
      <c r="E42" s="18">
        <f>'Balance Sheet'!E44</f>
        <v>2</v>
      </c>
      <c r="F42" s="21">
        <f t="shared" ref="F42:J42" si="10">E42</f>
        <v>2</v>
      </c>
      <c r="G42" s="21">
        <f t="shared" si="10"/>
        <v>2</v>
      </c>
      <c r="H42" s="21">
        <f t="shared" si="10"/>
        <v>2</v>
      </c>
      <c r="I42" s="21">
        <f t="shared" si="10"/>
        <v>2</v>
      </c>
      <c r="J42" s="21">
        <f t="shared" si="10"/>
        <v>2</v>
      </c>
    </row>
    <row r="43" spans="1:10" x14ac:dyDescent="0.2">
      <c r="A43" t="s">
        <v>213</v>
      </c>
      <c r="B43" s="18">
        <f>'Balance Sheet'!B45</f>
        <v>2477</v>
      </c>
      <c r="C43" s="18">
        <f>'Balance Sheet'!C45</f>
        <v>2817</v>
      </c>
      <c r="D43" s="18">
        <f>'Balance Sheet'!D45</f>
        <v>3150</v>
      </c>
      <c r="E43" s="18">
        <f>'Balance Sheet'!E45</f>
        <v>3384</v>
      </c>
      <c r="F43" s="21">
        <f t="shared" ref="F43:J43" si="11">E43</f>
        <v>3384</v>
      </c>
      <c r="G43" s="21">
        <f t="shared" si="11"/>
        <v>3384</v>
      </c>
      <c r="H43" s="21">
        <f t="shared" si="11"/>
        <v>3384</v>
      </c>
      <c r="I43" s="21">
        <f t="shared" si="11"/>
        <v>3384</v>
      </c>
      <c r="J43" s="21">
        <f t="shared" si="11"/>
        <v>3384</v>
      </c>
    </row>
    <row r="45" spans="1:10" x14ac:dyDescent="0.2">
      <c r="A45" s="32" t="s">
        <v>214</v>
      </c>
    </row>
    <row r="46" spans="1:10" x14ac:dyDescent="0.2">
      <c r="A46" t="s">
        <v>218</v>
      </c>
      <c r="C46" s="27">
        <f>'Cash Flow'!C10/'Balance Sheet'!B16</f>
        <v>0.18032786885245902</v>
      </c>
      <c r="D46" s="27">
        <f>'Cash Flow'!D10/'Balance Sheet'!C16</f>
        <v>0.13333333333333333</v>
      </c>
      <c r="E46" s="27">
        <f>'Cash Flow'!E10/'Balance Sheet'!D16</f>
        <v>0.10204081632653061</v>
      </c>
      <c r="F46" s="27">
        <v>0.09</v>
      </c>
      <c r="G46" s="27">
        <v>0.08</v>
      </c>
      <c r="H46" s="27">
        <v>7.0000000000000007E-2</v>
      </c>
      <c r="I46" s="27">
        <v>0.06</v>
      </c>
      <c r="J46" s="27">
        <v>0.06</v>
      </c>
    </row>
    <row r="47" spans="1:10" x14ac:dyDescent="0.2">
      <c r="A47" t="s">
        <v>215</v>
      </c>
      <c r="B47" s="27"/>
      <c r="C47" s="27">
        <f>'Cash Flow'!C11/'Balance Sheet'!B18</f>
        <v>0.72413793103448276</v>
      </c>
      <c r="D47" s="27">
        <f>'Cash Flow'!D11/'Balance Sheet'!C18</f>
        <v>1.3846153846153846</v>
      </c>
      <c r="E47" s="27">
        <f>'Cash Flow'!E11/'Balance Sheet'!D18</f>
        <v>2.7</v>
      </c>
      <c r="F47" s="27">
        <v>0.3</v>
      </c>
      <c r="G47" s="27">
        <v>0.3</v>
      </c>
      <c r="H47" s="27">
        <v>0.3</v>
      </c>
      <c r="I47" s="27">
        <v>0.3</v>
      </c>
      <c r="J47" s="27">
        <v>0.3</v>
      </c>
    </row>
    <row r="48" spans="1:10" x14ac:dyDescent="0.2">
      <c r="A48" t="s">
        <v>217</v>
      </c>
      <c r="B48" s="27">
        <f>'Cash Flow'!B37/-'Income Statement'!B11</f>
        <v>1.2083485902599781E-2</v>
      </c>
      <c r="C48" s="27">
        <f>'Cash Flow'!C37/-'Income Statement'!C11</f>
        <v>1.0866752910737387E-2</v>
      </c>
      <c r="D48" s="27">
        <f>'Cash Flow'!D37/-'Income Statement'!D11</f>
        <v>1.0887096774193548E-2</v>
      </c>
      <c r="E48" s="27">
        <f>'Cash Flow'!E37/-'Income Statement'!E11</f>
        <v>8.61368438160247E-3</v>
      </c>
      <c r="F48" s="27">
        <v>0.01</v>
      </c>
      <c r="G48" s="27">
        <v>0.01</v>
      </c>
      <c r="H48" s="27">
        <v>0.01</v>
      </c>
      <c r="I48" s="27">
        <v>0.01</v>
      </c>
      <c r="J48" s="27">
        <v>0.01</v>
      </c>
    </row>
    <row r="49" spans="1:10" x14ac:dyDescent="0.2">
      <c r="A49" t="s">
        <v>232</v>
      </c>
      <c r="B49" s="18">
        <v>0</v>
      </c>
      <c r="C49" s="18">
        <v>0</v>
      </c>
      <c r="D49" s="18">
        <v>0</v>
      </c>
      <c r="E49" s="18">
        <v>0</v>
      </c>
      <c r="F49" s="18">
        <v>0</v>
      </c>
      <c r="G49" s="18">
        <v>0</v>
      </c>
      <c r="H49" s="18">
        <v>0</v>
      </c>
      <c r="I49" s="18">
        <v>0</v>
      </c>
      <c r="J49" s="18">
        <v>0</v>
      </c>
    </row>
    <row r="50" spans="1:10" x14ac:dyDescent="0.2">
      <c r="A50" t="s">
        <v>249</v>
      </c>
      <c r="B50" s="43">
        <f>-'Cash Flow'!B49/'Income Statement'!B41</f>
        <v>0</v>
      </c>
      <c r="C50" s="43">
        <f>-'Cash Flow'!C49/'Income Statement'!C41</f>
        <v>0</v>
      </c>
      <c r="D50" s="43">
        <f>-'Cash Flow'!D49/'Income Statement'!D41</f>
        <v>2.9473684210526314</v>
      </c>
      <c r="E50" s="43">
        <f>-'Cash Flow'!E49/'Income Statement'!E41</f>
        <v>0.3128654970760234</v>
      </c>
      <c r="F50" s="43">
        <v>0.2</v>
      </c>
      <c r="G50" s="43">
        <v>0.2</v>
      </c>
      <c r="H50" s="43">
        <v>0.2</v>
      </c>
      <c r="I50" s="43">
        <v>0.2</v>
      </c>
      <c r="J50" s="43">
        <v>0.2</v>
      </c>
    </row>
    <row r="51" spans="1:10" x14ac:dyDescent="0.2">
      <c r="A51" t="s">
        <v>235</v>
      </c>
      <c r="F51" s="27">
        <v>0.04</v>
      </c>
      <c r="G51" s="27">
        <v>3.7999999999999999E-2</v>
      </c>
      <c r="H51" s="27">
        <v>3.5000000000000003E-2</v>
      </c>
      <c r="I51" s="27">
        <v>3.2000000000000001E-2</v>
      </c>
      <c r="J51" s="27">
        <v>0.03</v>
      </c>
    </row>
    <row r="52" spans="1:10" x14ac:dyDescent="0.2">
      <c r="A52" t="s">
        <v>239</v>
      </c>
      <c r="B52" s="27"/>
      <c r="C52" s="27"/>
      <c r="D52" s="27"/>
      <c r="E52" s="27"/>
      <c r="F52" s="27">
        <v>0.06</v>
      </c>
      <c r="G52" s="27">
        <v>0.06</v>
      </c>
      <c r="H52" s="27">
        <v>0.06</v>
      </c>
      <c r="I52" s="27">
        <v>0.06</v>
      </c>
      <c r="J52" s="27">
        <v>0.06</v>
      </c>
    </row>
    <row r="53" spans="1:10" x14ac:dyDescent="0.2">
      <c r="A53" t="s">
        <v>237</v>
      </c>
      <c r="B53" s="18">
        <v>0</v>
      </c>
      <c r="C53" s="18">
        <v>0</v>
      </c>
      <c r="D53" s="18">
        <v>0</v>
      </c>
      <c r="E53" s="18">
        <v>0</v>
      </c>
      <c r="F53" s="18">
        <v>0</v>
      </c>
      <c r="G53" s="18">
        <v>0</v>
      </c>
      <c r="H53" s="18">
        <v>0</v>
      </c>
      <c r="I53" s="18">
        <v>0</v>
      </c>
      <c r="J53" s="18">
        <v>0</v>
      </c>
    </row>
    <row r="54" spans="1:10" x14ac:dyDescent="0.2">
      <c r="A54" t="s">
        <v>238</v>
      </c>
      <c r="B54" s="18">
        <v>0</v>
      </c>
      <c r="C54" s="18">
        <v>0</v>
      </c>
      <c r="D54" s="18">
        <v>0</v>
      </c>
      <c r="E54" s="18">
        <v>0</v>
      </c>
      <c r="F54" s="18">
        <v>0</v>
      </c>
      <c r="G54" s="18">
        <v>0</v>
      </c>
      <c r="H54" s="18">
        <v>0</v>
      </c>
      <c r="I54" s="18">
        <v>0</v>
      </c>
      <c r="J54" s="18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6"/>
  <sheetViews>
    <sheetView topLeftCell="A29" zoomScale="160" zoomScaleNormal="160" workbookViewId="0">
      <selection activeCell="I53" sqref="I53"/>
    </sheetView>
  </sheetViews>
  <sheetFormatPr baseColWidth="10" defaultColWidth="8.83203125" defaultRowHeight="15" x14ac:dyDescent="0.2"/>
  <cols>
    <col min="1" max="1" width="50" customWidth="1"/>
    <col min="2" max="10" width="9.5" customWidth="1"/>
  </cols>
  <sheetData>
    <row r="1" spans="1:10" ht="16" x14ac:dyDescent="0.2">
      <c r="A1" s="1" t="s">
        <v>0</v>
      </c>
    </row>
    <row r="2" spans="1:10" x14ac:dyDescent="0.2">
      <c r="A2" s="2" t="s">
        <v>1</v>
      </c>
    </row>
    <row r="3" spans="1:10" x14ac:dyDescent="0.2">
      <c r="A3" s="3" t="s">
        <v>2</v>
      </c>
    </row>
    <row r="5" spans="1:10" x14ac:dyDescent="0.2">
      <c r="A5" s="4" t="s">
        <v>3</v>
      </c>
      <c r="B5" s="5" t="s">
        <v>4</v>
      </c>
      <c r="C5" s="5">
        <f>B5+1</f>
        <v>2023</v>
      </c>
      <c r="D5" s="5">
        <f t="shared" ref="D5:E5" si="0">C5+1</f>
        <v>2024</v>
      </c>
      <c r="E5" s="5">
        <f t="shared" si="0"/>
        <v>2025</v>
      </c>
      <c r="F5" s="5">
        <f t="shared" ref="F5:J5" si="1">E5+1</f>
        <v>2026</v>
      </c>
      <c r="G5" s="5">
        <f t="shared" si="1"/>
        <v>2027</v>
      </c>
      <c r="H5" s="5">
        <f t="shared" si="1"/>
        <v>2028</v>
      </c>
      <c r="I5" s="5">
        <f t="shared" si="1"/>
        <v>2029</v>
      </c>
      <c r="J5" s="5">
        <f t="shared" si="1"/>
        <v>2030</v>
      </c>
    </row>
    <row r="7" spans="1:10" x14ac:dyDescent="0.2">
      <c r="A7" s="6" t="s">
        <v>8</v>
      </c>
    </row>
    <row r="8" spans="1:10" x14ac:dyDescent="0.2">
      <c r="A8" s="7" t="s">
        <v>9</v>
      </c>
      <c r="B8" s="16">
        <v>324</v>
      </c>
      <c r="C8" s="16">
        <v>500</v>
      </c>
      <c r="D8" s="16">
        <v>706</v>
      </c>
      <c r="E8" s="16">
        <v>936</v>
      </c>
      <c r="F8" s="16">
        <f>'Rev COGS Buildout '!F25</f>
        <v>1415.0948765588357</v>
      </c>
      <c r="G8" s="16">
        <f>'Rev COGS Buildout '!G25</f>
        <v>1700.2033854462381</v>
      </c>
      <c r="H8" s="16">
        <f>'Rev COGS Buildout '!H25</f>
        <v>1988.9876100551269</v>
      </c>
      <c r="I8" s="16">
        <f>'Rev COGS Buildout '!I25</f>
        <v>2248.058219266858</v>
      </c>
      <c r="J8" s="16">
        <f>'Rev COGS Buildout '!J25</f>
        <v>2484.283654520616</v>
      </c>
    </row>
    <row r="9" spans="1:10" x14ac:dyDescent="0.2">
      <c r="A9" s="7" t="s">
        <v>10</v>
      </c>
      <c r="B9" s="16">
        <v>2268</v>
      </c>
      <c r="C9" s="16">
        <v>3189</v>
      </c>
      <c r="D9" s="16">
        <v>4053</v>
      </c>
      <c r="E9" s="16">
        <v>5037</v>
      </c>
      <c r="F9" s="16">
        <f>'Rev COGS Buildout '!F26</f>
        <v>5964.3608414634136</v>
      </c>
      <c r="G9" s="16">
        <f>'Rev COGS Buildout '!G26</f>
        <v>6739.6970067256088</v>
      </c>
      <c r="H9" s="16">
        <f>'Rev COGS Buildout '!H26</f>
        <v>7485.7722329084791</v>
      </c>
      <c r="I9" s="16">
        <f>'Rev COGS Buildout '!I26</f>
        <v>8109.9870590624887</v>
      </c>
      <c r="J9" s="16">
        <f>'Rev COGS Buildout '!J26</f>
        <v>8673.7082507990708</v>
      </c>
    </row>
    <row r="10" spans="1:10" x14ac:dyDescent="0.2">
      <c r="A10" s="7" t="s">
        <v>11</v>
      </c>
      <c r="B10" s="16">
        <v>139</v>
      </c>
      <c r="C10" s="16">
        <v>176</v>
      </c>
      <c r="D10" s="16">
        <v>201</v>
      </c>
      <c r="E10" s="16">
        <v>180</v>
      </c>
      <c r="F10" s="16">
        <f>'Rev COGS Buildout '!F27</f>
        <v>198.22529357789207</v>
      </c>
      <c r="G10" s="16">
        <f>'Rev COGS Buildout '!G27</f>
        <v>218.29592785578612</v>
      </c>
      <c r="H10" s="16">
        <f>'Rev COGS Buildout '!H27</f>
        <v>240.39874658928642</v>
      </c>
      <c r="I10" s="16">
        <f>'Rev COGS Buildout '!I27</f>
        <v>264.73951176899214</v>
      </c>
      <c r="J10" s="16">
        <f>'Rev COGS Buildout '!J27</f>
        <v>291.544819122646</v>
      </c>
    </row>
    <row r="11" spans="1:10" x14ac:dyDescent="0.2">
      <c r="A11" s="8" t="s">
        <v>12</v>
      </c>
      <c r="B11" s="17">
        <f>SUM(B8:B10)</f>
        <v>2731</v>
      </c>
      <c r="C11" s="17">
        <f t="shared" ref="C11:E11" si="2">SUM(C8:C10)</f>
        <v>3865</v>
      </c>
      <c r="D11" s="17">
        <f t="shared" si="2"/>
        <v>4960</v>
      </c>
      <c r="E11" s="17">
        <f t="shared" si="2"/>
        <v>6153</v>
      </c>
      <c r="F11" s="17">
        <f t="shared" ref="F11" si="3">SUM(F8:F10)</f>
        <v>7577.6810116001416</v>
      </c>
      <c r="G11" s="17">
        <f t="shared" ref="G11" si="4">SUM(G8:G10)</f>
        <v>8658.1963200276332</v>
      </c>
      <c r="H11" s="17">
        <f t="shared" ref="H11" si="5">SUM(H8:H10)</f>
        <v>9715.1585895528915</v>
      </c>
      <c r="I11" s="17">
        <f t="shared" ref="I11" si="6">SUM(I8:I10)</f>
        <v>10622.78479009834</v>
      </c>
      <c r="J11" s="17">
        <f t="shared" ref="J11" si="7">SUM(J8:J10)</f>
        <v>11449.536724442332</v>
      </c>
    </row>
    <row r="12" spans="1:10" x14ac:dyDescent="0.2">
      <c r="B12" s="18"/>
      <c r="C12" s="18"/>
      <c r="D12" s="18"/>
      <c r="E12" s="18"/>
      <c r="F12" s="18"/>
      <c r="G12" s="18"/>
      <c r="H12" s="18"/>
      <c r="I12" s="18"/>
      <c r="J12" s="18"/>
    </row>
    <row r="13" spans="1:10" x14ac:dyDescent="0.2">
      <c r="A13" s="6" t="s">
        <v>13</v>
      </c>
      <c r="B13" s="18"/>
      <c r="C13" s="18"/>
      <c r="D13" s="18"/>
      <c r="E13" s="18"/>
      <c r="F13" s="18"/>
      <c r="G13" s="18"/>
      <c r="H13" s="18"/>
      <c r="I13" s="18"/>
      <c r="J13" s="18"/>
    </row>
    <row r="14" spans="1:10" x14ac:dyDescent="0.2">
      <c r="A14" s="7" t="s">
        <v>9</v>
      </c>
      <c r="B14" s="16">
        <v>112</v>
      </c>
      <c r="C14" s="16">
        <v>166</v>
      </c>
      <c r="D14" s="16">
        <v>219</v>
      </c>
      <c r="E14" s="16">
        <v>264</v>
      </c>
      <c r="F14" s="16">
        <f>'Rev COGS Buildout '!F46</f>
        <v>377.90290100923778</v>
      </c>
      <c r="G14" s="16">
        <f>'Rev COGS Buildout '!G46</f>
        <v>430.23864643510058</v>
      </c>
      <c r="H14" s="16">
        <f>'Rev COGS Buildout '!H46</f>
        <v>477.45902577784858</v>
      </c>
      <c r="I14" s="16">
        <f>'Rev COGS Buildout '!I46</f>
        <v>512.67255902972897</v>
      </c>
      <c r="J14" s="16">
        <f>'Rev COGS Buildout '!J46</f>
        <v>539.21695219274386</v>
      </c>
    </row>
    <row r="15" spans="1:10" x14ac:dyDescent="0.2">
      <c r="A15" s="7" t="s">
        <v>10</v>
      </c>
      <c r="B15" s="16">
        <v>1792</v>
      </c>
      <c r="C15" s="16">
        <v>2503</v>
      </c>
      <c r="D15" s="16">
        <v>3175</v>
      </c>
      <c r="E15" s="16">
        <v>3891</v>
      </c>
      <c r="F15" s="16">
        <f>'Rev COGS Buildout '!F47</f>
        <v>4572.3009461005713</v>
      </c>
      <c r="G15" s="16">
        <f>'Rev COGS Buildout '!G47</f>
        <v>5130.4173000004266</v>
      </c>
      <c r="H15" s="16">
        <f>'Rev COGS Buildout '!H47</f>
        <v>5661.8173088976655</v>
      </c>
      <c r="I15" s="16">
        <f>'Rev COGS Buildout '!I47</f>
        <v>6098.4170146923361</v>
      </c>
      <c r="J15" s="16">
        <f>'Rev COGS Buildout '!J47</f>
        <v>6488.6614543005599</v>
      </c>
    </row>
    <row r="16" spans="1:10" x14ac:dyDescent="0.2">
      <c r="A16" s="7" t="s">
        <v>11</v>
      </c>
      <c r="B16" s="16">
        <v>311</v>
      </c>
      <c r="C16" s="16">
        <v>357</v>
      </c>
      <c r="D16" s="16">
        <v>371</v>
      </c>
      <c r="E16" s="16">
        <v>400</v>
      </c>
      <c r="F16" s="16">
        <f>'Rev COGS Buildout '!F48</f>
        <v>440.50065239531574</v>
      </c>
      <c r="G16" s="16">
        <f>'Rev COGS Buildout '!G48</f>
        <v>485.10206190174694</v>
      </c>
      <c r="H16" s="16">
        <f>'Rev COGS Buildout '!H48</f>
        <v>534.21943686508098</v>
      </c>
      <c r="I16" s="16">
        <f>'Rev COGS Buildout '!I48</f>
        <v>588.3100261533159</v>
      </c>
      <c r="J16" s="16">
        <f>'Rev COGS Buildout '!J48</f>
        <v>647.87737582810223</v>
      </c>
    </row>
    <row r="17" spans="1:10" x14ac:dyDescent="0.2">
      <c r="A17" s="7" t="s">
        <v>14</v>
      </c>
      <c r="B17" s="16">
        <v>5</v>
      </c>
      <c r="C17" s="16">
        <v>5</v>
      </c>
      <c r="D17" s="16">
        <v>5</v>
      </c>
      <c r="E17" s="16">
        <v>5</v>
      </c>
      <c r="F17" s="16">
        <f>'Rev COGS Buildout '!F49</f>
        <v>0</v>
      </c>
      <c r="G17" s="16">
        <f>'Rev COGS Buildout '!G49</f>
        <v>0</v>
      </c>
      <c r="H17" s="16">
        <f>'Rev COGS Buildout '!H49</f>
        <v>0</v>
      </c>
      <c r="I17" s="16">
        <f>'Rev COGS Buildout '!I49</f>
        <v>0</v>
      </c>
      <c r="J17" s="16">
        <f>'Rev COGS Buildout '!J49</f>
        <v>0</v>
      </c>
    </row>
    <row r="18" spans="1:10" x14ac:dyDescent="0.2">
      <c r="A18" s="8" t="s">
        <v>15</v>
      </c>
      <c r="B18" s="17">
        <f>SUM(B14:B17)</f>
        <v>2220</v>
      </c>
      <c r="C18" s="17">
        <f t="shared" ref="C18:E18" si="8">SUM(C14:C17)</f>
        <v>3031</v>
      </c>
      <c r="D18" s="17">
        <f t="shared" si="8"/>
        <v>3770</v>
      </c>
      <c r="E18" s="17">
        <f t="shared" si="8"/>
        <v>4560</v>
      </c>
      <c r="F18" s="17">
        <f t="shared" ref="F18" si="9">SUM(F14:F17)</f>
        <v>5390.7044995051256</v>
      </c>
      <c r="G18" s="17">
        <f t="shared" ref="G18" si="10">SUM(G14:G17)</f>
        <v>6045.7580083372741</v>
      </c>
      <c r="H18" s="17">
        <f t="shared" ref="H18" si="11">SUM(H14:H17)</f>
        <v>6673.4957715405944</v>
      </c>
      <c r="I18" s="17">
        <f t="shared" ref="I18" si="12">SUM(I14:I17)</f>
        <v>7199.3995998753817</v>
      </c>
      <c r="J18" s="17">
        <f t="shared" ref="J18" si="13">SUM(J14:J17)</f>
        <v>7675.7557823214056</v>
      </c>
    </row>
    <row r="19" spans="1:10" x14ac:dyDescent="0.2">
      <c r="B19" s="18"/>
      <c r="C19" s="18"/>
      <c r="D19" s="18"/>
      <c r="E19" s="18"/>
      <c r="F19" s="18"/>
      <c r="G19" s="18"/>
      <c r="H19" s="18"/>
      <c r="I19" s="18"/>
      <c r="J19" s="18"/>
    </row>
    <row r="20" spans="1:10" x14ac:dyDescent="0.2">
      <c r="A20" s="9" t="s">
        <v>16</v>
      </c>
      <c r="B20" s="17">
        <f>B11-B18</f>
        <v>511</v>
      </c>
      <c r="C20" s="17">
        <f t="shared" ref="C20:E20" si="14">C11-C18</f>
        <v>834</v>
      </c>
      <c r="D20" s="17">
        <f t="shared" si="14"/>
        <v>1190</v>
      </c>
      <c r="E20" s="17">
        <f t="shared" si="14"/>
        <v>1593</v>
      </c>
      <c r="F20" s="17">
        <f t="shared" ref="F20:J20" si="15">F11-F18</f>
        <v>2186.976512095016</v>
      </c>
      <c r="G20" s="17">
        <f t="shared" si="15"/>
        <v>2612.4383116903591</v>
      </c>
      <c r="H20" s="17">
        <f t="shared" si="15"/>
        <v>3041.6628180122971</v>
      </c>
      <c r="I20" s="17">
        <f t="shared" si="15"/>
        <v>3423.385190222958</v>
      </c>
      <c r="J20" s="17">
        <f t="shared" si="15"/>
        <v>3773.7809421209267</v>
      </c>
    </row>
    <row r="21" spans="1:10" x14ac:dyDescent="0.2">
      <c r="B21" s="18"/>
      <c r="C21" s="18"/>
      <c r="D21" s="18"/>
      <c r="E21" s="18"/>
      <c r="F21" s="18"/>
      <c r="G21" s="18"/>
      <c r="H21" s="18"/>
      <c r="I21" s="18"/>
      <c r="J21" s="18"/>
    </row>
    <row r="22" spans="1:10" x14ac:dyDescent="0.2">
      <c r="A22" s="6" t="s">
        <v>17</v>
      </c>
      <c r="B22" s="18"/>
      <c r="C22" s="18"/>
      <c r="D22" s="18"/>
      <c r="E22" s="18"/>
      <c r="F22" s="18"/>
      <c r="G22" s="18"/>
      <c r="H22" s="18"/>
      <c r="I22" s="18"/>
      <c r="J22" s="18"/>
    </row>
    <row r="23" spans="1:10" x14ac:dyDescent="0.2">
      <c r="A23" s="7" t="s">
        <v>18</v>
      </c>
      <c r="B23" s="16">
        <v>319</v>
      </c>
      <c r="C23" s="16">
        <v>401</v>
      </c>
      <c r="D23" s="16">
        <v>470</v>
      </c>
      <c r="E23" s="16">
        <v>571</v>
      </c>
      <c r="F23" s="16">
        <f>F$11*Assumptions!F8</f>
        <v>665.32236328649481</v>
      </c>
      <c r="G23" s="16">
        <f>G$11*Assumptions!G8</f>
        <v>716.90090673890427</v>
      </c>
      <c r="H23" s="16">
        <f>H$11*Assumptions!H8</f>
        <v>777.21268716423128</v>
      </c>
      <c r="I23" s="16">
        <f>I$11*Assumptions!I8</f>
        <v>849.82278320786725</v>
      </c>
      <c r="J23" s="16">
        <f>J$11*Assumptions!J8</f>
        <v>915.96293795538656</v>
      </c>
    </row>
    <row r="24" spans="1:10" x14ac:dyDescent="0.2">
      <c r="A24" s="7" t="s">
        <v>19</v>
      </c>
      <c r="B24" s="16">
        <v>282</v>
      </c>
      <c r="C24" s="16">
        <v>358</v>
      </c>
      <c r="D24" s="16">
        <v>351</v>
      </c>
      <c r="E24" s="16">
        <v>374</v>
      </c>
      <c r="F24" s="16">
        <f>F$11*Assumptions!F9</f>
        <v>416.77245563800778</v>
      </c>
      <c r="G24" s="16">
        <f>G$11*Assumptions!G9</f>
        <v>458.88440496146455</v>
      </c>
      <c r="H24" s="16">
        <f>H$11*Assumptions!H9</f>
        <v>485.75792947764461</v>
      </c>
      <c r="I24" s="16">
        <f>I$11*Assumptions!I9</f>
        <v>531.13923950491699</v>
      </c>
      <c r="J24" s="16">
        <f>J$11*Assumptions!J9</f>
        <v>572.47683622211662</v>
      </c>
    </row>
    <row r="25" spans="1:10" x14ac:dyDescent="0.2">
      <c r="A25" s="7" t="s">
        <v>20</v>
      </c>
      <c r="B25" s="16">
        <v>294</v>
      </c>
      <c r="C25" s="16">
        <v>362</v>
      </c>
      <c r="D25" s="16">
        <v>307</v>
      </c>
      <c r="E25" s="16">
        <v>344</v>
      </c>
      <c r="F25" s="16">
        <f>Assumptions!F10</f>
        <v>350</v>
      </c>
      <c r="G25" s="16">
        <f>Assumptions!G10</f>
        <v>375</v>
      </c>
      <c r="H25" s="16">
        <f>Assumptions!H10</f>
        <v>400</v>
      </c>
      <c r="I25" s="16">
        <f>Assumptions!I10</f>
        <v>415</v>
      </c>
      <c r="J25" s="16">
        <f>Assumptions!J10</f>
        <v>420</v>
      </c>
    </row>
    <row r="26" spans="1:10" x14ac:dyDescent="0.2">
      <c r="A26" s="7" t="s">
        <v>21</v>
      </c>
      <c r="B26" s="16">
        <v>0</v>
      </c>
      <c r="C26" s="16">
        <v>0</v>
      </c>
      <c r="D26" s="16">
        <v>46</v>
      </c>
      <c r="E26" s="16">
        <v>12</v>
      </c>
      <c r="F26" s="16">
        <f>Assumptions!F11</f>
        <v>0</v>
      </c>
      <c r="G26" s="16">
        <f>Assumptions!G11</f>
        <v>0</v>
      </c>
      <c r="H26" s="16">
        <f>Assumptions!H11</f>
        <v>0</v>
      </c>
      <c r="I26" s="16">
        <f>Assumptions!I11</f>
        <v>0</v>
      </c>
      <c r="J26" s="16">
        <f>Assumptions!J11</f>
        <v>0</v>
      </c>
    </row>
    <row r="27" spans="1:10" x14ac:dyDescent="0.2">
      <c r="B27" s="18"/>
      <c r="C27" s="18"/>
      <c r="D27" s="18"/>
      <c r="E27" s="18"/>
      <c r="F27" s="18"/>
      <c r="G27" s="18"/>
      <c r="H27" s="18"/>
      <c r="I27" s="18"/>
      <c r="J27" s="18"/>
    </row>
    <row r="28" spans="1:10" x14ac:dyDescent="0.2">
      <c r="A28" s="9" t="s">
        <v>22</v>
      </c>
      <c r="B28" s="17">
        <f>B20-B23-B24-B25-B26</f>
        <v>-384</v>
      </c>
      <c r="C28" s="17">
        <f t="shared" ref="C28:E28" si="16">C20-C23-C24-C25-C26</f>
        <v>-287</v>
      </c>
      <c r="D28" s="17">
        <f t="shared" si="16"/>
        <v>16</v>
      </c>
      <c r="E28" s="17">
        <f t="shared" si="16"/>
        <v>292</v>
      </c>
      <c r="F28" s="17">
        <f t="shared" ref="F28:J28" si="17">F20-F23-F24-F25-F26</f>
        <v>754.88169317051347</v>
      </c>
      <c r="G28" s="17">
        <f t="shared" si="17"/>
        <v>1061.6529999899903</v>
      </c>
      <c r="H28" s="17">
        <f t="shared" si="17"/>
        <v>1378.6922013704211</v>
      </c>
      <c r="I28" s="17">
        <f t="shared" si="17"/>
        <v>1627.4231675101737</v>
      </c>
      <c r="J28" s="17">
        <f t="shared" si="17"/>
        <v>1865.3411679434234</v>
      </c>
    </row>
    <row r="29" spans="1:10" x14ac:dyDescent="0.2">
      <c r="B29" s="18"/>
      <c r="C29" s="18"/>
      <c r="D29" s="18"/>
      <c r="E29" s="18"/>
      <c r="F29" s="18"/>
      <c r="G29" s="18"/>
      <c r="H29" s="18"/>
      <c r="I29" s="18"/>
      <c r="J29" s="18"/>
    </row>
    <row r="30" spans="1:10" x14ac:dyDescent="0.2">
      <c r="A30" s="6" t="s">
        <v>23</v>
      </c>
      <c r="B30" s="18"/>
      <c r="C30" s="18"/>
      <c r="D30" s="18"/>
      <c r="E30" s="18"/>
      <c r="F30" s="18"/>
      <c r="G30" s="18"/>
      <c r="H30" s="18"/>
      <c r="I30" s="18"/>
      <c r="J30" s="18"/>
    </row>
    <row r="31" spans="1:10" x14ac:dyDescent="0.2">
      <c r="A31" s="28" t="s">
        <v>234</v>
      </c>
      <c r="B31" s="16">
        <v>11</v>
      </c>
      <c r="C31" s="16">
        <v>37</v>
      </c>
      <c r="D31" s="16">
        <v>42</v>
      </c>
      <c r="E31" s="16">
        <v>51</v>
      </c>
      <c r="F31" s="16">
        <f>Calcs!F34</f>
        <v>79.64</v>
      </c>
      <c r="G31" s="16">
        <f>Calcs!G34</f>
        <v>98.182509656963219</v>
      </c>
      <c r="H31" s="16">
        <f>Calcs!H34</f>
        <v>113.54307667065909</v>
      </c>
      <c r="I31" s="16">
        <f>Calcs!I34</f>
        <v>130.93345185722197</v>
      </c>
      <c r="J31" s="16">
        <f>Calcs!J34</f>
        <v>152.50625351742769</v>
      </c>
    </row>
    <row r="32" spans="1:10" x14ac:dyDescent="0.2">
      <c r="A32" s="28" t="s">
        <v>233</v>
      </c>
      <c r="B32" s="16">
        <v>0</v>
      </c>
      <c r="C32" s="16">
        <v>0</v>
      </c>
      <c r="D32" s="16">
        <v>0</v>
      </c>
      <c r="E32" s="16">
        <v>0</v>
      </c>
      <c r="F32" s="16">
        <f>Calcs!F39</f>
        <v>0</v>
      </c>
      <c r="G32" s="16">
        <f>Calcs!G39</f>
        <v>0</v>
      </c>
      <c r="H32" s="16">
        <f>Calcs!H39</f>
        <v>0</v>
      </c>
      <c r="I32" s="16">
        <f>Calcs!I39</f>
        <v>0</v>
      </c>
      <c r="J32" s="16">
        <f>Calcs!J39</f>
        <v>0</v>
      </c>
    </row>
    <row r="33" spans="1:10" x14ac:dyDescent="0.2">
      <c r="A33" s="7" t="s">
        <v>24</v>
      </c>
      <c r="B33" s="16">
        <v>95</v>
      </c>
      <c r="C33" s="16">
        <v>3</v>
      </c>
      <c r="D33" s="16">
        <v>-49</v>
      </c>
      <c r="E33" s="16">
        <v>3</v>
      </c>
      <c r="F33" s="16">
        <f>Assumptions!F12</f>
        <v>0</v>
      </c>
      <c r="G33" s="16">
        <f>Assumptions!G12</f>
        <v>0</v>
      </c>
      <c r="H33" s="16">
        <f>Assumptions!H12</f>
        <v>0</v>
      </c>
      <c r="I33" s="16">
        <f>Assumptions!I12</f>
        <v>0</v>
      </c>
      <c r="J33" s="16">
        <f>Assumptions!J12</f>
        <v>0</v>
      </c>
    </row>
    <row r="34" spans="1:10" x14ac:dyDescent="0.2">
      <c r="A34" s="7" t="s">
        <v>25</v>
      </c>
      <c r="B34" s="16">
        <v>0</v>
      </c>
      <c r="C34" s="16">
        <v>0</v>
      </c>
      <c r="D34" s="16">
        <v>0</v>
      </c>
      <c r="E34" s="16">
        <v>0</v>
      </c>
      <c r="F34" s="16">
        <f>Assumptions!F13</f>
        <v>0</v>
      </c>
      <c r="G34" s="16">
        <f>Assumptions!G13</f>
        <v>0</v>
      </c>
      <c r="H34" s="16">
        <f>Assumptions!H13</f>
        <v>0</v>
      </c>
      <c r="I34" s="16">
        <f>Assumptions!I13</f>
        <v>0</v>
      </c>
      <c r="J34" s="16">
        <f>Assumptions!J13</f>
        <v>0</v>
      </c>
    </row>
    <row r="35" spans="1:10" x14ac:dyDescent="0.2">
      <c r="A35" s="7" t="s">
        <v>26</v>
      </c>
      <c r="B35" s="16">
        <v>0</v>
      </c>
      <c r="C35" s="16">
        <v>0</v>
      </c>
      <c r="D35" s="16">
        <v>0</v>
      </c>
      <c r="E35" s="16">
        <v>0</v>
      </c>
      <c r="F35" s="16">
        <f>Assumptions!F14</f>
        <v>0</v>
      </c>
      <c r="G35" s="16">
        <f>Assumptions!G14</f>
        <v>0</v>
      </c>
      <c r="H35" s="16">
        <f>Assumptions!H14</f>
        <v>0</v>
      </c>
      <c r="I35" s="16">
        <f>Assumptions!I14</f>
        <v>0</v>
      </c>
      <c r="J35" s="16">
        <f>Assumptions!J14</f>
        <v>0</v>
      </c>
    </row>
    <row r="36" spans="1:10" x14ac:dyDescent="0.2">
      <c r="A36" s="7" t="s">
        <v>27</v>
      </c>
      <c r="B36" s="16">
        <v>1</v>
      </c>
      <c r="C36" s="16">
        <v>3</v>
      </c>
      <c r="D36" s="16">
        <v>13</v>
      </c>
      <c r="E36" s="16">
        <v>0</v>
      </c>
      <c r="F36" s="16">
        <f>Assumptions!F15</f>
        <v>0</v>
      </c>
      <c r="G36" s="16">
        <f>Assumptions!G15</f>
        <v>0</v>
      </c>
      <c r="H36" s="16">
        <f>Assumptions!H15</f>
        <v>0</v>
      </c>
      <c r="I36" s="16">
        <f>Assumptions!I15</f>
        <v>0</v>
      </c>
      <c r="J36" s="16">
        <f>Assumptions!J15</f>
        <v>0</v>
      </c>
    </row>
    <row r="37" spans="1:10" x14ac:dyDescent="0.2">
      <c r="B37" s="18"/>
      <c r="C37" s="18"/>
      <c r="D37" s="18"/>
      <c r="E37" s="18"/>
      <c r="F37" s="18"/>
      <c r="G37" s="18"/>
      <c r="H37" s="18"/>
      <c r="I37" s="18"/>
      <c r="J37" s="18"/>
    </row>
    <row r="38" spans="1:10" x14ac:dyDescent="0.2">
      <c r="A38" s="6" t="s">
        <v>28</v>
      </c>
      <c r="B38" s="19">
        <f>SUM(B28:B36)</f>
        <v>-277</v>
      </c>
      <c r="C38" s="19">
        <f t="shared" ref="C38:E38" si="18">SUM(C28:C36)</f>
        <v>-244</v>
      </c>
      <c r="D38" s="19">
        <f t="shared" si="18"/>
        <v>22</v>
      </c>
      <c r="E38" s="19">
        <f t="shared" si="18"/>
        <v>346</v>
      </c>
      <c r="F38" s="19">
        <f t="shared" ref="F38:J38" si="19">SUM(F28:F36)</f>
        <v>834.52169317051346</v>
      </c>
      <c r="G38" s="19">
        <f t="shared" si="19"/>
        <v>1159.8355096469536</v>
      </c>
      <c r="H38" s="19">
        <f t="shared" si="19"/>
        <v>1492.2352780410802</v>
      </c>
      <c r="I38" s="19">
        <f t="shared" si="19"/>
        <v>1758.3566193673958</v>
      </c>
      <c r="J38" s="19">
        <f t="shared" si="19"/>
        <v>2017.8474214608511</v>
      </c>
    </row>
    <row r="39" spans="1:10" x14ac:dyDescent="0.2">
      <c r="A39" s="7" t="s">
        <v>29</v>
      </c>
      <c r="B39" s="16">
        <v>2</v>
      </c>
      <c r="C39" s="16">
        <v>-2</v>
      </c>
      <c r="D39" s="16">
        <v>-3</v>
      </c>
      <c r="E39" s="16">
        <v>-4</v>
      </c>
      <c r="F39" s="16">
        <f>-Assumptions!F16*'Income Statement'!F38</f>
        <v>-200.28520636092321</v>
      </c>
      <c r="G39" s="16">
        <f>-Assumptions!G16*'Income Statement'!G38</f>
        <v>-278.36052231526884</v>
      </c>
      <c r="H39" s="16">
        <f>-Assumptions!H16*'Income Statement'!H38</f>
        <v>-358.13646672985925</v>
      </c>
      <c r="I39" s="16">
        <f>-Assumptions!I16*'Income Statement'!I38</f>
        <v>-422.00558864817498</v>
      </c>
      <c r="J39" s="16">
        <f>-Assumptions!J16*'Income Statement'!J38</f>
        <v>-484.28338115060427</v>
      </c>
    </row>
    <row r="40" spans="1:10" x14ac:dyDescent="0.2">
      <c r="B40" s="18"/>
      <c r="C40" s="18"/>
      <c r="D40" s="18"/>
      <c r="E40" s="18"/>
      <c r="F40" s="18"/>
      <c r="G40" s="18"/>
      <c r="H40" s="18"/>
      <c r="I40" s="18"/>
      <c r="J40" s="18"/>
    </row>
    <row r="41" spans="1:10" ht="16" thickBot="1" x14ac:dyDescent="0.25">
      <c r="A41" s="10" t="s">
        <v>30</v>
      </c>
      <c r="B41" s="20">
        <f>SUM(B38:B39)</f>
        <v>-275</v>
      </c>
      <c r="C41" s="20">
        <f t="shared" ref="C41:E41" si="20">SUM(C38:C39)</f>
        <v>-246</v>
      </c>
      <c r="D41" s="20">
        <f t="shared" si="20"/>
        <v>19</v>
      </c>
      <c r="E41" s="20">
        <f t="shared" si="20"/>
        <v>342</v>
      </c>
      <c r="F41" s="20">
        <f t="shared" ref="F41:J41" si="21">SUM(F38:F39)</f>
        <v>634.23648680959025</v>
      </c>
      <c r="G41" s="20">
        <f t="shared" si="21"/>
        <v>881.47498733168482</v>
      </c>
      <c r="H41" s="20">
        <f t="shared" si="21"/>
        <v>1134.098811311221</v>
      </c>
      <c r="I41" s="20">
        <f t="shared" si="21"/>
        <v>1336.3510307192207</v>
      </c>
      <c r="J41" s="20">
        <f t="shared" si="21"/>
        <v>1533.5640403102468</v>
      </c>
    </row>
    <row r="42" spans="1:10" ht="16" thickTop="1" x14ac:dyDescent="0.2">
      <c r="B42" s="18"/>
      <c r="C42" s="18"/>
      <c r="D42" s="18"/>
      <c r="E42" s="18"/>
      <c r="F42" s="18"/>
      <c r="G42" s="18"/>
      <c r="H42" s="18"/>
      <c r="I42" s="18"/>
      <c r="J42" s="18"/>
    </row>
    <row r="43" spans="1:10" x14ac:dyDescent="0.2">
      <c r="A43" s="7" t="s">
        <v>31</v>
      </c>
      <c r="B43" s="13">
        <f t="shared" ref="B43:J43" si="22">B41/B46</f>
        <v>-0.537109375</v>
      </c>
      <c r="C43" s="13">
        <f t="shared" si="22"/>
        <v>-0.46240601503759399</v>
      </c>
      <c r="D43" s="13">
        <f t="shared" si="22"/>
        <v>3.3989266547406083E-2</v>
      </c>
      <c r="E43" s="13">
        <f t="shared" si="22"/>
        <v>0.58762886597938147</v>
      </c>
      <c r="F43" s="13">
        <f t="shared" si="22"/>
        <v>1.0749770962874412</v>
      </c>
      <c r="G43" s="13">
        <f t="shared" si="22"/>
        <v>1.4740384403539879</v>
      </c>
      <c r="H43" s="13">
        <f t="shared" si="22"/>
        <v>1.8714501836818829</v>
      </c>
      <c r="I43" s="13">
        <f t="shared" si="22"/>
        <v>2.1764674767414016</v>
      </c>
      <c r="J43" s="13">
        <f t="shared" si="22"/>
        <v>2.4655370422994323</v>
      </c>
    </row>
    <row r="44" spans="1:10" x14ac:dyDescent="0.2">
      <c r="A44" s="7" t="s">
        <v>32</v>
      </c>
      <c r="B44" s="13">
        <f t="shared" ref="B44:J44" si="23">B41/B47</f>
        <v>-0.537109375</v>
      </c>
      <c r="C44" s="13">
        <f t="shared" si="23"/>
        <v>-0.46153846153846156</v>
      </c>
      <c r="D44" s="13">
        <f t="shared" si="23"/>
        <v>3.2148900169204735E-2</v>
      </c>
      <c r="E44" s="13">
        <f t="shared" si="23"/>
        <v>0.56342668863261947</v>
      </c>
      <c r="F44" s="13">
        <f t="shared" si="23"/>
        <v>1.0312788403407971</v>
      </c>
      <c r="G44" s="13">
        <f t="shared" si="23"/>
        <v>1.414887620115064</v>
      </c>
      <c r="H44" s="13">
        <f t="shared" si="23"/>
        <v>1.797303979891</v>
      </c>
      <c r="I44" s="13">
        <f t="shared" si="23"/>
        <v>2.0913161670097349</v>
      </c>
      <c r="J44" s="13">
        <f t="shared" si="23"/>
        <v>2.3702689958427308</v>
      </c>
    </row>
    <row r="45" spans="1:10" x14ac:dyDescent="0.2">
      <c r="A45" s="6"/>
      <c r="B45" s="14"/>
      <c r="C45" s="14"/>
      <c r="D45" s="14"/>
      <c r="E45" s="14"/>
      <c r="F45" s="14"/>
      <c r="G45" s="14"/>
      <c r="H45" s="14"/>
      <c r="I45" s="14"/>
      <c r="J45" s="14"/>
    </row>
    <row r="46" spans="1:10" x14ac:dyDescent="0.2">
      <c r="A46" s="7" t="s">
        <v>31</v>
      </c>
      <c r="B46" s="13">
        <v>512</v>
      </c>
      <c r="C46" s="13">
        <v>532</v>
      </c>
      <c r="D46" s="13">
        <v>559</v>
      </c>
      <c r="E46" s="13">
        <v>582</v>
      </c>
      <c r="F46" s="13">
        <f>Assumptions!F17</f>
        <v>590</v>
      </c>
      <c r="G46" s="13">
        <f>Assumptions!G17</f>
        <v>598</v>
      </c>
      <c r="H46" s="13">
        <f>Assumptions!H17</f>
        <v>606</v>
      </c>
      <c r="I46" s="13">
        <f>Assumptions!I17</f>
        <v>614</v>
      </c>
      <c r="J46" s="13">
        <f>Assumptions!J17</f>
        <v>622</v>
      </c>
    </row>
    <row r="47" spans="1:10" x14ac:dyDescent="0.2">
      <c r="A47" s="7" t="s">
        <v>32</v>
      </c>
      <c r="B47" s="13">
        <v>512</v>
      </c>
      <c r="C47" s="13">
        <v>533</v>
      </c>
      <c r="D47" s="13">
        <v>591</v>
      </c>
      <c r="E47" s="13">
        <v>607</v>
      </c>
      <c r="F47" s="13">
        <f>Assumptions!F18</f>
        <v>615</v>
      </c>
      <c r="G47" s="13">
        <f>Assumptions!G18</f>
        <v>623</v>
      </c>
      <c r="H47" s="13">
        <f>Assumptions!H18</f>
        <v>631</v>
      </c>
      <c r="I47" s="13">
        <f>Assumptions!I18</f>
        <v>639</v>
      </c>
      <c r="J47" s="13">
        <f>Assumptions!J18</f>
        <v>647</v>
      </c>
    </row>
    <row r="50" spans="2:2" x14ac:dyDescent="0.2">
      <c r="B50" s="26"/>
    </row>
    <row r="51" spans="2:2" x14ac:dyDescent="0.2">
      <c r="B51" s="26"/>
    </row>
    <row r="53" spans="2:2" x14ac:dyDescent="0.2">
      <c r="B53" s="50"/>
    </row>
    <row r="54" spans="2:2" x14ac:dyDescent="0.2">
      <c r="B54" s="30"/>
    </row>
    <row r="55" spans="2:2" x14ac:dyDescent="0.2">
      <c r="B55" s="30"/>
    </row>
    <row r="56" spans="2:2" x14ac:dyDescent="0.2">
      <c r="B56" s="30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0"/>
  <sheetViews>
    <sheetView zoomScale="115" zoomScaleNormal="85" workbookViewId="0">
      <selection activeCell="F50" sqref="F50:J50"/>
    </sheetView>
  </sheetViews>
  <sheetFormatPr baseColWidth="10" defaultColWidth="8.83203125" defaultRowHeight="15" x14ac:dyDescent="0.2"/>
  <cols>
    <col min="1" max="1" width="50" customWidth="1"/>
    <col min="2" max="10" width="10.5" customWidth="1"/>
  </cols>
  <sheetData>
    <row r="1" spans="1:10" ht="16" x14ac:dyDescent="0.2">
      <c r="A1" s="1" t="s">
        <v>0</v>
      </c>
    </row>
    <row r="2" spans="1:10" x14ac:dyDescent="0.2">
      <c r="A2" s="2" t="s">
        <v>33</v>
      </c>
    </row>
    <row r="3" spans="1:10" x14ac:dyDescent="0.2">
      <c r="A3" s="3" t="s">
        <v>34</v>
      </c>
    </row>
    <row r="5" spans="1:10" x14ac:dyDescent="0.2">
      <c r="A5" s="4" t="s">
        <v>35</v>
      </c>
      <c r="B5" s="5" t="s">
        <v>4</v>
      </c>
      <c r="C5" s="5">
        <f>B5+1</f>
        <v>2023</v>
      </c>
      <c r="D5" s="5">
        <f t="shared" ref="D5:E5" si="0">C5+1</f>
        <v>2024</v>
      </c>
      <c r="E5" s="5">
        <f t="shared" si="0"/>
        <v>2025</v>
      </c>
      <c r="F5" s="5">
        <f t="shared" ref="F5:J5" si="1">E5+1</f>
        <v>2026</v>
      </c>
      <c r="G5" s="5">
        <f t="shared" si="1"/>
        <v>2027</v>
      </c>
      <c r="H5" s="5">
        <f t="shared" si="1"/>
        <v>2028</v>
      </c>
      <c r="I5" s="5">
        <f t="shared" si="1"/>
        <v>2029</v>
      </c>
      <c r="J5" s="5">
        <f t="shared" si="1"/>
        <v>2030</v>
      </c>
    </row>
    <row r="7" spans="1:10" x14ac:dyDescent="0.2">
      <c r="A7" s="6" t="s">
        <v>36</v>
      </c>
    </row>
    <row r="8" spans="1:10" x14ac:dyDescent="0.2">
      <c r="A8" s="6" t="s">
        <v>37</v>
      </c>
    </row>
    <row r="9" spans="1:10" x14ac:dyDescent="0.2">
      <c r="A9" s="7" t="s">
        <v>38</v>
      </c>
      <c r="B9" s="16">
        <v>547</v>
      </c>
      <c r="C9" s="16">
        <v>605</v>
      </c>
      <c r="D9" s="16">
        <v>903</v>
      </c>
      <c r="E9" s="16">
        <v>1353</v>
      </c>
      <c r="F9" s="16">
        <f>MAX('CFS new'!F41,0)</f>
        <v>2583.7502541306112</v>
      </c>
      <c r="G9" s="16">
        <f>MAX('CFS new'!G41,0)</f>
        <v>3244.0879048759739</v>
      </c>
      <c r="H9" s="16">
        <f>MAX('CFS new'!H41,0)</f>
        <v>4091.6703705381865</v>
      </c>
      <c r="I9" s="16">
        <f>MAX('CFS new'!I41,0)</f>
        <v>5083.5417839142565</v>
      </c>
      <c r="J9" s="16">
        <f>MAX('CFS new'!J41,0)</f>
        <v>6228.4752136922352</v>
      </c>
    </row>
    <row r="10" spans="1:10" x14ac:dyDescent="0.2">
      <c r="A10" s="7" t="s">
        <v>39</v>
      </c>
      <c r="B10" s="16">
        <v>474</v>
      </c>
      <c r="C10" s="16">
        <v>519</v>
      </c>
      <c r="D10" s="16">
        <v>514</v>
      </c>
      <c r="E10" s="16">
        <v>638</v>
      </c>
      <c r="F10" s="16">
        <f>Assumptions!F21</f>
        <v>0</v>
      </c>
      <c r="G10" s="16">
        <f>Assumptions!G21</f>
        <v>0</v>
      </c>
      <c r="H10" s="16">
        <f>Assumptions!H21</f>
        <v>0</v>
      </c>
      <c r="I10" s="16">
        <f>Assumptions!I21</f>
        <v>0</v>
      </c>
      <c r="J10" s="16">
        <f>Assumptions!J21</f>
        <v>0</v>
      </c>
    </row>
    <row r="11" spans="1:10" x14ac:dyDescent="0.2">
      <c r="A11" s="7" t="s">
        <v>40</v>
      </c>
      <c r="B11" s="16">
        <v>77</v>
      </c>
      <c r="C11" s="16">
        <v>69</v>
      </c>
      <c r="D11" s="16">
        <v>115</v>
      </c>
      <c r="E11" s="16">
        <v>127</v>
      </c>
      <c r="F11" s="16">
        <f>Assumptions!F22*'Income Statement'!F11</f>
        <v>151.55362023200283</v>
      </c>
      <c r="G11" s="16">
        <f>Assumptions!G22*'Income Statement'!G11</f>
        <v>173.16392640055267</v>
      </c>
      <c r="H11" s="16">
        <f>Assumptions!H22*'Income Statement'!H11</f>
        <v>194.30317179105782</v>
      </c>
      <c r="I11" s="16">
        <f>Assumptions!I22*'Income Statement'!I11</f>
        <v>212.45569580196681</v>
      </c>
      <c r="J11" s="16">
        <f>Assumptions!J22*'Income Statement'!J11</f>
        <v>228.99073448884664</v>
      </c>
    </row>
    <row r="12" spans="1:10" x14ac:dyDescent="0.2">
      <c r="A12" s="7" t="s">
        <v>41</v>
      </c>
      <c r="B12" s="16">
        <v>110</v>
      </c>
      <c r="C12" s="16">
        <v>118</v>
      </c>
      <c r="D12" s="16">
        <v>118</v>
      </c>
      <c r="E12" s="16">
        <v>114</v>
      </c>
      <c r="F12" s="16">
        <f>Assumptions!F23*'Income Statement'!F18</f>
        <v>123.98620348861789</v>
      </c>
      <c r="G12" s="16">
        <f>Assumptions!G23*'Income Statement'!G18</f>
        <v>126.96091817508274</v>
      </c>
      <c r="H12" s="16">
        <f>Assumptions!H23*'Income Statement'!H18</f>
        <v>133.46991543081188</v>
      </c>
      <c r="I12" s="16">
        <f>Assumptions!I23*'Income Statement'!I18</f>
        <v>143.98799199750763</v>
      </c>
      <c r="J12" s="16">
        <f>Assumptions!J23*'Income Statement'!J18</f>
        <v>153.51511564642811</v>
      </c>
    </row>
    <row r="13" spans="1:10" x14ac:dyDescent="0.2">
      <c r="A13" s="7" t="s">
        <v>42</v>
      </c>
      <c r="B13" s="16">
        <v>199</v>
      </c>
      <c r="C13" s="16">
        <v>259</v>
      </c>
      <c r="D13" s="16">
        <v>325</v>
      </c>
      <c r="E13" s="16">
        <v>437</v>
      </c>
      <c r="F13" s="16">
        <f>Assumptions!F24*'Income Statement'!F11</f>
        <v>492.54926575400924</v>
      </c>
      <c r="G13" s="16">
        <f>Assumptions!G24*'Income Statement'!G11</f>
        <v>562.78276080179614</v>
      </c>
      <c r="H13" s="16">
        <f>Assumptions!H24*'Income Statement'!H11</f>
        <v>631.48530832093797</v>
      </c>
      <c r="I13" s="16">
        <f>Assumptions!I24*'Income Statement'!I11</f>
        <v>690.48101135639206</v>
      </c>
      <c r="J13" s="16">
        <f>Assumptions!J24*'Income Statement'!J11</f>
        <v>744.21988708875165</v>
      </c>
    </row>
    <row r="14" spans="1:10" x14ac:dyDescent="0.2">
      <c r="A14" s="8" t="s">
        <v>43</v>
      </c>
      <c r="B14" s="17">
        <f>SUM(B9:B13)</f>
        <v>1407</v>
      </c>
      <c r="C14" s="17">
        <f t="shared" ref="C14:E14" si="2">SUM(C9:C13)</f>
        <v>1570</v>
      </c>
      <c r="D14" s="17">
        <f t="shared" si="2"/>
        <v>1975</v>
      </c>
      <c r="E14" s="17">
        <f t="shared" si="2"/>
        <v>2669</v>
      </c>
      <c r="F14" s="17">
        <f t="shared" ref="F14" si="3">SUM(F9:F13)</f>
        <v>3351.8393436052411</v>
      </c>
      <c r="G14" s="17">
        <f t="shared" ref="G14" si="4">SUM(G9:G13)</f>
        <v>4106.9955102534059</v>
      </c>
      <c r="H14" s="17">
        <f t="shared" ref="H14" si="5">SUM(H9:H13)</f>
        <v>5050.9287660809941</v>
      </c>
      <c r="I14" s="17">
        <f t="shared" ref="I14" si="6">SUM(I9:I13)</f>
        <v>6130.4664830701222</v>
      </c>
      <c r="J14" s="17">
        <f t="shared" ref="J14" si="7">SUM(J9:J13)</f>
        <v>7355.2009509162617</v>
      </c>
    </row>
    <row r="15" spans="1:10" x14ac:dyDescent="0.2">
      <c r="B15" s="18"/>
      <c r="C15" s="18"/>
      <c r="D15" s="18"/>
      <c r="E15" s="18"/>
      <c r="F15" s="18"/>
      <c r="G15" s="18"/>
      <c r="H15" s="18"/>
      <c r="I15" s="18"/>
      <c r="J15" s="18"/>
    </row>
    <row r="16" spans="1:10" x14ac:dyDescent="0.2">
      <c r="A16" s="11" t="s">
        <v>44</v>
      </c>
      <c r="B16" s="16">
        <v>61</v>
      </c>
      <c r="C16" s="16">
        <v>75</v>
      </c>
      <c r="D16" s="16">
        <v>98</v>
      </c>
      <c r="E16" s="16">
        <v>105</v>
      </c>
      <c r="F16" s="16">
        <f>Calcs!F11</f>
        <v>171.32681011600141</v>
      </c>
      <c r="G16" s="16">
        <f>Calcs!G11</f>
        <v>244.20262850699763</v>
      </c>
      <c r="H16" s="16">
        <f>Calcs!H11</f>
        <v>324.26003040703671</v>
      </c>
      <c r="I16" s="16">
        <f>Calcs!I11</f>
        <v>411.03227648359791</v>
      </c>
      <c r="J16" s="16">
        <f>Calcs!J11</f>
        <v>500.86570713900539</v>
      </c>
    </row>
    <row r="17" spans="1:10" x14ac:dyDescent="0.2">
      <c r="A17" s="11" t="s">
        <v>45</v>
      </c>
      <c r="B17" s="16">
        <v>77</v>
      </c>
      <c r="C17" s="16">
        <v>36</v>
      </c>
      <c r="D17" s="16">
        <v>25</v>
      </c>
      <c r="E17" s="16">
        <v>27</v>
      </c>
      <c r="F17" s="16">
        <f>Assumptions!F26</f>
        <v>27</v>
      </c>
      <c r="G17" s="16">
        <f>Assumptions!G26</f>
        <v>27</v>
      </c>
      <c r="H17" s="16">
        <f>Assumptions!H26</f>
        <v>27</v>
      </c>
      <c r="I17" s="16">
        <f>Assumptions!I26</f>
        <v>27</v>
      </c>
      <c r="J17" s="16">
        <f>Assumptions!J26</f>
        <v>27</v>
      </c>
    </row>
    <row r="18" spans="1:10" x14ac:dyDescent="0.2">
      <c r="A18" s="11" t="s">
        <v>46</v>
      </c>
      <c r="B18" s="16">
        <v>29</v>
      </c>
      <c r="C18" s="16">
        <v>26</v>
      </c>
      <c r="D18" s="16">
        <v>20</v>
      </c>
      <c r="E18" s="16">
        <v>14</v>
      </c>
      <c r="F18" s="16">
        <f>Calcs!F17</f>
        <v>9.8000000000000007</v>
      </c>
      <c r="G18" s="16">
        <f>Calcs!G17</f>
        <v>6.8600000000000012</v>
      </c>
      <c r="H18" s="16">
        <f>Calcs!H17</f>
        <v>4.8020000000000014</v>
      </c>
      <c r="I18" s="16">
        <f>Calcs!I17</f>
        <v>3.3614000000000011</v>
      </c>
      <c r="J18" s="16">
        <f>Calcs!J17</f>
        <v>2.3529800000000005</v>
      </c>
    </row>
    <row r="19" spans="1:10" x14ac:dyDescent="0.2">
      <c r="A19" s="11" t="s">
        <v>47</v>
      </c>
      <c r="B19" s="16">
        <v>107</v>
      </c>
      <c r="C19" s="16">
        <v>113</v>
      </c>
      <c r="D19" s="16">
        <v>113</v>
      </c>
      <c r="E19" s="16">
        <v>113</v>
      </c>
      <c r="F19" s="16">
        <f>Assumptions!F27</f>
        <v>113</v>
      </c>
      <c r="G19" s="16">
        <f>Assumptions!G27</f>
        <v>113</v>
      </c>
      <c r="H19" s="16">
        <f>Assumptions!H27</f>
        <v>113</v>
      </c>
      <c r="I19" s="16">
        <f>Assumptions!I27</f>
        <v>113</v>
      </c>
      <c r="J19" s="16">
        <f>Assumptions!J27</f>
        <v>113</v>
      </c>
    </row>
    <row r="20" spans="1:10" x14ac:dyDescent="0.2">
      <c r="A20" s="11" t="s">
        <v>48</v>
      </c>
      <c r="B20" s="16">
        <v>28</v>
      </c>
      <c r="C20" s="16">
        <v>55</v>
      </c>
      <c r="D20" s="16">
        <v>59</v>
      </c>
      <c r="E20" s="16">
        <v>71</v>
      </c>
      <c r="F20" s="16">
        <f>Assumptions!F28</f>
        <v>0</v>
      </c>
      <c r="G20" s="16">
        <f>Assumptions!G28</f>
        <v>0</v>
      </c>
      <c r="H20" s="16">
        <f>Assumptions!H28</f>
        <v>0</v>
      </c>
      <c r="I20" s="16">
        <f>Assumptions!I28</f>
        <v>0</v>
      </c>
      <c r="J20" s="16">
        <f>Assumptions!J28</f>
        <v>0</v>
      </c>
    </row>
    <row r="21" spans="1:10" x14ac:dyDescent="0.2">
      <c r="A21" s="11" t="s">
        <v>49</v>
      </c>
      <c r="B21" s="16">
        <v>52</v>
      </c>
      <c r="C21" s="16">
        <v>83</v>
      </c>
      <c r="D21" s="16">
        <v>118</v>
      </c>
      <c r="E21" s="16">
        <v>146</v>
      </c>
      <c r="F21" s="16">
        <f>Assumptions!F29*'Income Statement'!F11</f>
        <v>166.7089822552031</v>
      </c>
      <c r="G21" s="16">
        <f>Assumptions!G29*'Income Statement'!G11</f>
        <v>190.48031904060792</v>
      </c>
      <c r="H21" s="16">
        <f>Assumptions!H29*'Income Statement'!H11</f>
        <v>213.73348897016359</v>
      </c>
      <c r="I21" s="16">
        <f>Assumptions!I29*'Income Statement'!I11</f>
        <v>233.70126538216346</v>
      </c>
      <c r="J21" s="16">
        <f>Assumptions!J29*'Income Statement'!J11</f>
        <v>251.88980793773129</v>
      </c>
    </row>
    <row r="22" spans="1:10" x14ac:dyDescent="0.2">
      <c r="A22" s="12" t="s">
        <v>50</v>
      </c>
      <c r="B22" s="17">
        <f>SUM(B16:B21)</f>
        <v>354</v>
      </c>
      <c r="C22" s="17">
        <f t="shared" ref="C22:E22" si="8">SUM(C16:C21)</f>
        <v>388</v>
      </c>
      <c r="D22" s="17">
        <f t="shared" si="8"/>
        <v>433</v>
      </c>
      <c r="E22" s="17">
        <f t="shared" si="8"/>
        <v>476</v>
      </c>
      <c r="F22" s="17">
        <f t="shared" ref="F22" si="9">SUM(F16:F21)</f>
        <v>487.83579237120455</v>
      </c>
      <c r="G22" s="17">
        <f t="shared" ref="G22" si="10">SUM(G16:G21)</f>
        <v>581.54294754760554</v>
      </c>
      <c r="H22" s="17">
        <f t="shared" ref="H22" si="11">SUM(H16:H21)</f>
        <v>682.79551937720032</v>
      </c>
      <c r="I22" s="17">
        <f t="shared" ref="I22" si="12">SUM(I16:I21)</f>
        <v>788.09494186576137</v>
      </c>
      <c r="J22" s="17">
        <f t="shared" ref="J22" si="13">SUM(J16:J21)</f>
        <v>895.10849507673674</v>
      </c>
    </row>
    <row r="23" spans="1:10" ht="16" thickBot="1" x14ac:dyDescent="0.25">
      <c r="A23" s="10" t="s">
        <v>51</v>
      </c>
      <c r="B23" s="20">
        <f>SUM(B22,B14)</f>
        <v>1761</v>
      </c>
      <c r="C23" s="20">
        <f t="shared" ref="C23:E23" si="14">SUM(C22,C14)</f>
        <v>1958</v>
      </c>
      <c r="D23" s="20">
        <f t="shared" si="14"/>
        <v>2408</v>
      </c>
      <c r="E23" s="20">
        <f t="shared" si="14"/>
        <v>3145</v>
      </c>
      <c r="F23" s="20">
        <f t="shared" ref="F23" si="15">SUM(F22,F14)</f>
        <v>3839.6751359764457</v>
      </c>
      <c r="G23" s="20">
        <f t="shared" ref="G23" si="16">SUM(G22,G14)</f>
        <v>4688.5384578010116</v>
      </c>
      <c r="H23" s="20">
        <f t="shared" ref="H23" si="17">SUM(H22,H14)</f>
        <v>5733.7242854581946</v>
      </c>
      <c r="I23" s="20">
        <f t="shared" ref="I23" si="18">SUM(I22,I14)</f>
        <v>6918.5614249358832</v>
      </c>
      <c r="J23" s="20">
        <f t="shared" ref="J23" si="19">SUM(J22,J14)</f>
        <v>8250.309445992998</v>
      </c>
    </row>
    <row r="24" spans="1:10" ht="16" thickTop="1" x14ac:dyDescent="0.2">
      <c r="B24" s="18"/>
      <c r="C24" s="18"/>
      <c r="D24" s="18"/>
      <c r="E24" s="18"/>
      <c r="F24" s="18"/>
      <c r="G24" s="18"/>
      <c r="H24" s="18"/>
      <c r="I24" s="18"/>
      <c r="J24" s="18"/>
    </row>
    <row r="25" spans="1:10" x14ac:dyDescent="0.2">
      <c r="A25" s="6" t="s">
        <v>52</v>
      </c>
      <c r="B25" s="18"/>
      <c r="C25" s="18"/>
      <c r="D25" s="18"/>
      <c r="E25" s="18"/>
      <c r="F25" s="18"/>
      <c r="G25" s="18"/>
      <c r="H25" s="18"/>
      <c r="I25" s="18"/>
      <c r="J25" s="18"/>
    </row>
    <row r="26" spans="1:10" x14ac:dyDescent="0.2">
      <c r="A26" s="6" t="s">
        <v>53</v>
      </c>
      <c r="B26" s="18"/>
      <c r="C26" s="18"/>
      <c r="D26" s="18"/>
      <c r="E26" s="18"/>
      <c r="F26" s="18"/>
      <c r="G26" s="18"/>
      <c r="H26" s="18"/>
      <c r="I26" s="18"/>
      <c r="J26" s="18"/>
    </row>
    <row r="27" spans="1:10" s="53" customFormat="1" x14ac:dyDescent="0.2">
      <c r="A27" s="51" t="s">
        <v>220</v>
      </c>
      <c r="B27" s="52">
        <v>0</v>
      </c>
      <c r="C27" s="52">
        <v>0</v>
      </c>
      <c r="D27" s="52">
        <v>0</v>
      </c>
      <c r="E27" s="52">
        <v>0</v>
      </c>
      <c r="F27" s="52">
        <f>-MIN('CFS new'!F41,0)</f>
        <v>0</v>
      </c>
      <c r="G27" s="52">
        <f>-MIN('CFS new'!G41,0)</f>
        <v>0</v>
      </c>
      <c r="H27" s="52">
        <f>-MIN('CFS new'!H41,0)</f>
        <v>0</v>
      </c>
      <c r="I27" s="52">
        <f>-MIN('CFS new'!I41,0)</f>
        <v>0</v>
      </c>
      <c r="J27" s="52">
        <f>-MIN('CFS new'!J41,0)</f>
        <v>0</v>
      </c>
    </row>
    <row r="28" spans="1:10" x14ac:dyDescent="0.2">
      <c r="A28" s="7" t="s">
        <v>54</v>
      </c>
      <c r="B28" s="16">
        <v>30</v>
      </c>
      <c r="C28" s="16">
        <v>32</v>
      </c>
      <c r="D28" s="16">
        <v>37</v>
      </c>
      <c r="E28" s="16">
        <v>47</v>
      </c>
      <c r="F28" s="16">
        <f>Assumptions!F31*'Income Statement'!F18</f>
        <v>53.907044995051258</v>
      </c>
      <c r="G28" s="16">
        <f>Assumptions!G31*'Income Statement'!G18</f>
        <v>60.45758008337274</v>
      </c>
      <c r="H28" s="16">
        <f>Assumptions!H31*'Income Statement'!H18</f>
        <v>66.73495771540594</v>
      </c>
      <c r="I28" s="16">
        <f>Assumptions!I31*'Income Statement'!I18</f>
        <v>71.993995998753817</v>
      </c>
      <c r="J28" s="16">
        <f>Assumptions!J31*'Income Statement'!J18</f>
        <v>76.757557823214057</v>
      </c>
    </row>
    <row r="29" spans="1:10" x14ac:dyDescent="0.2">
      <c r="A29" s="7" t="s">
        <v>55</v>
      </c>
      <c r="B29" s="16">
        <v>39</v>
      </c>
      <c r="C29" s="16">
        <v>39</v>
      </c>
      <c r="D29" s="16">
        <v>59</v>
      </c>
      <c r="E29" s="16">
        <v>68</v>
      </c>
      <c r="F29" s="16">
        <f>Assumptions!F32*'Income Statement'!F11</f>
        <v>75.776810116001414</v>
      </c>
      <c r="G29" s="16">
        <f>Assumptions!G32*'Income Statement'!G11</f>
        <v>86.581963200276334</v>
      </c>
      <c r="H29" s="16">
        <f>Assumptions!H32*'Income Statement'!H11</f>
        <v>97.15158589552891</v>
      </c>
      <c r="I29" s="16">
        <f>Assumptions!I32*'Income Statement'!I11</f>
        <v>106.22784790098341</v>
      </c>
      <c r="J29" s="16">
        <f>Assumptions!J32*'Income Statement'!J11</f>
        <v>114.49536724442332</v>
      </c>
    </row>
    <row r="30" spans="1:10" x14ac:dyDescent="0.2">
      <c r="A30" s="7" t="s">
        <v>56</v>
      </c>
      <c r="B30" s="16">
        <v>427</v>
      </c>
      <c r="C30" s="16">
        <v>592</v>
      </c>
      <c r="D30" s="16">
        <v>715</v>
      </c>
      <c r="E30" s="16">
        <v>854</v>
      </c>
      <c r="F30" s="16">
        <f>Assumptions!F33*'Income Statement'!F18</f>
        <v>1024.2338549059739</v>
      </c>
      <c r="G30" s="16">
        <f>Assumptions!G33*'Income Statement'!G18</f>
        <v>1148.6940215840821</v>
      </c>
      <c r="H30" s="16">
        <f>Assumptions!H33*'Income Statement'!H18</f>
        <v>1267.9641965927131</v>
      </c>
      <c r="I30" s="16">
        <f>Assumptions!I33*'Income Statement'!I18</f>
        <v>1367.8859239763226</v>
      </c>
      <c r="J30" s="16">
        <f>Assumptions!J33*'Income Statement'!J18</f>
        <v>1458.393598641067</v>
      </c>
    </row>
    <row r="31" spans="1:10" x14ac:dyDescent="0.2">
      <c r="A31" s="8" t="s">
        <v>57</v>
      </c>
      <c r="B31" s="17">
        <f>SUM(B27:B30)</f>
        <v>496</v>
      </c>
      <c r="C31" s="17">
        <f t="shared" ref="C31:J31" si="20">SUM(C27:C30)</f>
        <v>663</v>
      </c>
      <c r="D31" s="17">
        <f t="shared" si="20"/>
        <v>811</v>
      </c>
      <c r="E31" s="17">
        <f t="shared" si="20"/>
        <v>969</v>
      </c>
      <c r="F31" s="17">
        <f t="shared" si="20"/>
        <v>1153.9177100170266</v>
      </c>
      <c r="G31" s="17">
        <f t="shared" si="20"/>
        <v>1295.733564867731</v>
      </c>
      <c r="H31" s="17">
        <f t="shared" si="20"/>
        <v>1431.850740203648</v>
      </c>
      <c r="I31" s="17">
        <f t="shared" si="20"/>
        <v>1546.1077678760598</v>
      </c>
      <c r="J31" s="17">
        <f t="shared" si="20"/>
        <v>1649.6465237087043</v>
      </c>
    </row>
    <row r="32" spans="1:10" x14ac:dyDescent="0.2">
      <c r="B32" s="18"/>
      <c r="C32" s="18"/>
      <c r="D32" s="18"/>
      <c r="E32" s="18"/>
      <c r="F32" s="18"/>
      <c r="G32" s="18"/>
      <c r="H32" s="18"/>
      <c r="I32" s="18"/>
      <c r="J32" s="18"/>
    </row>
    <row r="33" spans="1:10" x14ac:dyDescent="0.2">
      <c r="A33" s="28" t="s">
        <v>250</v>
      </c>
      <c r="B33" s="18">
        <v>0</v>
      </c>
      <c r="C33" s="18">
        <v>0</v>
      </c>
      <c r="D33" s="18">
        <v>0</v>
      </c>
      <c r="E33" s="18">
        <v>0</v>
      </c>
      <c r="F33" s="18">
        <f>Calcs!F29</f>
        <v>0</v>
      </c>
      <c r="G33" s="18">
        <f>Calcs!G29</f>
        <v>0</v>
      </c>
      <c r="H33" s="18">
        <f>Calcs!H29</f>
        <v>0</v>
      </c>
      <c r="I33" s="18">
        <f>Calcs!I29</f>
        <v>0</v>
      </c>
      <c r="J33" s="18">
        <f>Calcs!J29</f>
        <v>0</v>
      </c>
    </row>
    <row r="34" spans="1:10" x14ac:dyDescent="0.2">
      <c r="A34" s="11" t="s">
        <v>58</v>
      </c>
      <c r="B34" s="16">
        <v>68</v>
      </c>
      <c r="C34" s="16">
        <v>64</v>
      </c>
      <c r="D34" s="16">
        <v>22</v>
      </c>
      <c r="E34" s="16">
        <v>19</v>
      </c>
      <c r="F34" s="16">
        <f>Assumptions!F35</f>
        <v>19</v>
      </c>
      <c r="G34" s="16">
        <f>Assumptions!G35</f>
        <v>19</v>
      </c>
      <c r="H34" s="16">
        <f>Assumptions!H35</f>
        <v>19</v>
      </c>
      <c r="I34" s="16">
        <f>Assumptions!I35</f>
        <v>19</v>
      </c>
      <c r="J34" s="16">
        <f>Assumptions!J35</f>
        <v>19</v>
      </c>
    </row>
    <row r="35" spans="1:10" x14ac:dyDescent="0.2">
      <c r="A35" s="11" t="s">
        <v>59</v>
      </c>
      <c r="B35" s="16">
        <v>80</v>
      </c>
      <c r="C35" s="16">
        <v>33</v>
      </c>
      <c r="D35" s="16">
        <v>24</v>
      </c>
      <c r="E35" s="16">
        <v>20</v>
      </c>
      <c r="F35" s="16">
        <f>Assumptions!F36</f>
        <v>20</v>
      </c>
      <c r="G35" s="16">
        <f>Assumptions!G36</f>
        <v>20</v>
      </c>
      <c r="H35" s="16">
        <f>Assumptions!H36</f>
        <v>20</v>
      </c>
      <c r="I35" s="16">
        <f>Assumptions!I36</f>
        <v>20</v>
      </c>
      <c r="J35" s="16">
        <f>Assumptions!J36</f>
        <v>20</v>
      </c>
    </row>
    <row r="36" spans="1:10" x14ac:dyDescent="0.2">
      <c r="A36" s="11" t="s">
        <v>60</v>
      </c>
      <c r="B36" s="16">
        <v>19</v>
      </c>
      <c r="C36" s="16">
        <v>4</v>
      </c>
      <c r="D36" s="16">
        <v>6</v>
      </c>
      <c r="E36" s="16">
        <v>13</v>
      </c>
      <c r="F36" s="16">
        <f>Assumptions!F37*'Income Statement'!F18</f>
        <v>15.368236511747069</v>
      </c>
      <c r="G36" s="16">
        <f>Assumptions!G37*'Income Statement'!G18</f>
        <v>17.235713620259773</v>
      </c>
      <c r="H36" s="16">
        <f>Assumptions!H37*'Income Statement'!H18</f>
        <v>19.025316892549942</v>
      </c>
      <c r="I36" s="16">
        <f>Assumptions!I37*'Income Statement'!I18</f>
        <v>20.524604122451748</v>
      </c>
      <c r="J36" s="16">
        <f>Assumptions!J37*'Income Statement'!J18</f>
        <v>21.882637098723308</v>
      </c>
    </row>
    <row r="37" spans="1:10" x14ac:dyDescent="0.2">
      <c r="A37" s="12" t="s">
        <v>111</v>
      </c>
      <c r="B37" s="17">
        <f>SUM(B33:B36)</f>
        <v>167</v>
      </c>
      <c r="C37" s="17">
        <f t="shared" ref="C37:J37" si="21">SUM(C33:C36)</f>
        <v>101</v>
      </c>
      <c r="D37" s="17">
        <f t="shared" si="21"/>
        <v>52</v>
      </c>
      <c r="E37" s="17">
        <f t="shared" si="21"/>
        <v>52</v>
      </c>
      <c r="F37" s="17">
        <f t="shared" si="21"/>
        <v>54.368236511747071</v>
      </c>
      <c r="G37" s="17">
        <f t="shared" si="21"/>
        <v>56.235713620259773</v>
      </c>
      <c r="H37" s="17">
        <f t="shared" si="21"/>
        <v>58.025316892549938</v>
      </c>
      <c r="I37" s="17">
        <f t="shared" si="21"/>
        <v>59.524604122451748</v>
      </c>
      <c r="J37" s="17">
        <f t="shared" si="21"/>
        <v>60.882637098723308</v>
      </c>
    </row>
    <row r="38" spans="1:10" x14ac:dyDescent="0.2">
      <c r="A38" s="9" t="s">
        <v>61</v>
      </c>
      <c r="B38" s="17">
        <f>B37+B31</f>
        <v>663</v>
      </c>
      <c r="C38" s="17">
        <f t="shared" ref="C38:E38" si="22">C37+C31</f>
        <v>764</v>
      </c>
      <c r="D38" s="17">
        <f t="shared" si="22"/>
        <v>863</v>
      </c>
      <c r="E38" s="17">
        <f t="shared" si="22"/>
        <v>1021</v>
      </c>
      <c r="F38" s="17">
        <f t="shared" ref="F38" si="23">F37+F31</f>
        <v>1208.2859465287736</v>
      </c>
      <c r="G38" s="17">
        <f t="shared" ref="G38" si="24">G37+G31</f>
        <v>1351.9692784879908</v>
      </c>
      <c r="H38" s="17">
        <f t="shared" ref="H38" si="25">H37+H31</f>
        <v>1489.8760570961979</v>
      </c>
      <c r="I38" s="17">
        <f t="shared" ref="I38" si="26">I37+I31</f>
        <v>1605.6323719985116</v>
      </c>
      <c r="J38" s="17">
        <f t="shared" ref="J38" si="27">J37+J31</f>
        <v>1710.5291608074276</v>
      </c>
    </row>
    <row r="39" spans="1:10" x14ac:dyDescent="0.2">
      <c r="B39" s="18"/>
      <c r="C39" s="18"/>
      <c r="D39" s="18"/>
      <c r="E39" s="18"/>
      <c r="F39" s="18"/>
      <c r="G39" s="18"/>
      <c r="H39" s="18"/>
      <c r="I39" s="18"/>
      <c r="J39" s="18"/>
    </row>
    <row r="40" spans="1:10" x14ac:dyDescent="0.2">
      <c r="A40" s="6" t="s">
        <v>62</v>
      </c>
      <c r="B40" s="18"/>
      <c r="C40" s="18"/>
      <c r="D40" s="18"/>
      <c r="E40" s="18"/>
      <c r="F40" s="18"/>
      <c r="G40" s="18"/>
      <c r="H40" s="18"/>
      <c r="I40" s="18"/>
      <c r="J40" s="18"/>
    </row>
    <row r="41" spans="1:10" x14ac:dyDescent="0.2">
      <c r="A41" s="7" t="s">
        <v>63</v>
      </c>
      <c r="B41" s="16">
        <v>0</v>
      </c>
      <c r="C41" s="16">
        <v>0</v>
      </c>
      <c r="D41" s="16">
        <v>0</v>
      </c>
      <c r="E41" s="16">
        <v>0</v>
      </c>
      <c r="F41" s="16">
        <f>Assumptions!F39</f>
        <v>0</v>
      </c>
      <c r="G41" s="16">
        <f>Assumptions!G39</f>
        <v>0</v>
      </c>
      <c r="H41" s="16">
        <f>Assumptions!H39</f>
        <v>0</v>
      </c>
      <c r="I41" s="16">
        <f>Assumptions!I39</f>
        <v>0</v>
      </c>
      <c r="J41" s="16">
        <f>Assumptions!J39</f>
        <v>0</v>
      </c>
    </row>
    <row r="42" spans="1:10" x14ac:dyDescent="0.2">
      <c r="A42" s="7" t="s">
        <v>64</v>
      </c>
      <c r="B42" s="16">
        <v>0</v>
      </c>
      <c r="C42" s="16">
        <v>0</v>
      </c>
      <c r="D42" s="16">
        <v>0</v>
      </c>
      <c r="E42" s="16">
        <v>0</v>
      </c>
      <c r="F42" s="16">
        <f>Assumptions!F40</f>
        <v>0</v>
      </c>
      <c r="G42" s="16">
        <f>Assumptions!G40</f>
        <v>0</v>
      </c>
      <c r="H42" s="16">
        <f>Assumptions!H40</f>
        <v>0</v>
      </c>
      <c r="I42" s="16">
        <f>Assumptions!I40</f>
        <v>0</v>
      </c>
      <c r="J42" s="16">
        <f>Assumptions!J40</f>
        <v>0</v>
      </c>
    </row>
    <row r="43" spans="1:10" x14ac:dyDescent="0.2">
      <c r="A43" s="7" t="s">
        <v>65</v>
      </c>
      <c r="B43" s="16">
        <v>0</v>
      </c>
      <c r="C43" s="16">
        <v>0</v>
      </c>
      <c r="D43" s="16">
        <v>0</v>
      </c>
      <c r="E43" s="16">
        <v>0</v>
      </c>
      <c r="F43" s="16">
        <f>Assumptions!F41</f>
        <v>0</v>
      </c>
      <c r="G43" s="16">
        <f>Assumptions!G41</f>
        <v>0</v>
      </c>
      <c r="H43" s="16">
        <f>Assumptions!H41</f>
        <v>0</v>
      </c>
      <c r="I43" s="16">
        <f>Assumptions!I41</f>
        <v>0</v>
      </c>
      <c r="J43" s="16">
        <f>Assumptions!J41</f>
        <v>0</v>
      </c>
    </row>
    <row r="44" spans="1:10" x14ac:dyDescent="0.2">
      <c r="A44" s="7" t="s">
        <v>66</v>
      </c>
      <c r="B44" s="16">
        <v>-2</v>
      </c>
      <c r="C44" s="16">
        <v>0</v>
      </c>
      <c r="D44" s="16">
        <v>-1</v>
      </c>
      <c r="E44" s="16">
        <v>2</v>
      </c>
      <c r="F44" s="16">
        <f>Assumptions!F42</f>
        <v>2</v>
      </c>
      <c r="G44" s="16">
        <f>Assumptions!G42</f>
        <v>2</v>
      </c>
      <c r="H44" s="16">
        <f>Assumptions!H42</f>
        <v>2</v>
      </c>
      <c r="I44" s="16">
        <f>Assumptions!I42</f>
        <v>2</v>
      </c>
      <c r="J44" s="16">
        <f>Assumptions!J42</f>
        <v>2</v>
      </c>
    </row>
    <row r="45" spans="1:10" x14ac:dyDescent="0.2">
      <c r="A45" s="7" t="s">
        <v>67</v>
      </c>
      <c r="B45" s="16">
        <v>2477</v>
      </c>
      <c r="C45" s="16">
        <v>2817</v>
      </c>
      <c r="D45" s="16">
        <v>3150</v>
      </c>
      <c r="E45" s="16">
        <v>3384</v>
      </c>
      <c r="F45" s="16">
        <f>Assumptions!F43</f>
        <v>3384</v>
      </c>
      <c r="G45" s="16">
        <f>Assumptions!G43</f>
        <v>3384</v>
      </c>
      <c r="H45" s="16">
        <f>Assumptions!H43</f>
        <v>3384</v>
      </c>
      <c r="I45" s="16">
        <f>Assumptions!I43</f>
        <v>3384</v>
      </c>
      <c r="J45" s="16">
        <f>Assumptions!J43</f>
        <v>3384</v>
      </c>
    </row>
    <row r="46" spans="1:10" x14ac:dyDescent="0.2">
      <c r="A46" s="7" t="s">
        <v>68</v>
      </c>
      <c r="B46" s="16">
        <v>-1377</v>
      </c>
      <c r="C46" s="16">
        <v>-1623</v>
      </c>
      <c r="D46" s="16">
        <v>-1604</v>
      </c>
      <c r="E46" s="16">
        <v>-1262</v>
      </c>
      <c r="F46" s="16">
        <f>Calcs!F23</f>
        <v>-754.61081055232773</v>
      </c>
      <c r="G46" s="16">
        <f>Calcs!G23</f>
        <v>-49.430820686979928</v>
      </c>
      <c r="H46" s="16">
        <f>Calcs!H23</f>
        <v>857.8482283619968</v>
      </c>
      <c r="I46" s="16">
        <f>Calcs!I23</f>
        <v>1926.9290529373734</v>
      </c>
      <c r="J46" s="16">
        <f>Calcs!J23</f>
        <v>3153.7802851855708</v>
      </c>
    </row>
    <row r="47" spans="1:10" x14ac:dyDescent="0.2">
      <c r="A47" s="8" t="s">
        <v>69</v>
      </c>
      <c r="B47" s="17">
        <f>SUM(B41:B46)</f>
        <v>1098</v>
      </c>
      <c r="C47" s="17">
        <f t="shared" ref="C47:E47" si="28">SUM(C41:C46)</f>
        <v>1194</v>
      </c>
      <c r="D47" s="17">
        <f t="shared" si="28"/>
        <v>1545</v>
      </c>
      <c r="E47" s="17">
        <f t="shared" si="28"/>
        <v>2124</v>
      </c>
      <c r="F47" s="17">
        <f t="shared" ref="F47" si="29">SUM(F41:F46)</f>
        <v>2631.3891894476724</v>
      </c>
      <c r="G47" s="17">
        <f t="shared" ref="G47" si="30">SUM(G41:G46)</f>
        <v>3336.56917931302</v>
      </c>
      <c r="H47" s="17">
        <f t="shared" ref="H47" si="31">SUM(H41:H46)</f>
        <v>4243.8482283619969</v>
      </c>
      <c r="I47" s="17">
        <f t="shared" ref="I47" si="32">SUM(I41:I46)</f>
        <v>5312.9290529373739</v>
      </c>
      <c r="J47" s="17">
        <f t="shared" ref="J47" si="33">SUM(J41:J46)</f>
        <v>6539.7802851855704</v>
      </c>
    </row>
    <row r="48" spans="1:10" ht="16" thickBot="1" x14ac:dyDescent="0.25">
      <c r="A48" s="10" t="s">
        <v>70</v>
      </c>
      <c r="B48" s="20">
        <f>B47+B38</f>
        <v>1761</v>
      </c>
      <c r="C48" s="20">
        <f t="shared" ref="C48:E48" si="34">C47+C38</f>
        <v>1958</v>
      </c>
      <c r="D48" s="20">
        <f t="shared" si="34"/>
        <v>2408</v>
      </c>
      <c r="E48" s="20">
        <f t="shared" si="34"/>
        <v>3145</v>
      </c>
      <c r="F48" s="20">
        <f t="shared" ref="F48" si="35">F47+F38</f>
        <v>3839.6751359764457</v>
      </c>
      <c r="G48" s="20">
        <f t="shared" ref="G48" si="36">G47+G38</f>
        <v>4688.5384578010107</v>
      </c>
      <c r="H48" s="20">
        <f t="shared" ref="H48" si="37">H47+H38</f>
        <v>5733.7242854581946</v>
      </c>
      <c r="I48" s="20">
        <f t="shared" ref="I48" si="38">I47+I38</f>
        <v>6918.561424935886</v>
      </c>
      <c r="J48" s="20">
        <f t="shared" ref="J48" si="39">J47+J38</f>
        <v>8250.309445992998</v>
      </c>
    </row>
    <row r="49" spans="1:10" ht="16" thickTop="1" x14ac:dyDescent="0.2"/>
    <row r="50" spans="1:10" x14ac:dyDescent="0.2">
      <c r="A50" t="s">
        <v>112</v>
      </c>
      <c r="B50" s="21">
        <f>B48-B23</f>
        <v>0</v>
      </c>
      <c r="C50" s="21">
        <f t="shared" ref="C50:E50" si="40">C48-C23</f>
        <v>0</v>
      </c>
      <c r="D50" s="21">
        <f t="shared" si="40"/>
        <v>0</v>
      </c>
      <c r="E50" s="21">
        <f t="shared" si="40"/>
        <v>0</v>
      </c>
      <c r="F50" s="21">
        <f t="shared" ref="F50:J50" si="41">F48-F23</f>
        <v>0</v>
      </c>
      <c r="G50" s="21">
        <f t="shared" si="41"/>
        <v>0</v>
      </c>
      <c r="H50" s="21">
        <f t="shared" si="41"/>
        <v>0</v>
      </c>
      <c r="I50" s="21">
        <f t="shared" si="41"/>
        <v>0</v>
      </c>
      <c r="J50" s="21">
        <f t="shared" si="41"/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3"/>
  <sheetViews>
    <sheetView topLeftCell="A3" zoomScale="130" zoomScaleNormal="130" workbookViewId="0">
      <selection activeCell="A48" sqref="A48:E48"/>
    </sheetView>
  </sheetViews>
  <sheetFormatPr baseColWidth="10" defaultColWidth="8.83203125" defaultRowHeight="15" x14ac:dyDescent="0.2"/>
  <cols>
    <col min="1" max="1" width="55" customWidth="1"/>
    <col min="2" max="5" width="16" customWidth="1"/>
  </cols>
  <sheetData>
    <row r="1" spans="1:10" ht="16" x14ac:dyDescent="0.2">
      <c r="A1" s="1" t="s">
        <v>0</v>
      </c>
    </row>
    <row r="2" spans="1:10" x14ac:dyDescent="0.2">
      <c r="A2" s="2" t="s">
        <v>71</v>
      </c>
    </row>
    <row r="3" spans="1:10" x14ac:dyDescent="0.2">
      <c r="A3" s="3" t="s">
        <v>72</v>
      </c>
    </row>
    <row r="5" spans="1:10" x14ac:dyDescent="0.2">
      <c r="A5" s="4" t="s">
        <v>3</v>
      </c>
      <c r="B5" s="5" t="s">
        <v>4</v>
      </c>
      <c r="C5" s="5" t="s">
        <v>5</v>
      </c>
      <c r="D5" s="5" t="s">
        <v>6</v>
      </c>
      <c r="E5" s="5" t="s">
        <v>7</v>
      </c>
    </row>
    <row r="7" spans="1:10" x14ac:dyDescent="0.2">
      <c r="A7" s="6" t="s">
        <v>73</v>
      </c>
    </row>
    <row r="8" spans="1:10" s="24" customFormat="1" x14ac:dyDescent="0.2">
      <c r="A8" s="22" t="s">
        <v>30</v>
      </c>
      <c r="B8" s="23">
        <f>'Income Statement'!B41</f>
        <v>-275</v>
      </c>
      <c r="C8" s="23">
        <f>'Income Statement'!C41</f>
        <v>-246</v>
      </c>
      <c r="D8" s="23">
        <f>'Income Statement'!D41</f>
        <v>19</v>
      </c>
      <c r="E8" s="23">
        <f>'Income Statement'!E41</f>
        <v>342</v>
      </c>
    </row>
    <row r="9" spans="1:10" x14ac:dyDescent="0.2">
      <c r="A9" s="6" t="s">
        <v>74</v>
      </c>
      <c r="B9" s="18"/>
      <c r="C9" s="18"/>
      <c r="D9" s="18"/>
      <c r="E9" s="18"/>
    </row>
    <row r="10" spans="1:10" x14ac:dyDescent="0.2">
      <c r="A10" s="7" t="s">
        <v>193</v>
      </c>
      <c r="B10" s="18">
        <v>8</v>
      </c>
      <c r="C10" s="18">
        <v>11</v>
      </c>
      <c r="D10" s="18">
        <v>10</v>
      </c>
      <c r="E10" s="18">
        <v>10</v>
      </c>
    </row>
    <row r="11" spans="1:10" x14ac:dyDescent="0.2">
      <c r="A11" s="28" t="s">
        <v>194</v>
      </c>
      <c r="B11" s="16">
        <v>16</v>
      </c>
      <c r="C11" s="16">
        <v>21</v>
      </c>
      <c r="D11" s="16">
        <v>36</v>
      </c>
      <c r="E11" s="16">
        <v>54</v>
      </c>
      <c r="G11" s="21"/>
      <c r="H11" s="21"/>
      <c r="I11" s="21"/>
      <c r="J11" s="21"/>
    </row>
    <row r="12" spans="1:10" x14ac:dyDescent="0.2">
      <c r="A12" s="7" t="s">
        <v>75</v>
      </c>
      <c r="B12" s="16">
        <v>228</v>
      </c>
      <c r="C12" s="16">
        <v>277</v>
      </c>
      <c r="D12" s="16">
        <v>253</v>
      </c>
      <c r="E12" s="16">
        <v>242</v>
      </c>
    </row>
    <row r="13" spans="1:10" x14ac:dyDescent="0.2">
      <c r="A13" s="7" t="s">
        <v>76</v>
      </c>
      <c r="B13" s="16">
        <v>44</v>
      </c>
      <c r="C13" s="16">
        <v>62</v>
      </c>
      <c r="D13" s="16">
        <v>82</v>
      </c>
      <c r="E13" s="16">
        <v>99</v>
      </c>
    </row>
    <row r="14" spans="1:10" x14ac:dyDescent="0.2">
      <c r="A14" s="7" t="s">
        <v>25</v>
      </c>
      <c r="B14" s="16">
        <v>0</v>
      </c>
      <c r="C14" s="16">
        <v>0</v>
      </c>
      <c r="D14" s="16">
        <v>0</v>
      </c>
      <c r="E14" s="16">
        <v>0</v>
      </c>
    </row>
    <row r="15" spans="1:10" x14ac:dyDescent="0.2">
      <c r="A15" s="7" t="s">
        <v>24</v>
      </c>
      <c r="B15" s="16">
        <v>-95</v>
      </c>
      <c r="C15" s="16">
        <v>-3</v>
      </c>
      <c r="D15" s="16">
        <v>49</v>
      </c>
      <c r="E15" s="16">
        <v>-3</v>
      </c>
    </row>
    <row r="16" spans="1:10" x14ac:dyDescent="0.2">
      <c r="A16" s="7" t="s">
        <v>26</v>
      </c>
      <c r="B16" s="16">
        <v>0</v>
      </c>
      <c r="C16" s="16">
        <v>0</v>
      </c>
      <c r="D16" s="16">
        <v>0</v>
      </c>
      <c r="E16" s="16">
        <v>0</v>
      </c>
    </row>
    <row r="17" spans="1:5" x14ac:dyDescent="0.2">
      <c r="A17" s="7" t="s">
        <v>77</v>
      </c>
      <c r="B17" s="16">
        <v>34</v>
      </c>
      <c r="C17" s="16">
        <v>64</v>
      </c>
      <c r="D17" s="16">
        <v>70</v>
      </c>
      <c r="E17" s="16">
        <v>91</v>
      </c>
    </row>
    <row r="18" spans="1:5" x14ac:dyDescent="0.2">
      <c r="A18" s="7" t="s">
        <v>78</v>
      </c>
      <c r="B18" s="16">
        <v>0</v>
      </c>
      <c r="C18" s="16">
        <v>0</v>
      </c>
      <c r="D18" s="16">
        <v>0</v>
      </c>
      <c r="E18" s="16">
        <v>0</v>
      </c>
    </row>
    <row r="19" spans="1:5" x14ac:dyDescent="0.2">
      <c r="A19" s="7" t="s">
        <v>79</v>
      </c>
      <c r="B19" s="16">
        <v>10</v>
      </c>
      <c r="C19" s="16">
        <v>10</v>
      </c>
      <c r="D19" s="16">
        <v>5</v>
      </c>
      <c r="E19" s="16">
        <v>6</v>
      </c>
    </row>
    <row r="20" spans="1:5" x14ac:dyDescent="0.2">
      <c r="A20" s="7" t="s">
        <v>80</v>
      </c>
      <c r="B20" s="16">
        <v>0</v>
      </c>
      <c r="C20" s="16">
        <v>15</v>
      </c>
      <c r="D20" s="16">
        <v>5</v>
      </c>
      <c r="E20" s="16">
        <v>3</v>
      </c>
    </row>
    <row r="21" spans="1:5" x14ac:dyDescent="0.2">
      <c r="A21" s="7" t="s">
        <v>81</v>
      </c>
      <c r="B21" s="16">
        <v>0</v>
      </c>
      <c r="C21" s="16">
        <v>0</v>
      </c>
      <c r="D21" s="16">
        <v>-14</v>
      </c>
      <c r="E21" s="16">
        <v>0</v>
      </c>
    </row>
    <row r="22" spans="1:5" x14ac:dyDescent="0.2">
      <c r="A22" s="7" t="s">
        <v>82</v>
      </c>
      <c r="B22" s="16">
        <v>3</v>
      </c>
      <c r="C22" s="16">
        <v>-17</v>
      </c>
      <c r="D22" s="16">
        <v>-7</v>
      </c>
      <c r="E22" s="16">
        <v>8</v>
      </c>
    </row>
    <row r="23" spans="1:5" x14ac:dyDescent="0.2">
      <c r="A23" s="6" t="s">
        <v>83</v>
      </c>
      <c r="B23" s="18"/>
      <c r="C23" s="18"/>
      <c r="D23" s="18"/>
      <c r="E23" s="18"/>
    </row>
    <row r="24" spans="1:5" x14ac:dyDescent="0.2">
      <c r="A24" s="7" t="s">
        <v>40</v>
      </c>
      <c r="B24" s="16">
        <v>-35</v>
      </c>
      <c r="C24" s="16">
        <v>-3</v>
      </c>
      <c r="D24" s="16">
        <v>-72</v>
      </c>
      <c r="E24" s="16">
        <v>-33</v>
      </c>
    </row>
    <row r="25" spans="1:5" x14ac:dyDescent="0.2">
      <c r="A25" s="7" t="s">
        <v>42</v>
      </c>
      <c r="B25" s="16">
        <v>-36</v>
      </c>
      <c r="C25" s="16">
        <v>-12</v>
      </c>
      <c r="D25" s="16">
        <v>-15</v>
      </c>
      <c r="E25" s="16">
        <v>-52</v>
      </c>
    </row>
    <row r="26" spans="1:5" x14ac:dyDescent="0.2">
      <c r="A26" s="7" t="s">
        <v>84</v>
      </c>
      <c r="B26" s="16">
        <v>-71</v>
      </c>
      <c r="C26" s="16">
        <v>-107</v>
      </c>
      <c r="D26" s="16">
        <v>-130</v>
      </c>
      <c r="E26" s="16">
        <v>-147</v>
      </c>
    </row>
    <row r="27" spans="1:5" x14ac:dyDescent="0.2">
      <c r="A27" s="7" t="s">
        <v>41</v>
      </c>
      <c r="B27" s="16">
        <v>-68</v>
      </c>
      <c r="C27" s="16">
        <v>-7</v>
      </c>
      <c r="D27" s="16">
        <v>0</v>
      </c>
      <c r="E27" s="16">
        <v>4</v>
      </c>
    </row>
    <row r="28" spans="1:5" x14ac:dyDescent="0.2">
      <c r="A28" s="7" t="s">
        <v>54</v>
      </c>
      <c r="B28" s="16">
        <v>-11</v>
      </c>
      <c r="C28" s="16">
        <v>1</v>
      </c>
      <c r="D28" s="16">
        <v>5</v>
      </c>
      <c r="E28" s="16">
        <v>11</v>
      </c>
    </row>
    <row r="29" spans="1:5" x14ac:dyDescent="0.2">
      <c r="A29" s="7" t="s">
        <v>56</v>
      </c>
      <c r="B29" s="16">
        <v>116</v>
      </c>
      <c r="C29" s="16">
        <v>81</v>
      </c>
      <c r="D29" s="16">
        <v>48</v>
      </c>
      <c r="E29" s="16">
        <v>21</v>
      </c>
    </row>
    <row r="30" spans="1:5" x14ac:dyDescent="0.2">
      <c r="A30" s="7" t="s">
        <v>55</v>
      </c>
      <c r="B30" s="16">
        <v>-11</v>
      </c>
      <c r="C30" s="16">
        <v>-5</v>
      </c>
      <c r="D30" s="16">
        <v>23</v>
      </c>
      <c r="E30" s="16">
        <v>6</v>
      </c>
    </row>
    <row r="31" spans="1:5" x14ac:dyDescent="0.2">
      <c r="A31" s="7" t="s">
        <v>85</v>
      </c>
      <c r="B31" s="16">
        <v>0</v>
      </c>
      <c r="C31" s="16">
        <v>1</v>
      </c>
      <c r="D31" s="16">
        <v>-4</v>
      </c>
      <c r="E31" s="16">
        <v>-6</v>
      </c>
    </row>
    <row r="32" spans="1:5" x14ac:dyDescent="0.2">
      <c r="A32" s="7" t="s">
        <v>86</v>
      </c>
      <c r="B32" s="16">
        <v>-13</v>
      </c>
      <c r="C32" s="16">
        <v>-8</v>
      </c>
      <c r="D32" s="16">
        <v>-3</v>
      </c>
      <c r="E32" s="16">
        <v>5</v>
      </c>
    </row>
    <row r="33" spans="1:5" x14ac:dyDescent="0.2">
      <c r="A33" s="9" t="s">
        <v>87</v>
      </c>
      <c r="B33" s="17">
        <f>SUM(B8:B32)</f>
        <v>-156</v>
      </c>
      <c r="C33" s="17">
        <f>SUM(C8:C32)</f>
        <v>135</v>
      </c>
      <c r="D33" s="17">
        <f>SUM(D8:D32)</f>
        <v>360</v>
      </c>
      <c r="E33" s="17">
        <f>SUM(E8:E32)</f>
        <v>661</v>
      </c>
    </row>
    <row r="34" spans="1:5" x14ac:dyDescent="0.2">
      <c r="B34" s="18"/>
      <c r="C34" s="18"/>
      <c r="D34" s="18"/>
      <c r="E34" s="18"/>
    </row>
    <row r="35" spans="1:5" x14ac:dyDescent="0.2">
      <c r="A35" s="6" t="s">
        <v>88</v>
      </c>
      <c r="B35" s="18"/>
      <c r="C35" s="18"/>
      <c r="D35" s="18"/>
      <c r="E35" s="18"/>
    </row>
    <row r="36" spans="1:5" x14ac:dyDescent="0.2">
      <c r="A36" s="7" t="s">
        <v>89</v>
      </c>
      <c r="B36" s="16">
        <v>-46</v>
      </c>
      <c r="C36" s="16">
        <v>-9</v>
      </c>
      <c r="D36" s="16">
        <v>0</v>
      </c>
      <c r="E36" s="16">
        <v>0</v>
      </c>
    </row>
    <row r="37" spans="1:5" x14ac:dyDescent="0.2">
      <c r="A37" s="7" t="s">
        <v>90</v>
      </c>
      <c r="B37" s="16">
        <v>-33</v>
      </c>
      <c r="C37" s="16">
        <v>-42</v>
      </c>
      <c r="D37" s="16">
        <v>-54</v>
      </c>
      <c r="E37" s="16">
        <v>-53</v>
      </c>
    </row>
    <row r="38" spans="1:5" x14ac:dyDescent="0.2">
      <c r="A38" s="7" t="s">
        <v>91</v>
      </c>
      <c r="B38" s="16">
        <v>-434</v>
      </c>
      <c r="C38" s="16">
        <v>-623</v>
      </c>
      <c r="D38" s="16">
        <v>-473</v>
      </c>
      <c r="E38" s="16">
        <v>-633</v>
      </c>
    </row>
    <row r="39" spans="1:5" x14ac:dyDescent="0.2">
      <c r="A39" s="7" t="s">
        <v>92</v>
      </c>
      <c r="B39" s="16">
        <v>46</v>
      </c>
      <c r="C39" s="16">
        <v>35</v>
      </c>
      <c r="D39" s="16">
        <v>126</v>
      </c>
      <c r="E39" s="16">
        <v>178</v>
      </c>
    </row>
    <row r="40" spans="1:5" x14ac:dyDescent="0.2">
      <c r="A40" s="7" t="s">
        <v>93</v>
      </c>
      <c r="B40" s="16">
        <v>369</v>
      </c>
      <c r="C40" s="16">
        <v>556</v>
      </c>
      <c r="D40" s="16">
        <v>362</v>
      </c>
      <c r="E40" s="16">
        <v>336</v>
      </c>
    </row>
    <row r="41" spans="1:5" x14ac:dyDescent="0.2">
      <c r="A41" s="7" t="s">
        <v>94</v>
      </c>
      <c r="B41" s="16">
        <v>0</v>
      </c>
      <c r="C41" s="16">
        <v>-3</v>
      </c>
      <c r="D41" s="16">
        <v>0</v>
      </c>
      <c r="E41" s="16">
        <v>0</v>
      </c>
    </row>
    <row r="42" spans="1:5" x14ac:dyDescent="0.2">
      <c r="A42" s="9" t="s">
        <v>95</v>
      </c>
      <c r="B42" s="17">
        <f>SUM(B36:B41)</f>
        <v>-98</v>
      </c>
      <c r="C42" s="17">
        <f t="shared" ref="C42:E42" si="0">SUM(C36:C41)</f>
        <v>-86</v>
      </c>
      <c r="D42" s="17">
        <f t="shared" si="0"/>
        <v>-39</v>
      </c>
      <c r="E42" s="17">
        <f t="shared" si="0"/>
        <v>-172</v>
      </c>
    </row>
    <row r="43" spans="1:5" x14ac:dyDescent="0.2">
      <c r="B43" s="18"/>
      <c r="C43" s="18"/>
      <c r="D43" s="18"/>
      <c r="E43" s="18"/>
    </row>
    <row r="44" spans="1:5" x14ac:dyDescent="0.2">
      <c r="A44" s="6" t="s">
        <v>96</v>
      </c>
      <c r="B44" s="18"/>
      <c r="C44" s="18"/>
      <c r="D44" s="18"/>
      <c r="E44" s="18"/>
    </row>
    <row r="45" spans="1:5" x14ac:dyDescent="0.2">
      <c r="A45" s="7" t="s">
        <v>97</v>
      </c>
      <c r="B45" s="16">
        <v>0</v>
      </c>
      <c r="C45" s="16">
        <v>0</v>
      </c>
      <c r="D45" s="16">
        <v>0</v>
      </c>
      <c r="E45" s="16">
        <v>-3</v>
      </c>
    </row>
    <row r="46" spans="1:5" x14ac:dyDescent="0.2">
      <c r="A46" s="7" t="s">
        <v>98</v>
      </c>
      <c r="B46" s="16">
        <v>15</v>
      </c>
      <c r="C46" s="16">
        <v>36</v>
      </c>
      <c r="D46" s="16">
        <v>99</v>
      </c>
      <c r="E46" s="16">
        <v>81</v>
      </c>
    </row>
    <row r="47" spans="1:5" x14ac:dyDescent="0.2">
      <c r="A47" s="7" t="s">
        <v>99</v>
      </c>
      <c r="B47" s="16">
        <v>26</v>
      </c>
      <c r="C47" s="16">
        <v>27</v>
      </c>
      <c r="D47" s="16">
        <v>36</v>
      </c>
      <c r="E47" s="16">
        <v>36</v>
      </c>
    </row>
    <row r="48" spans="1:5" x14ac:dyDescent="0.2">
      <c r="A48" s="7" t="s">
        <v>100</v>
      </c>
      <c r="B48" s="16">
        <v>0</v>
      </c>
      <c r="C48" s="16">
        <v>0</v>
      </c>
      <c r="D48" s="16">
        <v>-61</v>
      </c>
      <c r="E48" s="16">
        <v>0</v>
      </c>
    </row>
    <row r="49" spans="1:5" x14ac:dyDescent="0.2">
      <c r="A49" s="7" t="s">
        <v>101</v>
      </c>
      <c r="B49" s="16">
        <v>0</v>
      </c>
      <c r="C49" s="16">
        <v>0</v>
      </c>
      <c r="D49" s="16">
        <v>-56</v>
      </c>
      <c r="E49" s="16">
        <v>-107</v>
      </c>
    </row>
    <row r="50" spans="1:5" x14ac:dyDescent="0.2">
      <c r="A50" s="7" t="s">
        <v>102</v>
      </c>
      <c r="B50" s="16">
        <v>-3</v>
      </c>
      <c r="C50" s="16">
        <v>0</v>
      </c>
      <c r="D50" s="16">
        <v>0</v>
      </c>
      <c r="E50" s="16">
        <v>0</v>
      </c>
    </row>
    <row r="51" spans="1:5" x14ac:dyDescent="0.2">
      <c r="A51" s="9" t="s">
        <v>103</v>
      </c>
      <c r="B51" s="17">
        <f>SUM(B45:B50)</f>
        <v>38</v>
      </c>
      <c r="C51" s="17">
        <f t="shared" ref="C51:E51" si="1">SUM(C45:C50)</f>
        <v>63</v>
      </c>
      <c r="D51" s="17">
        <f t="shared" si="1"/>
        <v>18</v>
      </c>
      <c r="E51" s="17">
        <f t="shared" si="1"/>
        <v>7</v>
      </c>
    </row>
    <row r="52" spans="1:5" x14ac:dyDescent="0.2">
      <c r="B52" s="18"/>
      <c r="C52" s="18"/>
      <c r="D52" s="18"/>
      <c r="E52" s="18"/>
    </row>
    <row r="53" spans="1:5" x14ac:dyDescent="0.2">
      <c r="A53" s="11" t="s">
        <v>104</v>
      </c>
      <c r="B53" s="16">
        <v>0</v>
      </c>
      <c r="C53" s="16">
        <v>0</v>
      </c>
      <c r="D53" s="16">
        <v>-1</v>
      </c>
      <c r="E53" s="16">
        <v>2</v>
      </c>
    </row>
    <row r="54" spans="1:5" x14ac:dyDescent="0.2">
      <c r="B54" s="18"/>
      <c r="C54" s="18"/>
      <c r="D54" s="18"/>
      <c r="E54" s="18"/>
    </row>
    <row r="55" spans="1:5" x14ac:dyDescent="0.2">
      <c r="A55" s="6" t="s">
        <v>105</v>
      </c>
      <c r="B55" s="19">
        <f>SUM(B53,B51,B42,B33)</f>
        <v>-216</v>
      </c>
      <c r="C55" s="19">
        <f t="shared" ref="C55:E55" si="2">SUM(C53,C51,C42,C33)</f>
        <v>112</v>
      </c>
      <c r="D55" s="19">
        <f t="shared" si="2"/>
        <v>338</v>
      </c>
      <c r="E55" s="19">
        <f t="shared" si="2"/>
        <v>498</v>
      </c>
    </row>
    <row r="56" spans="1:5" x14ac:dyDescent="0.2">
      <c r="A56" s="11" t="s">
        <v>106</v>
      </c>
      <c r="B56" s="16">
        <v>851</v>
      </c>
      <c r="C56" s="16">
        <f>B57</f>
        <v>635</v>
      </c>
      <c r="D56" s="16">
        <f t="shared" ref="D56:E56" si="3">C57</f>
        <v>747</v>
      </c>
      <c r="E56" s="16">
        <f t="shared" si="3"/>
        <v>1085</v>
      </c>
    </row>
    <row r="57" spans="1:5" x14ac:dyDescent="0.2">
      <c r="A57" s="10" t="s">
        <v>107</v>
      </c>
      <c r="B57" s="20">
        <f>SUM(B55:B56)</f>
        <v>635</v>
      </c>
      <c r="C57" s="20">
        <f>SUM(C55:C56)</f>
        <v>747</v>
      </c>
      <c r="D57" s="20">
        <f t="shared" ref="D57:E57" si="4">SUM(D55:D56)</f>
        <v>1085</v>
      </c>
      <c r="E57" s="20">
        <f t="shared" si="4"/>
        <v>1583</v>
      </c>
    </row>
    <row r="58" spans="1:5" x14ac:dyDescent="0.2">
      <c r="B58" s="18"/>
      <c r="C58" s="18"/>
      <c r="D58" s="18"/>
      <c r="E58" s="18"/>
    </row>
    <row r="59" spans="1:5" x14ac:dyDescent="0.2">
      <c r="A59" s="6" t="s">
        <v>108</v>
      </c>
      <c r="B59" s="18"/>
      <c r="C59" s="18"/>
      <c r="D59" s="18"/>
      <c r="E59" s="18"/>
    </row>
    <row r="60" spans="1:5" x14ac:dyDescent="0.2">
      <c r="A60" s="7" t="s">
        <v>38</v>
      </c>
      <c r="B60" s="16">
        <v>547</v>
      </c>
      <c r="C60" s="16">
        <v>605</v>
      </c>
      <c r="D60" s="16">
        <v>903</v>
      </c>
      <c r="E60" s="16">
        <v>1353</v>
      </c>
    </row>
    <row r="61" spans="1:5" x14ac:dyDescent="0.2">
      <c r="A61" s="7" t="s">
        <v>109</v>
      </c>
      <c r="B61" s="16">
        <v>60</v>
      </c>
      <c r="C61" s="16">
        <v>87</v>
      </c>
      <c r="D61" s="16">
        <v>123</v>
      </c>
      <c r="E61" s="16">
        <v>159</v>
      </c>
    </row>
    <row r="62" spans="1:5" x14ac:dyDescent="0.2">
      <c r="A62" s="7" t="s">
        <v>48</v>
      </c>
      <c r="B62" s="16">
        <v>28</v>
      </c>
      <c r="C62" s="16">
        <v>55</v>
      </c>
      <c r="D62" s="16">
        <v>59</v>
      </c>
      <c r="E62" s="16">
        <v>71</v>
      </c>
    </row>
    <row r="63" spans="1:5" x14ac:dyDescent="0.2">
      <c r="A63" s="10" t="s">
        <v>110</v>
      </c>
      <c r="B63" s="20">
        <v>635</v>
      </c>
      <c r="C63" s="20">
        <v>747</v>
      </c>
      <c r="D63" s="20">
        <v>1085</v>
      </c>
      <c r="E63" s="20">
        <v>1583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8E626-B4BC-4319-8AF2-568F86F135BF}">
  <dimension ref="A1:J41"/>
  <sheetViews>
    <sheetView zoomScale="70" zoomScaleNormal="70" workbookViewId="0">
      <selection activeCell="A26" sqref="A26"/>
    </sheetView>
  </sheetViews>
  <sheetFormatPr baseColWidth="10" defaultColWidth="8.83203125" defaultRowHeight="15" x14ac:dyDescent="0.2"/>
  <cols>
    <col min="1" max="1" width="55" customWidth="1"/>
    <col min="2" max="10" width="10.5" customWidth="1"/>
  </cols>
  <sheetData>
    <row r="1" spans="1:10" ht="16" x14ac:dyDescent="0.2">
      <c r="A1" s="1" t="s">
        <v>0</v>
      </c>
    </row>
    <row r="2" spans="1:10" x14ac:dyDescent="0.2">
      <c r="A2" s="25" t="s">
        <v>252</v>
      </c>
    </row>
    <row r="3" spans="1:10" x14ac:dyDescent="0.2">
      <c r="A3" s="3" t="s">
        <v>72</v>
      </c>
    </row>
    <row r="5" spans="1:10" x14ac:dyDescent="0.2">
      <c r="A5" s="4" t="s">
        <v>3</v>
      </c>
      <c r="B5" s="5" t="s">
        <v>4</v>
      </c>
      <c r="C5" s="5">
        <f>B5+1</f>
        <v>2023</v>
      </c>
      <c r="D5" s="5">
        <f t="shared" ref="D5:J5" si="0">C5+1</f>
        <v>2024</v>
      </c>
      <c r="E5" s="5">
        <f t="shared" si="0"/>
        <v>2025</v>
      </c>
      <c r="F5" s="5">
        <f t="shared" si="0"/>
        <v>2026</v>
      </c>
      <c r="G5" s="5">
        <f t="shared" si="0"/>
        <v>2027</v>
      </c>
      <c r="H5" s="5">
        <f t="shared" si="0"/>
        <v>2028</v>
      </c>
      <c r="I5" s="5">
        <f t="shared" si="0"/>
        <v>2029</v>
      </c>
      <c r="J5" s="5">
        <f t="shared" si="0"/>
        <v>2030</v>
      </c>
    </row>
    <row r="7" spans="1:10" s="24" customFormat="1" x14ac:dyDescent="0.2">
      <c r="A7" s="24" t="s">
        <v>122</v>
      </c>
      <c r="F7" s="42">
        <f>'Income Statement'!F41</f>
        <v>634.23648680959025</v>
      </c>
      <c r="G7" s="42">
        <f>'Income Statement'!G41</f>
        <v>881.47498733168482</v>
      </c>
      <c r="H7" s="42">
        <f>'Income Statement'!H41</f>
        <v>1134.098811311221</v>
      </c>
      <c r="I7" s="42">
        <f>'Income Statement'!I41</f>
        <v>1336.3510307192207</v>
      </c>
      <c r="J7" s="42">
        <f>'Income Statement'!J41</f>
        <v>1533.5640403102468</v>
      </c>
    </row>
    <row r="8" spans="1:10" x14ac:dyDescent="0.2">
      <c r="A8" t="s">
        <v>219</v>
      </c>
      <c r="F8" s="18">
        <f>Calcs!F9+Calcs!F15</f>
        <v>13.649999999999999</v>
      </c>
      <c r="G8" s="18">
        <f>Calcs!G9+Calcs!G15</f>
        <v>16.646144809280113</v>
      </c>
      <c r="H8" s="18">
        <f>Calcs!H9+Calcs!H15</f>
        <v>19.152183995489835</v>
      </c>
      <c r="I8" s="18">
        <f>Calcs!I9+Calcs!I15</f>
        <v>20.896201824422203</v>
      </c>
      <c r="J8" s="18">
        <f>Calcs!J9+Calcs!J15</f>
        <v>25.670356589015874</v>
      </c>
    </row>
    <row r="9" spans="1:10" x14ac:dyDescent="0.2">
      <c r="A9" t="s">
        <v>40</v>
      </c>
      <c r="F9" s="18">
        <f>'Balance Sheet'!E11-'Balance Sheet'!F11</f>
        <v>-24.553620232002828</v>
      </c>
      <c r="G9" s="18">
        <f>'Balance Sheet'!F11-'Balance Sheet'!G11</f>
        <v>-21.61030616854984</v>
      </c>
      <c r="H9" s="18">
        <f>'Balance Sheet'!G11-'Balance Sheet'!H11</f>
        <v>-21.139245390505152</v>
      </c>
      <c r="I9" s="18">
        <f>'Balance Sheet'!H11-'Balance Sheet'!I11</f>
        <v>-18.152524010908991</v>
      </c>
      <c r="J9" s="18">
        <f>'Balance Sheet'!I11-'Balance Sheet'!J11</f>
        <v>-16.53503868687983</v>
      </c>
    </row>
    <row r="10" spans="1:10" x14ac:dyDescent="0.2">
      <c r="A10" t="s">
        <v>41</v>
      </c>
      <c r="F10" s="18">
        <f>'Balance Sheet'!E12-'Balance Sheet'!F12</f>
        <v>-9.986203488617889</v>
      </c>
      <c r="G10" s="18">
        <f>'Balance Sheet'!F12-'Balance Sheet'!G12</f>
        <v>-2.9747146864648499</v>
      </c>
      <c r="H10" s="18">
        <f>'Balance Sheet'!G12-'Balance Sheet'!H12</f>
        <v>-6.5089972557291418</v>
      </c>
      <c r="I10" s="18">
        <f>'Balance Sheet'!H12-'Balance Sheet'!I12</f>
        <v>-10.518076566695754</v>
      </c>
      <c r="J10" s="18">
        <f>'Balance Sheet'!I12-'Balance Sheet'!J12</f>
        <v>-9.5271236489204796</v>
      </c>
    </row>
    <row r="11" spans="1:10" x14ac:dyDescent="0.2">
      <c r="A11" t="s">
        <v>42</v>
      </c>
      <c r="F11" s="18">
        <f>'Balance Sheet'!E13-'Balance Sheet'!F13</f>
        <v>-55.549265754009241</v>
      </c>
      <c r="G11" s="18">
        <f>'Balance Sheet'!F13-'Balance Sheet'!G13</f>
        <v>-70.233495047786903</v>
      </c>
      <c r="H11" s="18">
        <f>'Balance Sheet'!G13-'Balance Sheet'!H13</f>
        <v>-68.702547519141831</v>
      </c>
      <c r="I11" s="18">
        <f>'Balance Sheet'!H13-'Balance Sheet'!I13</f>
        <v>-58.995703035454085</v>
      </c>
      <c r="J11" s="18">
        <f>'Balance Sheet'!I13-'Balance Sheet'!J13</f>
        <v>-53.738875732359588</v>
      </c>
    </row>
    <row r="12" spans="1:10" x14ac:dyDescent="0.2">
      <c r="A12" t="s">
        <v>45</v>
      </c>
      <c r="F12" s="18">
        <f>'Balance Sheet'!E17-'Balance Sheet'!F17</f>
        <v>0</v>
      </c>
      <c r="G12" s="18">
        <f>'Balance Sheet'!F17-'Balance Sheet'!G17</f>
        <v>0</v>
      </c>
      <c r="H12" s="18">
        <f>'Balance Sheet'!G17-'Balance Sheet'!H17</f>
        <v>0</v>
      </c>
      <c r="I12" s="18">
        <f>'Balance Sheet'!H17-'Balance Sheet'!I17</f>
        <v>0</v>
      </c>
      <c r="J12" s="18">
        <f>'Balance Sheet'!I17-'Balance Sheet'!J17</f>
        <v>0</v>
      </c>
    </row>
    <row r="13" spans="1:10" x14ac:dyDescent="0.2">
      <c r="A13" t="s">
        <v>47</v>
      </c>
      <c r="F13" s="18">
        <f>'Balance Sheet'!E19-'Balance Sheet'!F19</f>
        <v>0</v>
      </c>
      <c r="G13" s="18">
        <f>'Balance Sheet'!F19-'Balance Sheet'!G19</f>
        <v>0</v>
      </c>
      <c r="H13" s="18">
        <f>'Balance Sheet'!G19-'Balance Sheet'!H19</f>
        <v>0</v>
      </c>
      <c r="I13" s="18">
        <f>'Balance Sheet'!H19-'Balance Sheet'!I19</f>
        <v>0</v>
      </c>
      <c r="J13" s="18">
        <f>'Balance Sheet'!I19-'Balance Sheet'!J19</f>
        <v>0</v>
      </c>
    </row>
    <row r="14" spans="1:10" x14ac:dyDescent="0.2">
      <c r="A14" t="s">
        <v>48</v>
      </c>
      <c r="F14" s="18">
        <f>'Balance Sheet'!E20-'Balance Sheet'!F20</f>
        <v>71</v>
      </c>
      <c r="G14" s="18">
        <f>'Balance Sheet'!F20-'Balance Sheet'!G20</f>
        <v>0</v>
      </c>
      <c r="H14" s="18">
        <f>'Balance Sheet'!G20-'Balance Sheet'!H20</f>
        <v>0</v>
      </c>
      <c r="I14" s="18">
        <f>'Balance Sheet'!H20-'Balance Sheet'!I20</f>
        <v>0</v>
      </c>
      <c r="J14" s="18">
        <f>'Balance Sheet'!I20-'Balance Sheet'!J20</f>
        <v>0</v>
      </c>
    </row>
    <row r="15" spans="1:10" x14ac:dyDescent="0.2">
      <c r="A15" t="s">
        <v>49</v>
      </c>
      <c r="F15" s="18">
        <f>'Balance Sheet'!E21-'Balance Sheet'!F21</f>
        <v>-20.708982255203097</v>
      </c>
      <c r="G15" s="18">
        <f>'Balance Sheet'!F21-'Balance Sheet'!G21</f>
        <v>-23.771336785404827</v>
      </c>
      <c r="H15" s="18">
        <f>'Balance Sheet'!G21-'Balance Sheet'!H21</f>
        <v>-23.253169929555668</v>
      </c>
      <c r="I15" s="18">
        <f>'Balance Sheet'!H21-'Balance Sheet'!I21</f>
        <v>-19.967776411999864</v>
      </c>
      <c r="J15" s="18">
        <f>'Balance Sheet'!I21-'Balance Sheet'!J21</f>
        <v>-18.188542555567835</v>
      </c>
    </row>
    <row r="16" spans="1:10" x14ac:dyDescent="0.2">
      <c r="A16" t="s">
        <v>54</v>
      </c>
      <c r="F16" s="18">
        <f>'Balance Sheet'!F28-'Balance Sheet'!E28</f>
        <v>6.9070449950512582</v>
      </c>
      <c r="G16" s="18">
        <f>'Balance Sheet'!G28-'Balance Sheet'!F28</f>
        <v>6.5505350883214817</v>
      </c>
      <c r="H16" s="18">
        <f>'Balance Sheet'!H28-'Balance Sheet'!G28</f>
        <v>6.2773776320332004</v>
      </c>
      <c r="I16" s="18">
        <f>'Balance Sheet'!I28-'Balance Sheet'!H28</f>
        <v>5.259038283347877</v>
      </c>
      <c r="J16" s="18">
        <f>'Balance Sheet'!J28-'Balance Sheet'!I28</f>
        <v>4.7635618244602398</v>
      </c>
    </row>
    <row r="17" spans="1:10" x14ac:dyDescent="0.2">
      <c r="A17" t="s">
        <v>55</v>
      </c>
      <c r="F17" s="18">
        <f>'Balance Sheet'!F29-'Balance Sheet'!E29</f>
        <v>7.776810116001414</v>
      </c>
      <c r="G17" s="18">
        <f>'Balance Sheet'!G29-'Balance Sheet'!F29</f>
        <v>10.80515308427492</v>
      </c>
      <c r="H17" s="18">
        <f>'Balance Sheet'!H29-'Balance Sheet'!G29</f>
        <v>10.569622695252576</v>
      </c>
      <c r="I17" s="18">
        <f>'Balance Sheet'!I29-'Balance Sheet'!H29</f>
        <v>9.0762620054544954</v>
      </c>
      <c r="J17" s="18">
        <f>'Balance Sheet'!J29-'Balance Sheet'!I29</f>
        <v>8.2675193434399148</v>
      </c>
    </row>
    <row r="18" spans="1:10" x14ac:dyDescent="0.2">
      <c r="A18" t="s">
        <v>56</v>
      </c>
      <c r="F18" s="18">
        <f>'Balance Sheet'!F30-'Balance Sheet'!E30</f>
        <v>170.23385490597389</v>
      </c>
      <c r="G18" s="18">
        <f>'Balance Sheet'!G30-'Balance Sheet'!F30</f>
        <v>124.46016667810818</v>
      </c>
      <c r="H18" s="18">
        <f>'Balance Sheet'!H30-'Balance Sheet'!G30</f>
        <v>119.27017500863099</v>
      </c>
      <c r="I18" s="18">
        <f>'Balance Sheet'!I30-'Balance Sheet'!H30</f>
        <v>99.92172738360955</v>
      </c>
      <c r="J18" s="18">
        <f>'Balance Sheet'!J30-'Balance Sheet'!I30</f>
        <v>90.5076746647444</v>
      </c>
    </row>
    <row r="19" spans="1:10" x14ac:dyDescent="0.2">
      <c r="A19" t="s">
        <v>59</v>
      </c>
      <c r="F19" s="18">
        <f>'Balance Sheet'!F35-'Balance Sheet'!E35</f>
        <v>0</v>
      </c>
      <c r="G19" s="18">
        <f>'Balance Sheet'!G35-'Balance Sheet'!F35</f>
        <v>0</v>
      </c>
      <c r="H19" s="18">
        <f>'Balance Sheet'!H35-'Balance Sheet'!G35</f>
        <v>0</v>
      </c>
      <c r="I19" s="18">
        <f>'Balance Sheet'!I35-'Balance Sheet'!H35</f>
        <v>0</v>
      </c>
      <c r="J19" s="18">
        <f>'Balance Sheet'!J35-'Balance Sheet'!I35</f>
        <v>0</v>
      </c>
    </row>
    <row r="20" spans="1:10" x14ac:dyDescent="0.2">
      <c r="A20" t="s">
        <v>60</v>
      </c>
      <c r="F20" s="18">
        <f>'Balance Sheet'!F36-'Balance Sheet'!E36</f>
        <v>2.3682365117470692</v>
      </c>
      <c r="G20" s="18">
        <f>'Balance Sheet'!G36-'Balance Sheet'!F36</f>
        <v>1.8674771085127038</v>
      </c>
      <c r="H20" s="18">
        <f>'Balance Sheet'!H36-'Balance Sheet'!G36</f>
        <v>1.7896032722901687</v>
      </c>
      <c r="I20" s="18">
        <f>'Balance Sheet'!I36-'Balance Sheet'!H36</f>
        <v>1.4992872299018067</v>
      </c>
      <c r="J20" s="18">
        <f>'Balance Sheet'!J36-'Balance Sheet'!I36</f>
        <v>1.3580329762715593</v>
      </c>
    </row>
    <row r="21" spans="1:10" s="24" customFormat="1" x14ac:dyDescent="0.2">
      <c r="A21" s="24" t="s">
        <v>253</v>
      </c>
      <c r="F21" s="42">
        <f>SUM(F7:F20)</f>
        <v>795.37436160853099</v>
      </c>
      <c r="G21" s="42">
        <f t="shared" ref="G21:J21" si="1">SUM(G7:G20)</f>
        <v>923.21461141197585</v>
      </c>
      <c r="H21" s="42">
        <f t="shared" si="1"/>
        <v>1171.5538138199856</v>
      </c>
      <c r="I21" s="42">
        <f t="shared" si="1"/>
        <v>1365.3694674208978</v>
      </c>
      <c r="J21" s="42">
        <f t="shared" si="1"/>
        <v>1566.1416050844512</v>
      </c>
    </row>
    <row r="22" spans="1:10" x14ac:dyDescent="0.2">
      <c r="F22" s="18"/>
      <c r="G22" s="18"/>
      <c r="H22" s="18"/>
      <c r="I22" s="18"/>
      <c r="J22" s="18"/>
    </row>
    <row r="23" spans="1:10" x14ac:dyDescent="0.2">
      <c r="A23" t="s">
        <v>216</v>
      </c>
      <c r="F23" s="18">
        <f>-Calcs!F10</f>
        <v>-75.776810116001414</v>
      </c>
      <c r="G23" s="18">
        <f>-Calcs!G10</f>
        <v>-86.581963200276334</v>
      </c>
      <c r="H23" s="18">
        <f>-Calcs!H10</f>
        <v>-97.15158589552891</v>
      </c>
      <c r="I23" s="18">
        <f>-Calcs!I10</f>
        <v>-106.22784790098341</v>
      </c>
      <c r="J23" s="18">
        <f>-Calcs!J10</f>
        <v>-114.49536724442332</v>
      </c>
    </row>
    <row r="24" spans="1:10" x14ac:dyDescent="0.2">
      <c r="A24" t="s">
        <v>254</v>
      </c>
      <c r="F24" s="18">
        <f>-Calcs!F16</f>
        <v>0</v>
      </c>
      <c r="G24" s="18">
        <f>-Calcs!G16</f>
        <v>0</v>
      </c>
      <c r="H24" s="18">
        <f>-Calcs!H16</f>
        <v>0</v>
      </c>
      <c r="I24" s="18">
        <f>-Calcs!I16</f>
        <v>0</v>
      </c>
      <c r="J24" s="18">
        <f>-Calcs!J16</f>
        <v>0</v>
      </c>
    </row>
    <row r="25" spans="1:10" x14ac:dyDescent="0.2">
      <c r="A25" t="s">
        <v>255</v>
      </c>
      <c r="F25" s="18">
        <f>'Balance Sheet'!E10-'Balance Sheet'!F10</f>
        <v>638</v>
      </c>
      <c r="G25" s="18">
        <f>'Balance Sheet'!F10-'Balance Sheet'!G10</f>
        <v>0</v>
      </c>
      <c r="H25" s="18">
        <f>'Balance Sheet'!G10-'Balance Sheet'!H10</f>
        <v>0</v>
      </c>
      <c r="I25" s="18">
        <f>'Balance Sheet'!H10-'Balance Sheet'!I10</f>
        <v>0</v>
      </c>
      <c r="J25" s="18">
        <f>'Balance Sheet'!I10-'Balance Sheet'!J10</f>
        <v>0</v>
      </c>
    </row>
    <row r="26" spans="1:10" s="24" customFormat="1" x14ac:dyDescent="0.2">
      <c r="A26" s="24" t="s">
        <v>256</v>
      </c>
      <c r="F26" s="42">
        <f>SUM(F23:F25)</f>
        <v>562.22318988399854</v>
      </c>
      <c r="G26" s="42">
        <f t="shared" ref="G26:J26" si="2">SUM(G23:G25)</f>
        <v>-86.581963200276334</v>
      </c>
      <c r="H26" s="42">
        <f t="shared" si="2"/>
        <v>-97.15158589552891</v>
      </c>
      <c r="I26" s="42">
        <f t="shared" si="2"/>
        <v>-106.22784790098341</v>
      </c>
      <c r="J26" s="42">
        <f t="shared" si="2"/>
        <v>-114.49536724442332</v>
      </c>
    </row>
    <row r="27" spans="1:10" x14ac:dyDescent="0.2">
      <c r="F27" s="18"/>
      <c r="G27" s="18"/>
      <c r="H27" s="18"/>
      <c r="I27" s="18"/>
      <c r="J27" s="18"/>
    </row>
    <row r="28" spans="1:10" x14ac:dyDescent="0.2">
      <c r="A28" t="s">
        <v>257</v>
      </c>
      <c r="F28" s="18">
        <f>'Balance Sheet'!F34-'Balance Sheet'!E34</f>
        <v>0</v>
      </c>
      <c r="G28" s="18">
        <f>'Balance Sheet'!G34-'Balance Sheet'!F34</f>
        <v>0</v>
      </c>
      <c r="H28" s="18">
        <f>'Balance Sheet'!H34-'Balance Sheet'!G34</f>
        <v>0</v>
      </c>
      <c r="I28" s="18">
        <f>'Balance Sheet'!I34-'Balance Sheet'!H34</f>
        <v>0</v>
      </c>
      <c r="J28" s="18">
        <f>'Balance Sheet'!J34-'Balance Sheet'!I34</f>
        <v>0</v>
      </c>
    </row>
    <row r="29" spans="1:10" x14ac:dyDescent="0.2">
      <c r="A29" t="s">
        <v>63</v>
      </c>
      <c r="F29" s="18">
        <f>'Balance Sheet'!F41-'Balance Sheet'!E41</f>
        <v>0</v>
      </c>
      <c r="G29" s="18">
        <f>'Balance Sheet'!G41-'Balance Sheet'!F41</f>
        <v>0</v>
      </c>
      <c r="H29" s="18">
        <f>'Balance Sheet'!H41-'Balance Sheet'!G41</f>
        <v>0</v>
      </c>
      <c r="I29" s="18">
        <f>'Balance Sheet'!I41-'Balance Sheet'!H41</f>
        <v>0</v>
      </c>
      <c r="J29" s="18">
        <f>'Balance Sheet'!J41-'Balance Sheet'!I41</f>
        <v>0</v>
      </c>
    </row>
    <row r="30" spans="1:10" x14ac:dyDescent="0.2">
      <c r="A30" t="s">
        <v>64</v>
      </c>
      <c r="F30" s="18">
        <f>'Balance Sheet'!F42-'Balance Sheet'!E42</f>
        <v>0</v>
      </c>
      <c r="G30" s="18">
        <f>'Balance Sheet'!G42-'Balance Sheet'!F42</f>
        <v>0</v>
      </c>
      <c r="H30" s="18">
        <f>'Balance Sheet'!H42-'Balance Sheet'!G42</f>
        <v>0</v>
      </c>
      <c r="I30" s="18">
        <f>'Balance Sheet'!I42-'Balance Sheet'!H42</f>
        <v>0</v>
      </c>
      <c r="J30" s="18">
        <f>'Balance Sheet'!J42-'Balance Sheet'!I42</f>
        <v>0</v>
      </c>
    </row>
    <row r="31" spans="1:10" x14ac:dyDescent="0.2">
      <c r="A31" t="s">
        <v>65</v>
      </c>
      <c r="F31" s="18">
        <f>'Balance Sheet'!F43-'Balance Sheet'!E43</f>
        <v>0</v>
      </c>
      <c r="G31" s="18">
        <f>'Balance Sheet'!G43-'Balance Sheet'!F43</f>
        <v>0</v>
      </c>
      <c r="H31" s="18">
        <f>'Balance Sheet'!H43-'Balance Sheet'!G43</f>
        <v>0</v>
      </c>
      <c r="I31" s="18">
        <f>'Balance Sheet'!I43-'Balance Sheet'!H43</f>
        <v>0</v>
      </c>
      <c r="J31" s="18">
        <f>'Balance Sheet'!J43-'Balance Sheet'!I43</f>
        <v>0</v>
      </c>
    </row>
    <row r="32" spans="1:10" x14ac:dyDescent="0.2">
      <c r="A32" t="s">
        <v>66</v>
      </c>
      <c r="F32" s="18">
        <f>'Balance Sheet'!F44-'Balance Sheet'!E44</f>
        <v>0</v>
      </c>
      <c r="G32" s="18">
        <f>'Balance Sheet'!G44-'Balance Sheet'!F44</f>
        <v>0</v>
      </c>
      <c r="H32" s="18">
        <f>'Balance Sheet'!H44-'Balance Sheet'!G44</f>
        <v>0</v>
      </c>
      <c r="I32" s="18">
        <f>'Balance Sheet'!I44-'Balance Sheet'!H44</f>
        <v>0</v>
      </c>
      <c r="J32" s="18">
        <f>'Balance Sheet'!J44-'Balance Sheet'!I44</f>
        <v>0</v>
      </c>
    </row>
    <row r="33" spans="1:10" x14ac:dyDescent="0.2">
      <c r="A33" t="s">
        <v>67</v>
      </c>
      <c r="F33" s="18">
        <f>'Balance Sheet'!F45-'Balance Sheet'!E45</f>
        <v>0</v>
      </c>
      <c r="G33" s="18">
        <f>'Balance Sheet'!G45-'Balance Sheet'!F45</f>
        <v>0</v>
      </c>
      <c r="H33" s="18">
        <f>'Balance Sheet'!H45-'Balance Sheet'!G45</f>
        <v>0</v>
      </c>
      <c r="I33" s="18">
        <f>'Balance Sheet'!I45-'Balance Sheet'!H45</f>
        <v>0</v>
      </c>
      <c r="J33" s="18">
        <f>'Balance Sheet'!J45-'Balance Sheet'!I45</f>
        <v>0</v>
      </c>
    </row>
    <row r="34" spans="1:10" x14ac:dyDescent="0.2">
      <c r="A34" t="s">
        <v>236</v>
      </c>
      <c r="F34" s="18">
        <f>Calcs!F28</f>
        <v>0</v>
      </c>
      <c r="G34" s="18">
        <f>Calcs!G28</f>
        <v>0</v>
      </c>
      <c r="H34" s="18">
        <f>Calcs!H28</f>
        <v>0</v>
      </c>
      <c r="I34" s="18">
        <f>Calcs!I28</f>
        <v>0</v>
      </c>
      <c r="J34" s="18">
        <f>Calcs!J28</f>
        <v>0</v>
      </c>
    </row>
    <row r="35" spans="1:10" x14ac:dyDescent="0.2">
      <c r="A35" t="s">
        <v>258</v>
      </c>
      <c r="F35" s="18">
        <f>-Calcs!F27</f>
        <v>0</v>
      </c>
      <c r="G35" s="18">
        <f>-Calcs!G27</f>
        <v>0</v>
      </c>
      <c r="H35" s="18">
        <f>-Calcs!H27</f>
        <v>0</v>
      </c>
      <c r="I35" s="18">
        <f>-Calcs!I27</f>
        <v>0</v>
      </c>
      <c r="J35" s="18">
        <f>-Calcs!J27</f>
        <v>0</v>
      </c>
    </row>
    <row r="36" spans="1:10" x14ac:dyDescent="0.2">
      <c r="A36" t="s">
        <v>230</v>
      </c>
      <c r="F36" s="18">
        <f>-Calcs!F21</f>
        <v>-126.84729736191805</v>
      </c>
      <c r="G36" s="18">
        <f>-Calcs!G21</f>
        <v>-176.29499746633698</v>
      </c>
      <c r="H36" s="18">
        <f>-Calcs!H21</f>
        <v>-226.81976226224421</v>
      </c>
      <c r="I36" s="18">
        <f>-Calcs!I21</f>
        <v>-267.27020614384418</v>
      </c>
      <c r="J36" s="18">
        <f>-Calcs!J21</f>
        <v>-306.71280806204936</v>
      </c>
    </row>
    <row r="37" spans="1:10" s="24" customFormat="1" x14ac:dyDescent="0.2">
      <c r="A37" s="24" t="s">
        <v>259</v>
      </c>
      <c r="F37" s="42">
        <f>SUM(F28:F36)</f>
        <v>-126.84729736191805</v>
      </c>
      <c r="G37" s="42">
        <f t="shared" ref="G37:J37" si="3">SUM(G28:G36)</f>
        <v>-176.29499746633698</v>
      </c>
      <c r="H37" s="42">
        <f t="shared" si="3"/>
        <v>-226.81976226224421</v>
      </c>
      <c r="I37" s="42">
        <f t="shared" si="3"/>
        <v>-267.27020614384418</v>
      </c>
      <c r="J37" s="42">
        <f t="shared" si="3"/>
        <v>-306.71280806204936</v>
      </c>
    </row>
    <row r="38" spans="1:10" x14ac:dyDescent="0.2">
      <c r="F38" s="18"/>
      <c r="G38" s="18"/>
      <c r="H38" s="18"/>
      <c r="I38" s="18"/>
      <c r="J38" s="18"/>
    </row>
    <row r="39" spans="1:10" s="24" customFormat="1" x14ac:dyDescent="0.2">
      <c r="A39" s="24" t="s">
        <v>260</v>
      </c>
      <c r="F39" s="42">
        <f>SUM(F37,F26,F21)</f>
        <v>1230.7502541306114</v>
      </c>
      <c r="G39" s="42">
        <f t="shared" ref="G39:J39" si="4">SUM(G37,G26,G21)</f>
        <v>660.33765074536257</v>
      </c>
      <c r="H39" s="42">
        <f t="shared" si="4"/>
        <v>847.58246566221248</v>
      </c>
      <c r="I39" s="42">
        <f t="shared" si="4"/>
        <v>991.87141337607022</v>
      </c>
      <c r="J39" s="42">
        <f t="shared" si="4"/>
        <v>1144.9334297779785</v>
      </c>
    </row>
    <row r="40" spans="1:10" x14ac:dyDescent="0.2">
      <c r="A40" t="s">
        <v>261</v>
      </c>
      <c r="F40" s="18">
        <f>E41</f>
        <v>1353</v>
      </c>
      <c r="G40" s="18">
        <f t="shared" ref="G40:J40" si="5">F41</f>
        <v>2583.7502541306112</v>
      </c>
      <c r="H40" s="18">
        <f t="shared" si="5"/>
        <v>3244.0879048759739</v>
      </c>
      <c r="I40" s="18">
        <f t="shared" si="5"/>
        <v>4091.6703705381865</v>
      </c>
      <c r="J40" s="18">
        <f t="shared" si="5"/>
        <v>5083.5417839142565</v>
      </c>
    </row>
    <row r="41" spans="1:10" s="24" customFormat="1" x14ac:dyDescent="0.2">
      <c r="A41" s="24" t="s">
        <v>262</v>
      </c>
      <c r="E41" s="42">
        <f>'Balance Sheet'!E9</f>
        <v>1353</v>
      </c>
      <c r="F41" s="42">
        <f>SUM(F39:F40)</f>
        <v>2583.7502541306112</v>
      </c>
      <c r="G41" s="42">
        <f t="shared" ref="G41:J41" si="6">SUM(G39:G40)</f>
        <v>3244.0879048759739</v>
      </c>
      <c r="H41" s="42">
        <f t="shared" si="6"/>
        <v>4091.6703705381865</v>
      </c>
      <c r="I41" s="42">
        <f t="shared" si="6"/>
        <v>5083.5417839142565</v>
      </c>
      <c r="J41" s="42">
        <f t="shared" si="6"/>
        <v>6228.4752136922352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7181C-63D9-47B0-890C-E06FC36F2688}">
  <dimension ref="A1:J39"/>
  <sheetViews>
    <sheetView topLeftCell="A13" zoomScale="160" zoomScaleNormal="160" workbookViewId="0">
      <selection activeCell="F40" sqref="F40"/>
    </sheetView>
  </sheetViews>
  <sheetFormatPr baseColWidth="10" defaultColWidth="8.83203125" defaultRowHeight="15" x14ac:dyDescent="0.2"/>
  <cols>
    <col min="1" max="1" width="50" customWidth="1"/>
    <col min="2" max="4" width="9.6640625" customWidth="1"/>
    <col min="5" max="5" width="9.6640625" style="54" customWidth="1"/>
    <col min="6" max="10" width="9.6640625" customWidth="1"/>
  </cols>
  <sheetData>
    <row r="1" spans="1:10" ht="16" x14ac:dyDescent="0.2">
      <c r="A1" s="1" t="s">
        <v>0</v>
      </c>
    </row>
    <row r="2" spans="1:10" x14ac:dyDescent="0.2">
      <c r="A2" s="25" t="s">
        <v>221</v>
      </c>
    </row>
    <row r="3" spans="1:10" x14ac:dyDescent="0.2">
      <c r="A3" s="3" t="s">
        <v>2</v>
      </c>
    </row>
    <row r="5" spans="1:10" x14ac:dyDescent="0.2">
      <c r="A5" s="4" t="s">
        <v>3</v>
      </c>
      <c r="B5" s="5" t="s">
        <v>4</v>
      </c>
      <c r="C5" s="5">
        <f>B5+1</f>
        <v>2023</v>
      </c>
      <c r="D5" s="5">
        <f t="shared" ref="D5:J5" si="0">C5+1</f>
        <v>2024</v>
      </c>
      <c r="E5" s="55">
        <f t="shared" si="0"/>
        <v>2025</v>
      </c>
      <c r="F5" s="5">
        <f t="shared" si="0"/>
        <v>2026</v>
      </c>
      <c r="G5" s="5">
        <f t="shared" si="0"/>
        <v>2027</v>
      </c>
      <c r="H5" s="5">
        <f t="shared" si="0"/>
        <v>2028</v>
      </c>
      <c r="I5" s="5">
        <f t="shared" si="0"/>
        <v>2029</v>
      </c>
      <c r="J5" s="5">
        <f t="shared" si="0"/>
        <v>2030</v>
      </c>
    </row>
    <row r="7" spans="1:10" x14ac:dyDescent="0.2">
      <c r="A7" t="s">
        <v>222</v>
      </c>
    </row>
    <row r="8" spans="1:10" x14ac:dyDescent="0.2">
      <c r="A8" t="s">
        <v>223</v>
      </c>
      <c r="B8" s="18"/>
      <c r="C8" s="18"/>
      <c r="D8" s="18"/>
      <c r="E8" s="56"/>
      <c r="F8" s="18">
        <f>E11</f>
        <v>105</v>
      </c>
      <c r="G8" s="18">
        <f t="shared" ref="G8:J8" si="1">F11</f>
        <v>171.32681011600141</v>
      </c>
      <c r="H8" s="18">
        <f t="shared" si="1"/>
        <v>244.20262850699763</v>
      </c>
      <c r="I8" s="18">
        <f t="shared" si="1"/>
        <v>324.26003040703671</v>
      </c>
      <c r="J8" s="18">
        <f t="shared" si="1"/>
        <v>411.03227648359791</v>
      </c>
    </row>
    <row r="9" spans="1:10" x14ac:dyDescent="0.2">
      <c r="A9" t="s">
        <v>224</v>
      </c>
      <c r="B9" s="18"/>
      <c r="C9" s="18"/>
      <c r="D9" s="18"/>
      <c r="E9" s="56"/>
      <c r="F9" s="18">
        <f>Assumptions!F46*Calcs!E11</f>
        <v>9.4499999999999993</v>
      </c>
      <c r="G9" s="18">
        <f>Assumptions!G46*Calcs!F11</f>
        <v>13.706144809280113</v>
      </c>
      <c r="H9" s="18">
        <f>Assumptions!H46*Calcs!G11</f>
        <v>17.094183995489836</v>
      </c>
      <c r="I9" s="18">
        <f>Assumptions!I46*Calcs!H11</f>
        <v>19.455601824422203</v>
      </c>
      <c r="J9" s="18">
        <f>Assumptions!J46*Calcs!I11</f>
        <v>24.661936589015873</v>
      </c>
    </row>
    <row r="10" spans="1:10" x14ac:dyDescent="0.2">
      <c r="A10" t="s">
        <v>216</v>
      </c>
      <c r="B10" s="18"/>
      <c r="C10" s="18"/>
      <c r="D10" s="18"/>
      <c r="E10" s="56"/>
      <c r="F10" s="18">
        <f>Assumptions!F48*'Income Statement'!F11</f>
        <v>75.776810116001414</v>
      </c>
      <c r="G10" s="18">
        <f>Assumptions!G48*'Income Statement'!G11</f>
        <v>86.581963200276334</v>
      </c>
      <c r="H10" s="18">
        <f>Assumptions!H48*'Income Statement'!H11</f>
        <v>97.15158589552891</v>
      </c>
      <c r="I10" s="18">
        <f>Assumptions!I48*'Income Statement'!I11</f>
        <v>106.22784790098341</v>
      </c>
      <c r="J10" s="18">
        <f>Assumptions!J48*'Income Statement'!J11</f>
        <v>114.49536724442332</v>
      </c>
    </row>
    <row r="11" spans="1:10" s="24" customFormat="1" x14ac:dyDescent="0.2">
      <c r="A11" s="24" t="s">
        <v>225</v>
      </c>
      <c r="B11" s="42"/>
      <c r="C11" s="42"/>
      <c r="D11" s="42"/>
      <c r="E11" s="57">
        <f>'Balance Sheet'!E16</f>
        <v>105</v>
      </c>
      <c r="F11" s="42">
        <f>F8-F9+F10</f>
        <v>171.32681011600141</v>
      </c>
      <c r="G11" s="42">
        <f t="shared" ref="G11:J11" si="2">G8-G9+G10</f>
        <v>244.20262850699763</v>
      </c>
      <c r="H11" s="42">
        <f t="shared" si="2"/>
        <v>324.26003040703671</v>
      </c>
      <c r="I11" s="42">
        <f t="shared" si="2"/>
        <v>411.03227648359791</v>
      </c>
      <c r="J11" s="42">
        <f t="shared" si="2"/>
        <v>500.86570713900539</v>
      </c>
    </row>
    <row r="13" spans="1:10" x14ac:dyDescent="0.2">
      <c r="A13" t="s">
        <v>226</v>
      </c>
    </row>
    <row r="14" spans="1:10" x14ac:dyDescent="0.2">
      <c r="A14" t="s">
        <v>223</v>
      </c>
      <c r="B14" s="18"/>
      <c r="C14" s="18"/>
      <c r="D14" s="18"/>
      <c r="E14" s="56"/>
      <c r="F14" s="18">
        <f>E17</f>
        <v>14</v>
      </c>
      <c r="G14" s="18">
        <f t="shared" ref="G14:J14" si="3">F17</f>
        <v>9.8000000000000007</v>
      </c>
      <c r="H14" s="18">
        <f t="shared" si="3"/>
        <v>6.8600000000000012</v>
      </c>
      <c r="I14" s="18">
        <f t="shared" si="3"/>
        <v>4.8020000000000014</v>
      </c>
      <c r="J14" s="18">
        <f t="shared" si="3"/>
        <v>3.3614000000000011</v>
      </c>
    </row>
    <row r="15" spans="1:10" x14ac:dyDescent="0.2">
      <c r="A15" t="s">
        <v>227</v>
      </c>
      <c r="B15" s="18"/>
      <c r="C15" s="18"/>
      <c r="D15" s="18"/>
      <c r="E15" s="56"/>
      <c r="F15" s="18">
        <f>E17*Assumptions!F47</f>
        <v>4.2</v>
      </c>
      <c r="G15" s="18">
        <f>F17*Assumptions!G47</f>
        <v>2.94</v>
      </c>
      <c r="H15" s="18">
        <f>G17*Assumptions!H47</f>
        <v>2.0580000000000003</v>
      </c>
      <c r="I15" s="18">
        <f>H17*Assumptions!I47</f>
        <v>1.4406000000000003</v>
      </c>
      <c r="J15" s="18">
        <f>I17*Assumptions!J47</f>
        <v>1.0084200000000003</v>
      </c>
    </row>
    <row r="16" spans="1:10" x14ac:dyDescent="0.2">
      <c r="A16" t="s">
        <v>228</v>
      </c>
      <c r="B16" s="18"/>
      <c r="C16" s="18"/>
      <c r="D16" s="18"/>
      <c r="E16" s="56"/>
      <c r="F16" s="18">
        <f>Assumptions!F49</f>
        <v>0</v>
      </c>
      <c r="G16" s="18">
        <f>Assumptions!G49</f>
        <v>0</v>
      </c>
      <c r="H16" s="18">
        <f>Assumptions!H49</f>
        <v>0</v>
      </c>
      <c r="I16" s="18">
        <f>Assumptions!I49</f>
        <v>0</v>
      </c>
      <c r="J16" s="18">
        <f>Assumptions!J49</f>
        <v>0</v>
      </c>
    </row>
    <row r="17" spans="1:10" s="24" customFormat="1" x14ac:dyDescent="0.2">
      <c r="A17" s="24" t="s">
        <v>225</v>
      </c>
      <c r="B17" s="42"/>
      <c r="C17" s="42"/>
      <c r="D17" s="42"/>
      <c r="E17" s="57">
        <f>'Balance Sheet'!E18</f>
        <v>14</v>
      </c>
      <c r="F17" s="42">
        <f>F14-F15+F16</f>
        <v>9.8000000000000007</v>
      </c>
      <c r="G17" s="42">
        <f t="shared" ref="G17:J17" si="4">G14-G15+G16</f>
        <v>6.8600000000000012</v>
      </c>
      <c r="H17" s="42">
        <f t="shared" si="4"/>
        <v>4.8020000000000014</v>
      </c>
      <c r="I17" s="42">
        <f t="shared" si="4"/>
        <v>3.3614000000000011</v>
      </c>
      <c r="J17" s="42">
        <f t="shared" si="4"/>
        <v>2.3529800000000005</v>
      </c>
    </row>
    <row r="19" spans="1:10" x14ac:dyDescent="0.2">
      <c r="A19" t="s">
        <v>229</v>
      </c>
    </row>
    <row r="20" spans="1:10" x14ac:dyDescent="0.2">
      <c r="A20" t="s">
        <v>223</v>
      </c>
      <c r="E20" s="56"/>
      <c r="F20" s="18">
        <f>E23</f>
        <v>-1262</v>
      </c>
      <c r="G20" s="18">
        <f t="shared" ref="G20:J20" si="5">F23</f>
        <v>-754.61081055232773</v>
      </c>
      <c r="H20" s="18">
        <f t="shared" si="5"/>
        <v>-49.430820686979928</v>
      </c>
      <c r="I20" s="18">
        <f t="shared" si="5"/>
        <v>857.8482283619968</v>
      </c>
      <c r="J20" s="18">
        <f t="shared" si="5"/>
        <v>1926.9290529373734</v>
      </c>
    </row>
    <row r="21" spans="1:10" x14ac:dyDescent="0.2">
      <c r="A21" t="s">
        <v>230</v>
      </c>
      <c r="E21" s="56"/>
      <c r="F21" s="18">
        <f>Assumptions!F50*'Income Statement'!F41</f>
        <v>126.84729736191805</v>
      </c>
      <c r="G21" s="18">
        <f>Assumptions!G50*'Income Statement'!G41</f>
        <v>176.29499746633698</v>
      </c>
      <c r="H21" s="18">
        <f>Assumptions!H50*'Income Statement'!H41</f>
        <v>226.81976226224421</v>
      </c>
      <c r="I21" s="18">
        <f>Assumptions!I50*'Income Statement'!I41</f>
        <v>267.27020614384418</v>
      </c>
      <c r="J21" s="18">
        <f>Assumptions!J50*'Income Statement'!J41</f>
        <v>306.71280806204936</v>
      </c>
    </row>
    <row r="22" spans="1:10" x14ac:dyDescent="0.2">
      <c r="A22" t="s">
        <v>231</v>
      </c>
      <c r="E22" s="56"/>
      <c r="F22" s="18">
        <f>'Income Statement'!F41</f>
        <v>634.23648680959025</v>
      </c>
      <c r="G22" s="18">
        <f>'Income Statement'!G41</f>
        <v>881.47498733168482</v>
      </c>
      <c r="H22" s="18">
        <f>'Income Statement'!H41</f>
        <v>1134.098811311221</v>
      </c>
      <c r="I22" s="18">
        <f>'Income Statement'!I41</f>
        <v>1336.3510307192207</v>
      </c>
      <c r="J22" s="18">
        <f>'Income Statement'!J41</f>
        <v>1533.5640403102468</v>
      </c>
    </row>
    <row r="23" spans="1:10" s="24" customFormat="1" x14ac:dyDescent="0.2">
      <c r="A23" s="24" t="s">
        <v>225</v>
      </c>
      <c r="E23" s="57">
        <f>'Balance Sheet'!E46</f>
        <v>-1262</v>
      </c>
      <c r="F23" s="42">
        <f>F20-F21+F22</f>
        <v>-754.61081055232773</v>
      </c>
      <c r="G23" s="42">
        <f t="shared" ref="G23:J23" si="6">G20-G21+G22</f>
        <v>-49.430820686979928</v>
      </c>
      <c r="H23" s="42">
        <f t="shared" si="6"/>
        <v>857.8482283619968</v>
      </c>
      <c r="I23" s="42">
        <f t="shared" si="6"/>
        <v>1926.9290529373734</v>
      </c>
      <c r="J23" s="42">
        <f t="shared" si="6"/>
        <v>3153.7802851855708</v>
      </c>
    </row>
    <row r="25" spans="1:10" x14ac:dyDescent="0.2">
      <c r="A25" t="s">
        <v>240</v>
      </c>
    </row>
    <row r="26" spans="1:10" x14ac:dyDescent="0.2">
      <c r="A26" t="s">
        <v>223</v>
      </c>
      <c r="E26" s="56"/>
      <c r="F26" s="18">
        <f>E29</f>
        <v>0</v>
      </c>
      <c r="G26" s="18">
        <f t="shared" ref="G26:J26" si="7">F29</f>
        <v>0</v>
      </c>
      <c r="H26" s="18">
        <f t="shared" si="7"/>
        <v>0</v>
      </c>
      <c r="I26" s="18">
        <f t="shared" si="7"/>
        <v>0</v>
      </c>
      <c r="J26" s="18">
        <f t="shared" si="7"/>
        <v>0</v>
      </c>
    </row>
    <row r="27" spans="1:10" x14ac:dyDescent="0.2">
      <c r="A27" t="s">
        <v>241</v>
      </c>
      <c r="E27" s="56"/>
      <c r="F27" s="18">
        <f>Assumptions!F53</f>
        <v>0</v>
      </c>
      <c r="G27" s="18">
        <f>Assumptions!G53</f>
        <v>0</v>
      </c>
      <c r="H27" s="18">
        <f>Assumptions!H53</f>
        <v>0</v>
      </c>
      <c r="I27" s="18">
        <f>Assumptions!I53</f>
        <v>0</v>
      </c>
      <c r="J27" s="18">
        <f>Assumptions!J53</f>
        <v>0</v>
      </c>
    </row>
    <row r="28" spans="1:10" x14ac:dyDescent="0.2">
      <c r="A28" t="s">
        <v>242</v>
      </c>
      <c r="E28" s="56"/>
      <c r="F28" s="18">
        <f>Assumptions!F54</f>
        <v>0</v>
      </c>
      <c r="G28" s="18">
        <f>Assumptions!G54</f>
        <v>0</v>
      </c>
      <c r="H28" s="18">
        <f>Assumptions!H54</f>
        <v>0</v>
      </c>
      <c r="I28" s="18">
        <f>Assumptions!I54</f>
        <v>0</v>
      </c>
      <c r="J28" s="18">
        <f>Assumptions!J54</f>
        <v>0</v>
      </c>
    </row>
    <row r="29" spans="1:10" s="24" customFormat="1" x14ac:dyDescent="0.2">
      <c r="A29" s="24" t="s">
        <v>225</v>
      </c>
      <c r="E29" s="57">
        <f>'Balance Sheet'!E33</f>
        <v>0</v>
      </c>
      <c r="F29" s="42">
        <f>F26-F27+F28</f>
        <v>0</v>
      </c>
      <c r="G29" s="42">
        <f t="shared" ref="G29:J29" si="8">G26-G27+G28</f>
        <v>0</v>
      </c>
      <c r="H29" s="42">
        <f t="shared" si="8"/>
        <v>0</v>
      </c>
      <c r="I29" s="42">
        <f t="shared" si="8"/>
        <v>0</v>
      </c>
      <c r="J29" s="42">
        <f t="shared" si="8"/>
        <v>0</v>
      </c>
    </row>
    <row r="31" spans="1:10" x14ac:dyDescent="0.2">
      <c r="A31" t="s">
        <v>248</v>
      </c>
    </row>
    <row r="32" spans="1:10" x14ac:dyDescent="0.2">
      <c r="A32" t="s">
        <v>251</v>
      </c>
      <c r="E32" s="56">
        <f>'Balance Sheet'!E9+'Balance Sheet'!E10</f>
        <v>1991</v>
      </c>
      <c r="F32" s="18">
        <f>'Balance Sheet'!F9+'Balance Sheet'!F10</f>
        <v>2583.7502541306112</v>
      </c>
      <c r="G32" s="18">
        <f>'Balance Sheet'!G9+'Balance Sheet'!G10</f>
        <v>3244.0879048759739</v>
      </c>
      <c r="H32" s="18">
        <f>'Balance Sheet'!H9+'Balance Sheet'!H10</f>
        <v>4091.6703705381865</v>
      </c>
      <c r="I32" s="18">
        <f>'Balance Sheet'!I9+'Balance Sheet'!I10</f>
        <v>5083.5417839142565</v>
      </c>
      <c r="J32" s="18">
        <f>'Balance Sheet'!J9+'Balance Sheet'!J10</f>
        <v>6228.4752136922352</v>
      </c>
    </row>
    <row r="33" spans="1:10" x14ac:dyDescent="0.2">
      <c r="A33" t="s">
        <v>243</v>
      </c>
      <c r="F33" s="27">
        <f>Assumptions!F51</f>
        <v>0.04</v>
      </c>
      <c r="G33" s="27">
        <f>Assumptions!G51</f>
        <v>3.7999999999999999E-2</v>
      </c>
      <c r="H33" s="27">
        <f>Assumptions!H51</f>
        <v>3.5000000000000003E-2</v>
      </c>
      <c r="I33" s="27">
        <f>Assumptions!I51</f>
        <v>3.2000000000000001E-2</v>
      </c>
      <c r="J33" s="27">
        <f>Assumptions!J51</f>
        <v>0.03</v>
      </c>
    </row>
    <row r="34" spans="1:10" s="24" customFormat="1" x14ac:dyDescent="0.2">
      <c r="A34" s="24" t="s">
        <v>247</v>
      </c>
      <c r="E34" s="58"/>
      <c r="F34" s="42">
        <f>F33*E32</f>
        <v>79.64</v>
      </c>
      <c r="G34" s="42">
        <f t="shared" ref="G34:J34" si="9">G33*F32</f>
        <v>98.182509656963219</v>
      </c>
      <c r="H34" s="42">
        <f t="shared" si="9"/>
        <v>113.54307667065909</v>
      </c>
      <c r="I34" s="42">
        <f t="shared" si="9"/>
        <v>130.93345185722197</v>
      </c>
      <c r="J34" s="42">
        <f t="shared" si="9"/>
        <v>152.50625351742769</v>
      </c>
    </row>
    <row r="36" spans="1:10" x14ac:dyDescent="0.2">
      <c r="A36" t="s">
        <v>244</v>
      </c>
    </row>
    <row r="37" spans="1:10" x14ac:dyDescent="0.2">
      <c r="A37" t="s">
        <v>150</v>
      </c>
      <c r="E37" s="56">
        <f>'Balance Sheet'!E27+'Balance Sheet'!E33</f>
        <v>0</v>
      </c>
      <c r="F37" s="18">
        <f>'Balance Sheet'!F27+'Balance Sheet'!F33</f>
        <v>0</v>
      </c>
      <c r="G37" s="18">
        <f>'Balance Sheet'!G27+'Balance Sheet'!G33</f>
        <v>0</v>
      </c>
      <c r="H37" s="18">
        <f>'Balance Sheet'!H27+'Balance Sheet'!H33</f>
        <v>0</v>
      </c>
      <c r="I37" s="18">
        <f>'Balance Sheet'!I27+'Balance Sheet'!I33</f>
        <v>0</v>
      </c>
      <c r="J37" s="18">
        <f>'Balance Sheet'!J27+'Balance Sheet'!J33</f>
        <v>0</v>
      </c>
    </row>
    <row r="38" spans="1:10" x14ac:dyDescent="0.2">
      <c r="A38" t="s">
        <v>245</v>
      </c>
      <c r="F38" s="27">
        <f>Assumptions!F52</f>
        <v>0.06</v>
      </c>
      <c r="G38" s="27">
        <f>Assumptions!G52</f>
        <v>0.06</v>
      </c>
      <c r="H38" s="27">
        <f>Assumptions!H52</f>
        <v>0.06</v>
      </c>
      <c r="I38" s="27">
        <f>Assumptions!I52</f>
        <v>0.06</v>
      </c>
      <c r="J38" s="27">
        <f>Assumptions!J52</f>
        <v>0.06</v>
      </c>
    </row>
    <row r="39" spans="1:10" s="24" customFormat="1" x14ac:dyDescent="0.2">
      <c r="A39" s="24" t="s">
        <v>246</v>
      </c>
      <c r="E39" s="58"/>
      <c r="F39" s="42">
        <f>F38*E37</f>
        <v>0</v>
      </c>
      <c r="G39" s="42">
        <f t="shared" ref="G39:J39" si="10">G38*F37</f>
        <v>0</v>
      </c>
      <c r="H39" s="42">
        <f t="shared" si="10"/>
        <v>0</v>
      </c>
      <c r="I39" s="42">
        <f t="shared" si="10"/>
        <v>0</v>
      </c>
      <c r="J39" s="42">
        <f t="shared" si="10"/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D2F62-C188-459D-B3F3-0113CA551767}">
  <dimension ref="A1:K62"/>
  <sheetViews>
    <sheetView tabSelected="1" zoomScale="160" zoomScaleNormal="160" workbookViewId="0">
      <selection activeCell="F62" sqref="F62"/>
    </sheetView>
  </sheetViews>
  <sheetFormatPr baseColWidth="10" defaultColWidth="8.83203125" defaultRowHeight="15" x14ac:dyDescent="0.2"/>
  <cols>
    <col min="1" max="1" width="50" customWidth="1"/>
    <col min="2" max="10" width="12.33203125" customWidth="1"/>
  </cols>
  <sheetData>
    <row r="1" spans="1:11" ht="16" x14ac:dyDescent="0.2">
      <c r="A1" s="1" t="s">
        <v>0</v>
      </c>
    </row>
    <row r="2" spans="1:11" x14ac:dyDescent="0.2">
      <c r="A2" s="25" t="s">
        <v>113</v>
      </c>
    </row>
    <row r="3" spans="1:11" x14ac:dyDescent="0.2">
      <c r="A3" s="3" t="s">
        <v>2</v>
      </c>
    </row>
    <row r="5" spans="1:11" x14ac:dyDescent="0.2">
      <c r="A5" s="4" t="s">
        <v>3</v>
      </c>
      <c r="B5" s="5" t="s">
        <v>4</v>
      </c>
      <c r="C5" s="5" t="s">
        <v>5</v>
      </c>
      <c r="D5" s="5" t="s">
        <v>6</v>
      </c>
      <c r="E5" s="5">
        <f>D5+1</f>
        <v>2025</v>
      </c>
      <c r="F5" s="5">
        <f t="shared" ref="F5:J5" si="0">E5+1</f>
        <v>2026</v>
      </c>
      <c r="G5" s="5">
        <f t="shared" si="0"/>
        <v>2027</v>
      </c>
      <c r="H5" s="5">
        <f t="shared" si="0"/>
        <v>2028</v>
      </c>
      <c r="I5" s="5">
        <f t="shared" si="0"/>
        <v>2029</v>
      </c>
      <c r="J5" s="5">
        <f t="shared" si="0"/>
        <v>2030</v>
      </c>
    </row>
    <row r="7" spans="1:11" s="35" customFormat="1" x14ac:dyDescent="0.2">
      <c r="A7" s="34" t="s">
        <v>126</v>
      </c>
    </row>
    <row r="8" spans="1:11" x14ac:dyDescent="0.2">
      <c r="A8" s="22"/>
    </row>
    <row r="9" spans="1:11" x14ac:dyDescent="0.2">
      <c r="A9" t="s">
        <v>118</v>
      </c>
      <c r="B9" s="18">
        <f>'Income Statement'!B20-'Income Statement'!B23-'Income Statement'!B24-'Income Statement'!B25</f>
        <v>-384</v>
      </c>
      <c r="C9" s="18">
        <f>'Income Statement'!C20-'Income Statement'!C23-'Income Statement'!C24-'Income Statement'!C25</f>
        <v>-287</v>
      </c>
      <c r="D9" s="18">
        <f>'Income Statement'!D20-'Income Statement'!D23-'Income Statement'!D24-'Income Statement'!D25</f>
        <v>62</v>
      </c>
      <c r="E9" s="18">
        <f>'Income Statement'!E20-'Income Statement'!E23-'Income Statement'!E24-'Income Statement'!E25</f>
        <v>304</v>
      </c>
      <c r="F9" s="18">
        <f>'Income Statement'!F20-'Income Statement'!F23-'Income Statement'!F24-'Income Statement'!F25</f>
        <v>754.88169317051347</v>
      </c>
      <c r="G9" s="18">
        <f>'Income Statement'!G20-'Income Statement'!G23-'Income Statement'!G24-'Income Statement'!G25</f>
        <v>1061.6529999899903</v>
      </c>
      <c r="H9" s="18">
        <f>'Income Statement'!H20-'Income Statement'!H23-'Income Statement'!H24-'Income Statement'!H25</f>
        <v>1378.6922013704211</v>
      </c>
      <c r="I9" s="18">
        <f>'Income Statement'!I20-'Income Statement'!I23-'Income Statement'!I24-'Income Statement'!I25</f>
        <v>1627.4231675101737</v>
      </c>
      <c r="J9" s="18">
        <f>'Income Statement'!J20-'Income Statement'!J23-'Income Statement'!J24-'Income Statement'!J25</f>
        <v>1865.3411679434234</v>
      </c>
    </row>
    <row r="10" spans="1:11" x14ac:dyDescent="0.2">
      <c r="A10" t="s">
        <v>155</v>
      </c>
      <c r="B10" s="18">
        <f>B9+'Cash Flow'!B10+'Cash Flow'!B11</f>
        <v>-360</v>
      </c>
      <c r="C10" s="18">
        <f>C9+'Cash Flow'!C10+'Cash Flow'!C11</f>
        <v>-255</v>
      </c>
      <c r="D10" s="18">
        <f>D9+'Cash Flow'!D10+'Cash Flow'!D11</f>
        <v>108</v>
      </c>
      <c r="E10" s="18">
        <f>E9+'Cash Flow'!E10+'Cash Flow'!E11</f>
        <v>368</v>
      </c>
      <c r="F10" s="18">
        <f>F9+'CFS new'!F8</f>
        <v>768.53169317051345</v>
      </c>
      <c r="G10" s="18">
        <f>G9+'CFS new'!G8</f>
        <v>1078.2991447992704</v>
      </c>
      <c r="H10" s="18">
        <f>H9+'CFS new'!H8</f>
        <v>1397.844385365911</v>
      </c>
      <c r="I10" s="18">
        <f>I9+'CFS new'!I8</f>
        <v>1648.3193693345959</v>
      </c>
      <c r="J10" s="18">
        <f>J9+'CFS new'!J8</f>
        <v>1891.0115245324394</v>
      </c>
      <c r="K10" s="18"/>
    </row>
    <row r="11" spans="1:11" x14ac:dyDescent="0.2">
      <c r="A11" t="s">
        <v>119</v>
      </c>
      <c r="B11" s="18">
        <f>B9+'Income Statement'!B31+'Income Statement'!B39</f>
        <v>-371</v>
      </c>
      <c r="C11" s="18">
        <f>C9+'Income Statement'!C31+'Income Statement'!C39</f>
        <v>-252</v>
      </c>
      <c r="D11" s="18">
        <f>D9+'Income Statement'!D31+'Income Statement'!D39</f>
        <v>101</v>
      </c>
      <c r="E11" s="18">
        <f>E9+'Income Statement'!E31+'Income Statement'!E39</f>
        <v>351</v>
      </c>
      <c r="F11" s="18">
        <f>F9+'Income Statement'!F31+'Income Statement'!F39</f>
        <v>634.23648680959025</v>
      </c>
      <c r="G11" s="18">
        <f>G9+'Income Statement'!G31+'Income Statement'!G39</f>
        <v>881.47498733168482</v>
      </c>
      <c r="H11" s="18">
        <f>H9+'Income Statement'!H31+'Income Statement'!H39</f>
        <v>1134.098811311221</v>
      </c>
      <c r="I11" s="18">
        <f>I9+'Income Statement'!I31+'Income Statement'!I39</f>
        <v>1336.3510307192207</v>
      </c>
      <c r="J11" s="18">
        <f>J9+'Income Statement'!J31+'Income Statement'!J39</f>
        <v>1533.5640403102468</v>
      </c>
    </row>
    <row r="12" spans="1:11" x14ac:dyDescent="0.2">
      <c r="A12" t="s">
        <v>120</v>
      </c>
      <c r="B12" s="14">
        <f>B11/'Income Statement'!B47</f>
        <v>-0.724609375</v>
      </c>
      <c r="C12" s="14">
        <f>C11/'Income Statement'!C47</f>
        <v>-0.4727954971857411</v>
      </c>
      <c r="D12" s="14">
        <f>D11/'Income Statement'!D47</f>
        <v>0.17089678510998307</v>
      </c>
      <c r="E12" s="14">
        <f>E11/'Income Statement'!E47</f>
        <v>0.57825370675453047</v>
      </c>
      <c r="F12" s="14">
        <f>F11/'Income Statement'!F47</f>
        <v>1.0312788403407971</v>
      </c>
      <c r="G12" s="14">
        <f>G11/'Income Statement'!G47</f>
        <v>1.414887620115064</v>
      </c>
      <c r="H12" s="14">
        <f>H11/'Income Statement'!H47</f>
        <v>1.797303979891</v>
      </c>
      <c r="I12" s="14">
        <f>I11/'Income Statement'!I47</f>
        <v>2.0913161670097349</v>
      </c>
      <c r="J12" s="14">
        <f>J11/'Income Statement'!J47</f>
        <v>2.3702689958427308</v>
      </c>
    </row>
    <row r="14" spans="1:11" x14ac:dyDescent="0.2">
      <c r="A14" t="s">
        <v>121</v>
      </c>
    </row>
    <row r="15" spans="1:11" x14ac:dyDescent="0.2">
      <c r="A15" s="28" t="s">
        <v>118</v>
      </c>
    </row>
    <row r="16" spans="1:11" x14ac:dyDescent="0.2">
      <c r="A16" s="28" t="s">
        <v>155</v>
      </c>
      <c r="C16" s="27">
        <f>C10/B10-1</f>
        <v>-0.29166666666666663</v>
      </c>
      <c r="D16" s="27">
        <f t="shared" ref="D16:E16" si="1">D10/C10-1</f>
        <v>-1.4235294117647059</v>
      </c>
      <c r="E16" s="27">
        <f t="shared" si="1"/>
        <v>2.4074074074074074</v>
      </c>
      <c r="F16" s="27">
        <f t="shared" ref="F16:J16" si="2">F10/E10-1</f>
        <v>1.0884013401372648</v>
      </c>
      <c r="G16" s="27">
        <f t="shared" si="2"/>
        <v>0.40306399122050141</v>
      </c>
      <c r="H16" s="27">
        <f t="shared" si="2"/>
        <v>0.2963419215417491</v>
      </c>
      <c r="I16" s="27">
        <f t="shared" si="2"/>
        <v>0.17918660087697713</v>
      </c>
      <c r="J16" s="27">
        <f t="shared" si="2"/>
        <v>0.14723612408669018</v>
      </c>
    </row>
    <row r="17" spans="1:10" x14ac:dyDescent="0.2">
      <c r="A17" s="28" t="s">
        <v>122</v>
      </c>
      <c r="C17" s="27">
        <f>C9/B9-1</f>
        <v>-0.25260416666666663</v>
      </c>
      <c r="D17" s="27">
        <f t="shared" ref="D17:E17" si="3">D9/C9-1</f>
        <v>-1.2160278745644599</v>
      </c>
      <c r="E17" s="27">
        <f t="shared" si="3"/>
        <v>3.903225806451613</v>
      </c>
      <c r="F17" s="27">
        <f t="shared" ref="F17:J17" si="4">F9/E9-1</f>
        <v>1.4831634643766889</v>
      </c>
      <c r="G17" s="27">
        <f t="shared" si="4"/>
        <v>0.40638329104396909</v>
      </c>
      <c r="H17" s="27">
        <f t="shared" si="4"/>
        <v>0.29862789572809567</v>
      </c>
      <c r="I17" s="27">
        <f t="shared" si="4"/>
        <v>0.18041080227516604</v>
      </c>
      <c r="J17" s="27">
        <f t="shared" si="4"/>
        <v>0.14619307699622164</v>
      </c>
    </row>
    <row r="18" spans="1:10" x14ac:dyDescent="0.2">
      <c r="C18" s="27">
        <f>C11/B11</f>
        <v>0.67924528301886788</v>
      </c>
      <c r="D18" s="27">
        <f t="shared" ref="D18:E18" si="5">D11/C11</f>
        <v>-0.40079365079365081</v>
      </c>
      <c r="E18" s="27">
        <f t="shared" si="5"/>
        <v>3.4752475247524752</v>
      </c>
      <c r="F18" s="27">
        <f t="shared" ref="F18:J18" si="6">F11/E11</f>
        <v>1.8069415578620804</v>
      </c>
      <c r="G18" s="27">
        <f t="shared" si="6"/>
        <v>1.3898206830795596</v>
      </c>
      <c r="H18" s="27">
        <f t="shared" si="6"/>
        <v>1.2865921638278748</v>
      </c>
      <c r="I18" s="27">
        <f t="shared" si="6"/>
        <v>1.1783373877044805</v>
      </c>
      <c r="J18" s="27">
        <f t="shared" si="6"/>
        <v>1.1475757529703003</v>
      </c>
    </row>
    <row r="19" spans="1:10" x14ac:dyDescent="0.2">
      <c r="A19" t="s">
        <v>123</v>
      </c>
    </row>
    <row r="20" spans="1:10" x14ac:dyDescent="0.2">
      <c r="A20" s="28" t="s">
        <v>118</v>
      </c>
      <c r="B20" s="27">
        <f>B9/'Income Statement'!B11</f>
        <v>-0.14060783595752471</v>
      </c>
      <c r="C20" s="27">
        <f>C9/'Income Statement'!C11</f>
        <v>-7.4256144890038817E-2</v>
      </c>
      <c r="D20" s="27">
        <f>D9/'Income Statement'!D11</f>
        <v>1.2500000000000001E-2</v>
      </c>
      <c r="E20" s="27">
        <f>E9/'Income Statement'!E11</f>
        <v>4.9406793434097186E-2</v>
      </c>
      <c r="F20" s="27">
        <f>F9/'Income Statement'!F11</f>
        <v>9.9619090855753614E-2</v>
      </c>
      <c r="G20" s="27">
        <f>G9/'Income Statement'!G11</f>
        <v>0.12261826375249042</v>
      </c>
      <c r="H20" s="27">
        <f>H9/'Income Statement'!H11</f>
        <v>0.14191144577433717</v>
      </c>
      <c r="I20" s="27">
        <f>I9/'Income Statement'!I11</f>
        <v>0.15320118026180102</v>
      </c>
      <c r="J20" s="27">
        <f>J9/'Income Statement'!J11</f>
        <v>0.16291848420044067</v>
      </c>
    </row>
    <row r="21" spans="1:10" x14ac:dyDescent="0.2">
      <c r="A21" s="28" t="s">
        <v>155</v>
      </c>
      <c r="B21" s="27">
        <f>B10/'Income Statement'!B11</f>
        <v>-0.13181984621017942</v>
      </c>
      <c r="C21" s="27">
        <f>C10/'Income Statement'!C11</f>
        <v>-6.5976714100905567E-2</v>
      </c>
      <c r="D21" s="27">
        <f>D10/'Income Statement'!D11</f>
        <v>2.1774193548387097E-2</v>
      </c>
      <c r="E21" s="27">
        <f>E10/'Income Statement'!E11</f>
        <v>5.9808223630749231E-2</v>
      </c>
      <c r="F21" s="27">
        <f>F10/'Income Statement'!F11</f>
        <v>0.10142043350650708</v>
      </c>
      <c r="G21" s="27">
        <f>G10/'Income Statement'!G11</f>
        <v>0.12454085180593698</v>
      </c>
      <c r="H21" s="27">
        <f>H10/'Income Statement'!H11</f>
        <v>0.14388281698963415</v>
      </c>
      <c r="I21" s="27">
        <f>I10/'Income Statement'!I11</f>
        <v>0.15516829173372876</v>
      </c>
      <c r="J21" s="27">
        <f>J10/'Income Statement'!J11</f>
        <v>0.16516052745571189</v>
      </c>
    </row>
    <row r="22" spans="1:10" x14ac:dyDescent="0.2">
      <c r="A22" s="28" t="s">
        <v>122</v>
      </c>
      <c r="B22" s="27">
        <f>B11/'Income Statement'!B11</f>
        <v>-0.13584767484437935</v>
      </c>
      <c r="C22" s="27">
        <f>C11/'Income Statement'!C11</f>
        <v>-6.5200517464424318E-2</v>
      </c>
      <c r="D22" s="27">
        <f>D11/'Income Statement'!D11</f>
        <v>2.0362903225806452E-2</v>
      </c>
      <c r="E22" s="27">
        <f>E11/'Income Statement'!E11</f>
        <v>5.7045343734763533E-2</v>
      </c>
      <c r="F22" s="27">
        <f>F11/'Income Statement'!F11</f>
        <v>8.3697965886751102E-2</v>
      </c>
      <c r="G22" s="27">
        <f>G11/'Income Statement'!G11</f>
        <v>0.10180815434881148</v>
      </c>
      <c r="H22" s="27">
        <f>H11/'Income Statement'!H11</f>
        <v>0.11673497667148366</v>
      </c>
      <c r="I22" s="27">
        <f>I11/'Income Statement'!I11</f>
        <v>0.12580044283348882</v>
      </c>
      <c r="J22" s="27">
        <f>J11/'Income Statement'!J11</f>
        <v>0.13394114340333202</v>
      </c>
    </row>
    <row r="23" spans="1:10" x14ac:dyDescent="0.2">
      <c r="A23" s="7" t="s">
        <v>18</v>
      </c>
      <c r="B23" s="27">
        <f>'Income Statement'!B23/'Income Statement'!B$11</f>
        <v>0.11680703039179788</v>
      </c>
      <c r="C23" s="27">
        <f>'Income Statement'!C23/'Income Statement'!C$11</f>
        <v>0.10375161707632601</v>
      </c>
      <c r="D23" s="27">
        <f>'Income Statement'!D23/'Income Statement'!D$11</f>
        <v>9.4758064516129031E-2</v>
      </c>
      <c r="E23" s="27">
        <f>'Income Statement'!E23/'Income Statement'!E$11</f>
        <v>9.2800260035754922E-2</v>
      </c>
      <c r="F23" s="27">
        <f>'Income Statement'!F23/'Income Statement'!F$11</f>
        <v>8.7800260035754918E-2</v>
      </c>
      <c r="G23" s="27">
        <f>'Income Statement'!G23/'Income Statement'!G$11</f>
        <v>8.2800260035754913E-2</v>
      </c>
      <c r="H23" s="27">
        <f>'Income Statement'!H23/'Income Statement'!H$11</f>
        <v>0.08</v>
      </c>
      <c r="I23" s="27">
        <f>'Income Statement'!I23/'Income Statement'!I$11</f>
        <v>0.08</v>
      </c>
      <c r="J23" s="27">
        <f>'Income Statement'!J23/'Income Statement'!J$11</f>
        <v>0.08</v>
      </c>
    </row>
    <row r="24" spans="1:10" x14ac:dyDescent="0.2">
      <c r="A24" s="7" t="s">
        <v>19</v>
      </c>
      <c r="B24" s="27">
        <f>'Income Statement'!B24/'Income Statement'!B$11</f>
        <v>0.10325887953130722</v>
      </c>
      <c r="C24" s="27">
        <f>'Income Statement'!C24/'Income Statement'!C$11</f>
        <v>9.2626131953428198E-2</v>
      </c>
      <c r="D24" s="27">
        <f>'Income Statement'!D24/'Income Statement'!D$11</f>
        <v>7.0766129032258068E-2</v>
      </c>
      <c r="E24" s="27">
        <f>'Income Statement'!E24/'Income Statement'!E$11</f>
        <v>6.078335771168536E-2</v>
      </c>
      <c r="F24" s="27">
        <f>'Income Statement'!F24/'Income Statement'!F$11</f>
        <v>5.5E-2</v>
      </c>
      <c r="G24" s="27">
        <f>'Income Statement'!G24/'Income Statement'!G$11</f>
        <v>5.2999999999999999E-2</v>
      </c>
      <c r="H24" s="27">
        <f>'Income Statement'!H24/'Income Statement'!H$11</f>
        <v>0.05</v>
      </c>
      <c r="I24" s="27">
        <f>'Income Statement'!I24/'Income Statement'!I$11</f>
        <v>0.05</v>
      </c>
      <c r="J24" s="27">
        <f>'Income Statement'!J24/'Income Statement'!J$11</f>
        <v>0.05</v>
      </c>
    </row>
    <row r="25" spans="1:10" x14ac:dyDescent="0.2">
      <c r="A25" s="7" t="s">
        <v>20</v>
      </c>
      <c r="B25" s="27">
        <f>'Income Statement'!B25/'Income Statement'!B$11</f>
        <v>0.10765287440497986</v>
      </c>
      <c r="C25" s="27">
        <f>'Income Statement'!C25/'Income Statement'!C$11</f>
        <v>9.3661060802069859E-2</v>
      </c>
      <c r="D25" s="27">
        <f>'Income Statement'!D25/'Income Statement'!D$11</f>
        <v>6.1895161290322583E-2</v>
      </c>
      <c r="E25" s="27">
        <f>'Income Statement'!E25/'Income Statement'!E$11</f>
        <v>5.5907687307004711E-2</v>
      </c>
      <c r="F25" s="27">
        <f>'Income Statement'!F25/'Income Statement'!F$11</f>
        <v>4.6188273096242703E-2</v>
      </c>
      <c r="G25" s="27">
        <f>'Income Statement'!G25/'Income Statement'!G$11</f>
        <v>4.3311561223504706E-2</v>
      </c>
      <c r="H25" s="27">
        <f>'Income Statement'!H25/'Income Statement'!H$11</f>
        <v>4.1172771016845411E-2</v>
      </c>
      <c r="I25" s="27">
        <f>'Income Statement'!I25/'Income Statement'!I$11</f>
        <v>3.906696861512509E-2</v>
      </c>
      <c r="J25" s="27">
        <f>'Income Statement'!J25/'Income Statement'!J$11</f>
        <v>3.6682706917161904E-2</v>
      </c>
    </row>
    <row r="27" spans="1:10" x14ac:dyDescent="0.2">
      <c r="A27" s="31" t="s">
        <v>124</v>
      </c>
      <c r="C27" s="27">
        <f>'Income Statement'!C46/'Income Statement'!B46-1</f>
        <v>3.90625E-2</v>
      </c>
      <c r="D27" s="27">
        <f>'Income Statement'!D46/'Income Statement'!C46-1</f>
        <v>5.0751879699248104E-2</v>
      </c>
      <c r="E27" s="27">
        <f>'Income Statement'!E46/'Income Statement'!D46-1</f>
        <v>4.1144901610017826E-2</v>
      </c>
      <c r="F27" s="27">
        <f>'Income Statement'!F46/'Income Statement'!E46-1</f>
        <v>1.3745704467353903E-2</v>
      </c>
      <c r="G27" s="27">
        <f>'Income Statement'!G46/'Income Statement'!F46-1</f>
        <v>1.3559322033898313E-2</v>
      </c>
      <c r="H27" s="27">
        <f>'Income Statement'!H46/'Income Statement'!G46-1</f>
        <v>1.3377926421404673E-2</v>
      </c>
      <c r="I27" s="27">
        <f>'Income Statement'!I46/'Income Statement'!H46-1</f>
        <v>1.3201320132013139E-2</v>
      </c>
      <c r="J27" s="27">
        <f>'Income Statement'!J46/'Income Statement'!I46-1</f>
        <v>1.3029315960912058E-2</v>
      </c>
    </row>
    <row r="28" spans="1:10" x14ac:dyDescent="0.2">
      <c r="A28" s="31" t="s">
        <v>125</v>
      </c>
      <c r="C28" s="27">
        <f>'Income Statement'!C47/'Income Statement'!B47-1</f>
        <v>4.1015625E-2</v>
      </c>
      <c r="D28" s="27">
        <f>'Income Statement'!D47/'Income Statement'!C47-1</f>
        <v>0.10881801125703561</v>
      </c>
      <c r="E28" s="27">
        <f>'Income Statement'!E47/'Income Statement'!D47-1</f>
        <v>2.7072758037224975E-2</v>
      </c>
      <c r="F28" s="27">
        <f>'Income Statement'!F47/'Income Statement'!E47-1</f>
        <v>1.3179571663920919E-2</v>
      </c>
      <c r="G28" s="27">
        <f>'Income Statement'!G47/'Income Statement'!F47-1</f>
        <v>1.3008130081300751E-2</v>
      </c>
      <c r="H28" s="27">
        <f>'Income Statement'!H47/'Income Statement'!G47-1</f>
        <v>1.2841091492776791E-2</v>
      </c>
      <c r="I28" s="27">
        <f>'Income Statement'!I47/'Income Statement'!H47-1</f>
        <v>1.267828843106189E-2</v>
      </c>
      <c r="J28" s="27">
        <f>'Income Statement'!J47/'Income Statement'!I47-1</f>
        <v>1.2519561815336422E-2</v>
      </c>
    </row>
    <row r="30" spans="1:10" s="35" customFormat="1" x14ac:dyDescent="0.2">
      <c r="A30" s="34" t="s">
        <v>127</v>
      </c>
    </row>
    <row r="31" spans="1:10" x14ac:dyDescent="0.2">
      <c r="A31" t="s">
        <v>129</v>
      </c>
      <c r="B31" s="18">
        <f>'Balance Sheet'!B14-'Balance Sheet'!B10-'Balance Sheet'!B9-'Balance Sheet'!B31</f>
        <v>-110</v>
      </c>
      <c r="C31" s="18">
        <f>'Balance Sheet'!C14-'Balance Sheet'!C10-'Balance Sheet'!C9-'Balance Sheet'!C31</f>
        <v>-217</v>
      </c>
      <c r="D31" s="18">
        <f>'Balance Sheet'!D14-'Balance Sheet'!D10-'Balance Sheet'!D9-'Balance Sheet'!D31</f>
        <v>-253</v>
      </c>
      <c r="E31" s="18">
        <f>'Balance Sheet'!E14-'Balance Sheet'!E10-'Balance Sheet'!E9-'Balance Sheet'!E31</f>
        <v>-291</v>
      </c>
      <c r="F31" s="18">
        <f>'Balance Sheet'!F14-'Balance Sheet'!F10-'Balance Sheet'!F9-'Balance Sheet'!F31</f>
        <v>-385.82862054239672</v>
      </c>
      <c r="G31" s="18">
        <f>'Balance Sheet'!G14-'Balance Sheet'!G10-'Balance Sheet'!G9-'Balance Sheet'!G31</f>
        <v>-432.82595949029906</v>
      </c>
      <c r="H31" s="18">
        <f>'Balance Sheet'!H14-'Balance Sheet'!H10-'Balance Sheet'!H9-'Balance Sheet'!H31</f>
        <v>-472.59234466084035</v>
      </c>
      <c r="I31" s="18">
        <f>'Balance Sheet'!I14-'Balance Sheet'!I10-'Balance Sheet'!I9-'Balance Sheet'!I31</f>
        <v>-499.18306872019411</v>
      </c>
      <c r="J31" s="18">
        <f>'Balance Sheet'!J14-'Balance Sheet'!J10-'Balance Sheet'!J9-'Balance Sheet'!J31</f>
        <v>-522.92078648467782</v>
      </c>
    </row>
    <row r="32" spans="1:10" x14ac:dyDescent="0.2">
      <c r="A32" t="s">
        <v>128</v>
      </c>
      <c r="B32" s="14">
        <f>('Balance Sheet'!B14-'Balance Sheet'!B9-'Balance Sheet'!B10)/'Balance Sheet'!B31</f>
        <v>0.77822580645161288</v>
      </c>
      <c r="C32" s="14">
        <f>('Balance Sheet'!C14-'Balance Sheet'!C9-'Balance Sheet'!C10)/'Balance Sheet'!C31</f>
        <v>0.67269984917043746</v>
      </c>
      <c r="D32" s="14">
        <f>('Balance Sheet'!D14-'Balance Sheet'!D9-'Balance Sheet'!D10)/'Balance Sheet'!D31</f>
        <v>0.68803945745992601</v>
      </c>
      <c r="E32" s="14">
        <f>('Balance Sheet'!E14-'Balance Sheet'!E9-'Balance Sheet'!E10)/'Balance Sheet'!E31</f>
        <v>0.69969040247678016</v>
      </c>
      <c r="F32" s="14">
        <f>('Balance Sheet'!F14-'Balance Sheet'!F9-'Balance Sheet'!F10)/'Balance Sheet'!F31</f>
        <v>0.66563593123403608</v>
      </c>
      <c r="G32" s="14">
        <f>('Balance Sheet'!G14-'Balance Sheet'!G9-'Balance Sheet'!G10)/'Balance Sheet'!G31</f>
        <v>0.66596067955183202</v>
      </c>
      <c r="H32" s="14">
        <f>('Balance Sheet'!H14-'Balance Sheet'!H9-'Balance Sheet'!H10)/'Balance Sheet'!H31</f>
        <v>0.66994301054478278</v>
      </c>
      <c r="I32" s="14">
        <f>('Balance Sheet'!I14-'Balance Sheet'!I9-'Balance Sheet'!I10)/'Balance Sheet'!I31</f>
        <v>0.67713565697562039</v>
      </c>
      <c r="J32" s="14">
        <f>('Balance Sheet'!J14-'Balance Sheet'!J9-'Balance Sheet'!J10)/'Balance Sheet'!J31</f>
        <v>0.68301040315651551</v>
      </c>
    </row>
    <row r="33" spans="1:10" x14ac:dyDescent="0.2">
      <c r="A33" t="s">
        <v>130</v>
      </c>
      <c r="B33" s="18">
        <f>'Balance Sheet'!B35</f>
        <v>80</v>
      </c>
      <c r="C33" s="18">
        <f>'Balance Sheet'!C35</f>
        <v>33</v>
      </c>
      <c r="D33" s="18">
        <f>'Balance Sheet'!D35</f>
        <v>24</v>
      </c>
      <c r="E33" s="18">
        <f>'Balance Sheet'!E35</f>
        <v>20</v>
      </c>
      <c r="F33" s="18">
        <f>'Balance Sheet'!F35</f>
        <v>20</v>
      </c>
      <c r="G33" s="18">
        <f>'Balance Sheet'!G35</f>
        <v>20</v>
      </c>
      <c r="H33" s="18">
        <f>'Balance Sheet'!H35</f>
        <v>20</v>
      </c>
      <c r="I33" s="18">
        <f>'Balance Sheet'!I35</f>
        <v>20</v>
      </c>
      <c r="J33" s="18">
        <f>'Balance Sheet'!J35</f>
        <v>20</v>
      </c>
    </row>
    <row r="34" spans="1:10" x14ac:dyDescent="0.2">
      <c r="A34" t="s">
        <v>132</v>
      </c>
      <c r="B34" s="18">
        <f>'Balance Sheet'!B9+'Balance Sheet'!B10</f>
        <v>1021</v>
      </c>
      <c r="C34" s="18">
        <f>'Balance Sheet'!C9+'Balance Sheet'!C10</f>
        <v>1124</v>
      </c>
      <c r="D34" s="18">
        <f>'Balance Sheet'!D9+'Balance Sheet'!D10</f>
        <v>1417</v>
      </c>
      <c r="E34" s="18">
        <f>'Balance Sheet'!E9+'Balance Sheet'!E10</f>
        <v>1991</v>
      </c>
      <c r="F34" s="18">
        <f>'Balance Sheet'!F9+'Balance Sheet'!F10</f>
        <v>2583.7502541306112</v>
      </c>
      <c r="G34" s="18">
        <f>'Balance Sheet'!G9+'Balance Sheet'!G10</f>
        <v>3244.0879048759739</v>
      </c>
      <c r="H34" s="18">
        <f>'Balance Sheet'!H9+'Balance Sheet'!H10</f>
        <v>4091.6703705381865</v>
      </c>
      <c r="I34" s="18">
        <f>'Balance Sheet'!I9+'Balance Sheet'!I10</f>
        <v>5083.5417839142565</v>
      </c>
      <c r="J34" s="18">
        <f>'Balance Sheet'!J9+'Balance Sheet'!J10</f>
        <v>6228.4752136922352</v>
      </c>
    </row>
    <row r="35" spans="1:10" x14ac:dyDescent="0.2">
      <c r="A35" t="s">
        <v>131</v>
      </c>
      <c r="B35" s="14">
        <f>B33/B34</f>
        <v>7.8354554358472092E-2</v>
      </c>
      <c r="C35" s="14">
        <f t="shared" ref="C35:E35" si="7">C33/C34</f>
        <v>2.9359430604982206E-2</v>
      </c>
      <c r="D35" s="14">
        <f t="shared" si="7"/>
        <v>1.6937191249117856E-2</v>
      </c>
      <c r="E35" s="14">
        <f t="shared" si="7"/>
        <v>1.0045203415369162E-2</v>
      </c>
      <c r="F35" s="14">
        <f t="shared" ref="F35" si="8">F33/F34</f>
        <v>7.7406862246171956E-3</v>
      </c>
      <c r="G35" s="14">
        <f t="shared" ref="G35" si="9">G33/G34</f>
        <v>6.1650610545846566E-3</v>
      </c>
      <c r="H35" s="14">
        <f t="shared" ref="H35" si="10">H33/H34</f>
        <v>4.887979282008818E-3</v>
      </c>
      <c r="I35" s="14">
        <f t="shared" ref="I35" si="11">I33/I34</f>
        <v>3.9342648983992966E-3</v>
      </c>
      <c r="J35" s="14">
        <f t="shared" ref="J35" si="12">J33/J34</f>
        <v>3.2110587766382096E-3</v>
      </c>
    </row>
    <row r="36" spans="1:10" x14ac:dyDescent="0.2">
      <c r="A36" t="s">
        <v>133</v>
      </c>
      <c r="B36" s="30">
        <f>B33/'Balance Sheet'!B47</f>
        <v>7.2859744990892539E-2</v>
      </c>
      <c r="C36" s="30">
        <f>C33/'Balance Sheet'!C47</f>
        <v>2.7638190954773871E-2</v>
      </c>
      <c r="D36" s="30">
        <f>D33/'Balance Sheet'!D47</f>
        <v>1.5533980582524271E-2</v>
      </c>
      <c r="E36" s="30">
        <f>E33/'Balance Sheet'!E47</f>
        <v>9.4161958568738224E-3</v>
      </c>
      <c r="F36" s="30">
        <f>F33/'Balance Sheet'!F47</f>
        <v>7.6005480603946662E-3</v>
      </c>
      <c r="G36" s="30">
        <f>G33/'Balance Sheet'!G47</f>
        <v>5.994181125930643E-3</v>
      </c>
      <c r="H36" s="30">
        <f>H33/'Balance Sheet'!H47</f>
        <v>4.7127038771882339E-3</v>
      </c>
      <c r="I36" s="30">
        <f>I33/'Balance Sheet'!I47</f>
        <v>3.7644018583200436E-3</v>
      </c>
      <c r="J36" s="30">
        <f>J33/'Balance Sheet'!J47</f>
        <v>3.0582067176332496E-3</v>
      </c>
    </row>
    <row r="37" spans="1:10" x14ac:dyDescent="0.2">
      <c r="A37" t="s">
        <v>134</v>
      </c>
      <c r="B37" s="14">
        <f>'Balance Sheet'!B22/'Balance Sheet'!B37</f>
        <v>2.1197604790419162</v>
      </c>
      <c r="C37" s="14">
        <f>'Balance Sheet'!C22/'Balance Sheet'!C37</f>
        <v>3.8415841584158414</v>
      </c>
      <c r="D37" s="14">
        <f>'Balance Sheet'!D22/'Balance Sheet'!D37</f>
        <v>8.3269230769230766</v>
      </c>
      <c r="E37" s="14">
        <f>'Balance Sheet'!E22/'Balance Sheet'!E37</f>
        <v>9.1538461538461533</v>
      </c>
      <c r="F37" s="14">
        <f>'Balance Sheet'!F22/'Balance Sheet'!F37</f>
        <v>8.9728088249800102</v>
      </c>
      <c r="G37" s="14">
        <f>'Balance Sheet'!G22/'Balance Sheet'!G37</f>
        <v>10.341167740389372</v>
      </c>
      <c r="H37" s="14">
        <f>'Balance Sheet'!H22/'Balance Sheet'!H37</f>
        <v>11.767200179907448</v>
      </c>
      <c r="I37" s="14">
        <f>'Balance Sheet'!I22/'Balance Sheet'!I37</f>
        <v>13.239818281605409</v>
      </c>
      <c r="J37" s="14">
        <f>'Balance Sheet'!J22/'Balance Sheet'!J37</f>
        <v>14.702196516640488</v>
      </c>
    </row>
    <row r="38" spans="1:10" x14ac:dyDescent="0.2">
      <c r="A38" t="s">
        <v>135</v>
      </c>
      <c r="B38" s="14">
        <f>'Balance Sheet'!B23/'Balance Sheet'!B38</f>
        <v>2.6561085972850678</v>
      </c>
      <c r="C38" s="14">
        <f>'Balance Sheet'!C23/'Balance Sheet'!C38</f>
        <v>2.5628272251308899</v>
      </c>
      <c r="D38" s="14">
        <f>'Balance Sheet'!D23/'Balance Sheet'!D38</f>
        <v>2.7902665121668599</v>
      </c>
      <c r="E38" s="14">
        <f>'Balance Sheet'!E23/'Balance Sheet'!E38</f>
        <v>3.0803134182174339</v>
      </c>
      <c r="F38" s="14">
        <f>'Balance Sheet'!F23/'Balance Sheet'!F38</f>
        <v>3.1777868037009478</v>
      </c>
      <c r="G38" s="14">
        <f>'Balance Sheet'!G23/'Balance Sheet'!G38</f>
        <v>3.4679326907816708</v>
      </c>
      <c r="H38" s="14">
        <f>'Balance Sheet'!H23/'Balance Sheet'!H38</f>
        <v>3.8484572311560954</v>
      </c>
      <c r="I38" s="14">
        <f>'Balance Sheet'!I23/'Balance Sheet'!I38</f>
        <v>4.3089324465502843</v>
      </c>
      <c r="J38" s="14">
        <f>'Balance Sheet'!J23/'Balance Sheet'!J38</f>
        <v>4.8232498077370236</v>
      </c>
    </row>
    <row r="39" spans="1:10" x14ac:dyDescent="0.2">
      <c r="A39" t="s">
        <v>136</v>
      </c>
      <c r="B39" s="18">
        <f>'Balance Sheet'!B11+'Balance Sheet'!B12+'Balance Sheet'!B13+'Balance Sheet'!B16+'Balance Sheet'!B17+'Balance Sheet'!B18+'Balance Sheet'!B21</f>
        <v>605</v>
      </c>
      <c r="C39" s="18">
        <f>'Balance Sheet'!C11+'Balance Sheet'!C12+'Balance Sheet'!C13+'Balance Sheet'!C16+'Balance Sheet'!C17+'Balance Sheet'!C18+'Balance Sheet'!C21</f>
        <v>666</v>
      </c>
      <c r="D39" s="18">
        <f>'Balance Sheet'!D11+'Balance Sheet'!D12+'Balance Sheet'!D13+'Balance Sheet'!D16+'Balance Sheet'!D17+'Balance Sheet'!D18+'Balance Sheet'!D21</f>
        <v>819</v>
      </c>
      <c r="E39" s="18">
        <f>'Balance Sheet'!E11+'Balance Sheet'!E12+'Balance Sheet'!E13+'Balance Sheet'!E16+'Balance Sheet'!E17+'Balance Sheet'!E18+'Balance Sheet'!E21</f>
        <v>970</v>
      </c>
      <c r="F39" s="18">
        <f>'Balance Sheet'!F11+'Balance Sheet'!F12+'Balance Sheet'!F13+'Balance Sheet'!F16+'Balance Sheet'!F17+'Balance Sheet'!F18+'Balance Sheet'!F21</f>
        <v>1142.9248818458343</v>
      </c>
      <c r="G39" s="18">
        <f>'Balance Sheet'!G11+'Balance Sheet'!G12+'Balance Sheet'!G13+'Balance Sheet'!G16+'Balance Sheet'!G17+'Balance Sheet'!G18+'Balance Sheet'!G21</f>
        <v>1331.4505529250368</v>
      </c>
      <c r="H39" s="18">
        <f>'Balance Sheet'!H11+'Balance Sheet'!H12+'Balance Sheet'!H13+'Balance Sheet'!H16+'Balance Sheet'!H17+'Balance Sheet'!H18+'Balance Sheet'!H21</f>
        <v>1529.0539149200079</v>
      </c>
      <c r="I39" s="18">
        <f>'Balance Sheet'!I11+'Balance Sheet'!I12+'Balance Sheet'!I13+'Balance Sheet'!I16+'Balance Sheet'!I17+'Balance Sheet'!I18+'Balance Sheet'!I21</f>
        <v>1722.0196410216279</v>
      </c>
      <c r="J39" s="18">
        <f>'Balance Sheet'!J11+'Balance Sheet'!J12+'Balance Sheet'!J13+'Balance Sheet'!J16+'Balance Sheet'!J17+'Balance Sheet'!J18+'Balance Sheet'!J21</f>
        <v>1908.834232300763</v>
      </c>
    </row>
    <row r="40" spans="1:10" x14ac:dyDescent="0.2">
      <c r="A40" t="s">
        <v>137</v>
      </c>
      <c r="B40" s="18">
        <f>SUM('Balance Sheet'!B28:B30,'Balance Sheet'!B35:B36)</f>
        <v>595</v>
      </c>
      <c r="C40" s="18">
        <f>SUM('Balance Sheet'!C28:C30,'Balance Sheet'!C35:C36)</f>
        <v>700</v>
      </c>
      <c r="D40" s="18">
        <f>SUM('Balance Sheet'!D28:D30,'Balance Sheet'!D35:D36)</f>
        <v>841</v>
      </c>
      <c r="E40" s="18">
        <f>SUM('Balance Sheet'!E28:E30,'Balance Sheet'!E35:E36)</f>
        <v>1002</v>
      </c>
      <c r="F40" s="18">
        <f>SUM('Balance Sheet'!F28:F30,'Balance Sheet'!F35:F36)</f>
        <v>1189.2859465287736</v>
      </c>
      <c r="G40" s="18">
        <f>SUM('Balance Sheet'!G28:G30,'Balance Sheet'!G35:G36)</f>
        <v>1332.9692784879908</v>
      </c>
      <c r="H40" s="18">
        <f>SUM('Balance Sheet'!H28:H30,'Balance Sheet'!H35:H36)</f>
        <v>1470.8760570961979</v>
      </c>
      <c r="I40" s="18">
        <f>SUM('Balance Sheet'!I28:I30,'Balance Sheet'!I35:I36)</f>
        <v>1586.6323719985116</v>
      </c>
      <c r="J40" s="18">
        <f>SUM('Balance Sheet'!J28:J30,'Balance Sheet'!J35:J36)</f>
        <v>1691.5291608074276</v>
      </c>
    </row>
    <row r="41" spans="1:10" x14ac:dyDescent="0.2">
      <c r="A41" t="s">
        <v>138</v>
      </c>
      <c r="B41" s="14">
        <f>B39/B40</f>
        <v>1.0168067226890756</v>
      </c>
      <c r="C41" s="14">
        <f t="shared" ref="C41:E41" si="13">C39/C40</f>
        <v>0.9514285714285714</v>
      </c>
      <c r="D41" s="14">
        <f t="shared" si="13"/>
        <v>0.97384066587395957</v>
      </c>
      <c r="E41" s="14">
        <f t="shared" si="13"/>
        <v>0.96806387225548907</v>
      </c>
      <c r="F41" s="14">
        <f t="shared" ref="F41" si="14">F39/F40</f>
        <v>0.96101773100215671</v>
      </c>
      <c r="G41" s="14">
        <f t="shared" ref="G41" si="15">G39/G40</f>
        <v>0.99886064473693148</v>
      </c>
      <c r="H41" s="14">
        <f t="shared" ref="H41" si="16">H39/H40</f>
        <v>1.0395532020139513</v>
      </c>
      <c r="I41" s="14">
        <f t="shared" ref="I41" si="17">I39/I40</f>
        <v>1.0853299550749638</v>
      </c>
      <c r="J41" s="14">
        <f t="shared" ref="J41" si="18">J39/J40</f>
        <v>1.1284666422124274</v>
      </c>
    </row>
    <row r="43" spans="1:10" s="35" customFormat="1" x14ac:dyDescent="0.2">
      <c r="A43" s="34" t="s">
        <v>139</v>
      </c>
    </row>
    <row r="44" spans="1:10" x14ac:dyDescent="0.2">
      <c r="A44" t="s">
        <v>140</v>
      </c>
      <c r="B44" s="21">
        <f>B11+SUM('Cash Flow'!B11:B32)-'Cash Flow'!B12</f>
        <v>-488</v>
      </c>
      <c r="C44" s="21">
        <f>C11+SUM('Cash Flow'!C11:C32)-'Cash Flow'!C12</f>
        <v>-159</v>
      </c>
      <c r="D44" s="21">
        <f>D11+SUM('Cash Flow'!D11:D32)-'Cash Flow'!D12</f>
        <v>179</v>
      </c>
      <c r="E44" s="21">
        <f>E11+SUM('Cash Flow'!E11:E32)-'Cash Flow'!E12</f>
        <v>418</v>
      </c>
      <c r="F44" s="21">
        <f>'CFS new'!F21</f>
        <v>795.37436160853099</v>
      </c>
      <c r="G44" s="21">
        <f>'CFS new'!G21</f>
        <v>923.21461141197585</v>
      </c>
      <c r="H44" s="21">
        <f>'CFS new'!H21</f>
        <v>1171.5538138199856</v>
      </c>
      <c r="I44" s="21">
        <f>'CFS new'!I21</f>
        <v>1365.3694674208978</v>
      </c>
      <c r="J44" s="21">
        <f>'CFS new'!J21</f>
        <v>1566.1416050844512</v>
      </c>
    </row>
    <row r="45" spans="1:10" x14ac:dyDescent="0.2">
      <c r="A45" t="s">
        <v>141</v>
      </c>
      <c r="B45" s="18">
        <f>SUM('Cash Flow'!B37)</f>
        <v>-33</v>
      </c>
      <c r="C45" s="18">
        <f>SUM('Cash Flow'!C37)</f>
        <v>-42</v>
      </c>
      <c r="D45" s="18">
        <f>SUM('Cash Flow'!D37)</f>
        <v>-54</v>
      </c>
      <c r="E45" s="18">
        <f>SUM('Cash Flow'!E37)</f>
        <v>-53</v>
      </c>
      <c r="F45" s="18">
        <f>'CFS new'!F23+'CFS new'!F24</f>
        <v>-75.776810116001414</v>
      </c>
      <c r="G45" s="18">
        <f>'CFS new'!G23+'CFS new'!G24</f>
        <v>-86.581963200276334</v>
      </c>
      <c r="H45" s="18">
        <f>'CFS new'!H23+'CFS new'!H24</f>
        <v>-97.15158589552891</v>
      </c>
      <c r="I45" s="18">
        <f>'CFS new'!I23+'CFS new'!I24</f>
        <v>-106.22784790098341</v>
      </c>
      <c r="J45" s="18">
        <f>'CFS new'!J23+'CFS new'!J24</f>
        <v>-114.49536724442332</v>
      </c>
    </row>
    <row r="46" spans="1:10" s="24" customFormat="1" x14ac:dyDescent="0.2">
      <c r="A46" s="24" t="s">
        <v>142</v>
      </c>
      <c r="B46" s="33">
        <f>SUM(B44:B45)</f>
        <v>-521</v>
      </c>
      <c r="C46" s="33">
        <f t="shared" ref="C46:E46" si="19">SUM(C44:C45)</f>
        <v>-201</v>
      </c>
      <c r="D46" s="33">
        <f t="shared" si="19"/>
        <v>125</v>
      </c>
      <c r="E46" s="33">
        <f t="shared" si="19"/>
        <v>365</v>
      </c>
      <c r="F46" s="33">
        <f t="shared" ref="F46" si="20">SUM(F44:F45)</f>
        <v>719.59755149252953</v>
      </c>
      <c r="G46" s="33">
        <f t="shared" ref="G46" si="21">SUM(G44:G45)</f>
        <v>836.63264821169946</v>
      </c>
      <c r="H46" s="33">
        <f t="shared" ref="H46" si="22">SUM(H44:H45)</f>
        <v>1074.4022279244568</v>
      </c>
      <c r="I46" s="33">
        <f t="shared" ref="I46" si="23">SUM(I44:I45)</f>
        <v>1259.1416195199145</v>
      </c>
      <c r="J46" s="33">
        <f t="shared" ref="J46" si="24">SUM(J44:J45)</f>
        <v>1451.6462378400279</v>
      </c>
    </row>
    <row r="48" spans="1:10" x14ac:dyDescent="0.2">
      <c r="A48" t="s">
        <v>143</v>
      </c>
      <c r="C48" s="27">
        <f>C46/B46-1</f>
        <v>-0.61420345489443373</v>
      </c>
      <c r="D48" s="27">
        <f t="shared" ref="D48:E48" si="25">D46/C46-1</f>
        <v>-1.6218905472636815</v>
      </c>
      <c r="E48" s="27">
        <f t="shared" si="25"/>
        <v>1.92</v>
      </c>
      <c r="F48" s="27">
        <f t="shared" ref="F48:J48" si="26">F46/E46-1</f>
        <v>0.97150014107542337</v>
      </c>
      <c r="G48" s="27">
        <f t="shared" si="26"/>
        <v>0.16263965389602197</v>
      </c>
      <c r="H48" s="27">
        <f t="shared" si="26"/>
        <v>0.28419830402386204</v>
      </c>
      <c r="I48" s="27">
        <f t="shared" si="26"/>
        <v>0.17194621045447689</v>
      </c>
      <c r="J48" s="27">
        <f t="shared" si="26"/>
        <v>0.15288559708915961</v>
      </c>
    </row>
    <row r="49" spans="1:10" x14ac:dyDescent="0.2">
      <c r="A49" t="s">
        <v>144</v>
      </c>
      <c r="B49" s="36">
        <f>B46/'Income Statement'!B11</f>
        <v>-0.19077261076528745</v>
      </c>
      <c r="C49" s="36">
        <f>C46/'Income Statement'!C11</f>
        <v>-5.2005174644243209E-2</v>
      </c>
      <c r="D49" s="36">
        <f>D46/'Income Statement'!D11</f>
        <v>2.5201612903225805E-2</v>
      </c>
      <c r="E49" s="36">
        <f>E46/'Income Statement'!E11</f>
        <v>5.9320656590281164E-2</v>
      </c>
      <c r="F49" s="36">
        <f>F46/'Income Statement'!F11</f>
        <v>9.4962766364927217E-2</v>
      </c>
      <c r="G49" s="36">
        <f>G46/'Income Statement'!G11</f>
        <v>9.6628976438943734E-2</v>
      </c>
      <c r="H49" s="36">
        <f>H46/'Income Statement'!H11</f>
        <v>0.11059029227580552</v>
      </c>
      <c r="I49" s="36">
        <f>I46/'Income Statement'!I11</f>
        <v>0.11853215935369223</v>
      </c>
      <c r="J49" s="36">
        <f>J46/'Income Statement'!J11</f>
        <v>0.126786460690682</v>
      </c>
    </row>
    <row r="50" spans="1:10" x14ac:dyDescent="0.2">
      <c r="A50" t="s">
        <v>145</v>
      </c>
      <c r="B50" s="14">
        <f>B46/'Income Statement'!B47</f>
        <v>-1.017578125</v>
      </c>
      <c r="C50" s="14">
        <f>C46/'Income Statement'!C47</f>
        <v>-0.37711069418386489</v>
      </c>
      <c r="D50" s="14">
        <f>D46/'Income Statement'!D47</f>
        <v>0.21150592216582065</v>
      </c>
      <c r="E50" s="14">
        <f>E46/'Income Statement'!E47</f>
        <v>0.60131795716639214</v>
      </c>
      <c r="F50" s="14">
        <f>F46/'Income Statement'!F47</f>
        <v>1.170077319500048</v>
      </c>
      <c r="G50" s="14">
        <f>G46/'Income Statement'!G47</f>
        <v>1.3429095476913313</v>
      </c>
      <c r="H50" s="14">
        <f>H46/'Income Statement'!H47</f>
        <v>1.702697667075209</v>
      </c>
      <c r="I50" s="14">
        <f>I46/'Income Statement'!I47</f>
        <v>1.9704876674803042</v>
      </c>
      <c r="J50" s="14">
        <f>J46/'Income Statement'!J47</f>
        <v>2.2436572455023613</v>
      </c>
    </row>
    <row r="53" spans="1:10" x14ac:dyDescent="0.2">
      <c r="F53">
        <v>0.49</v>
      </c>
      <c r="G53">
        <f>F53+1</f>
        <v>1.49</v>
      </c>
      <c r="H53">
        <f t="shared" ref="H53:J53" si="27">G53+1</f>
        <v>2.4900000000000002</v>
      </c>
      <c r="I53">
        <f t="shared" si="27"/>
        <v>3.49</v>
      </c>
      <c r="J53">
        <f t="shared" si="27"/>
        <v>4.49</v>
      </c>
    </row>
    <row r="54" spans="1:10" x14ac:dyDescent="0.2">
      <c r="B54" s="18"/>
      <c r="F54" s="18">
        <f>F46/(1+$F$57)^F53</f>
        <v>692.96617558477021</v>
      </c>
      <c r="G54" s="18">
        <f t="shared" ref="G54:J54" si="28">G46/(1+$F$57)^G53</f>
        <v>745.99069865141405</v>
      </c>
      <c r="H54" s="18">
        <f t="shared" si="28"/>
        <v>887.03702780159426</v>
      </c>
      <c r="I54" s="18">
        <f t="shared" si="28"/>
        <v>962.55526228229724</v>
      </c>
      <c r="J54" s="18">
        <f t="shared" si="28"/>
        <v>1027.5149058218876</v>
      </c>
    </row>
    <row r="55" spans="1:10" x14ac:dyDescent="0.2">
      <c r="C55" s="33"/>
      <c r="D55" s="33"/>
      <c r="E55" s="33"/>
      <c r="F55" s="33"/>
      <c r="G55" s="33"/>
    </row>
    <row r="56" spans="1:10" x14ac:dyDescent="0.2">
      <c r="G56" s="21"/>
    </row>
    <row r="57" spans="1:10" x14ac:dyDescent="0.2">
      <c r="B57" s="21"/>
      <c r="C57" s="21"/>
      <c r="D57" s="21"/>
      <c r="E57" s="21"/>
      <c r="F57" s="26">
        <v>0.08</v>
      </c>
      <c r="G57" s="21"/>
    </row>
    <row r="58" spans="1:10" x14ac:dyDescent="0.2">
      <c r="C58" s="18"/>
      <c r="D58" s="18"/>
      <c r="E58" s="18"/>
      <c r="F58" s="18">
        <v>15</v>
      </c>
      <c r="G58" s="18"/>
    </row>
    <row r="59" spans="1:10" x14ac:dyDescent="0.2">
      <c r="F59" s="18">
        <f>(F58*J9)/(1+F57)^J53</f>
        <v>19805.092362140927</v>
      </c>
    </row>
    <row r="60" spans="1:10" x14ac:dyDescent="0.2">
      <c r="B60" s="21"/>
      <c r="F60" s="21">
        <f>F59+SUM(F54:J54)</f>
        <v>24121.156432282893</v>
      </c>
    </row>
    <row r="61" spans="1:10" x14ac:dyDescent="0.2">
      <c r="B61" s="14"/>
      <c r="F61" s="14">
        <f>F60/'Income Statement'!E47</f>
        <v>39.738313726989936</v>
      </c>
    </row>
    <row r="62" spans="1:10" x14ac:dyDescent="0.2">
      <c r="B62" s="4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Rev COGS Buildout </vt:lpstr>
      <vt:lpstr>Assumptions</vt:lpstr>
      <vt:lpstr>Income Statement</vt:lpstr>
      <vt:lpstr>Balance Sheet</vt:lpstr>
      <vt:lpstr>Cash Flow</vt:lpstr>
      <vt:lpstr>CFS new</vt:lpstr>
      <vt:lpstr>Calcs</vt:lpstr>
      <vt:lpstr>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Foltin, Thomas J.</cp:lastModifiedBy>
  <dcterms:created xsi:type="dcterms:W3CDTF">2026-04-03T21:25:40Z</dcterms:created>
  <dcterms:modified xsi:type="dcterms:W3CDTF">2026-07-06T14:02:08Z</dcterms:modified>
</cp:coreProperties>
</file>