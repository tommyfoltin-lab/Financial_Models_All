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ommy\Downloads\"/>
    </mc:Choice>
  </mc:AlternateContent>
  <xr:revisionPtr revIDLastSave="0" documentId="8_{5AD713C4-ACA0-46F8-A2F4-000EFF5B1C35}" xr6:coauthVersionLast="47" xr6:coauthVersionMax="47" xr10:uidLastSave="{00000000-0000-0000-0000-000000000000}"/>
  <bookViews>
    <workbookView xWindow="0" yWindow="0" windowWidth="28800" windowHeight="15585" tabRatio="500" activeTab="6" xr2:uid="{00000000-000D-0000-FFFF-FFFF00000000}"/>
  </bookViews>
  <sheets>
    <sheet name="Description" sheetId="7" r:id="rId1"/>
    <sheet name="KPIs" sheetId="6" r:id="rId2"/>
    <sheet name="Income Statement" sheetId="1" r:id="rId3"/>
    <sheet name="Balance Sheet" sheetId="2" r:id="rId4"/>
    <sheet name="Cash Flow Statement" sheetId="3" r:id="rId5"/>
    <sheet name="Summary Stats" sheetId="5" r:id="rId6"/>
    <sheet name="Notes" sheetId="8"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6" i="5" l="1"/>
  <c r="D36" i="5"/>
  <c r="E36" i="5"/>
  <c r="F36" i="5"/>
  <c r="B36" i="5"/>
  <c r="C35" i="5"/>
  <c r="D35" i="5"/>
  <c r="E35" i="5"/>
  <c r="F35" i="5"/>
  <c r="B35" i="5"/>
  <c r="C34" i="5"/>
  <c r="D34" i="5"/>
  <c r="E34" i="5"/>
  <c r="F34" i="5"/>
  <c r="B34" i="5"/>
  <c r="C31" i="5"/>
  <c r="D31" i="5"/>
  <c r="E31" i="5"/>
  <c r="F31" i="5"/>
  <c r="C32" i="5"/>
  <c r="D32" i="5"/>
  <c r="E32" i="5"/>
  <c r="F32" i="5"/>
  <c r="D30" i="5"/>
  <c r="E30" i="5"/>
  <c r="F30" i="5"/>
  <c r="C30" i="5"/>
  <c r="C25" i="5"/>
  <c r="D25" i="5"/>
  <c r="E25" i="5"/>
  <c r="F25" i="5"/>
  <c r="C26" i="5"/>
  <c r="D26" i="5"/>
  <c r="E26" i="5"/>
  <c r="F26" i="5"/>
  <c r="C27" i="5"/>
  <c r="D27" i="5"/>
  <c r="E27" i="5"/>
  <c r="F27" i="5"/>
  <c r="C28" i="5"/>
  <c r="D28" i="5"/>
  <c r="E28" i="5"/>
  <c r="F28" i="5"/>
  <c r="B28" i="5"/>
  <c r="B27" i="5"/>
  <c r="B26" i="5"/>
  <c r="B25" i="5"/>
  <c r="B9" i="7"/>
  <c r="B8" i="7"/>
  <c r="B6" i="7"/>
  <c r="B7" i="7" s="1"/>
  <c r="B10" i="7" s="1"/>
  <c r="C33" i="6"/>
  <c r="D33" i="6"/>
  <c r="E33" i="6"/>
  <c r="F33" i="6"/>
  <c r="B33" i="6"/>
  <c r="C42" i="6"/>
  <c r="D42" i="6"/>
  <c r="E42" i="6"/>
  <c r="F42" i="6"/>
  <c r="B42" i="6"/>
  <c r="C41" i="6"/>
  <c r="D41" i="6"/>
  <c r="E41" i="6"/>
  <c r="F41" i="6"/>
  <c r="B41" i="6"/>
  <c r="B40" i="6"/>
  <c r="C40" i="6"/>
  <c r="D40" i="6"/>
  <c r="E40" i="6"/>
  <c r="F40" i="6"/>
  <c r="C39" i="6"/>
  <c r="D39" i="6"/>
  <c r="E39" i="6"/>
  <c r="B39" i="6"/>
  <c r="C38" i="6"/>
  <c r="D38" i="6"/>
  <c r="E38" i="6"/>
  <c r="F38" i="6"/>
  <c r="B38" i="6"/>
  <c r="C6" i="6"/>
  <c r="D6" i="6"/>
  <c r="E6" i="6"/>
  <c r="F6" i="6"/>
  <c r="B6" i="6"/>
  <c r="C23" i="5"/>
  <c r="D23" i="5"/>
  <c r="E23" i="5"/>
  <c r="F23" i="5"/>
  <c r="B23" i="5"/>
  <c r="C12" i="5"/>
  <c r="D12" i="5"/>
  <c r="E12" i="5"/>
  <c r="F12" i="5"/>
  <c r="B12" i="5"/>
  <c r="C57" i="3"/>
  <c r="D57" i="3"/>
  <c r="E57" i="3"/>
  <c r="F57" i="3"/>
  <c r="B57" i="3"/>
  <c r="C40" i="3"/>
  <c r="D40" i="3"/>
  <c r="E40" i="3"/>
  <c r="F40" i="3"/>
  <c r="B40" i="3"/>
  <c r="C41" i="2"/>
  <c r="D41" i="2"/>
  <c r="E41" i="2"/>
  <c r="F41" i="2"/>
  <c r="B41" i="2"/>
  <c r="C30" i="2"/>
  <c r="C36" i="2" s="1"/>
  <c r="D30" i="2"/>
  <c r="D36" i="2" s="1"/>
  <c r="E30" i="2"/>
  <c r="E36" i="2" s="1"/>
  <c r="F30" i="2"/>
  <c r="F36" i="2" s="1"/>
  <c r="B30" i="2"/>
  <c r="B36" i="2" s="1"/>
  <c r="C14" i="2"/>
  <c r="C17" i="5" s="1"/>
  <c r="D14" i="2"/>
  <c r="D17" i="5" s="1"/>
  <c r="D18" i="5" s="1"/>
  <c r="E14" i="2"/>
  <c r="E17" i="5" s="1"/>
  <c r="E18" i="5" s="1"/>
  <c r="F14" i="2"/>
  <c r="F17" i="5" s="1"/>
  <c r="B14" i="2"/>
  <c r="B17" i="5" s="1"/>
  <c r="F8" i="1"/>
  <c r="E8" i="1"/>
  <c r="D8" i="1"/>
  <c r="C8" i="1"/>
  <c r="B8" i="1"/>
  <c r="F18" i="5" l="1"/>
  <c r="B13" i="7"/>
  <c r="C21" i="6"/>
  <c r="C37" i="6"/>
  <c r="D21" i="6"/>
  <c r="D37" i="6"/>
  <c r="E21" i="6"/>
  <c r="E37" i="6"/>
  <c r="F21" i="6"/>
  <c r="F37" i="6"/>
  <c r="B37" i="6"/>
  <c r="B21" i="6"/>
  <c r="C43" i="2"/>
  <c r="D43" i="2"/>
  <c r="E43" i="2"/>
  <c r="F43" i="2"/>
  <c r="B43" i="2"/>
  <c r="C18" i="5"/>
  <c r="F6" i="5"/>
  <c r="F13" i="1"/>
  <c r="F16" i="1" s="1"/>
  <c r="F18" i="1" s="1"/>
  <c r="E6" i="5"/>
  <c r="E13" i="1"/>
  <c r="E16" i="1" s="1"/>
  <c r="E18" i="1" s="1"/>
  <c r="D6" i="5"/>
  <c r="D13" i="1"/>
  <c r="D16" i="1" s="1"/>
  <c r="D18" i="1" s="1"/>
  <c r="C6" i="5"/>
  <c r="C13" i="1"/>
  <c r="C16" i="1" s="1"/>
  <c r="C18" i="1" s="1"/>
  <c r="B6" i="5"/>
  <c r="B13" i="1"/>
  <c r="B16" i="1" s="1"/>
  <c r="B18" i="1" s="1"/>
  <c r="C21" i="2"/>
  <c r="D21" i="2"/>
  <c r="E21" i="2"/>
  <c r="F21" i="2"/>
  <c r="B21" i="2"/>
  <c r="F44" i="2"/>
  <c r="B44" i="2"/>
  <c r="C44" i="2"/>
  <c r="D44" i="2"/>
  <c r="E44" i="2"/>
  <c r="B15" i="7" l="1"/>
  <c r="F20" i="5"/>
  <c r="F21" i="5" s="1"/>
  <c r="F8" i="5"/>
  <c r="F13" i="5"/>
  <c r="F7" i="5"/>
  <c r="E20" i="5"/>
  <c r="E21" i="5" s="1"/>
  <c r="E13" i="5"/>
  <c r="E8" i="5"/>
  <c r="E7" i="5"/>
  <c r="E14" i="5" s="1"/>
  <c r="D8" i="5"/>
  <c r="D20" i="5"/>
  <c r="D21" i="5" s="1"/>
  <c r="D13" i="5"/>
  <c r="D7" i="5"/>
  <c r="D14" i="5" s="1"/>
  <c r="C8" i="5"/>
  <c r="C20" i="5"/>
  <c r="C21" i="5" s="1"/>
  <c r="C13" i="5"/>
  <c r="C7" i="5"/>
  <c r="C14" i="5" s="1"/>
  <c r="B20" i="5"/>
  <c r="B21" i="5" s="1"/>
  <c r="B13" i="5"/>
  <c r="B8" i="5"/>
  <c r="B7" i="5"/>
  <c r="B14" i="5" s="1"/>
  <c r="F20" i="1"/>
  <c r="F9" i="3"/>
  <c r="F28" i="3" s="1"/>
  <c r="E9" i="3"/>
  <c r="E28" i="3" s="1"/>
  <c r="E20" i="1"/>
  <c r="D9" i="3"/>
  <c r="D28" i="3" s="1"/>
  <c r="D20" i="1"/>
  <c r="C20" i="1"/>
  <c r="C9" i="3"/>
  <c r="C28" i="3" s="1"/>
  <c r="B9" i="3"/>
  <c r="B28" i="3" s="1"/>
  <c r="B20" i="1"/>
  <c r="F46" i="2"/>
  <c r="B46" i="2"/>
  <c r="C46" i="2"/>
  <c r="D46" i="2"/>
  <c r="E46" i="2"/>
  <c r="F9" i="5" l="1"/>
  <c r="B14" i="7" s="1"/>
  <c r="F15" i="5"/>
  <c r="B16" i="7"/>
  <c r="F14" i="5"/>
  <c r="E15" i="5"/>
  <c r="E9" i="5"/>
  <c r="D9" i="5"/>
  <c r="D15" i="5"/>
  <c r="C9" i="5"/>
  <c r="C15" i="5"/>
  <c r="B9" i="5"/>
  <c r="B15" i="5"/>
  <c r="F23" i="1"/>
  <c r="F24" i="1"/>
  <c r="F59" i="3"/>
  <c r="E59" i="3"/>
  <c r="E23" i="1"/>
  <c r="E24" i="1"/>
  <c r="D59" i="3"/>
  <c r="D23" i="1"/>
  <c r="D24" i="1"/>
  <c r="C23" i="1"/>
  <c r="C24" i="1"/>
  <c r="C59" i="3"/>
  <c r="B59" i="3"/>
  <c r="B60" i="3" s="1"/>
  <c r="C6" i="3" s="1"/>
  <c r="C60" i="3" s="1"/>
  <c r="D6" i="3" s="1"/>
  <c r="D60" i="3" s="1"/>
  <c r="E6" i="3" s="1"/>
  <c r="E60" i="3" s="1"/>
  <c r="F6" i="3" s="1"/>
  <c r="F60" i="3" s="1"/>
  <c r="B23" i="1"/>
  <c r="B24" i="1"/>
</calcChain>
</file>

<file path=xl/sharedStrings.xml><?xml version="1.0" encoding="utf-8"?>
<sst xmlns="http://schemas.openxmlformats.org/spreadsheetml/2006/main" count="239" uniqueCount="192">
  <si>
    <t>Intel Corporation</t>
  </si>
  <si>
    <t>Consolidated Statements of Operations</t>
  </si>
  <si>
    <t>In Millions, Except Per Share Amounts</t>
  </si>
  <si>
    <t>FY2021</t>
  </si>
  <si>
    <t>FY2022</t>
  </si>
  <si>
    <t>FY2023</t>
  </si>
  <si>
    <t>FY2024</t>
  </si>
  <si>
    <t>FY2025</t>
  </si>
  <si>
    <t>Net revenue</t>
  </si>
  <si>
    <t>Cost of sales</t>
  </si>
  <si>
    <t>Gross profit</t>
  </si>
  <si>
    <t>Operating expenses:</t>
  </si>
  <si>
    <t>Research and development</t>
  </si>
  <si>
    <t>Marketing, general, and administrative</t>
  </si>
  <si>
    <t>Restructuring and other charges</t>
  </si>
  <si>
    <t>Operating income (loss)</t>
  </si>
  <si>
    <t>Gains (losses) on equity investments, net</t>
  </si>
  <si>
    <t>Interest and other, net</t>
  </si>
  <si>
    <t>Income (loss) before taxes</t>
  </si>
  <si>
    <t>Provision for (benefit from) taxes</t>
  </si>
  <si>
    <t>Net income (loss)</t>
  </si>
  <si>
    <t>Less: Net income (loss) attributable to non-controlling interests</t>
  </si>
  <si>
    <t>Net income (loss) attributable to Intel</t>
  </si>
  <si>
    <t>Per share data (attributable to Intel):</t>
  </si>
  <si>
    <t>Earnings (loss) per share - basic</t>
  </si>
  <si>
    <t>Earnings (loss) per share - diluted</t>
  </si>
  <si>
    <t>Weighted average shares outstanding (millions):</t>
  </si>
  <si>
    <t>Basic</t>
  </si>
  <si>
    <t>Diluted</t>
  </si>
  <si>
    <t>Consolidated Balance Sheets</t>
  </si>
  <si>
    <t>In Millions</t>
  </si>
  <si>
    <t>ASSETS</t>
  </si>
  <si>
    <t>Current assets:</t>
  </si>
  <si>
    <t>Cash and cash equivalents</t>
  </si>
  <si>
    <t>Short-term investments</t>
  </si>
  <si>
    <t>Trading assets</t>
  </si>
  <si>
    <t>Accounts receivable, net</t>
  </si>
  <si>
    <t>Inventories</t>
  </si>
  <si>
    <t>Assets held for sale</t>
  </si>
  <si>
    <t>Other current assets</t>
  </si>
  <si>
    <t>Total current assets</t>
  </si>
  <si>
    <t>Property, plant and equipment, net</t>
  </si>
  <si>
    <t>Equity investments</t>
  </si>
  <si>
    <t>Other long-term investments</t>
  </si>
  <si>
    <t>Goodwill</t>
  </si>
  <si>
    <t>Identified intangible assets, net</t>
  </si>
  <si>
    <t>Other long-term assets</t>
  </si>
  <si>
    <t>Total assets</t>
  </si>
  <si>
    <t>LIABILITIES AND STOCKHOLDERS' EQUITY</t>
  </si>
  <si>
    <t>Current liabilities:</t>
  </si>
  <si>
    <t>Short-term debt</t>
  </si>
  <si>
    <t>Accounts payable</t>
  </si>
  <si>
    <t>Accrued compensation and benefits</t>
  </si>
  <si>
    <t>Income taxes payable</t>
  </si>
  <si>
    <t>Other accrued liabilities</t>
  </si>
  <si>
    <t>Total current liabilities</t>
  </si>
  <si>
    <t>Long-term debt</t>
  </si>
  <si>
    <t>Contract liabilities</t>
  </si>
  <si>
    <t>Income taxes payable (non-current)</t>
  </si>
  <si>
    <t>Deferred income taxes</t>
  </si>
  <si>
    <t>Other long-term liabilities</t>
  </si>
  <si>
    <t>Total liabilities</t>
  </si>
  <si>
    <t>Stockholders' equity:</t>
  </si>
  <si>
    <t>Common stock and capital in excess of par value</t>
  </si>
  <si>
    <t>Accumulated other comprehensive income (loss)</t>
  </si>
  <si>
    <t>Retained earnings</t>
  </si>
  <si>
    <t>Total Intel stockholders' equity</t>
  </si>
  <si>
    <t>Non-controlling interests</t>
  </si>
  <si>
    <t>Total stockholders' equity</t>
  </si>
  <si>
    <t>Total liabilities and stockholders' equity</t>
  </si>
  <si>
    <t>Consolidated Statements of Cash Flows</t>
  </si>
  <si>
    <t>Cash and cash equivalents, beginning of period</t>
  </si>
  <si>
    <t>OPERATING ACTIVITIES</t>
  </si>
  <si>
    <t>Adjustments to reconcile net income (loss) to net cash from operations:</t>
  </si>
  <si>
    <t>Depreciation</t>
  </si>
  <si>
    <t>Share-based compensation</t>
  </si>
  <si>
    <t>Amortization of intangibles</t>
  </si>
  <si>
    <t>(Gains) losses on equity investments, net</t>
  </si>
  <si>
    <t>(Gains) losses on divestitures</t>
  </si>
  <si>
    <t>Deferred taxes</t>
  </si>
  <si>
    <t>Impairments and net loss on retirement of property, plant and equipment</t>
  </si>
  <si>
    <t>Mark-to-market losses on Escrowed Shares</t>
  </si>
  <si>
    <t>Changes in assets and liabilities:</t>
  </si>
  <si>
    <t>Accounts receivable</t>
  </si>
  <si>
    <t>Prepaid customer supply agreements</t>
  </si>
  <si>
    <t>Income taxes</t>
  </si>
  <si>
    <t>Other assets and liabilities</t>
  </si>
  <si>
    <t>Net cash provided by (used for) operating activities</t>
  </si>
  <si>
    <t>INVESTING ACTIVITIES</t>
  </si>
  <si>
    <t>Additions to property, plant and equipment</t>
  </si>
  <si>
    <t>Additions to held for sale NAND property, plant and equipment</t>
  </si>
  <si>
    <t>Proceeds from capital-related government incentives</t>
  </si>
  <si>
    <t>Purchases of short-term investments</t>
  </si>
  <si>
    <t>Maturities and sales of short-term investments</t>
  </si>
  <si>
    <t>Purchases of equity investments</t>
  </si>
  <si>
    <t>Sales of equity investments</t>
  </si>
  <si>
    <t>Proceeds from divestitures, net</t>
  </si>
  <si>
    <t>Other investing</t>
  </si>
  <si>
    <t>Net cash provided by (used for) investing activities</t>
  </si>
  <si>
    <t>FINANCING ACTIVITIES</t>
  </si>
  <si>
    <t>Issuance of commercial paper, net of issuance costs</t>
  </si>
  <si>
    <t>Repayment of commercial paper</t>
  </si>
  <si>
    <t>Payments on finance leases</t>
  </si>
  <si>
    <t>Partner contributions</t>
  </si>
  <si>
    <t>Net proceeds from sales of subsidiary shares</t>
  </si>
  <si>
    <t>Additions to property, plant and equipment (financing)</t>
  </si>
  <si>
    <t>Issuance of long-term debt, net of issuance costs</t>
  </si>
  <si>
    <t>Repayment of debt</t>
  </si>
  <si>
    <t>Proceeds from sales of common stock through employee equity incentive plans</t>
  </si>
  <si>
    <t>Net proceeds attributed to common stock and warrants issued, and Escrowed Shares</t>
  </si>
  <si>
    <t>Restricted stock unit withholdings</t>
  </si>
  <si>
    <t>Repurchase of common stock</t>
  </si>
  <si>
    <t>Payment of dividends to stockholders</t>
  </si>
  <si>
    <t>Other financing</t>
  </si>
  <si>
    <t>Net cash provided by (used for) financing activities</t>
  </si>
  <si>
    <t>Net increase (decrease) in cash and cash equivalents</t>
  </si>
  <si>
    <t>Cash and cash equivalents, end of period</t>
  </si>
  <si>
    <t>Balance</t>
  </si>
  <si>
    <t>FCF (less SBC)</t>
  </si>
  <si>
    <t>NOWC</t>
  </si>
  <si>
    <t>Chng in NOWC</t>
  </si>
  <si>
    <t>Summary</t>
  </si>
  <si>
    <t>EBIT</t>
  </si>
  <si>
    <t>EBITDA</t>
  </si>
  <si>
    <t>Normalized Earnings</t>
  </si>
  <si>
    <t>Normalized EPS</t>
  </si>
  <si>
    <t>Margins:</t>
  </si>
  <si>
    <t>Gross</t>
  </si>
  <si>
    <t>NOPAT</t>
  </si>
  <si>
    <t>ROIC</t>
  </si>
  <si>
    <t>Segment Revenue and Operating Income</t>
  </si>
  <si>
    <t>REVENUE</t>
  </si>
  <si>
    <t>Client Computing Group</t>
  </si>
  <si>
    <t>Client combined (Notebook + Desktop)</t>
  </si>
  <si>
    <t>Other Client Computing Group</t>
  </si>
  <si>
    <t>Data Center and AI</t>
  </si>
  <si>
    <t>Network and Edge</t>
  </si>
  <si>
    <t>Intel Foundry (formerly Intel Foundry Services)</t>
  </si>
  <si>
    <t>Intel Foundry External Revenue</t>
  </si>
  <si>
    <t>All Other</t>
  </si>
  <si>
    <t>Intersegment Eliminations</t>
  </si>
  <si>
    <t>Total Net Revenue</t>
  </si>
  <si>
    <t>Note: FY2021 uses old segment structure (Intel Foundry Services = external revenue only, Mobileye as standalone segment, no intersegment eliminations shown). FY2022-FY2024 show Intel Foundry total including intersegment.</t>
  </si>
  <si>
    <t>FY2025: Network and Edge integrated into Client Computing Group and Data Center and AI; 'Other Client Computing Group' includes former Network and Edge revenue allocated to Client Computing Group. Desktop and Notebook not separately disclosed under new structure.</t>
  </si>
  <si>
    <t>OPERATING INCOME (LOSS)</t>
  </si>
  <si>
    <t>Corporate Unallocated</t>
  </si>
  <si>
    <t>Total Operating Income (Loss)</t>
  </si>
  <si>
    <t>Note: FY2021 Corporate Unallocated is embedded in All Other (not separately broken out in old structure).</t>
  </si>
  <si>
    <t>SEGMENT OPERATING MARGIN (%)</t>
  </si>
  <si>
    <t>Other</t>
  </si>
  <si>
    <t>Total OP margin</t>
  </si>
  <si>
    <t>Basic Stats</t>
  </si>
  <si>
    <t>INTC</t>
  </si>
  <si>
    <t>Shares</t>
  </si>
  <si>
    <t>MC</t>
  </si>
  <si>
    <t>Cash</t>
  </si>
  <si>
    <t>Debt</t>
  </si>
  <si>
    <t>EV</t>
  </si>
  <si>
    <t>EV/FCF (less SBC)</t>
  </si>
  <si>
    <t>P/E</t>
  </si>
  <si>
    <t>EV/EBIT</t>
  </si>
  <si>
    <t>EV/EBITDA</t>
  </si>
  <si>
    <t>Multiples:</t>
  </si>
  <si>
    <t>Net income</t>
  </si>
  <si>
    <t xml:space="preserve">INTC is one of the largest chip sellers in the world with the number one market share spot for CPUs. </t>
  </si>
  <si>
    <t>SWOT</t>
  </si>
  <si>
    <t>Strengths:</t>
  </si>
  <si>
    <t>IDM model puts INTC in a prime position to navigate volatile international affairs such as tariff drama or international conflicts.</t>
  </si>
  <si>
    <t>Nuance: while INTC designs and builds chips in-house, they still rely on a vast international supply chain to produce their product.  They are still highly exposed to conflict and tariffs that effect inputs or supply chains- just less than their competitors like NVDA.</t>
  </si>
  <si>
    <t>Nuance: while this is true, the leading AI and HPC workloads primarily run on AMD and NVDA hardware.  This is important because AI and HPC are the leading categories of growth and margin expansion for chip makers.</t>
  </si>
  <si>
    <t>Nuance: INTC does have long-standing enterprise experience and relationships but the current expansion of the AI market is a new frontier of compute that is being dominated by the first movers being NVDA and AMD.  INTC may have the rug pulled beneath their feet as the industry they jumpstarted rearrages itself around INTC's competitors</t>
  </si>
  <si>
    <t>Opportunities:</t>
  </si>
  <si>
    <t>INTC can potentially land external fabrication business with newer chip makers that do not have long standing relations with TSMC</t>
  </si>
  <si>
    <t xml:space="preserve">Nuance: This is a tiny list of labs that will produce very little revenue for INTC due to lack of scale </t>
  </si>
  <si>
    <t>INTC ha the opportunity to take advantage of a market that is systemically undersupplied of data center GPUs. This may push firms like Oracle and other hyperscalers to experiment and shift some of their buildouts with INTC GPUs.</t>
  </si>
  <si>
    <t>Nuance: Many firms have stated that they get fewer GPUs from NVDA than they want due to supply constraints, but it is still not probable that INTC absorbs a material portion of that vacuum primarily on the count of the fact that their hardware is vastly disadvantaged in ecosystm and accompanying software stack when compared to first movers like AMD and NVDA. These are the factors that make NVDA hardware so dominant and hard to beat in performance and efficiency at scale for the highest level (and highest margin) AI and HPC workloads.</t>
  </si>
  <si>
    <t>INTC is essentially the longest tenured chip designer in existence.  They have decades of industry experience, leadership, and relationships behind them that reinforce their ecosystem and growth even in rougher climates</t>
  </si>
  <si>
    <t>Weaknesses:</t>
  </si>
  <si>
    <t>CapEx Intensive IDM model lowers returns compared to AMD.  All else held constant, fabless will always produce a more efficient and streamlined business</t>
  </si>
  <si>
    <t>Nuance: None</t>
  </si>
  <si>
    <t>Business Turnaround has been extremely expensive and has lead to a staggering LT debt load ($11B more debt in 5 years)</t>
  </si>
  <si>
    <t>Total Debt</t>
  </si>
  <si>
    <t>Net Debt</t>
  </si>
  <si>
    <t>DTE</t>
  </si>
  <si>
    <t>Total Debt Growth</t>
  </si>
  <si>
    <t>Net Debt Growth</t>
  </si>
  <si>
    <t>Cash &amp; Equivalents</t>
  </si>
  <si>
    <t>Cash Growth</t>
  </si>
  <si>
    <t xml:space="preserve">Capital Issuance </t>
  </si>
  <si>
    <t>Capital Return</t>
  </si>
  <si>
    <t>Cash from financing activities</t>
  </si>
  <si>
    <t>Nuance: They are beginning to shift their capital structure more towards equity as seen with the recent $12B in equity issuance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</si>
</sst>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_(* #,##0.0_);_(* \(#,##0.0\);_(* &quot;-&quot;??_);_(@_)"/>
    <numFmt numFmtId="166" formatCode="_(* #,##0_);_(* \(#,##0\);_(* &quot;-&quot;??_);_(@_)"/>
    <numFmt numFmtId="167" formatCode="0.0%"/>
  </numFmts>
  <fonts count="14" x14ac:knownFonts="1">
    <font>
      <sz val="11"/>
      <color theme="1"/>
      <name val="Calibri"/>
      <family val="2"/>
      <charset val="1"/>
    </font>
    <font>
      <sz val="12"/>
      <color theme="1"/>
      <name val="Arial"/>
      <family val="2"/>
    </font>
    <font>
      <sz val="10"/>
      <name val="Arial"/>
      <family val="2"/>
    </font>
    <font>
      <b/>
      <sz val="12"/>
      <name val="Arial"/>
      <family val="2"/>
    </font>
    <font>
      <i/>
      <sz val="12"/>
      <color rgb="FF666666"/>
      <name val="Arial"/>
      <family val="2"/>
    </font>
    <font>
      <sz val="12"/>
      <color rgb="FF000000"/>
      <name val="Arial"/>
      <family val="2"/>
    </font>
    <font>
      <sz val="12"/>
      <name val="Arial"/>
      <family val="2"/>
    </font>
    <font>
      <sz val="12"/>
      <color theme="1"/>
      <name val="Arial"/>
      <family val="2"/>
    </font>
    <font>
      <b/>
      <sz val="12"/>
      <color theme="1"/>
      <name val="Arial"/>
      <family val="2"/>
    </font>
    <font>
      <i/>
      <sz val="12"/>
      <color rgb="FF808080"/>
      <name val="Arial"/>
      <family val="2"/>
    </font>
    <font>
      <u/>
      <sz val="12"/>
      <color theme="1"/>
      <name val="Arial"/>
      <family val="2"/>
    </font>
    <font>
      <sz val="14"/>
      <color theme="1"/>
      <name val="Arial"/>
      <family val="2"/>
    </font>
    <font>
      <b/>
      <sz val="14"/>
      <color theme="1"/>
      <name val="Arial"/>
      <family val="2"/>
    </font>
    <font>
      <i/>
      <sz val="14"/>
      <color theme="1" tint="0.499984740745262"/>
      <name val="Arial"/>
      <family val="2"/>
    </font>
  </fonts>
  <fills count="5">
    <fill>
      <patternFill patternType="none"/>
    </fill>
    <fill>
      <patternFill patternType="gray125"/>
    </fill>
    <fill>
      <patternFill patternType="solid">
        <fgColor rgb="FFD9D9D9"/>
        <bgColor rgb="FFD9E1F2"/>
      </patternFill>
    </fill>
    <fill>
      <patternFill patternType="solid">
        <fgColor rgb="FFDCE6F1"/>
        <bgColor rgb="FFD9E1F2"/>
      </patternFill>
    </fill>
    <fill>
      <patternFill patternType="solid">
        <fgColor rgb="FFD9E1F2"/>
        <bgColor rgb="FFDCE6F1"/>
      </patternFill>
    </fill>
  </fills>
  <borders count="3">
    <border>
      <left/>
      <right/>
      <top/>
      <bottom/>
      <diagonal/>
    </border>
    <border>
      <left/>
      <right/>
      <top/>
      <bottom style="thin">
        <color auto="1"/>
      </bottom>
      <diagonal/>
    </border>
    <border>
      <left/>
      <right/>
      <top/>
      <bottom style="double">
        <color auto="1"/>
      </bottom>
      <diagonal/>
    </border>
  </borders>
  <cellStyleXfs count="3">
    <xf numFmtId="0" fontId="0" fillId="0" borderId="0"/>
    <xf numFmtId="43" fontId="2" fillId="0" borderId="0" applyBorder="0" applyAlignment="0" applyProtection="0"/>
    <xf numFmtId="9" fontId="2" fillId="0" borderId="0" applyBorder="0" applyAlignment="0" applyProtection="0"/>
  </cellStyleXfs>
  <cellXfs count="46">
    <xf numFmtId="0" fontId="0" fillId="0" borderId="0" xfId="0"/>
    <xf numFmtId="0" fontId="3" fillId="0" borderId="0" xfId="0" applyFont="1"/>
    <xf numFmtId="0" fontId="4" fillId="0" borderId="0" xfId="0" applyFont="1"/>
    <xf numFmtId="0" fontId="3" fillId="2" borderId="0" xfId="0" applyFont="1" applyFill="1" applyAlignment="1">
      <alignment horizontal="center"/>
    </xf>
    <xf numFmtId="0" fontId="3" fillId="0" borderId="0" xfId="0" applyFont="1" applyAlignment="1">
      <alignment horizontal="left"/>
    </xf>
    <xf numFmtId="164" fontId="5" fillId="0" borderId="0" xfId="0" applyNumberFormat="1" applyFont="1" applyAlignment="1">
      <alignment horizontal="right"/>
    </xf>
    <xf numFmtId="0" fontId="3" fillId="2" borderId="0" xfId="0" applyFont="1" applyFill="1" applyAlignment="1">
      <alignment horizontal="left"/>
    </xf>
    <xf numFmtId="0" fontId="3" fillId="0" borderId="0" xfId="0" applyFont="1" applyAlignment="1">
      <alignment horizontal="left" indent="2"/>
    </xf>
    <xf numFmtId="0" fontId="6" fillId="0" borderId="0" xfId="0" applyFont="1" applyAlignment="1">
      <alignment horizontal="left" indent="2"/>
    </xf>
    <xf numFmtId="0" fontId="6" fillId="0" borderId="0" xfId="0" applyFont="1" applyAlignment="1">
      <alignment horizontal="left" indent="4"/>
    </xf>
    <xf numFmtId="0" fontId="6" fillId="0" borderId="0" xfId="0" applyFont="1" applyAlignment="1">
      <alignment horizontal="left" indent="3"/>
    </xf>
    <xf numFmtId="0" fontId="3" fillId="3" borderId="1" xfId="0" applyFont="1" applyFill="1" applyBorder="1" applyAlignment="1">
      <alignment horizontal="left"/>
    </xf>
    <xf numFmtId="0" fontId="3" fillId="4" borderId="2" xfId="0" applyFont="1" applyFill="1" applyBorder="1" applyAlignment="1">
      <alignment horizontal="left"/>
    </xf>
    <xf numFmtId="0" fontId="7" fillId="0" borderId="0" xfId="0" applyFont="1"/>
    <xf numFmtId="0" fontId="7" fillId="2" borderId="0" xfId="0" applyFont="1" applyFill="1"/>
    <xf numFmtId="0" fontId="8" fillId="0" borderId="0" xfId="0" applyFont="1"/>
    <xf numFmtId="0" fontId="6" fillId="0" borderId="0" xfId="0" applyFont="1" applyAlignment="1">
      <alignment horizontal="left"/>
    </xf>
    <xf numFmtId="0" fontId="6" fillId="0" borderId="1" xfId="0" applyFont="1" applyBorder="1" applyAlignment="1">
      <alignment horizontal="left" indent="2"/>
    </xf>
    <xf numFmtId="0" fontId="3" fillId="3" borderId="0" xfId="0" applyFont="1" applyFill="1" applyAlignment="1">
      <alignment horizontal="left"/>
    </xf>
    <xf numFmtId="166" fontId="6" fillId="0" borderId="0" xfId="1" applyNumberFormat="1" applyFont="1"/>
    <xf numFmtId="166" fontId="7" fillId="0" borderId="0" xfId="0" applyNumberFormat="1" applyFont="1"/>
    <xf numFmtId="43" fontId="7" fillId="0" borderId="0" xfId="0" applyNumberFormat="1" applyFont="1"/>
    <xf numFmtId="167" fontId="6" fillId="0" borderId="0" xfId="2" applyNumberFormat="1" applyFont="1"/>
    <xf numFmtId="166" fontId="6" fillId="0" borderId="0" xfId="1" applyNumberFormat="1" applyFont="1" applyAlignment="1">
      <alignment horizontal="right"/>
    </xf>
    <xf numFmtId="166" fontId="6" fillId="0" borderId="1" xfId="1" applyNumberFormat="1" applyFont="1" applyBorder="1" applyAlignment="1">
      <alignment horizontal="right"/>
    </xf>
    <xf numFmtId="166" fontId="3" fillId="0" borderId="0" xfId="1" applyNumberFormat="1" applyFont="1" applyAlignment="1">
      <alignment horizontal="right"/>
    </xf>
    <xf numFmtId="166" fontId="3" fillId="0" borderId="1" xfId="1" applyNumberFormat="1" applyFont="1" applyBorder="1" applyAlignment="1">
      <alignment horizontal="right"/>
    </xf>
    <xf numFmtId="166" fontId="3" fillId="0" borderId="2" xfId="1" applyNumberFormat="1" applyFont="1" applyBorder="1" applyAlignment="1">
      <alignment horizontal="right"/>
    </xf>
    <xf numFmtId="0" fontId="9" fillId="0" borderId="0" xfId="0" applyFont="1"/>
    <xf numFmtId="0" fontId="3" fillId="2" borderId="0" xfId="0" applyFont="1" applyFill="1"/>
    <xf numFmtId="9" fontId="6" fillId="0" borderId="0" xfId="2" applyFont="1"/>
    <xf numFmtId="167" fontId="6" fillId="0" borderId="0" xfId="2" applyNumberFormat="1" applyFont="1" applyAlignment="1">
      <alignment horizontal="right"/>
    </xf>
    <xf numFmtId="43" fontId="6" fillId="0" borderId="0" xfId="1" applyFont="1" applyAlignment="1">
      <alignment horizontal="right"/>
    </xf>
    <xf numFmtId="43" fontId="3" fillId="0" borderId="0" xfId="1" applyFont="1"/>
    <xf numFmtId="0" fontId="10" fillId="0" borderId="0" xfId="0" applyFont="1"/>
    <xf numFmtId="165" fontId="6" fillId="0" borderId="0" xfId="1" applyNumberFormat="1" applyFont="1"/>
    <xf numFmtId="0" fontId="11" fillId="0" borderId="0" xfId="0" applyFont="1"/>
    <xf numFmtId="0" fontId="12" fillId="0" borderId="0" xfId="0" applyFont="1"/>
    <xf numFmtId="0" fontId="11" fillId="0" borderId="0" xfId="0" applyFont="1" applyBorder="1"/>
    <xf numFmtId="0" fontId="12" fillId="0" borderId="0" xfId="0" applyFont="1" applyAlignment="1">
      <alignment wrapText="1"/>
    </xf>
    <xf numFmtId="0" fontId="11" fillId="0" borderId="0" xfId="0" applyFont="1" applyAlignment="1">
      <alignment wrapText="1"/>
    </xf>
    <xf numFmtId="0" fontId="11" fillId="0" borderId="0" xfId="0" applyFont="1" applyBorder="1" applyAlignment="1">
      <alignment wrapText="1"/>
    </xf>
    <xf numFmtId="0" fontId="13" fillId="0" borderId="0" xfId="0" applyFont="1" applyAlignment="1">
      <alignment wrapText="1"/>
    </xf>
    <xf numFmtId="0" fontId="1" fillId="0" borderId="0" xfId="0" applyFont="1"/>
    <xf numFmtId="43" fontId="6" fillId="0" borderId="0" xfId="1" applyFont="1"/>
    <xf numFmtId="167" fontId="7" fillId="0" borderId="0" xfId="0"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C5FA-C263-C149-B3B7-0110042EBCAD}">
  <dimension ref="A1:B16"/>
  <sheetViews>
    <sheetView zoomScale="130" zoomScaleNormal="130" workbookViewId="0">
      <selection activeCell="E11" sqref="E11"/>
    </sheetView>
  </sheetViews>
  <sheetFormatPr defaultColWidth="8.7109375" defaultRowHeight="15" x14ac:dyDescent="0.2"/>
  <cols>
    <col min="1" max="1" width="27.85546875" style="13" customWidth="1"/>
    <col min="2" max="6" width="14" style="13" customWidth="1"/>
    <col min="7" max="16384" width="8.7109375" style="13"/>
  </cols>
  <sheetData>
    <row r="1" spans="1:2" ht="15.75" x14ac:dyDescent="0.25">
      <c r="A1" s="1" t="s">
        <v>0</v>
      </c>
    </row>
    <row r="2" spans="1:2" ht="15.75" x14ac:dyDescent="0.25">
      <c r="A2" s="1" t="s">
        <v>151</v>
      </c>
    </row>
    <row r="3" spans="1:2" ht="15.95" x14ac:dyDescent="0.2">
      <c r="A3" s="2" t="s">
        <v>30</v>
      </c>
    </row>
    <row r="5" spans="1:2" s="15" customFormat="1" ht="15.75" x14ac:dyDescent="0.25">
      <c r="A5" s="15" t="s">
        <v>152</v>
      </c>
      <c r="B5" s="33">
        <v>65</v>
      </c>
    </row>
    <row r="6" spans="1:2" ht="15.95" x14ac:dyDescent="0.2">
      <c r="A6" s="13" t="s">
        <v>153</v>
      </c>
      <c r="B6" s="19">
        <f>'Income Statement'!F28</f>
        <v>4530</v>
      </c>
    </row>
    <row r="7" spans="1:2" ht="15.95" x14ac:dyDescent="0.2">
      <c r="A7" s="13" t="s">
        <v>154</v>
      </c>
      <c r="B7" s="19">
        <f>B5*B6</f>
        <v>294450</v>
      </c>
    </row>
    <row r="8" spans="1:2" ht="15.95" x14ac:dyDescent="0.2">
      <c r="A8" s="13" t="s">
        <v>155</v>
      </c>
      <c r="B8" s="19">
        <f>'Balance Sheet'!F7+'Balance Sheet'!F8+'Balance Sheet'!F9</f>
        <v>37416</v>
      </c>
    </row>
    <row r="9" spans="1:2" ht="15.95" x14ac:dyDescent="0.2">
      <c r="A9" s="13" t="s">
        <v>156</v>
      </c>
      <c r="B9" s="19">
        <f>'Balance Sheet'!F25+'Balance Sheet'!F31</f>
        <v>46585</v>
      </c>
    </row>
    <row r="10" spans="1:2" ht="15.95" x14ac:dyDescent="0.2">
      <c r="A10" s="13" t="s">
        <v>157</v>
      </c>
      <c r="B10" s="19">
        <f>B7-B8+B9</f>
        <v>303619</v>
      </c>
    </row>
    <row r="11" spans="1:2" ht="15.95" x14ac:dyDescent="0.2">
      <c r="B11" s="19"/>
    </row>
    <row r="12" spans="1:2" ht="15.95" x14ac:dyDescent="0.2">
      <c r="A12" s="34" t="s">
        <v>162</v>
      </c>
      <c r="B12" s="19"/>
    </row>
    <row r="13" spans="1:2" ht="15.95" x14ac:dyDescent="0.2">
      <c r="A13" s="13" t="s">
        <v>158</v>
      </c>
      <c r="B13" s="35">
        <f>B10/'Summary Stats'!F23</f>
        <v>-41.124068806718135</v>
      </c>
    </row>
    <row r="14" spans="1:2" ht="15.95" x14ac:dyDescent="0.2">
      <c r="A14" s="13" t="s">
        <v>159</v>
      </c>
      <c r="B14" s="35">
        <f>B5/'Summary Stats'!F9</f>
        <v>172.90076335877862</v>
      </c>
    </row>
    <row r="15" spans="1:2" x14ac:dyDescent="0.2">
      <c r="A15" s="13" t="s">
        <v>160</v>
      </c>
      <c r="B15" s="35">
        <f>B10/'Summary Stats'!F6</f>
        <v>-13200.826086956522</v>
      </c>
    </row>
    <row r="16" spans="1:2" x14ac:dyDescent="0.2">
      <c r="A16" s="13" t="s">
        <v>161</v>
      </c>
      <c r="B16" s="35">
        <f>B10/'Summary Stats'!F7</f>
        <v>25.988102370966363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80F06-A48F-CD4F-9E54-9600748F461F}">
  <dimension ref="A1:G42"/>
  <sheetViews>
    <sheetView topLeftCell="A12" zoomScale="130" zoomScaleNormal="130" workbookViewId="0">
      <selection activeCell="E11" sqref="E11"/>
    </sheetView>
  </sheetViews>
  <sheetFormatPr defaultColWidth="8.7109375" defaultRowHeight="15" x14ac:dyDescent="0.2"/>
  <cols>
    <col min="1" max="1" width="76" style="13" customWidth="1"/>
    <col min="2" max="6" width="13" style="30" customWidth="1"/>
    <col min="7" max="16384" width="8.7109375" style="30"/>
  </cols>
  <sheetData>
    <row r="1" spans="1:6" s="13" customFormat="1" ht="15.75" x14ac:dyDescent="0.25">
      <c r="A1" s="1" t="s">
        <v>0</v>
      </c>
    </row>
    <row r="2" spans="1:6" s="13" customFormat="1" ht="15.75" x14ac:dyDescent="0.25">
      <c r="A2" s="1" t="s">
        <v>130</v>
      </c>
    </row>
    <row r="3" spans="1:6" s="13" customFormat="1" ht="15" customHeight="1" x14ac:dyDescent="0.2">
      <c r="A3" s="28" t="s">
        <v>30</v>
      </c>
    </row>
    <row r="4" spans="1:6" s="13" customFormat="1" ht="15" customHeight="1" x14ac:dyDescent="0.25">
      <c r="B4" s="3" t="s">
        <v>3</v>
      </c>
      <c r="C4" s="3" t="s">
        <v>4</v>
      </c>
      <c r="D4" s="3" t="s">
        <v>5</v>
      </c>
      <c r="E4" s="3" t="s">
        <v>6</v>
      </c>
      <c r="F4" s="3" t="s">
        <v>7</v>
      </c>
    </row>
    <row r="5" spans="1:6" s="13" customFormat="1" ht="15" customHeight="1" x14ac:dyDescent="0.25">
      <c r="A5" s="29" t="s">
        <v>131</v>
      </c>
      <c r="B5" s="14"/>
      <c r="C5" s="14"/>
      <c r="D5" s="14"/>
      <c r="E5" s="14"/>
      <c r="F5" s="14"/>
    </row>
    <row r="6" spans="1:6" s="15" customFormat="1" ht="15" customHeight="1" x14ac:dyDescent="0.25">
      <c r="A6" s="4" t="s">
        <v>132</v>
      </c>
      <c r="B6" s="25">
        <f>SUM(B7:B8)</f>
        <v>41081</v>
      </c>
      <c r="C6" s="25">
        <f t="shared" ref="C6:F6" si="0">SUM(C7:C8)</f>
        <v>31773</v>
      </c>
      <c r="D6" s="25">
        <f t="shared" si="0"/>
        <v>29258</v>
      </c>
      <c r="E6" s="25">
        <f t="shared" si="0"/>
        <v>30290</v>
      </c>
      <c r="F6" s="25">
        <f t="shared" si="0"/>
        <v>32228</v>
      </c>
    </row>
    <row r="7" spans="1:6" s="13" customFormat="1" ht="15" customHeight="1" x14ac:dyDescent="0.2">
      <c r="A7" s="8" t="s">
        <v>133</v>
      </c>
      <c r="B7" s="23">
        <v>37880</v>
      </c>
      <c r="C7" s="23">
        <v>29442</v>
      </c>
      <c r="D7" s="23">
        <v>27156</v>
      </c>
      <c r="E7" s="23">
        <v>28800</v>
      </c>
      <c r="F7" s="23">
        <v>27600</v>
      </c>
    </row>
    <row r="8" spans="1:6" s="13" customFormat="1" ht="15" customHeight="1" x14ac:dyDescent="0.2">
      <c r="A8" s="8" t="s">
        <v>134</v>
      </c>
      <c r="B8" s="23">
        <v>3201</v>
      </c>
      <c r="C8" s="23">
        <v>2331</v>
      </c>
      <c r="D8" s="23">
        <v>2102</v>
      </c>
      <c r="E8" s="23">
        <v>1490</v>
      </c>
      <c r="F8" s="23">
        <v>4628</v>
      </c>
    </row>
    <row r="9" spans="1:6" s="13" customFormat="1" ht="15" customHeight="1" x14ac:dyDescent="0.2">
      <c r="A9" s="8"/>
      <c r="B9" s="23"/>
      <c r="C9" s="23"/>
      <c r="D9" s="23"/>
      <c r="E9" s="23"/>
      <c r="F9" s="23"/>
    </row>
    <row r="10" spans="1:6" s="15" customFormat="1" ht="15" customHeight="1" x14ac:dyDescent="0.25">
      <c r="A10" s="4" t="s">
        <v>135</v>
      </c>
      <c r="B10" s="25">
        <v>22774</v>
      </c>
      <c r="C10" s="25">
        <v>16856</v>
      </c>
      <c r="D10" s="25">
        <v>12635</v>
      </c>
      <c r="E10" s="25">
        <v>12817</v>
      </c>
      <c r="F10" s="25">
        <v>16919</v>
      </c>
    </row>
    <row r="11" spans="1:6" s="13" customFormat="1" ht="15" customHeight="1" x14ac:dyDescent="0.2">
      <c r="A11" s="16"/>
      <c r="B11" s="23"/>
      <c r="C11" s="23"/>
      <c r="D11" s="23"/>
      <c r="E11" s="23"/>
      <c r="F11" s="23"/>
    </row>
    <row r="12" spans="1:6" s="15" customFormat="1" ht="15" customHeight="1" x14ac:dyDescent="0.25">
      <c r="A12" s="4" t="s">
        <v>136</v>
      </c>
      <c r="B12" s="25">
        <v>7665</v>
      </c>
      <c r="C12" s="25">
        <v>8409</v>
      </c>
      <c r="D12" s="25">
        <v>5774</v>
      </c>
      <c r="E12" s="25">
        <v>5842</v>
      </c>
      <c r="F12" s="25">
        <v>0</v>
      </c>
    </row>
    <row r="13" spans="1:6" s="13" customFormat="1" ht="15" customHeight="1" x14ac:dyDescent="0.2">
      <c r="A13" s="16"/>
      <c r="B13" s="23"/>
      <c r="C13" s="23"/>
      <c r="D13" s="23"/>
      <c r="E13" s="23"/>
      <c r="F13" s="23"/>
    </row>
    <row r="14" spans="1:6" s="15" customFormat="1" ht="15" customHeight="1" x14ac:dyDescent="0.25">
      <c r="A14" s="4" t="s">
        <v>137</v>
      </c>
      <c r="B14" s="25">
        <v>347</v>
      </c>
      <c r="C14" s="25">
        <v>27491</v>
      </c>
      <c r="D14" s="25">
        <v>18910</v>
      </c>
      <c r="E14" s="25">
        <v>17543</v>
      </c>
      <c r="F14" s="25">
        <v>17826</v>
      </c>
    </row>
    <row r="15" spans="1:6" s="13" customFormat="1" ht="15" customHeight="1" x14ac:dyDescent="0.2">
      <c r="A15" s="8" t="s">
        <v>138</v>
      </c>
      <c r="B15" s="23">
        <v>347</v>
      </c>
      <c r="C15" s="23">
        <v>469</v>
      </c>
      <c r="D15" s="23">
        <v>952</v>
      </c>
      <c r="E15" s="23">
        <v>159</v>
      </c>
      <c r="F15" s="23">
        <v>307</v>
      </c>
    </row>
    <row r="16" spans="1:6" s="13" customFormat="1" ht="15" customHeight="1" x14ac:dyDescent="0.2">
      <c r="A16" s="8"/>
      <c r="B16" s="23"/>
      <c r="C16" s="23"/>
      <c r="D16" s="23"/>
      <c r="E16" s="23"/>
      <c r="F16" s="23"/>
    </row>
    <row r="17" spans="1:7" s="15" customFormat="1" ht="15" customHeight="1" x14ac:dyDescent="0.25">
      <c r="A17" s="4" t="s">
        <v>139</v>
      </c>
      <c r="B17" s="25">
        <v>7157</v>
      </c>
      <c r="C17" s="25">
        <v>5530</v>
      </c>
      <c r="D17" s="25">
        <v>5608</v>
      </c>
      <c r="E17" s="25">
        <v>3824</v>
      </c>
      <c r="F17" s="25">
        <v>3563</v>
      </c>
    </row>
    <row r="18" spans="1:7" s="15" customFormat="1" ht="15" customHeight="1" x14ac:dyDescent="0.25">
      <c r="A18" s="4"/>
      <c r="B18" s="25"/>
      <c r="C18" s="25"/>
      <c r="D18" s="25"/>
      <c r="E18" s="25"/>
      <c r="F18" s="25"/>
    </row>
    <row r="19" spans="1:7" s="15" customFormat="1" ht="15" customHeight="1" x14ac:dyDescent="0.25">
      <c r="A19" s="4" t="s">
        <v>140</v>
      </c>
      <c r="B19" s="25">
        <v>0</v>
      </c>
      <c r="C19" s="25">
        <v>-27005</v>
      </c>
      <c r="D19" s="25">
        <v>-17957</v>
      </c>
      <c r="E19" s="25">
        <v>-17215</v>
      </c>
      <c r="F19" s="25">
        <v>-17683</v>
      </c>
    </row>
    <row r="20" spans="1:7" s="13" customFormat="1" ht="15" customHeight="1" x14ac:dyDescent="0.2">
      <c r="A20" s="16"/>
      <c r="B20" s="23"/>
      <c r="C20" s="23"/>
      <c r="D20" s="23"/>
      <c r="E20" s="23"/>
      <c r="F20" s="23"/>
    </row>
    <row r="21" spans="1:7" s="15" customFormat="1" ht="15" customHeight="1" thickBot="1" x14ac:dyDescent="0.3">
      <c r="A21" s="12" t="s">
        <v>141</v>
      </c>
      <c r="B21" s="27">
        <f>SUM(B6,B10,B12,B14,B17,B19)</f>
        <v>79024</v>
      </c>
      <c r="C21" s="27">
        <f>SUM(C6,C10,C12,C14,C17,C19)</f>
        <v>63054</v>
      </c>
      <c r="D21" s="27">
        <f>SUM(D6,D10,D12,D14,D17,D19)</f>
        <v>54228</v>
      </c>
      <c r="E21" s="27">
        <f>SUM(E6,E10,E12,E14,E17,E19)</f>
        <v>53101</v>
      </c>
      <c r="F21" s="27">
        <f>SUM(F6,F10,F12,F14,F17,F19)</f>
        <v>52853</v>
      </c>
    </row>
    <row r="22" spans="1:7" s="13" customFormat="1" ht="15" customHeight="1" thickTop="1" x14ac:dyDescent="0.2">
      <c r="A22" s="28" t="s">
        <v>142</v>
      </c>
      <c r="B22" s="19"/>
      <c r="C22" s="19"/>
      <c r="D22" s="19"/>
      <c r="E22" s="19"/>
      <c r="F22" s="19"/>
    </row>
    <row r="23" spans="1:7" s="13" customFormat="1" ht="15" customHeight="1" x14ac:dyDescent="0.2">
      <c r="A23" s="28" t="s">
        <v>143</v>
      </c>
      <c r="B23" s="19"/>
      <c r="C23" s="19"/>
      <c r="D23" s="19"/>
      <c r="E23" s="19"/>
      <c r="F23" s="19"/>
    </row>
    <row r="24" spans="1:7" s="13" customFormat="1" x14ac:dyDescent="0.2">
      <c r="B24" s="19"/>
      <c r="C24" s="19"/>
      <c r="D24" s="19"/>
      <c r="E24" s="19"/>
      <c r="F24" s="19"/>
    </row>
    <row r="25" spans="1:7" s="13" customFormat="1" ht="15" customHeight="1" x14ac:dyDescent="0.25">
      <c r="A25" s="29" t="s">
        <v>144</v>
      </c>
      <c r="B25" s="19"/>
      <c r="C25" s="19"/>
      <c r="D25" s="19"/>
      <c r="E25" s="19"/>
      <c r="F25" s="19"/>
    </row>
    <row r="26" spans="1:7" s="13" customFormat="1" ht="15" customHeight="1" x14ac:dyDescent="0.2">
      <c r="A26" s="16" t="s">
        <v>132</v>
      </c>
      <c r="B26" s="23">
        <v>15523</v>
      </c>
      <c r="C26" s="23">
        <v>8207</v>
      </c>
      <c r="D26" s="23">
        <v>9513</v>
      </c>
      <c r="E26" s="23">
        <v>10920</v>
      </c>
      <c r="F26" s="23">
        <v>9317</v>
      </c>
    </row>
    <row r="27" spans="1:7" s="13" customFormat="1" ht="15" customHeight="1" x14ac:dyDescent="0.2">
      <c r="A27" s="16" t="s">
        <v>135</v>
      </c>
      <c r="B27" s="23">
        <v>7376</v>
      </c>
      <c r="C27" s="23">
        <v>4198</v>
      </c>
      <c r="D27" s="23">
        <v>1620</v>
      </c>
      <c r="E27" s="23">
        <v>1338</v>
      </c>
      <c r="F27" s="23">
        <v>3422</v>
      </c>
    </row>
    <row r="28" spans="1:7" s="13" customFormat="1" ht="15" customHeight="1" x14ac:dyDescent="0.2">
      <c r="A28" s="16" t="s">
        <v>136</v>
      </c>
      <c r="B28" s="23">
        <v>1935</v>
      </c>
      <c r="C28" s="23">
        <v>1532</v>
      </c>
      <c r="D28" s="23">
        <v>204</v>
      </c>
      <c r="E28" s="23">
        <v>931</v>
      </c>
      <c r="F28" s="23">
        <v>0</v>
      </c>
    </row>
    <row r="29" spans="1:7" s="13" customFormat="1" ht="15" customHeight="1" x14ac:dyDescent="0.2">
      <c r="A29" s="16" t="s">
        <v>137</v>
      </c>
      <c r="B29" s="23">
        <v>76</v>
      </c>
      <c r="C29" s="23">
        <v>-5169</v>
      </c>
      <c r="D29" s="23">
        <v>-6955</v>
      </c>
      <c r="E29" s="23">
        <v>-13408</v>
      </c>
      <c r="F29" s="23">
        <v>-10318</v>
      </c>
    </row>
    <row r="30" spans="1:7" s="13" customFormat="1" ht="15" customHeight="1" x14ac:dyDescent="0.2">
      <c r="A30" s="16" t="s">
        <v>139</v>
      </c>
      <c r="B30" s="23">
        <v>-5454</v>
      </c>
      <c r="C30" s="23">
        <v>1174</v>
      </c>
      <c r="D30" s="23">
        <v>1079</v>
      </c>
      <c r="E30" s="23">
        <v>-84</v>
      </c>
      <c r="F30" s="23">
        <v>264</v>
      </c>
      <c r="G30" s="20"/>
    </row>
    <row r="31" spans="1:7" s="13" customFormat="1" ht="15" customHeight="1" x14ac:dyDescent="0.2">
      <c r="A31" s="16" t="s">
        <v>145</v>
      </c>
      <c r="B31" s="23">
        <v>0</v>
      </c>
      <c r="C31" s="23">
        <v>-5633</v>
      </c>
      <c r="D31" s="23">
        <v>-5165</v>
      </c>
      <c r="E31" s="23">
        <v>-11218</v>
      </c>
      <c r="F31" s="23">
        <v>-5518</v>
      </c>
    </row>
    <row r="32" spans="1:7" s="13" customFormat="1" ht="15" customHeight="1" x14ac:dyDescent="0.2">
      <c r="A32" s="16" t="s">
        <v>140</v>
      </c>
      <c r="B32" s="23">
        <v>0</v>
      </c>
      <c r="C32" s="23">
        <v>-1975</v>
      </c>
      <c r="D32" s="23">
        <v>-203</v>
      </c>
      <c r="E32" s="23">
        <v>-157</v>
      </c>
      <c r="F32" s="23">
        <v>619</v>
      </c>
    </row>
    <row r="33" spans="1:6" s="15" customFormat="1" ht="15" customHeight="1" thickBot="1" x14ac:dyDescent="0.3">
      <c r="A33" s="12" t="s">
        <v>146</v>
      </c>
      <c r="B33" s="27">
        <f>SUM(B26:B32)</f>
        <v>19456</v>
      </c>
      <c r="C33" s="27">
        <f t="shared" ref="C33:F33" si="1">SUM(C26:C32)</f>
        <v>2334</v>
      </c>
      <c r="D33" s="27">
        <f t="shared" si="1"/>
        <v>93</v>
      </c>
      <c r="E33" s="27">
        <f t="shared" si="1"/>
        <v>-11678</v>
      </c>
      <c r="F33" s="27">
        <f t="shared" si="1"/>
        <v>-2214</v>
      </c>
    </row>
    <row r="34" spans="1:6" s="13" customFormat="1" ht="15" customHeight="1" thickTop="1" x14ac:dyDescent="0.2">
      <c r="A34" s="28" t="s">
        <v>147</v>
      </c>
    </row>
    <row r="35" spans="1:6" s="13" customFormat="1" x14ac:dyDescent="0.2"/>
    <row r="36" spans="1:6" s="13" customFormat="1" ht="15" customHeight="1" x14ac:dyDescent="0.25">
      <c r="A36" s="29" t="s">
        <v>148</v>
      </c>
      <c r="B36" s="14"/>
      <c r="C36" s="14"/>
      <c r="D36" s="14"/>
      <c r="E36" s="14"/>
      <c r="F36" s="14"/>
    </row>
    <row r="37" spans="1:6" ht="15" customHeight="1" x14ac:dyDescent="0.2">
      <c r="A37" s="16" t="s">
        <v>132</v>
      </c>
      <c r="B37" s="31">
        <f>B26/B6</f>
        <v>0.37786324578272196</v>
      </c>
      <c r="C37" s="31">
        <f t="shared" ref="C37:F37" si="2">C26/C6</f>
        <v>0.25830107323828405</v>
      </c>
      <c r="D37" s="31">
        <f t="shared" si="2"/>
        <v>0.32514184154761089</v>
      </c>
      <c r="E37" s="31">
        <f t="shared" si="2"/>
        <v>0.36051502145922748</v>
      </c>
      <c r="F37" s="31">
        <f t="shared" si="2"/>
        <v>0.28909643788010425</v>
      </c>
    </row>
    <row r="38" spans="1:6" ht="15" customHeight="1" x14ac:dyDescent="0.2">
      <c r="A38" s="16" t="s">
        <v>135</v>
      </c>
      <c r="B38" s="31">
        <f>B27/B10</f>
        <v>0.32387810661280408</v>
      </c>
      <c r="C38" s="31">
        <f t="shared" ref="C38:F38" si="3">C27/C10</f>
        <v>0.24905078310393924</v>
      </c>
      <c r="D38" s="31">
        <f t="shared" si="3"/>
        <v>0.12821527502967947</v>
      </c>
      <c r="E38" s="31">
        <f t="shared" si="3"/>
        <v>0.10439260357337911</v>
      </c>
      <c r="F38" s="31">
        <f t="shared" si="3"/>
        <v>0.20225781665583073</v>
      </c>
    </row>
    <row r="39" spans="1:6" ht="15" customHeight="1" x14ac:dyDescent="0.2">
      <c r="A39" s="16" t="s">
        <v>136</v>
      </c>
      <c r="B39" s="31">
        <f>B28/B12</f>
        <v>0.25244618395303325</v>
      </c>
      <c r="C39" s="31">
        <f>C28/C12</f>
        <v>0.18218575335949577</v>
      </c>
      <c r="D39" s="31">
        <f>D28/D12</f>
        <v>3.5330793210945621E-2</v>
      </c>
      <c r="E39" s="31">
        <f>E28/E12</f>
        <v>0.1593632317699418</v>
      </c>
      <c r="F39" s="31">
        <v>0</v>
      </c>
    </row>
    <row r="40" spans="1:6" ht="15" customHeight="1" x14ac:dyDescent="0.2">
      <c r="A40" s="16" t="s">
        <v>137</v>
      </c>
      <c r="B40" s="31">
        <f>B29/B14</f>
        <v>0.21902017291066284</v>
      </c>
      <c r="C40" s="31">
        <f t="shared" ref="C40:F40" si="4">C29/C14</f>
        <v>-0.18802517187443163</v>
      </c>
      <c r="D40" s="31">
        <f t="shared" si="4"/>
        <v>-0.36779481755684823</v>
      </c>
      <c r="E40" s="31">
        <f t="shared" si="4"/>
        <v>-0.7642934503790686</v>
      </c>
      <c r="F40" s="31">
        <f t="shared" si="4"/>
        <v>-0.5788174576461349</v>
      </c>
    </row>
    <row r="41" spans="1:6" x14ac:dyDescent="0.2">
      <c r="A41" s="13" t="s">
        <v>149</v>
      </c>
      <c r="B41" s="31">
        <f>B30/B17</f>
        <v>-0.7620511387452843</v>
      </c>
      <c r="C41" s="31">
        <f t="shared" ref="C41:F41" si="5">C30/C17</f>
        <v>0.21229656419529838</v>
      </c>
      <c r="D41" s="31">
        <f t="shared" si="5"/>
        <v>0.19240370898716119</v>
      </c>
      <c r="E41" s="31">
        <f t="shared" si="5"/>
        <v>-2.1966527196652718E-2</v>
      </c>
      <c r="F41" s="31">
        <f t="shared" si="5"/>
        <v>7.4094863878753858E-2</v>
      </c>
    </row>
    <row r="42" spans="1:6" x14ac:dyDescent="0.2">
      <c r="A42" s="13" t="s">
        <v>150</v>
      </c>
      <c r="B42" s="31">
        <f>B33/B21</f>
        <v>0.24620368495646891</v>
      </c>
      <c r="C42" s="31">
        <f t="shared" ref="C42:F42" si="6">C33/C21</f>
        <v>3.7015891140926828E-2</v>
      </c>
      <c r="D42" s="31">
        <f t="shared" si="6"/>
        <v>1.714981190528878E-3</v>
      </c>
      <c r="E42" s="31">
        <f t="shared" si="6"/>
        <v>-0.21992052880360069</v>
      </c>
      <c r="F42" s="31">
        <f t="shared" si="6"/>
        <v>-4.1889769738709247E-2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9" zoomScale="130" zoomScaleNormal="130" workbookViewId="0">
      <selection activeCell="A31" sqref="A31"/>
    </sheetView>
  </sheetViews>
  <sheetFormatPr defaultColWidth="8.7109375" defaultRowHeight="15" x14ac:dyDescent="0.2"/>
  <cols>
    <col min="1" max="1" width="48" style="13" customWidth="1"/>
    <col min="2" max="6" width="14" style="19" customWidth="1"/>
    <col min="7" max="16384" width="8.7109375" style="13"/>
  </cols>
  <sheetData>
    <row r="1" spans="1:6" ht="15.75" x14ac:dyDescent="0.25">
      <c r="A1" s="1" t="s">
        <v>0</v>
      </c>
      <c r="B1" s="13"/>
      <c r="C1" s="13"/>
      <c r="D1" s="13"/>
      <c r="E1" s="13"/>
      <c r="F1" s="13"/>
    </row>
    <row r="2" spans="1:6" ht="15.75" x14ac:dyDescent="0.25">
      <c r="A2" s="1" t="s">
        <v>1</v>
      </c>
      <c r="B2" s="13"/>
      <c r="C2" s="13"/>
      <c r="D2" s="13"/>
      <c r="E2" s="13"/>
      <c r="F2" s="13"/>
    </row>
    <row r="3" spans="1:6" x14ac:dyDescent="0.2">
      <c r="A3" s="2" t="s">
        <v>2</v>
      </c>
      <c r="B3" s="13"/>
      <c r="C3" s="13"/>
      <c r="D3" s="13"/>
      <c r="E3" s="13"/>
      <c r="F3" s="13"/>
    </row>
    <row r="4" spans="1:6" ht="15.75" x14ac:dyDescent="0.25">
      <c r="B4" s="3" t="s">
        <v>3</v>
      </c>
      <c r="C4" s="3" t="s">
        <v>4</v>
      </c>
      <c r="D4" s="3" t="s">
        <v>5</v>
      </c>
      <c r="E4" s="3" t="s">
        <v>6</v>
      </c>
      <c r="F4" s="3" t="s">
        <v>7</v>
      </c>
    </row>
    <row r="5" spans="1:6" x14ac:dyDescent="0.2">
      <c r="B5" s="13"/>
      <c r="C5" s="13"/>
      <c r="D5" s="13"/>
      <c r="E5" s="13"/>
      <c r="F5" s="13"/>
    </row>
    <row r="6" spans="1:6" x14ac:dyDescent="0.2">
      <c r="A6" s="16" t="s">
        <v>8</v>
      </c>
      <c r="B6" s="23">
        <v>79024</v>
      </c>
      <c r="C6" s="23">
        <v>63054</v>
      </c>
      <c r="D6" s="23">
        <v>54228</v>
      </c>
      <c r="E6" s="23">
        <v>53101</v>
      </c>
      <c r="F6" s="23">
        <v>52853</v>
      </c>
    </row>
    <row r="7" spans="1:6" x14ac:dyDescent="0.2">
      <c r="A7" s="17" t="s">
        <v>9</v>
      </c>
      <c r="B7" s="24">
        <v>35209</v>
      </c>
      <c r="C7" s="24">
        <v>36188</v>
      </c>
      <c r="D7" s="24">
        <v>32517</v>
      </c>
      <c r="E7" s="24">
        <v>35756</v>
      </c>
      <c r="F7" s="24">
        <v>34478</v>
      </c>
    </row>
    <row r="8" spans="1:6" s="15" customFormat="1" ht="15.75" x14ac:dyDescent="0.25">
      <c r="A8" s="18" t="s">
        <v>10</v>
      </c>
      <c r="B8" s="25">
        <f>B6-B7</f>
        <v>43815</v>
      </c>
      <c r="C8" s="25">
        <f>C6-C7</f>
        <v>26866</v>
      </c>
      <c r="D8" s="25">
        <f>D6-D7</f>
        <v>21711</v>
      </c>
      <c r="E8" s="25">
        <f>E6-E7</f>
        <v>17345</v>
      </c>
      <c r="F8" s="25">
        <f>F6-F7</f>
        <v>18375</v>
      </c>
    </row>
    <row r="9" spans="1:6" ht="15.75" x14ac:dyDescent="0.25">
      <c r="A9" s="4" t="s">
        <v>11</v>
      </c>
    </row>
    <row r="10" spans="1:6" x14ac:dyDescent="0.2">
      <c r="A10" s="8" t="s">
        <v>12</v>
      </c>
      <c r="B10" s="23">
        <v>15190</v>
      </c>
      <c r="C10" s="23">
        <v>17528</v>
      </c>
      <c r="D10" s="23">
        <v>16046</v>
      </c>
      <c r="E10" s="23">
        <v>16546</v>
      </c>
      <c r="F10" s="23">
        <v>13774</v>
      </c>
    </row>
    <row r="11" spans="1:6" x14ac:dyDescent="0.2">
      <c r="A11" s="8" t="s">
        <v>13</v>
      </c>
      <c r="B11" s="23">
        <v>6543</v>
      </c>
      <c r="C11" s="23">
        <v>7002</v>
      </c>
      <c r="D11" s="23">
        <v>5634</v>
      </c>
      <c r="E11" s="23">
        <v>5507</v>
      </c>
      <c r="F11" s="23">
        <v>4624</v>
      </c>
    </row>
    <row r="12" spans="1:6" x14ac:dyDescent="0.2">
      <c r="A12" s="17" t="s">
        <v>14</v>
      </c>
      <c r="B12" s="24">
        <v>2626</v>
      </c>
      <c r="C12" s="24">
        <v>2</v>
      </c>
      <c r="D12" s="24">
        <v>-62</v>
      </c>
      <c r="E12" s="24">
        <v>6970</v>
      </c>
      <c r="F12" s="24">
        <v>2191</v>
      </c>
    </row>
    <row r="13" spans="1:6" s="15" customFormat="1" ht="15.75" x14ac:dyDescent="0.25">
      <c r="A13" s="11" t="s">
        <v>15</v>
      </c>
      <c r="B13" s="26">
        <f>B8-B10-B11-B12</f>
        <v>19456</v>
      </c>
      <c r="C13" s="26">
        <f t="shared" ref="C13:F13" si="0">C8-C10-C11-C12</f>
        <v>2334</v>
      </c>
      <c r="D13" s="26">
        <f t="shared" si="0"/>
        <v>93</v>
      </c>
      <c r="E13" s="26">
        <f t="shared" si="0"/>
        <v>-11678</v>
      </c>
      <c r="F13" s="26">
        <f t="shared" si="0"/>
        <v>-2214</v>
      </c>
    </row>
    <row r="14" spans="1:6" x14ac:dyDescent="0.2">
      <c r="A14" s="8" t="s">
        <v>16</v>
      </c>
      <c r="B14" s="23">
        <v>2729</v>
      </c>
      <c r="C14" s="23">
        <v>4268</v>
      </c>
      <c r="D14" s="23">
        <v>40</v>
      </c>
      <c r="E14" s="23">
        <v>242</v>
      </c>
      <c r="F14" s="23">
        <v>514</v>
      </c>
    </row>
    <row r="15" spans="1:6" x14ac:dyDescent="0.2">
      <c r="A15" s="17" t="s">
        <v>17</v>
      </c>
      <c r="B15" s="24">
        <v>-482</v>
      </c>
      <c r="C15" s="24">
        <v>1166</v>
      </c>
      <c r="D15" s="24">
        <v>629</v>
      </c>
      <c r="E15" s="24">
        <v>226</v>
      </c>
      <c r="F15" s="24">
        <v>3257</v>
      </c>
    </row>
    <row r="16" spans="1:6" s="15" customFormat="1" ht="15.75" x14ac:dyDescent="0.25">
      <c r="A16" s="18" t="s">
        <v>18</v>
      </c>
      <c r="B16" s="25">
        <f>SUM(B13:B15)</f>
        <v>21703</v>
      </c>
      <c r="C16" s="25">
        <f t="shared" ref="C16:F16" si="1">SUM(C13:C15)</f>
        <v>7768</v>
      </c>
      <c r="D16" s="25">
        <f t="shared" si="1"/>
        <v>762</v>
      </c>
      <c r="E16" s="25">
        <f t="shared" si="1"/>
        <v>-11210</v>
      </c>
      <c r="F16" s="25">
        <f t="shared" si="1"/>
        <v>1557</v>
      </c>
    </row>
    <row r="17" spans="1:6" x14ac:dyDescent="0.2">
      <c r="A17" s="8" t="s">
        <v>19</v>
      </c>
      <c r="B17" s="23">
        <v>1835</v>
      </c>
      <c r="C17" s="23">
        <v>-249</v>
      </c>
      <c r="D17" s="23">
        <v>-913</v>
      </c>
      <c r="E17" s="23">
        <v>8023</v>
      </c>
      <c r="F17" s="23">
        <v>1531</v>
      </c>
    </row>
    <row r="18" spans="1:6" s="15" customFormat="1" ht="15.75" x14ac:dyDescent="0.25">
      <c r="A18" s="11" t="s">
        <v>20</v>
      </c>
      <c r="B18" s="26">
        <f>B16-B17</f>
        <v>19868</v>
      </c>
      <c r="C18" s="26">
        <f t="shared" ref="C18:F18" si="2">C16-C17</f>
        <v>8017</v>
      </c>
      <c r="D18" s="26">
        <f t="shared" si="2"/>
        <v>1675</v>
      </c>
      <c r="E18" s="26">
        <f t="shared" si="2"/>
        <v>-19233</v>
      </c>
      <c r="F18" s="26">
        <f t="shared" si="2"/>
        <v>26</v>
      </c>
    </row>
    <row r="19" spans="1:6" x14ac:dyDescent="0.2">
      <c r="A19" s="8" t="s">
        <v>21</v>
      </c>
      <c r="B19" s="23">
        <v>0</v>
      </c>
      <c r="C19" s="23">
        <v>3</v>
      </c>
      <c r="D19" s="23">
        <v>-14</v>
      </c>
      <c r="E19" s="23">
        <v>-477</v>
      </c>
      <c r="F19" s="23">
        <v>293</v>
      </c>
    </row>
    <row r="20" spans="1:6" s="15" customFormat="1" ht="16.5" thickBot="1" x14ac:dyDescent="0.3">
      <c r="A20" s="12" t="s">
        <v>22</v>
      </c>
      <c r="B20" s="27">
        <f>B18-B19</f>
        <v>19868</v>
      </c>
      <c r="C20" s="27">
        <f t="shared" ref="C20:F20" si="3">C18-C19</f>
        <v>8014</v>
      </c>
      <c r="D20" s="27">
        <f t="shared" si="3"/>
        <v>1689</v>
      </c>
      <c r="E20" s="27">
        <f t="shared" si="3"/>
        <v>-18756</v>
      </c>
      <c r="F20" s="27">
        <f t="shared" si="3"/>
        <v>-267</v>
      </c>
    </row>
    <row r="22" spans="1:6" ht="15.75" x14ac:dyDescent="0.25">
      <c r="A22" s="4" t="s">
        <v>23</v>
      </c>
    </row>
    <row r="23" spans="1:6" x14ac:dyDescent="0.2">
      <c r="A23" s="8" t="s">
        <v>24</v>
      </c>
      <c r="B23" s="32">
        <f>B$20/B27</f>
        <v>4.8948016752894805</v>
      </c>
      <c r="C23" s="32">
        <f t="shared" ref="C23:F24" si="4">C$20/C27</f>
        <v>1.950827653359299</v>
      </c>
      <c r="D23" s="32">
        <f t="shared" si="4"/>
        <v>0.40310262529832935</v>
      </c>
      <c r="E23" s="32">
        <f t="shared" si="4"/>
        <v>-4.3822429906542055</v>
      </c>
      <c r="F23" s="32">
        <f t="shared" si="4"/>
        <v>-5.8940397350993379E-2</v>
      </c>
    </row>
    <row r="24" spans="1:6" x14ac:dyDescent="0.2">
      <c r="A24" s="8" t="s">
        <v>25</v>
      </c>
      <c r="B24" s="32">
        <f>B$20/B28</f>
        <v>4.8577017114914423</v>
      </c>
      <c r="C24" s="32">
        <f t="shared" si="4"/>
        <v>1.9437302934756246</v>
      </c>
      <c r="D24" s="32">
        <f t="shared" si="4"/>
        <v>0.400997150997151</v>
      </c>
      <c r="E24" s="32">
        <f t="shared" si="4"/>
        <v>-4.3822429906542055</v>
      </c>
      <c r="F24" s="32">
        <f t="shared" si="4"/>
        <v>-5.8940397350993379E-2</v>
      </c>
    </row>
    <row r="26" spans="1:6" ht="15.75" x14ac:dyDescent="0.25">
      <c r="A26" s="4" t="s">
        <v>26</v>
      </c>
    </row>
    <row r="27" spans="1:6" x14ac:dyDescent="0.2">
      <c r="A27" s="8" t="s">
        <v>27</v>
      </c>
      <c r="B27" s="23">
        <v>4059</v>
      </c>
      <c r="C27" s="23">
        <v>4108</v>
      </c>
      <c r="D27" s="23">
        <v>4190</v>
      </c>
      <c r="E27" s="23">
        <v>4280</v>
      </c>
      <c r="F27" s="23">
        <v>4530</v>
      </c>
    </row>
    <row r="28" spans="1:6" x14ac:dyDescent="0.2">
      <c r="A28" s="8" t="s">
        <v>28</v>
      </c>
      <c r="B28" s="23">
        <v>4090</v>
      </c>
      <c r="C28" s="23">
        <v>4123</v>
      </c>
      <c r="D28" s="23">
        <v>4212</v>
      </c>
      <c r="E28" s="23">
        <v>4280</v>
      </c>
      <c r="F28" s="23">
        <v>4530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topLeftCell="A27" zoomScale="130" zoomScaleNormal="130" workbookViewId="0">
      <selection activeCell="B31" sqref="B31:F31"/>
    </sheetView>
  </sheetViews>
  <sheetFormatPr defaultColWidth="8.7109375" defaultRowHeight="15" x14ac:dyDescent="0.2"/>
  <cols>
    <col min="1" max="1" width="52" style="13" customWidth="1"/>
    <col min="2" max="6" width="14" style="13" customWidth="1"/>
    <col min="7" max="16384" width="8.7109375" style="13"/>
  </cols>
  <sheetData>
    <row r="1" spans="1:6" ht="15.75" x14ac:dyDescent="0.25">
      <c r="A1" s="1" t="s">
        <v>0</v>
      </c>
    </row>
    <row r="2" spans="1:6" ht="15.75" x14ac:dyDescent="0.25">
      <c r="A2" s="1" t="s">
        <v>29</v>
      </c>
    </row>
    <row r="3" spans="1:6" x14ac:dyDescent="0.2">
      <c r="A3" s="2" t="s">
        <v>30</v>
      </c>
    </row>
    <row r="4" spans="1:6" ht="15.75" x14ac:dyDescent="0.25">
      <c r="B4" s="3" t="s">
        <v>3</v>
      </c>
      <c r="C4" s="3" t="s">
        <v>4</v>
      </c>
      <c r="D4" s="3" t="s">
        <v>5</v>
      </c>
      <c r="E4" s="3" t="s">
        <v>6</v>
      </c>
      <c r="F4" s="3" t="s">
        <v>7</v>
      </c>
    </row>
    <row r="5" spans="1:6" ht="15.75" x14ac:dyDescent="0.25">
      <c r="A5" s="6" t="s">
        <v>31</v>
      </c>
      <c r="B5" s="14"/>
      <c r="C5" s="14"/>
      <c r="D5" s="14"/>
      <c r="E5" s="14"/>
      <c r="F5" s="14"/>
    </row>
    <row r="6" spans="1:6" ht="15.75" x14ac:dyDescent="0.25">
      <c r="A6" s="4" t="s">
        <v>32</v>
      </c>
    </row>
    <row r="7" spans="1:6" x14ac:dyDescent="0.2">
      <c r="A7" s="8" t="s">
        <v>33</v>
      </c>
      <c r="B7" s="23">
        <v>4827</v>
      </c>
      <c r="C7" s="23">
        <v>11144</v>
      </c>
      <c r="D7" s="23">
        <v>7079</v>
      </c>
      <c r="E7" s="23">
        <v>8249</v>
      </c>
      <c r="F7" s="23">
        <v>14265</v>
      </c>
    </row>
    <row r="8" spans="1:6" x14ac:dyDescent="0.2">
      <c r="A8" s="8" t="s">
        <v>34</v>
      </c>
      <c r="B8" s="23">
        <v>2103</v>
      </c>
      <c r="C8" s="23">
        <v>17194</v>
      </c>
      <c r="D8" s="23">
        <v>17955</v>
      </c>
      <c r="E8" s="23">
        <v>13813</v>
      </c>
      <c r="F8" s="23">
        <v>23151</v>
      </c>
    </row>
    <row r="9" spans="1:6" x14ac:dyDescent="0.2">
      <c r="A9" s="8" t="s">
        <v>35</v>
      </c>
      <c r="B9" s="23">
        <v>21483</v>
      </c>
      <c r="C9" s="23">
        <v>0</v>
      </c>
      <c r="D9" s="23">
        <v>0</v>
      </c>
      <c r="E9" s="23">
        <v>0</v>
      </c>
      <c r="F9" s="23">
        <v>0</v>
      </c>
    </row>
    <row r="10" spans="1:6" x14ac:dyDescent="0.2">
      <c r="A10" s="8" t="s">
        <v>36</v>
      </c>
      <c r="B10" s="23">
        <v>9457</v>
      </c>
      <c r="C10" s="23">
        <v>4133</v>
      </c>
      <c r="D10" s="23">
        <v>3402</v>
      </c>
      <c r="E10" s="23">
        <v>3478</v>
      </c>
      <c r="F10" s="23">
        <v>3839</v>
      </c>
    </row>
    <row r="11" spans="1:6" x14ac:dyDescent="0.2">
      <c r="A11" s="8" t="s">
        <v>37</v>
      </c>
      <c r="B11" s="23">
        <v>10776</v>
      </c>
      <c r="C11" s="23">
        <v>13224</v>
      </c>
      <c r="D11" s="23">
        <v>11127</v>
      </c>
      <c r="E11" s="23">
        <v>12198</v>
      </c>
      <c r="F11" s="23">
        <v>11618</v>
      </c>
    </row>
    <row r="12" spans="1:6" x14ac:dyDescent="0.2">
      <c r="A12" s="8" t="s">
        <v>38</v>
      </c>
      <c r="B12" s="23">
        <v>6942</v>
      </c>
      <c r="C12" s="23">
        <v>0</v>
      </c>
      <c r="D12" s="23">
        <v>0</v>
      </c>
      <c r="E12" s="23">
        <v>0</v>
      </c>
      <c r="F12" s="23">
        <v>0</v>
      </c>
    </row>
    <row r="13" spans="1:6" x14ac:dyDescent="0.2">
      <c r="A13" s="8" t="s">
        <v>39</v>
      </c>
      <c r="B13" s="23">
        <v>2130</v>
      </c>
      <c r="C13" s="23">
        <v>4712</v>
      </c>
      <c r="D13" s="23">
        <v>3706</v>
      </c>
      <c r="E13" s="23">
        <v>9586</v>
      </c>
      <c r="F13" s="23">
        <v>10815</v>
      </c>
    </row>
    <row r="14" spans="1:6" s="15" customFormat="1" ht="15.75" x14ac:dyDescent="0.25">
      <c r="A14" s="11" t="s">
        <v>40</v>
      </c>
      <c r="B14" s="26">
        <f>SUM(B7:B13)</f>
        <v>57718</v>
      </c>
      <c r="C14" s="26">
        <f t="shared" ref="C14:F14" si="0">SUM(C7:C13)</f>
        <v>50407</v>
      </c>
      <c r="D14" s="26">
        <f t="shared" si="0"/>
        <v>43269</v>
      </c>
      <c r="E14" s="26">
        <f t="shared" si="0"/>
        <v>47324</v>
      </c>
      <c r="F14" s="26">
        <f t="shared" si="0"/>
        <v>63688</v>
      </c>
    </row>
    <row r="15" spans="1:6" x14ac:dyDescent="0.2">
      <c r="A15" s="8" t="s">
        <v>41</v>
      </c>
      <c r="B15" s="23">
        <v>63245</v>
      </c>
      <c r="C15" s="23">
        <v>80860</v>
      </c>
      <c r="D15" s="23">
        <v>96647</v>
      </c>
      <c r="E15" s="23">
        <v>107919</v>
      </c>
      <c r="F15" s="23">
        <v>105414</v>
      </c>
    </row>
    <row r="16" spans="1:6" x14ac:dyDescent="0.2">
      <c r="A16" s="8" t="s">
        <v>42</v>
      </c>
      <c r="B16" s="23">
        <v>6298</v>
      </c>
      <c r="C16" s="23">
        <v>5912</v>
      </c>
      <c r="D16" s="23">
        <v>5829</v>
      </c>
      <c r="E16" s="23">
        <v>5383</v>
      </c>
      <c r="F16" s="23">
        <v>8512</v>
      </c>
    </row>
    <row r="17" spans="1:6" x14ac:dyDescent="0.2">
      <c r="A17" s="8" t="s">
        <v>43</v>
      </c>
      <c r="B17" s="23">
        <v>840</v>
      </c>
      <c r="C17" s="23">
        <v>0</v>
      </c>
      <c r="D17" s="23">
        <v>0</v>
      </c>
      <c r="E17" s="23">
        <v>0</v>
      </c>
      <c r="F17" s="23">
        <v>0</v>
      </c>
    </row>
    <row r="18" spans="1:6" x14ac:dyDescent="0.2">
      <c r="A18" s="8" t="s">
        <v>44</v>
      </c>
      <c r="B18" s="23">
        <v>26963</v>
      </c>
      <c r="C18" s="23">
        <v>27591</v>
      </c>
      <c r="D18" s="23">
        <v>27591</v>
      </c>
      <c r="E18" s="23">
        <v>24693</v>
      </c>
      <c r="F18" s="23">
        <v>23912</v>
      </c>
    </row>
    <row r="19" spans="1:6" x14ac:dyDescent="0.2">
      <c r="A19" s="8" t="s">
        <v>45</v>
      </c>
      <c r="B19" s="23">
        <v>7270</v>
      </c>
      <c r="C19" s="23">
        <v>6018</v>
      </c>
      <c r="D19" s="23">
        <v>4589</v>
      </c>
      <c r="E19" s="23">
        <v>3691</v>
      </c>
      <c r="F19" s="23">
        <v>2772</v>
      </c>
    </row>
    <row r="20" spans="1:6" x14ac:dyDescent="0.2">
      <c r="A20" s="8" t="s">
        <v>46</v>
      </c>
      <c r="B20" s="23">
        <v>6072</v>
      </c>
      <c r="C20" s="23">
        <v>11315</v>
      </c>
      <c r="D20" s="23">
        <v>13647</v>
      </c>
      <c r="E20" s="23">
        <v>7475</v>
      </c>
      <c r="F20" s="23">
        <v>7131</v>
      </c>
    </row>
    <row r="21" spans="1:6" s="15" customFormat="1" ht="16.5" thickBot="1" x14ac:dyDescent="0.3">
      <c r="A21" s="12" t="s">
        <v>47</v>
      </c>
      <c r="B21" s="27">
        <f>SUM(B14:B20)</f>
        <v>168406</v>
      </c>
      <c r="C21" s="27">
        <f t="shared" ref="C21:F21" si="1">SUM(C14:C20)</f>
        <v>182103</v>
      </c>
      <c r="D21" s="27">
        <f t="shared" si="1"/>
        <v>191572</v>
      </c>
      <c r="E21" s="27">
        <f t="shared" si="1"/>
        <v>196485</v>
      </c>
      <c r="F21" s="27">
        <f t="shared" si="1"/>
        <v>211429</v>
      </c>
    </row>
    <row r="22" spans="1:6" x14ac:dyDescent="0.2">
      <c r="B22" s="19"/>
      <c r="C22" s="19"/>
      <c r="D22" s="19"/>
      <c r="E22" s="19"/>
      <c r="F22" s="19"/>
    </row>
    <row r="23" spans="1:6" ht="15.75" x14ac:dyDescent="0.25">
      <c r="A23" s="6" t="s">
        <v>48</v>
      </c>
      <c r="B23" s="19"/>
      <c r="C23" s="19"/>
      <c r="D23" s="19"/>
      <c r="E23" s="19"/>
      <c r="F23" s="19"/>
    </row>
    <row r="24" spans="1:6" ht="15.75" x14ac:dyDescent="0.25">
      <c r="A24" s="4" t="s">
        <v>49</v>
      </c>
      <c r="B24" s="19"/>
      <c r="C24" s="19"/>
      <c r="D24" s="19"/>
      <c r="E24" s="19"/>
      <c r="F24" s="19"/>
    </row>
    <row r="25" spans="1:6" x14ac:dyDescent="0.2">
      <c r="A25" s="8" t="s">
        <v>50</v>
      </c>
      <c r="B25" s="23">
        <v>4591</v>
      </c>
      <c r="C25" s="23">
        <v>4367</v>
      </c>
      <c r="D25" s="23">
        <v>2288</v>
      </c>
      <c r="E25" s="23">
        <v>3729</v>
      </c>
      <c r="F25" s="23">
        <v>2499</v>
      </c>
    </row>
    <row r="26" spans="1:6" x14ac:dyDescent="0.2">
      <c r="A26" s="8" t="s">
        <v>51</v>
      </c>
      <c r="B26" s="23">
        <v>5747</v>
      </c>
      <c r="C26" s="23">
        <v>9595</v>
      </c>
      <c r="D26" s="23">
        <v>8578</v>
      </c>
      <c r="E26" s="23">
        <v>12556</v>
      </c>
      <c r="F26" s="23">
        <v>9882</v>
      </c>
    </row>
    <row r="27" spans="1:6" x14ac:dyDescent="0.2">
      <c r="A27" s="8" t="s">
        <v>52</v>
      </c>
      <c r="B27" s="23">
        <v>4535</v>
      </c>
      <c r="C27" s="23">
        <v>4084</v>
      </c>
      <c r="D27" s="23">
        <v>3655</v>
      </c>
      <c r="E27" s="23">
        <v>3343</v>
      </c>
      <c r="F27" s="23">
        <v>3990</v>
      </c>
    </row>
    <row r="28" spans="1:6" x14ac:dyDescent="0.2">
      <c r="A28" s="8" t="s">
        <v>53</v>
      </c>
      <c r="B28" s="23">
        <v>0</v>
      </c>
      <c r="C28" s="23">
        <v>2251</v>
      </c>
      <c r="D28" s="23">
        <v>1107</v>
      </c>
      <c r="E28" s="23">
        <v>1756</v>
      </c>
      <c r="F28" s="23">
        <v>604</v>
      </c>
    </row>
    <row r="29" spans="1:6" x14ac:dyDescent="0.2">
      <c r="A29" s="8" t="s">
        <v>54</v>
      </c>
      <c r="B29" s="23">
        <v>12589</v>
      </c>
      <c r="C29" s="23">
        <v>11858</v>
      </c>
      <c r="D29" s="23">
        <v>12425</v>
      </c>
      <c r="E29" s="23">
        <v>14282</v>
      </c>
      <c r="F29" s="23">
        <v>14600</v>
      </c>
    </row>
    <row r="30" spans="1:6" s="15" customFormat="1" ht="15.75" x14ac:dyDescent="0.25">
      <c r="A30" s="11" t="s">
        <v>55</v>
      </c>
      <c r="B30" s="26">
        <f>SUM(B25:B29)</f>
        <v>27462</v>
      </c>
      <c r="C30" s="26">
        <f t="shared" ref="C30:F30" si="2">SUM(C25:C29)</f>
        <v>32155</v>
      </c>
      <c r="D30" s="26">
        <f t="shared" si="2"/>
        <v>28053</v>
      </c>
      <c r="E30" s="26">
        <f t="shared" si="2"/>
        <v>35666</v>
      </c>
      <c r="F30" s="26">
        <f t="shared" si="2"/>
        <v>31575</v>
      </c>
    </row>
    <row r="31" spans="1:6" x14ac:dyDescent="0.2">
      <c r="A31" s="8" t="s">
        <v>56</v>
      </c>
      <c r="B31" s="23">
        <v>33510</v>
      </c>
      <c r="C31" s="23">
        <v>37684</v>
      </c>
      <c r="D31" s="23">
        <v>46978</v>
      </c>
      <c r="E31" s="23">
        <v>46282</v>
      </c>
      <c r="F31" s="23">
        <v>44086</v>
      </c>
    </row>
    <row r="32" spans="1:6" x14ac:dyDescent="0.2">
      <c r="A32" s="8" t="s">
        <v>57</v>
      </c>
      <c r="B32" s="23">
        <v>185</v>
      </c>
      <c r="C32" s="23">
        <v>0</v>
      </c>
      <c r="D32" s="23">
        <v>0</v>
      </c>
      <c r="E32" s="23">
        <v>0</v>
      </c>
      <c r="F32" s="23">
        <v>0</v>
      </c>
    </row>
    <row r="33" spans="1:6" x14ac:dyDescent="0.2">
      <c r="A33" s="8" t="s">
        <v>58</v>
      </c>
      <c r="B33" s="23">
        <v>4305</v>
      </c>
      <c r="C33" s="23">
        <v>0</v>
      </c>
      <c r="D33" s="23">
        <v>0</v>
      </c>
      <c r="E33" s="23">
        <v>0</v>
      </c>
      <c r="F33" s="23">
        <v>0</v>
      </c>
    </row>
    <row r="34" spans="1:6" x14ac:dyDescent="0.2">
      <c r="A34" s="8" t="s">
        <v>59</v>
      </c>
      <c r="B34" s="23">
        <v>2667</v>
      </c>
      <c r="C34" s="23">
        <v>0</v>
      </c>
      <c r="D34" s="23">
        <v>0</v>
      </c>
      <c r="E34" s="23">
        <v>0</v>
      </c>
      <c r="F34" s="23">
        <v>0</v>
      </c>
    </row>
    <row r="35" spans="1:6" x14ac:dyDescent="0.2">
      <c r="A35" s="8" t="s">
        <v>60</v>
      </c>
      <c r="B35" s="23">
        <v>4886</v>
      </c>
      <c r="C35" s="23">
        <v>8978</v>
      </c>
      <c r="D35" s="23">
        <v>6576</v>
      </c>
      <c r="E35" s="23">
        <v>9505</v>
      </c>
      <c r="F35" s="23">
        <v>9408</v>
      </c>
    </row>
    <row r="36" spans="1:6" s="15" customFormat="1" ht="15.75" x14ac:dyDescent="0.25">
      <c r="A36" s="11" t="s">
        <v>61</v>
      </c>
      <c r="B36" s="26">
        <f>SUM(B30:B35)</f>
        <v>73015</v>
      </c>
      <c r="C36" s="26">
        <f t="shared" ref="C36:F36" si="3">SUM(C30:C35)</f>
        <v>78817</v>
      </c>
      <c r="D36" s="26">
        <f t="shared" si="3"/>
        <v>81607</v>
      </c>
      <c r="E36" s="26">
        <f t="shared" si="3"/>
        <v>91453</v>
      </c>
      <c r="F36" s="26">
        <f t="shared" si="3"/>
        <v>85069</v>
      </c>
    </row>
    <row r="37" spans="1:6" ht="15.75" x14ac:dyDescent="0.25">
      <c r="A37" s="4" t="s">
        <v>62</v>
      </c>
      <c r="B37" s="19"/>
      <c r="C37" s="19"/>
      <c r="D37" s="19"/>
      <c r="E37" s="19"/>
      <c r="F37" s="19"/>
    </row>
    <row r="38" spans="1:6" x14ac:dyDescent="0.2">
      <c r="A38" s="8" t="s">
        <v>63</v>
      </c>
      <c r="B38" s="23">
        <v>28006</v>
      </c>
      <c r="C38" s="23">
        <v>31580</v>
      </c>
      <c r="D38" s="23">
        <v>36649</v>
      </c>
      <c r="E38" s="23">
        <v>50949</v>
      </c>
      <c r="F38" s="23">
        <v>65185</v>
      </c>
    </row>
    <row r="39" spans="1:6" x14ac:dyDescent="0.2">
      <c r="A39" s="8" t="s">
        <v>64</v>
      </c>
      <c r="B39" s="23">
        <v>-880</v>
      </c>
      <c r="C39" s="23">
        <v>-562</v>
      </c>
      <c r="D39" s="23">
        <v>-215</v>
      </c>
      <c r="E39" s="23">
        <v>-711</v>
      </c>
      <c r="F39" s="23">
        <v>113</v>
      </c>
    </row>
    <row r="40" spans="1:6" x14ac:dyDescent="0.2">
      <c r="A40" s="8" t="s">
        <v>65</v>
      </c>
      <c r="B40" s="23">
        <v>68265</v>
      </c>
      <c r="C40" s="23">
        <v>70405</v>
      </c>
      <c r="D40" s="23">
        <v>69156</v>
      </c>
      <c r="E40" s="23">
        <v>49032</v>
      </c>
      <c r="F40" s="23">
        <v>48983</v>
      </c>
    </row>
    <row r="41" spans="1:6" s="15" customFormat="1" ht="15.75" x14ac:dyDescent="0.25">
      <c r="A41" s="11" t="s">
        <v>66</v>
      </c>
      <c r="B41" s="26">
        <f>SUM(B38:B40)</f>
        <v>95391</v>
      </c>
      <c r="C41" s="26">
        <f t="shared" ref="C41:F41" si="4">SUM(C38:C40)</f>
        <v>101423</v>
      </c>
      <c r="D41" s="26">
        <f t="shared" si="4"/>
        <v>105590</v>
      </c>
      <c r="E41" s="26">
        <f t="shared" si="4"/>
        <v>99270</v>
      </c>
      <c r="F41" s="26">
        <f t="shared" si="4"/>
        <v>114281</v>
      </c>
    </row>
    <row r="42" spans="1:6" x14ac:dyDescent="0.2">
      <c r="A42" s="8" t="s">
        <v>67</v>
      </c>
      <c r="B42" s="23">
        <v>0</v>
      </c>
      <c r="C42" s="23">
        <v>1863</v>
      </c>
      <c r="D42" s="23">
        <v>4375</v>
      </c>
      <c r="E42" s="23">
        <v>5762</v>
      </c>
      <c r="F42" s="23">
        <v>12079</v>
      </c>
    </row>
    <row r="43" spans="1:6" s="15" customFormat="1" ht="15.75" x14ac:dyDescent="0.25">
      <c r="A43" s="11" t="s">
        <v>68</v>
      </c>
      <c r="B43" s="26">
        <f>B41+B42</f>
        <v>95391</v>
      </c>
      <c r="C43" s="26">
        <f t="shared" ref="C43:F43" si="5">C41+C42</f>
        <v>103286</v>
      </c>
      <c r="D43" s="26">
        <f t="shared" si="5"/>
        <v>109965</v>
      </c>
      <c r="E43" s="26">
        <f t="shared" si="5"/>
        <v>105032</v>
      </c>
      <c r="F43" s="26">
        <f t="shared" si="5"/>
        <v>126360</v>
      </c>
    </row>
    <row r="44" spans="1:6" s="15" customFormat="1" ht="16.5" thickBot="1" x14ac:dyDescent="0.3">
      <c r="A44" s="12" t="s">
        <v>69</v>
      </c>
      <c r="B44" s="27">
        <f>B43+B36</f>
        <v>168406</v>
      </c>
      <c r="C44" s="27">
        <f t="shared" ref="C44:F44" si="6">C43+C36</f>
        <v>182103</v>
      </c>
      <c r="D44" s="27">
        <f t="shared" si="6"/>
        <v>191572</v>
      </c>
      <c r="E44" s="27">
        <f t="shared" si="6"/>
        <v>196485</v>
      </c>
      <c r="F44" s="27">
        <f t="shared" si="6"/>
        <v>211429</v>
      </c>
    </row>
    <row r="45" spans="1:6" x14ac:dyDescent="0.2">
      <c r="B45" s="19"/>
      <c r="C45" s="19"/>
      <c r="D45" s="19"/>
      <c r="E45" s="19"/>
      <c r="F45" s="19"/>
    </row>
    <row r="46" spans="1:6" x14ac:dyDescent="0.2">
      <c r="A46" s="13" t="s">
        <v>117</v>
      </c>
      <c r="B46" s="19">
        <f>B44-B21</f>
        <v>0</v>
      </c>
      <c r="C46" s="19">
        <f t="shared" ref="C46:F46" si="7">C44-C21</f>
        <v>0</v>
      </c>
      <c r="D46" s="19">
        <f t="shared" si="7"/>
        <v>0</v>
      </c>
      <c r="E46" s="19">
        <f t="shared" si="7"/>
        <v>0</v>
      </c>
      <c r="F46" s="19">
        <f t="shared" si="7"/>
        <v>0</v>
      </c>
    </row>
    <row r="47" spans="1:6" x14ac:dyDescent="0.2">
      <c r="B47" s="19"/>
      <c r="C47" s="19"/>
      <c r="D47" s="19"/>
      <c r="E47" s="19"/>
      <c r="F47" s="19"/>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1"/>
  <sheetViews>
    <sheetView topLeftCell="A36" zoomScale="130" zoomScaleNormal="130" workbookViewId="0">
      <selection activeCell="F57" sqref="F57"/>
    </sheetView>
  </sheetViews>
  <sheetFormatPr defaultColWidth="8.7109375" defaultRowHeight="15" x14ac:dyDescent="0.2"/>
  <cols>
    <col min="1" max="1" width="63.140625" style="13" customWidth="1"/>
    <col min="2" max="6" width="14" style="13" customWidth="1"/>
    <col min="7" max="16384" width="8.7109375" style="13"/>
  </cols>
  <sheetData>
    <row r="1" spans="1:6" ht="15.75" x14ac:dyDescent="0.25">
      <c r="A1" s="1" t="s">
        <v>0</v>
      </c>
    </row>
    <row r="2" spans="1:6" ht="15.75" x14ac:dyDescent="0.25">
      <c r="A2" s="1" t="s">
        <v>70</v>
      </c>
    </row>
    <row r="3" spans="1:6" x14ac:dyDescent="0.2">
      <c r="A3" s="2" t="s">
        <v>30</v>
      </c>
    </row>
    <row r="4" spans="1:6" ht="15.75" x14ac:dyDescent="0.25">
      <c r="B4" s="3" t="s">
        <v>3</v>
      </c>
      <c r="C4" s="3" t="s">
        <v>4</v>
      </c>
      <c r="D4" s="3" t="s">
        <v>5</v>
      </c>
      <c r="E4" s="3" t="s">
        <v>6</v>
      </c>
      <c r="F4" s="3" t="s">
        <v>7</v>
      </c>
    </row>
    <row r="6" spans="1:6" ht="15.75" x14ac:dyDescent="0.25">
      <c r="A6" s="4" t="s">
        <v>71</v>
      </c>
      <c r="B6" s="5">
        <v>5865</v>
      </c>
      <c r="C6" s="5">
        <f>B60</f>
        <v>4827</v>
      </c>
      <c r="D6" s="5">
        <f t="shared" ref="D6:F6" si="0">C60</f>
        <v>11144</v>
      </c>
      <c r="E6" s="5">
        <f t="shared" si="0"/>
        <v>7079</v>
      </c>
      <c r="F6" s="5">
        <f t="shared" si="0"/>
        <v>8249</v>
      </c>
    </row>
    <row r="8" spans="1:6" ht="15.75" x14ac:dyDescent="0.25">
      <c r="A8" s="6" t="s">
        <v>72</v>
      </c>
      <c r="B8" s="14"/>
      <c r="C8" s="14"/>
      <c r="D8" s="14"/>
      <c r="E8" s="14"/>
      <c r="F8" s="14"/>
    </row>
    <row r="9" spans="1:6" s="15" customFormat="1" ht="15.75" x14ac:dyDescent="0.25">
      <c r="A9" s="7" t="s">
        <v>20</v>
      </c>
      <c r="B9" s="25">
        <f>'Income Statement'!B18</f>
        <v>19868</v>
      </c>
      <c r="C9" s="25">
        <f>'Income Statement'!C18</f>
        <v>8017</v>
      </c>
      <c r="D9" s="25">
        <f>'Income Statement'!D18</f>
        <v>1675</v>
      </c>
      <c r="E9" s="25">
        <f>'Income Statement'!E18</f>
        <v>-19233</v>
      </c>
      <c r="F9" s="25">
        <f>'Income Statement'!F18</f>
        <v>26</v>
      </c>
    </row>
    <row r="10" spans="1:6" x14ac:dyDescent="0.2">
      <c r="A10" s="8" t="s">
        <v>73</v>
      </c>
      <c r="B10" s="19"/>
      <c r="C10" s="19"/>
      <c r="D10" s="19"/>
      <c r="E10" s="19"/>
      <c r="F10" s="19"/>
    </row>
    <row r="11" spans="1:6" x14ac:dyDescent="0.2">
      <c r="A11" s="9" t="s">
        <v>74</v>
      </c>
      <c r="B11" s="23">
        <v>9953</v>
      </c>
      <c r="C11" s="23">
        <v>11128</v>
      </c>
      <c r="D11" s="23">
        <v>7847</v>
      </c>
      <c r="E11" s="23">
        <v>9951</v>
      </c>
      <c r="F11" s="23">
        <v>10757</v>
      </c>
    </row>
    <row r="12" spans="1:6" x14ac:dyDescent="0.2">
      <c r="A12" s="9" t="s">
        <v>75</v>
      </c>
      <c r="B12" s="23">
        <v>2036</v>
      </c>
      <c r="C12" s="23">
        <v>3128</v>
      </c>
      <c r="D12" s="23">
        <v>3229</v>
      </c>
      <c r="E12" s="23">
        <v>3410</v>
      </c>
      <c r="F12" s="23">
        <v>2434</v>
      </c>
    </row>
    <row r="13" spans="1:6" x14ac:dyDescent="0.2">
      <c r="A13" s="9" t="s">
        <v>14</v>
      </c>
      <c r="B13" s="23">
        <v>2626</v>
      </c>
      <c r="C13" s="23">
        <v>1074</v>
      </c>
      <c r="D13" s="23">
        <v>-424</v>
      </c>
      <c r="E13" s="23">
        <v>3491</v>
      </c>
      <c r="F13" s="23">
        <v>476</v>
      </c>
    </row>
    <row r="14" spans="1:6" x14ac:dyDescent="0.2">
      <c r="A14" s="9" t="s">
        <v>76</v>
      </c>
      <c r="B14" s="23">
        <v>1839</v>
      </c>
      <c r="C14" s="23">
        <v>1907</v>
      </c>
      <c r="D14" s="23">
        <v>1755</v>
      </c>
      <c r="E14" s="23">
        <v>1428</v>
      </c>
      <c r="F14" s="23">
        <v>949</v>
      </c>
    </row>
    <row r="15" spans="1:6" x14ac:dyDescent="0.2">
      <c r="A15" s="9" t="s">
        <v>77</v>
      </c>
      <c r="B15" s="23">
        <v>-1458</v>
      </c>
      <c r="C15" s="23">
        <v>-4254</v>
      </c>
      <c r="D15" s="23">
        <v>-42</v>
      </c>
      <c r="E15" s="23">
        <v>-246</v>
      </c>
      <c r="F15" s="23">
        <v>-514</v>
      </c>
    </row>
    <row r="16" spans="1:6" x14ac:dyDescent="0.2">
      <c r="A16" s="9" t="s">
        <v>78</v>
      </c>
      <c r="B16" s="23">
        <v>0</v>
      </c>
      <c r="C16" s="23">
        <v>-1059</v>
      </c>
      <c r="D16" s="23">
        <v>0</v>
      </c>
      <c r="E16" s="23">
        <v>0</v>
      </c>
      <c r="F16" s="23">
        <v>-5323</v>
      </c>
    </row>
    <row r="17" spans="1:6" x14ac:dyDescent="0.2">
      <c r="A17" s="9" t="s">
        <v>79</v>
      </c>
      <c r="B17" s="23">
        <v>0</v>
      </c>
      <c r="C17" s="23">
        <v>0</v>
      </c>
      <c r="D17" s="23">
        <v>-2033</v>
      </c>
      <c r="E17" s="23">
        <v>6132</v>
      </c>
      <c r="F17" s="23">
        <v>328</v>
      </c>
    </row>
    <row r="18" spans="1:6" x14ac:dyDescent="0.2">
      <c r="A18" s="9" t="s">
        <v>80</v>
      </c>
      <c r="B18" s="23">
        <v>0</v>
      </c>
      <c r="C18" s="23">
        <v>0</v>
      </c>
      <c r="D18" s="23">
        <v>33</v>
      </c>
      <c r="E18" s="23">
        <v>2252</v>
      </c>
      <c r="F18" s="23">
        <v>515</v>
      </c>
    </row>
    <row r="19" spans="1:6" x14ac:dyDescent="0.2">
      <c r="A19" s="9" t="s">
        <v>81</v>
      </c>
      <c r="B19" s="23">
        <v>0</v>
      </c>
      <c r="C19" s="23">
        <v>0</v>
      </c>
      <c r="D19" s="23">
        <v>0</v>
      </c>
      <c r="E19" s="23">
        <v>0</v>
      </c>
      <c r="F19" s="23">
        <v>1796</v>
      </c>
    </row>
    <row r="20" spans="1:6" x14ac:dyDescent="0.2">
      <c r="A20" s="10" t="s">
        <v>82</v>
      </c>
      <c r="B20" s="19"/>
      <c r="C20" s="19"/>
      <c r="D20" s="19"/>
      <c r="E20" s="19"/>
      <c r="F20" s="19"/>
    </row>
    <row r="21" spans="1:6" x14ac:dyDescent="0.2">
      <c r="A21" s="9" t="s">
        <v>83</v>
      </c>
      <c r="B21" s="23">
        <v>-2674</v>
      </c>
      <c r="C21" s="23">
        <v>5327</v>
      </c>
      <c r="D21" s="23">
        <v>731</v>
      </c>
      <c r="E21" s="23">
        <v>-75</v>
      </c>
      <c r="F21" s="23">
        <v>-449</v>
      </c>
    </row>
    <row r="22" spans="1:6" x14ac:dyDescent="0.2">
      <c r="A22" s="9" t="s">
        <v>37</v>
      </c>
      <c r="B22" s="23">
        <v>-2339</v>
      </c>
      <c r="C22" s="23">
        <v>-2436</v>
      </c>
      <c r="D22" s="23">
        <v>2097</v>
      </c>
      <c r="E22" s="23">
        <v>-1105</v>
      </c>
      <c r="F22" s="23">
        <v>-138</v>
      </c>
    </row>
    <row r="23" spans="1:6" x14ac:dyDescent="0.2">
      <c r="A23" s="9" t="s">
        <v>51</v>
      </c>
      <c r="B23" s="23">
        <v>1190</v>
      </c>
      <c r="C23" s="23">
        <v>-29</v>
      </c>
      <c r="D23" s="23">
        <v>-801</v>
      </c>
      <c r="E23" s="23">
        <v>634</v>
      </c>
      <c r="F23" s="23">
        <v>297</v>
      </c>
    </row>
    <row r="24" spans="1:6" x14ac:dyDescent="0.2">
      <c r="A24" s="9" t="s">
        <v>52</v>
      </c>
      <c r="B24" s="23">
        <v>515</v>
      </c>
      <c r="C24" s="23">
        <v>-1533</v>
      </c>
      <c r="D24" s="23">
        <v>-614</v>
      </c>
      <c r="E24" s="23">
        <v>-218</v>
      </c>
      <c r="F24" s="23">
        <v>788</v>
      </c>
    </row>
    <row r="25" spans="1:6" x14ac:dyDescent="0.2">
      <c r="A25" s="9" t="s">
        <v>84</v>
      </c>
      <c r="B25" s="23">
        <v>-1583</v>
      </c>
      <c r="C25" s="23">
        <v>-24</v>
      </c>
      <c r="D25" s="23">
        <v>0</v>
      </c>
      <c r="E25" s="23">
        <v>0</v>
      </c>
      <c r="F25" s="23">
        <v>0</v>
      </c>
    </row>
    <row r="26" spans="1:6" x14ac:dyDescent="0.2">
      <c r="A26" s="9" t="s">
        <v>85</v>
      </c>
      <c r="B26" s="23">
        <v>-441</v>
      </c>
      <c r="C26" s="23">
        <v>-4535</v>
      </c>
      <c r="D26" s="23">
        <v>-1498</v>
      </c>
      <c r="E26" s="23">
        <v>-356</v>
      </c>
      <c r="F26" s="23">
        <v>-995</v>
      </c>
    </row>
    <row r="27" spans="1:6" x14ac:dyDescent="0.2">
      <c r="A27" s="9" t="s">
        <v>86</v>
      </c>
      <c r="B27" s="23">
        <v>-76</v>
      </c>
      <c r="C27" s="23">
        <v>-1278</v>
      </c>
      <c r="D27" s="23">
        <v>-484</v>
      </c>
      <c r="E27" s="23">
        <v>2223</v>
      </c>
      <c r="F27" s="23">
        <v>-1250</v>
      </c>
    </row>
    <row r="28" spans="1:6" s="15" customFormat="1" ht="15.75" x14ac:dyDescent="0.25">
      <c r="A28" s="11" t="s">
        <v>87</v>
      </c>
      <c r="B28" s="26">
        <f>SUM(B9:B27)</f>
        <v>29456</v>
      </c>
      <c r="C28" s="26">
        <f t="shared" ref="C28:F28" si="1">SUM(C9:C27)</f>
        <v>15433</v>
      </c>
      <c r="D28" s="26">
        <f t="shared" si="1"/>
        <v>11471</v>
      </c>
      <c r="E28" s="26">
        <f t="shared" si="1"/>
        <v>8288</v>
      </c>
      <c r="F28" s="26">
        <f t="shared" si="1"/>
        <v>9697</v>
      </c>
    </row>
    <row r="29" spans="1:6" x14ac:dyDescent="0.2">
      <c r="B29" s="19"/>
      <c r="C29" s="19"/>
      <c r="D29" s="19"/>
      <c r="E29" s="19"/>
      <c r="F29" s="19"/>
    </row>
    <row r="30" spans="1:6" ht="15.75" x14ac:dyDescent="0.25">
      <c r="A30" s="6" t="s">
        <v>88</v>
      </c>
      <c r="B30" s="19"/>
      <c r="C30" s="19"/>
      <c r="D30" s="19"/>
      <c r="E30" s="19"/>
      <c r="F30" s="19"/>
    </row>
    <row r="31" spans="1:6" x14ac:dyDescent="0.2">
      <c r="A31" s="8" t="s">
        <v>89</v>
      </c>
      <c r="B31" s="23">
        <v>-18733</v>
      </c>
      <c r="C31" s="23">
        <v>-24844</v>
      </c>
      <c r="D31" s="23">
        <v>-25750</v>
      </c>
      <c r="E31" s="23">
        <v>-23944</v>
      </c>
      <c r="F31" s="23">
        <v>-14646</v>
      </c>
    </row>
    <row r="32" spans="1:6" x14ac:dyDescent="0.2">
      <c r="A32" s="8" t="s">
        <v>90</v>
      </c>
      <c r="B32" s="23">
        <v>-1596</v>
      </c>
      <c r="C32" s="23">
        <v>-206</v>
      </c>
      <c r="D32" s="23">
        <v>0</v>
      </c>
      <c r="E32" s="23">
        <v>0</v>
      </c>
      <c r="F32" s="23">
        <v>0</v>
      </c>
    </row>
    <row r="33" spans="1:6" x14ac:dyDescent="0.2">
      <c r="A33" s="8" t="s">
        <v>91</v>
      </c>
      <c r="B33" s="23">
        <v>166</v>
      </c>
      <c r="C33" s="23">
        <v>246</v>
      </c>
      <c r="D33" s="23">
        <v>1011</v>
      </c>
      <c r="E33" s="23">
        <v>1936</v>
      </c>
      <c r="F33" s="23">
        <v>1577</v>
      </c>
    </row>
    <row r="34" spans="1:6" x14ac:dyDescent="0.2">
      <c r="A34" s="8" t="s">
        <v>92</v>
      </c>
      <c r="B34" s="23">
        <v>-40554</v>
      </c>
      <c r="C34" s="23">
        <v>-43647</v>
      </c>
      <c r="D34" s="23">
        <v>-44414</v>
      </c>
      <c r="E34" s="23">
        <v>-37940</v>
      </c>
      <c r="F34" s="23">
        <v>-24319</v>
      </c>
    </row>
    <row r="35" spans="1:6" x14ac:dyDescent="0.2">
      <c r="A35" s="8" t="s">
        <v>93</v>
      </c>
      <c r="B35" s="23">
        <v>35299</v>
      </c>
      <c r="C35" s="23">
        <v>48730</v>
      </c>
      <c r="D35" s="23">
        <v>44077</v>
      </c>
      <c r="E35" s="23">
        <v>41463</v>
      </c>
      <c r="F35" s="23">
        <v>15387</v>
      </c>
    </row>
    <row r="36" spans="1:6" x14ac:dyDescent="0.2">
      <c r="A36" s="8" t="s">
        <v>94</v>
      </c>
      <c r="B36" s="23">
        <v>-613</v>
      </c>
      <c r="C36" s="23">
        <v>-510</v>
      </c>
      <c r="D36" s="23">
        <v>0</v>
      </c>
      <c r="E36" s="23">
        <v>0</v>
      </c>
      <c r="F36" s="23">
        <v>0</v>
      </c>
    </row>
    <row r="37" spans="1:6" x14ac:dyDescent="0.2">
      <c r="A37" s="8" t="s">
        <v>95</v>
      </c>
      <c r="B37" s="23">
        <v>581</v>
      </c>
      <c r="C37" s="23">
        <v>4961</v>
      </c>
      <c r="D37" s="23">
        <v>472</v>
      </c>
      <c r="E37" s="23">
        <v>1047</v>
      </c>
      <c r="F37" s="23">
        <v>671</v>
      </c>
    </row>
    <row r="38" spans="1:6" x14ac:dyDescent="0.2">
      <c r="A38" s="8" t="s">
        <v>96</v>
      </c>
      <c r="B38" s="23">
        <v>0</v>
      </c>
      <c r="C38" s="23">
        <v>6579</v>
      </c>
      <c r="D38" s="23">
        <v>0</v>
      </c>
      <c r="E38" s="23">
        <v>0</v>
      </c>
      <c r="F38" s="23">
        <v>6157</v>
      </c>
    </row>
    <row r="39" spans="1:6" x14ac:dyDescent="0.2">
      <c r="A39" s="8" t="s">
        <v>97</v>
      </c>
      <c r="B39" s="23">
        <v>1167</v>
      </c>
      <c r="C39" s="23">
        <v>-1540</v>
      </c>
      <c r="D39" s="23">
        <v>563</v>
      </c>
      <c r="E39" s="23">
        <v>-818</v>
      </c>
      <c r="F39" s="23">
        <v>352</v>
      </c>
    </row>
    <row r="40" spans="1:6" s="15" customFormat="1" ht="15.75" x14ac:dyDescent="0.25">
      <c r="A40" s="11" t="s">
        <v>98</v>
      </c>
      <c r="B40" s="26">
        <f>SUM(B31:B39)</f>
        <v>-24283</v>
      </c>
      <c r="C40" s="26">
        <f t="shared" ref="C40:F40" si="2">SUM(C31:C39)</f>
        <v>-10231</v>
      </c>
      <c r="D40" s="26">
        <f t="shared" si="2"/>
        <v>-24041</v>
      </c>
      <c r="E40" s="26">
        <f t="shared" si="2"/>
        <v>-18256</v>
      </c>
      <c r="F40" s="26">
        <f t="shared" si="2"/>
        <v>-14821</v>
      </c>
    </row>
    <row r="41" spans="1:6" x14ac:dyDescent="0.2">
      <c r="B41" s="19"/>
      <c r="C41" s="19"/>
      <c r="D41" s="19"/>
      <c r="E41" s="19"/>
      <c r="F41" s="19"/>
    </row>
    <row r="42" spans="1:6" ht="15.75" x14ac:dyDescent="0.25">
      <c r="A42" s="6" t="s">
        <v>99</v>
      </c>
      <c r="B42" s="19"/>
      <c r="C42" s="19"/>
      <c r="D42" s="19"/>
      <c r="E42" s="19"/>
      <c r="F42" s="19"/>
    </row>
    <row r="43" spans="1:6" x14ac:dyDescent="0.2">
      <c r="A43" s="8" t="s">
        <v>100</v>
      </c>
      <c r="B43" s="23">
        <v>0</v>
      </c>
      <c r="C43" s="23">
        <v>3945</v>
      </c>
      <c r="D43" s="23">
        <v>0</v>
      </c>
      <c r="E43" s="23">
        <v>7349</v>
      </c>
      <c r="F43" s="23">
        <v>3493</v>
      </c>
    </row>
    <row r="44" spans="1:6" x14ac:dyDescent="0.2">
      <c r="A44" s="8" t="s">
        <v>101</v>
      </c>
      <c r="B44" s="23">
        <v>0</v>
      </c>
      <c r="C44" s="23">
        <v>0</v>
      </c>
      <c r="D44" s="23">
        <v>-3944</v>
      </c>
      <c r="E44" s="23">
        <v>-7349</v>
      </c>
      <c r="F44" s="23">
        <v>-3493</v>
      </c>
    </row>
    <row r="45" spans="1:6" x14ac:dyDescent="0.2">
      <c r="A45" s="8" t="s">
        <v>102</v>
      </c>
      <c r="B45" s="23">
        <v>0</v>
      </c>
      <c r="C45" s="23">
        <v>-345</v>
      </c>
      <c r="D45" s="23">
        <v>0</v>
      </c>
      <c r="E45" s="23">
        <v>0</v>
      </c>
      <c r="F45" s="23">
        <v>0</v>
      </c>
    </row>
    <row r="46" spans="1:6" x14ac:dyDescent="0.2">
      <c r="A46" s="8" t="s">
        <v>103</v>
      </c>
      <c r="B46" s="23">
        <v>0</v>
      </c>
      <c r="C46" s="23">
        <v>874</v>
      </c>
      <c r="D46" s="23">
        <v>1511</v>
      </c>
      <c r="E46" s="23">
        <v>12714</v>
      </c>
      <c r="F46" s="23">
        <v>5108</v>
      </c>
    </row>
    <row r="47" spans="1:6" x14ac:dyDescent="0.2">
      <c r="A47" s="8" t="s">
        <v>104</v>
      </c>
      <c r="B47" s="23">
        <v>0</v>
      </c>
      <c r="C47" s="23">
        <v>1032</v>
      </c>
      <c r="D47" s="23">
        <v>2959</v>
      </c>
      <c r="E47" s="23">
        <v>0</v>
      </c>
      <c r="F47" s="23">
        <v>921</v>
      </c>
    </row>
    <row r="48" spans="1:6" x14ac:dyDescent="0.2">
      <c r="A48" s="8" t="s">
        <v>105</v>
      </c>
      <c r="B48" s="23">
        <v>0</v>
      </c>
      <c r="C48" s="23">
        <v>0</v>
      </c>
      <c r="D48" s="23">
        <v>0</v>
      </c>
      <c r="E48" s="23">
        <v>-1178</v>
      </c>
      <c r="F48" s="23">
        <v>-3026</v>
      </c>
    </row>
    <row r="49" spans="1:6" x14ac:dyDescent="0.2">
      <c r="A49" s="8" t="s">
        <v>106</v>
      </c>
      <c r="B49" s="23">
        <v>4974</v>
      </c>
      <c r="C49" s="23">
        <v>6548</v>
      </c>
      <c r="D49" s="23">
        <v>11391</v>
      </c>
      <c r="E49" s="23">
        <v>2975</v>
      </c>
      <c r="F49" s="23">
        <v>0</v>
      </c>
    </row>
    <row r="50" spans="1:6" x14ac:dyDescent="0.2">
      <c r="A50" s="8" t="s">
        <v>107</v>
      </c>
      <c r="B50" s="23">
        <v>-2500</v>
      </c>
      <c r="C50" s="23">
        <v>-4984</v>
      </c>
      <c r="D50" s="23">
        <v>-423</v>
      </c>
      <c r="E50" s="23">
        <v>-2288</v>
      </c>
      <c r="F50" s="23">
        <v>-3750</v>
      </c>
    </row>
    <row r="51" spans="1:6" x14ac:dyDescent="0.2">
      <c r="A51" s="8" t="s">
        <v>108</v>
      </c>
      <c r="B51" s="23">
        <v>1020</v>
      </c>
      <c r="C51" s="23">
        <v>977</v>
      </c>
      <c r="D51" s="23">
        <v>1042</v>
      </c>
      <c r="E51" s="23">
        <v>987</v>
      </c>
      <c r="F51" s="23">
        <v>771</v>
      </c>
    </row>
    <row r="52" spans="1:6" x14ac:dyDescent="0.2">
      <c r="A52" s="8" t="s">
        <v>109</v>
      </c>
      <c r="B52" s="23">
        <v>0</v>
      </c>
      <c r="C52" s="23">
        <v>0</v>
      </c>
      <c r="D52" s="23">
        <v>0</v>
      </c>
      <c r="E52" s="23">
        <v>0</v>
      </c>
      <c r="F52" s="23">
        <v>12706</v>
      </c>
    </row>
    <row r="53" spans="1:6" x14ac:dyDescent="0.2">
      <c r="A53" s="8" t="s">
        <v>110</v>
      </c>
      <c r="B53" s="23">
        <v>0</v>
      </c>
      <c r="C53" s="23">
        <v>0</v>
      </c>
      <c r="D53" s="23">
        <v>-534</v>
      </c>
      <c r="E53" s="23">
        <v>-631</v>
      </c>
      <c r="F53" s="23">
        <v>-423</v>
      </c>
    </row>
    <row r="54" spans="1:6" x14ac:dyDescent="0.2">
      <c r="A54" s="8" t="s">
        <v>111</v>
      </c>
      <c r="B54" s="23">
        <v>-2415</v>
      </c>
      <c r="C54" s="23">
        <v>0</v>
      </c>
      <c r="D54" s="23">
        <v>0</v>
      </c>
      <c r="E54" s="23">
        <v>0</v>
      </c>
      <c r="F54" s="23">
        <v>0</v>
      </c>
    </row>
    <row r="55" spans="1:6" x14ac:dyDescent="0.2">
      <c r="A55" s="8" t="s">
        <v>112</v>
      </c>
      <c r="B55" s="23">
        <v>-5644</v>
      </c>
      <c r="C55" s="23">
        <v>-5997</v>
      </c>
      <c r="D55" s="23">
        <v>-3088</v>
      </c>
      <c r="E55" s="23">
        <v>-1599</v>
      </c>
      <c r="F55" s="23">
        <v>0</v>
      </c>
    </row>
    <row r="56" spans="1:6" x14ac:dyDescent="0.2">
      <c r="A56" s="8" t="s">
        <v>113</v>
      </c>
      <c r="B56" s="23">
        <v>-1646</v>
      </c>
      <c r="C56" s="23">
        <v>-935</v>
      </c>
      <c r="D56" s="23">
        <v>-409</v>
      </c>
      <c r="E56" s="23">
        <v>158</v>
      </c>
      <c r="F56" s="23">
        <v>-720</v>
      </c>
    </row>
    <row r="57" spans="1:6" s="15" customFormat="1" ht="15.75" x14ac:dyDescent="0.25">
      <c r="A57" s="11" t="s">
        <v>114</v>
      </c>
      <c r="B57" s="26">
        <f>SUM(B43:B56)</f>
        <v>-6211</v>
      </c>
      <c r="C57" s="26">
        <f t="shared" ref="C57:F57" si="3">SUM(C43:C56)</f>
        <v>1115</v>
      </c>
      <c r="D57" s="26">
        <f t="shared" si="3"/>
        <v>8505</v>
      </c>
      <c r="E57" s="26">
        <f t="shared" si="3"/>
        <v>11138</v>
      </c>
      <c r="F57" s="26">
        <f t="shared" si="3"/>
        <v>11587</v>
      </c>
    </row>
    <row r="58" spans="1:6" x14ac:dyDescent="0.2">
      <c r="B58" s="19"/>
      <c r="C58" s="19"/>
      <c r="D58" s="19"/>
      <c r="E58" s="19"/>
      <c r="F58" s="19"/>
    </row>
    <row r="59" spans="1:6" s="15" customFormat="1" ht="15.75" x14ac:dyDescent="0.25">
      <c r="A59" s="11" t="s">
        <v>115</v>
      </c>
      <c r="B59" s="26">
        <f>B57+B40+B28</f>
        <v>-1038</v>
      </c>
      <c r="C59" s="26">
        <f t="shared" ref="C59" si="4">C57+C40+C28</f>
        <v>6317</v>
      </c>
      <c r="D59" s="26">
        <f t="shared" ref="D59:F59" si="5">D57+D40+D28</f>
        <v>-4065</v>
      </c>
      <c r="E59" s="26">
        <f t="shared" si="5"/>
        <v>1170</v>
      </c>
      <c r="F59" s="26">
        <f t="shared" si="5"/>
        <v>6463</v>
      </c>
    </row>
    <row r="60" spans="1:6" s="15" customFormat="1" ht="16.5" thickBot="1" x14ac:dyDescent="0.3">
      <c r="A60" s="12" t="s">
        <v>116</v>
      </c>
      <c r="B60" s="27">
        <f>SUM(B6,B59)</f>
        <v>4827</v>
      </c>
      <c r="C60" s="27">
        <f>C6+C59</f>
        <v>11144</v>
      </c>
      <c r="D60" s="27">
        <f t="shared" ref="D60:F60" si="6">D6+D59</f>
        <v>7079</v>
      </c>
      <c r="E60" s="27">
        <f t="shared" si="6"/>
        <v>8249</v>
      </c>
      <c r="F60" s="27">
        <f t="shared" si="6"/>
        <v>14712</v>
      </c>
    </row>
    <row r="61" spans="1:6" ht="15.75" thickTop="1" x14ac:dyDescent="0.2">
      <c r="B61" s="19"/>
      <c r="C61" s="19"/>
      <c r="D61" s="19"/>
      <c r="E61" s="19"/>
      <c r="F61" s="19"/>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DF925-DC29-CF41-9167-00783C2627F1}">
  <dimension ref="A1:F36"/>
  <sheetViews>
    <sheetView topLeftCell="A21" zoomScale="130" zoomScaleNormal="130" workbookViewId="0">
      <selection activeCell="B36" sqref="B36"/>
    </sheetView>
  </sheetViews>
  <sheetFormatPr defaultColWidth="8.7109375" defaultRowHeight="15" x14ac:dyDescent="0.2"/>
  <cols>
    <col min="1" max="1" width="60" style="13" customWidth="1"/>
    <col min="2" max="6" width="14" style="13" customWidth="1"/>
    <col min="7" max="16384" width="8.7109375" style="13"/>
  </cols>
  <sheetData>
    <row r="1" spans="1:6" ht="15.75" x14ac:dyDescent="0.25">
      <c r="A1" s="1" t="s">
        <v>0</v>
      </c>
    </row>
    <row r="2" spans="1:6" ht="15.75" x14ac:dyDescent="0.25">
      <c r="A2" s="1" t="s">
        <v>121</v>
      </c>
    </row>
    <row r="3" spans="1:6" ht="15.95" x14ac:dyDescent="0.2">
      <c r="A3" s="2" t="s">
        <v>30</v>
      </c>
    </row>
    <row r="4" spans="1:6" ht="15.75" x14ac:dyDescent="0.25">
      <c r="B4" s="3" t="s">
        <v>3</v>
      </c>
      <c r="C4" s="3" t="s">
        <v>4</v>
      </c>
      <c r="D4" s="3" t="s">
        <v>5</v>
      </c>
      <c r="E4" s="3" t="s">
        <v>6</v>
      </c>
      <c r="F4" s="3" t="s">
        <v>7</v>
      </c>
    </row>
    <row r="6" spans="1:6" ht="15.95" x14ac:dyDescent="0.2">
      <c r="A6" s="13" t="s">
        <v>122</v>
      </c>
      <c r="B6" s="19">
        <f>'Income Statement'!B8-'Income Statement'!B10-'Income Statement'!B11</f>
        <v>22082</v>
      </c>
      <c r="C6" s="19">
        <f>'Income Statement'!C8-'Income Statement'!C10-'Income Statement'!C11</f>
        <v>2336</v>
      </c>
      <c r="D6" s="19">
        <f>'Income Statement'!D8-'Income Statement'!D10-'Income Statement'!D11</f>
        <v>31</v>
      </c>
      <c r="E6" s="19">
        <f>'Income Statement'!E8-'Income Statement'!E10-'Income Statement'!E11</f>
        <v>-4708</v>
      </c>
      <c r="F6" s="19">
        <f>'Income Statement'!F8-'Income Statement'!F10-'Income Statement'!F11</f>
        <v>-23</v>
      </c>
    </row>
    <row r="7" spans="1:6" ht="15.95" x14ac:dyDescent="0.2">
      <c r="A7" s="13" t="s">
        <v>123</v>
      </c>
      <c r="B7" s="20">
        <f>B6+'Cash Flow Statement'!B11+'Cash Flow Statement'!B14</f>
        <v>33874</v>
      </c>
      <c r="C7" s="20">
        <f>C6+'Cash Flow Statement'!C11+'Cash Flow Statement'!C14</f>
        <v>15371</v>
      </c>
      <c r="D7" s="20">
        <f>D6+'Cash Flow Statement'!D11+'Cash Flow Statement'!D14</f>
        <v>9633</v>
      </c>
      <c r="E7" s="20">
        <f>E6+'Cash Flow Statement'!E11+'Cash Flow Statement'!E14</f>
        <v>6671</v>
      </c>
      <c r="F7" s="20">
        <f>F6+'Cash Flow Statement'!F11+'Cash Flow Statement'!F14</f>
        <v>11683</v>
      </c>
    </row>
    <row r="8" spans="1:6" ht="15.95" x14ac:dyDescent="0.2">
      <c r="A8" s="13" t="s">
        <v>124</v>
      </c>
      <c r="B8" s="20">
        <f>B6+'Income Statement'!B15-'Income Statement'!B17</f>
        <v>19765</v>
      </c>
      <c r="C8" s="20">
        <f>C6+'Income Statement'!C15-'Income Statement'!C17</f>
        <v>3751</v>
      </c>
      <c r="D8" s="20">
        <f>D6+'Income Statement'!D15-'Income Statement'!D17</f>
        <v>1573</v>
      </c>
      <c r="E8" s="20">
        <f>E6+'Income Statement'!E15-'Income Statement'!E17</f>
        <v>-12505</v>
      </c>
      <c r="F8" s="20">
        <f>F6+'Income Statement'!F15-'Income Statement'!F17</f>
        <v>1703</v>
      </c>
    </row>
    <row r="9" spans="1:6" ht="15.95" x14ac:dyDescent="0.2">
      <c r="A9" s="13" t="s">
        <v>125</v>
      </c>
      <c r="B9" s="21">
        <f>B8/'Income Statement'!B28</f>
        <v>4.8325183374083132</v>
      </c>
      <c r="C9" s="21">
        <f>C8/'Income Statement'!C28</f>
        <v>0.90977443609022557</v>
      </c>
      <c r="D9" s="21">
        <f>D8/'Income Statement'!D28</f>
        <v>0.37345679012345678</v>
      </c>
      <c r="E9" s="21">
        <f>E8/'Income Statement'!E28</f>
        <v>-2.9217289719626169</v>
      </c>
      <c r="F9" s="21">
        <f>F8/'Income Statement'!F28</f>
        <v>0.37593818984547461</v>
      </c>
    </row>
    <row r="11" spans="1:6" ht="15.95" x14ac:dyDescent="0.2">
      <c r="A11" s="13" t="s">
        <v>126</v>
      </c>
    </row>
    <row r="12" spans="1:6" ht="15.95" x14ac:dyDescent="0.2">
      <c r="A12" s="13" t="s">
        <v>127</v>
      </c>
      <c r="B12" s="22">
        <f>'Income Statement'!B8/'Income Statement'!B6</f>
        <v>0.5544518121077141</v>
      </c>
      <c r="C12" s="22">
        <f>'Income Statement'!C8/'Income Statement'!C6</f>
        <v>0.42607923367272499</v>
      </c>
      <c r="D12" s="22">
        <f>'Income Statement'!D8/'Income Statement'!D6</f>
        <v>0.40036512502766097</v>
      </c>
      <c r="E12" s="22">
        <f>'Income Statement'!E8/'Income Statement'!E6</f>
        <v>0.32664168283083184</v>
      </c>
      <c r="F12" s="22">
        <f>'Income Statement'!F8/'Income Statement'!F6</f>
        <v>0.34766238434904356</v>
      </c>
    </row>
    <row r="13" spans="1:6" ht="15.95" x14ac:dyDescent="0.2">
      <c r="A13" s="13" t="s">
        <v>122</v>
      </c>
      <c r="B13" s="22">
        <f>B6/'Income Statement'!B6</f>
        <v>0.27943409597084429</v>
      </c>
      <c r="C13" s="22">
        <f>C6/'Income Statement'!C6</f>
        <v>3.7047609985092142E-2</v>
      </c>
      <c r="D13" s="22">
        <f>D6/'Income Statement'!D6</f>
        <v>5.716603968429593E-4</v>
      </c>
      <c r="E13" s="22">
        <f>E6/'Income Statement'!E6</f>
        <v>-8.8661230485301598E-2</v>
      </c>
      <c r="F13" s="22">
        <f>F6/'Income Statement'!F6</f>
        <v>-4.3516924299472119E-4</v>
      </c>
    </row>
    <row r="14" spans="1:6" ht="15.95" x14ac:dyDescent="0.2">
      <c r="A14" s="13" t="s">
        <v>123</v>
      </c>
      <c r="B14" s="22">
        <f>B7/'Income Statement'!B6</f>
        <v>0.42865458594857259</v>
      </c>
      <c r="C14" s="22">
        <f>C7/'Income Statement'!C6</f>
        <v>0.24377517683255623</v>
      </c>
      <c r="D14" s="22">
        <f>D7/'Income Statement'!D6</f>
        <v>0.17763885815445896</v>
      </c>
      <c r="E14" s="22">
        <f>E7/'Income Statement'!E6</f>
        <v>0.12562851923692586</v>
      </c>
      <c r="F14" s="22">
        <f>F7/'Income Statement'!F6</f>
        <v>0.22104705503944905</v>
      </c>
    </row>
    <row r="15" spans="1:6" ht="15.95" x14ac:dyDescent="0.2">
      <c r="A15" s="13" t="s">
        <v>163</v>
      </c>
      <c r="B15" s="22">
        <f>B8/'Income Statement'!B6</f>
        <v>0.25011388945130592</v>
      </c>
      <c r="C15" s="22">
        <f>C8/'Income Statement'!C6</f>
        <v>5.9488692232055065E-2</v>
      </c>
      <c r="D15" s="22">
        <f>D8/'Income Statement'!D6</f>
        <v>2.900715497528952E-2</v>
      </c>
      <c r="E15" s="22">
        <f>E8/'Income Statement'!E6</f>
        <v>-0.23549462345341896</v>
      </c>
      <c r="F15" s="22">
        <f>F8/'Income Statement'!F6</f>
        <v>3.2221444383478702E-2</v>
      </c>
    </row>
    <row r="17" spans="1:6" ht="15.95" x14ac:dyDescent="0.2">
      <c r="A17" s="13" t="s">
        <v>119</v>
      </c>
      <c r="B17" s="19">
        <f>'Balance Sheet'!B14-'Balance Sheet'!B7-'Balance Sheet'!B8-'Balance Sheet'!B9-'Balance Sheet'!B12-'Balance Sheet'!B30-'Balance Sheet'!B25</f>
        <v>-9690</v>
      </c>
      <c r="C17" s="19">
        <f>'Balance Sheet'!C14-'Balance Sheet'!C7-'Balance Sheet'!C8-'Balance Sheet'!C9-'Balance Sheet'!C12-'Balance Sheet'!C30-'Balance Sheet'!C25</f>
        <v>-14453</v>
      </c>
      <c r="D17" s="19">
        <f>'Balance Sheet'!D14-'Balance Sheet'!D7-'Balance Sheet'!D8-'Balance Sheet'!D9-'Balance Sheet'!D12-'Balance Sheet'!D30-'Balance Sheet'!D25</f>
        <v>-12106</v>
      </c>
      <c r="E17" s="19">
        <f>'Balance Sheet'!E14-'Balance Sheet'!E7-'Balance Sheet'!E8-'Balance Sheet'!E9-'Balance Sheet'!E12-'Balance Sheet'!E30-'Balance Sheet'!E25</f>
        <v>-14133</v>
      </c>
      <c r="F17" s="19">
        <f>'Balance Sheet'!F14-'Balance Sheet'!F7-'Balance Sheet'!F8-'Balance Sheet'!F9-'Balance Sheet'!F12-'Balance Sheet'!F30-'Balance Sheet'!F25</f>
        <v>-7802</v>
      </c>
    </row>
    <row r="18" spans="1:6" ht="15.95" x14ac:dyDescent="0.2">
      <c r="A18" s="13" t="s">
        <v>120</v>
      </c>
      <c r="C18" s="19">
        <f>C17-B17</f>
        <v>-4763</v>
      </c>
      <c r="D18" s="19">
        <f t="shared" ref="D18:F18" si="0">D17-C17</f>
        <v>2347</v>
      </c>
      <c r="E18" s="19">
        <f t="shared" si="0"/>
        <v>-2027</v>
      </c>
      <c r="F18" s="19">
        <f t="shared" si="0"/>
        <v>6331</v>
      </c>
    </row>
    <row r="20" spans="1:6" ht="15.95" x14ac:dyDescent="0.2">
      <c r="A20" s="13" t="s">
        <v>128</v>
      </c>
      <c r="B20" s="20">
        <f>B6-'Income Statement'!B17</f>
        <v>20247</v>
      </c>
      <c r="C20" s="20">
        <f>C6-'Income Statement'!C17</f>
        <v>2585</v>
      </c>
      <c r="D20" s="20">
        <f>D6-'Income Statement'!D17</f>
        <v>944</v>
      </c>
      <c r="E20" s="20">
        <f>E6-'Income Statement'!E17</f>
        <v>-12731</v>
      </c>
      <c r="F20" s="20">
        <f>F6-'Income Statement'!F17</f>
        <v>-1554</v>
      </c>
    </row>
    <row r="21" spans="1:6" ht="15.95" x14ac:dyDescent="0.2">
      <c r="A21" s="13" t="s">
        <v>129</v>
      </c>
      <c r="B21" s="22">
        <f>B20/('Balance Sheet'!B41+'Balance Sheet'!B25+'Balance Sheet'!B31-'Balance Sheet'!B7-'Balance Sheet'!B8-'Balance Sheet'!B9)</f>
        <v>0.19268359995812676</v>
      </c>
      <c r="C21" s="22">
        <f>C20/('Balance Sheet'!C41+'Balance Sheet'!C25+'Balance Sheet'!C31-'Balance Sheet'!C7-'Balance Sheet'!C8-'Balance Sheet'!C9)</f>
        <v>2.2451709282934964E-2</v>
      </c>
      <c r="D21" s="22">
        <f>D20/('Balance Sheet'!D41+'Balance Sheet'!D25+'Balance Sheet'!D31-'Balance Sheet'!D7-'Balance Sheet'!D8-'Balance Sheet'!D9)</f>
        <v>7.2714948159788018E-3</v>
      </c>
      <c r="E21" s="22">
        <f>E20/('Balance Sheet'!E41+'Balance Sheet'!E25+'Balance Sheet'!E31-'Balance Sheet'!E7-'Balance Sheet'!E8-'Balance Sheet'!E9)</f>
        <v>-0.10007153019596129</v>
      </c>
      <c r="F21" s="22">
        <f>F20/('Balance Sheet'!F41+'Balance Sheet'!F25+'Balance Sheet'!F31-'Balance Sheet'!F7-'Balance Sheet'!F8-'Balance Sheet'!F9)</f>
        <v>-1.258809234507898E-2</v>
      </c>
    </row>
    <row r="23" spans="1:6" x14ac:dyDescent="0.2">
      <c r="A23" s="13" t="s">
        <v>118</v>
      </c>
      <c r="B23" s="19">
        <f>'Cash Flow Statement'!B28+'Cash Flow Statement'!B31-'Cash Flow Statement'!B12</f>
        <v>8687</v>
      </c>
      <c r="C23" s="19">
        <f>'Cash Flow Statement'!C28+'Cash Flow Statement'!C31-'Cash Flow Statement'!C12</f>
        <v>-12539</v>
      </c>
      <c r="D23" s="19">
        <f>'Cash Flow Statement'!D28+'Cash Flow Statement'!D31-'Cash Flow Statement'!D12</f>
        <v>-17508</v>
      </c>
      <c r="E23" s="19">
        <f>'Cash Flow Statement'!E28+'Cash Flow Statement'!E31-'Cash Flow Statement'!E12</f>
        <v>-19066</v>
      </c>
      <c r="F23" s="19">
        <f>'Cash Flow Statement'!F28+'Cash Flow Statement'!F31-'Cash Flow Statement'!F12</f>
        <v>-7383</v>
      </c>
    </row>
    <row r="25" spans="1:6" x14ac:dyDescent="0.2">
      <c r="A25" s="43" t="s">
        <v>181</v>
      </c>
      <c r="B25" s="19">
        <f>'Balance Sheet'!B25+'Balance Sheet'!B31</f>
        <v>38101</v>
      </c>
      <c r="C25" s="19">
        <f>'Balance Sheet'!C25+'Balance Sheet'!C31</f>
        <v>42051</v>
      </c>
      <c r="D25" s="19">
        <f>'Balance Sheet'!D25+'Balance Sheet'!D31</f>
        <v>49266</v>
      </c>
      <c r="E25" s="19">
        <f>'Balance Sheet'!E25+'Balance Sheet'!E31</f>
        <v>50011</v>
      </c>
      <c r="F25" s="19">
        <f>'Balance Sheet'!F25+'Balance Sheet'!F31</f>
        <v>46585</v>
      </c>
    </row>
    <row r="26" spans="1:6" x14ac:dyDescent="0.2">
      <c r="A26" s="43" t="s">
        <v>186</v>
      </c>
      <c r="B26" s="19">
        <f>'Balance Sheet'!B7+'Balance Sheet'!B8+'Balance Sheet'!B9</f>
        <v>28413</v>
      </c>
      <c r="C26" s="19">
        <f>'Balance Sheet'!C7+'Balance Sheet'!C8+'Balance Sheet'!C9</f>
        <v>28338</v>
      </c>
      <c r="D26" s="19">
        <f>'Balance Sheet'!D7+'Balance Sheet'!D8+'Balance Sheet'!D9</f>
        <v>25034</v>
      </c>
      <c r="E26" s="19">
        <f>'Balance Sheet'!E7+'Balance Sheet'!E8+'Balance Sheet'!E9</f>
        <v>22062</v>
      </c>
      <c r="F26" s="19">
        <f>'Balance Sheet'!F7+'Balance Sheet'!F8+'Balance Sheet'!F9</f>
        <v>37416</v>
      </c>
    </row>
    <row r="27" spans="1:6" x14ac:dyDescent="0.2">
      <c r="A27" s="43" t="s">
        <v>182</v>
      </c>
      <c r="B27" s="19">
        <f>B25-B26</f>
        <v>9688</v>
      </c>
      <c r="C27" s="19">
        <f t="shared" ref="C27:F27" si="1">C25-C26</f>
        <v>13713</v>
      </c>
      <c r="D27" s="19">
        <f t="shared" si="1"/>
        <v>24232</v>
      </c>
      <c r="E27" s="19">
        <f t="shared" si="1"/>
        <v>27949</v>
      </c>
      <c r="F27" s="19">
        <f t="shared" si="1"/>
        <v>9169</v>
      </c>
    </row>
    <row r="28" spans="1:6" x14ac:dyDescent="0.2">
      <c r="A28" s="43" t="s">
        <v>183</v>
      </c>
      <c r="B28" s="44">
        <f>B25/'Balance Sheet'!B41</f>
        <v>0.39941923242234595</v>
      </c>
      <c r="C28" s="44">
        <f>C25/'Balance Sheet'!C41</f>
        <v>0.41461009830117429</v>
      </c>
      <c r="D28" s="44">
        <f>D25/'Balance Sheet'!D41</f>
        <v>0.46657827445780853</v>
      </c>
      <c r="E28" s="44">
        <f>E25/'Balance Sheet'!E41</f>
        <v>0.50378764984386015</v>
      </c>
      <c r="F28" s="44">
        <f>F25/'Balance Sheet'!F41</f>
        <v>0.40763556496705489</v>
      </c>
    </row>
    <row r="30" spans="1:6" x14ac:dyDescent="0.2">
      <c r="A30" s="43" t="s">
        <v>184</v>
      </c>
      <c r="C30" s="45">
        <f>C25/B25-1</f>
        <v>0.10367181963727989</v>
      </c>
      <c r="D30" s="45">
        <f t="shared" ref="D30:F30" si="2">D25/C25-1</f>
        <v>0.17157737033602061</v>
      </c>
      <c r="E30" s="45">
        <f t="shared" si="2"/>
        <v>1.5121990825315734E-2</v>
      </c>
      <c r="F30" s="45">
        <f t="shared" si="2"/>
        <v>-6.850492891563853E-2</v>
      </c>
    </row>
    <row r="31" spans="1:6" x14ac:dyDescent="0.2">
      <c r="A31" s="43" t="s">
        <v>187</v>
      </c>
      <c r="C31" s="45">
        <f t="shared" ref="C31:F31" si="3">C26/B26-1</f>
        <v>-2.6396367859782277E-3</v>
      </c>
      <c r="D31" s="45">
        <f t="shared" si="3"/>
        <v>-0.11659256122521</v>
      </c>
      <c r="E31" s="45">
        <f t="shared" si="3"/>
        <v>-0.1187185427818167</v>
      </c>
      <c r="F31" s="45">
        <f t="shared" si="3"/>
        <v>0.69594778351917319</v>
      </c>
    </row>
    <row r="32" spans="1:6" x14ac:dyDescent="0.2">
      <c r="A32" s="43" t="s">
        <v>185</v>
      </c>
      <c r="C32" s="45">
        <f t="shared" ref="C32:F32" si="4">C27/B27-1</f>
        <v>0.41546242774566466</v>
      </c>
      <c r="D32" s="45">
        <f t="shared" si="4"/>
        <v>0.76708233063516373</v>
      </c>
      <c r="E32" s="45">
        <f t="shared" si="4"/>
        <v>0.15339220864971947</v>
      </c>
      <c r="F32" s="45">
        <f t="shared" si="4"/>
        <v>-0.67193817310100545</v>
      </c>
    </row>
    <row r="34" spans="1:6" x14ac:dyDescent="0.2">
      <c r="A34" s="43" t="s">
        <v>188</v>
      </c>
      <c r="B34" s="19">
        <f>'Cash Flow Statement'!B43+'Cash Flow Statement'!B46+'Cash Flow Statement'!B47+'Cash Flow Statement'!B49+'Cash Flow Statement'!B51+'Cash Flow Statement'!B52</f>
        <v>5994</v>
      </c>
      <c r="C34" s="19">
        <f>'Cash Flow Statement'!C43+'Cash Flow Statement'!C46+'Cash Flow Statement'!C47+'Cash Flow Statement'!C49+'Cash Flow Statement'!C51+'Cash Flow Statement'!C52</f>
        <v>13376</v>
      </c>
      <c r="D34" s="19">
        <f>'Cash Flow Statement'!D43+'Cash Flow Statement'!D46+'Cash Flow Statement'!D47+'Cash Flow Statement'!D49+'Cash Flow Statement'!D51+'Cash Flow Statement'!D52</f>
        <v>16903</v>
      </c>
      <c r="E34" s="19">
        <f>'Cash Flow Statement'!E43+'Cash Flow Statement'!E46+'Cash Flow Statement'!E47+'Cash Flow Statement'!E49+'Cash Flow Statement'!E51+'Cash Flow Statement'!E52</f>
        <v>24025</v>
      </c>
      <c r="F34" s="19">
        <f>'Cash Flow Statement'!F43+'Cash Flow Statement'!F46+'Cash Flow Statement'!F47+'Cash Flow Statement'!F49+'Cash Flow Statement'!F51+'Cash Flow Statement'!F52</f>
        <v>22999</v>
      </c>
    </row>
    <row r="35" spans="1:6" x14ac:dyDescent="0.2">
      <c r="A35" s="43" t="s">
        <v>189</v>
      </c>
      <c r="B35" s="19">
        <f>SUM('Cash Flow Statement'!B44,'Cash Flow Statement'!B45,'Cash Flow Statement'!B48,'Cash Flow Statement'!B50,'Cash Flow Statement'!B53:B56)</f>
        <v>-12205</v>
      </c>
      <c r="C35" s="19">
        <f>SUM('Cash Flow Statement'!C44,'Cash Flow Statement'!C45,'Cash Flow Statement'!C48,'Cash Flow Statement'!C50,'Cash Flow Statement'!C53:C56)</f>
        <v>-12261</v>
      </c>
      <c r="D35" s="19">
        <f>SUM('Cash Flow Statement'!D44,'Cash Flow Statement'!D45,'Cash Flow Statement'!D48,'Cash Flow Statement'!D50,'Cash Flow Statement'!D53:D56)</f>
        <v>-8398</v>
      </c>
      <c r="E35" s="19">
        <f>SUM('Cash Flow Statement'!E44,'Cash Flow Statement'!E45,'Cash Flow Statement'!E48,'Cash Flow Statement'!E50,'Cash Flow Statement'!E53:E56)</f>
        <v>-12887</v>
      </c>
      <c r="F35" s="19">
        <f>SUM('Cash Flow Statement'!F44,'Cash Flow Statement'!F45,'Cash Flow Statement'!F48,'Cash Flow Statement'!F50,'Cash Flow Statement'!F53:F56)</f>
        <v>-11412</v>
      </c>
    </row>
    <row r="36" spans="1:6" x14ac:dyDescent="0.2">
      <c r="A36" s="43" t="s">
        <v>190</v>
      </c>
      <c r="B36" s="20">
        <f>SUM(B34:B35)</f>
        <v>-6211</v>
      </c>
      <c r="C36" s="20">
        <f t="shared" ref="C36:F36" si="5">SUM(C34:C35)</f>
        <v>1115</v>
      </c>
      <c r="D36" s="20">
        <f t="shared" si="5"/>
        <v>8505</v>
      </c>
      <c r="E36" s="20">
        <f t="shared" si="5"/>
        <v>11138</v>
      </c>
      <c r="F36" s="20">
        <f t="shared" si="5"/>
        <v>11587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962C2-02BC-44B5-912A-923F7C47C9EC}">
  <dimension ref="A1:B29"/>
  <sheetViews>
    <sheetView tabSelected="1" topLeftCell="A13" workbookViewId="0">
      <selection activeCell="B20" sqref="B20"/>
    </sheetView>
  </sheetViews>
  <sheetFormatPr defaultRowHeight="18" x14ac:dyDescent="0.25"/>
  <cols>
    <col min="1" max="1" width="4.85546875" style="36" customWidth="1"/>
    <col min="2" max="2" width="155.7109375" style="40" customWidth="1"/>
    <col min="3" max="16384" width="9.140625" style="36"/>
  </cols>
  <sheetData>
    <row r="1" spans="1:2" s="37" customFormat="1" x14ac:dyDescent="0.25">
      <c r="A1" s="37" t="s">
        <v>0</v>
      </c>
      <c r="B1" s="39"/>
    </row>
    <row r="2" spans="1:2" x14ac:dyDescent="0.25">
      <c r="A2" s="36" t="s">
        <v>165</v>
      </c>
    </row>
    <row r="4" spans="1:2" x14ac:dyDescent="0.25">
      <c r="B4" s="39" t="s">
        <v>166</v>
      </c>
    </row>
    <row r="6" spans="1:2" s="38" customFormat="1" x14ac:dyDescent="0.25">
      <c r="A6" s="38">
        <v>1</v>
      </c>
      <c r="B6" s="41" t="s">
        <v>167</v>
      </c>
    </row>
    <row r="7" spans="1:2" ht="56.25" x14ac:dyDescent="0.3">
      <c r="B7" s="42" t="s">
        <v>168</v>
      </c>
    </row>
    <row r="9" spans="1:2" x14ac:dyDescent="0.25">
      <c r="A9" s="36">
        <v>2</v>
      </c>
      <c r="B9" s="40" t="s">
        <v>164</v>
      </c>
    </row>
    <row r="10" spans="1:2" ht="37.5" x14ac:dyDescent="0.3">
      <c r="B10" s="42" t="s">
        <v>169</v>
      </c>
    </row>
    <row r="12" spans="1:2" ht="36" x14ac:dyDescent="0.25">
      <c r="A12" s="36">
        <v>3</v>
      </c>
      <c r="B12" s="40" t="s">
        <v>176</v>
      </c>
    </row>
    <row r="13" spans="1:2" ht="56.25" x14ac:dyDescent="0.3">
      <c r="B13" s="42" t="s">
        <v>170</v>
      </c>
    </row>
    <row r="15" spans="1:2" x14ac:dyDescent="0.25">
      <c r="B15" s="39" t="s">
        <v>177</v>
      </c>
    </row>
    <row r="16" spans="1:2" ht="36" x14ac:dyDescent="0.25">
      <c r="A16" s="36">
        <v>1</v>
      </c>
      <c r="B16" s="40" t="s">
        <v>178</v>
      </c>
    </row>
    <row r="17" spans="1:2" ht="18.75" x14ac:dyDescent="0.3">
      <c r="B17" s="42" t="s">
        <v>179</v>
      </c>
    </row>
    <row r="18" spans="1:2" ht="18.75" x14ac:dyDescent="0.3">
      <c r="B18" s="42"/>
    </row>
    <row r="19" spans="1:2" x14ac:dyDescent="0.25">
      <c r="A19" s="36">
        <v>2</v>
      </c>
      <c r="B19" s="40" t="s">
        <v>180</v>
      </c>
    </row>
    <row r="20" spans="1:2" ht="37.5" x14ac:dyDescent="0.3">
      <c r="B20" s="42" t="s">
        <v>191</v>
      </c>
    </row>
    <row r="23" spans="1:2" x14ac:dyDescent="0.25">
      <c r="B23" s="39" t="s">
        <v>171</v>
      </c>
    </row>
    <row r="25" spans="1:2" ht="36" x14ac:dyDescent="0.25">
      <c r="A25" s="36">
        <v>1</v>
      </c>
      <c r="B25" s="40" t="s">
        <v>172</v>
      </c>
    </row>
    <row r="26" spans="1:2" ht="18.75" x14ac:dyDescent="0.3">
      <c r="B26" s="42" t="s">
        <v>173</v>
      </c>
    </row>
    <row r="28" spans="1:2" ht="36" x14ac:dyDescent="0.25">
      <c r="A28" s="36">
        <v>2</v>
      </c>
      <c r="B28" s="40" t="s">
        <v>174</v>
      </c>
    </row>
    <row r="29" spans="1:2" ht="93.75" x14ac:dyDescent="0.3">
      <c r="B29" s="42"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Description</vt:lpstr>
      <vt:lpstr>KPIs</vt:lpstr>
      <vt:lpstr>Income Statement</vt:lpstr>
      <vt:lpstr>Balance Sheet</vt:lpstr>
      <vt:lpstr>Cash Flow Statement</vt:lpstr>
      <vt:lpstr>Summary Stats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Tomohawk WR</cp:lastModifiedBy>
  <cp:revision>0</cp:revision>
  <dcterms:created xsi:type="dcterms:W3CDTF">2026-04-13T16:27:26Z</dcterms:created>
  <dcterms:modified xsi:type="dcterms:W3CDTF">2026-04-14T22:36:04Z</dcterms:modified>
  <dc:language>en-US</dc:language>
</cp:coreProperties>
</file>