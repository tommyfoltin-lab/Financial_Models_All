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4BFF4B2B-FFF5-46DF-9384-68ABADE827F2}" xr6:coauthVersionLast="47" xr6:coauthVersionMax="47" xr10:uidLastSave="{00000000-0000-0000-0000-000000000000}"/>
  <bookViews>
    <workbookView xWindow="0" yWindow="1560" windowWidth="28800" windowHeight="14040" xr2:uid="{00000000-000D-0000-FFFF-FFFF00000000}"/>
  </bookViews>
  <sheets>
    <sheet name="Full Model" sheetId="1" r:id="rId1"/>
    <sheet name="Sour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2" i="1" l="1"/>
  <c r="D177" i="1"/>
  <c r="E177" i="1"/>
  <c r="F177" i="1"/>
  <c r="G177" i="1"/>
  <c r="C177" i="1"/>
  <c r="D169" i="1"/>
  <c r="G136" i="1"/>
  <c r="F136" i="1"/>
  <c r="E136" i="1"/>
  <c r="D136" i="1"/>
  <c r="C136" i="1"/>
  <c r="G126" i="1"/>
  <c r="F126" i="1"/>
  <c r="E126" i="1"/>
  <c r="D126" i="1"/>
  <c r="C126" i="1"/>
  <c r="G116" i="1"/>
  <c r="F116" i="1"/>
  <c r="E116" i="1"/>
  <c r="D116" i="1"/>
  <c r="C116" i="1"/>
  <c r="G106" i="1"/>
  <c r="F106" i="1"/>
  <c r="E106" i="1"/>
  <c r="D106" i="1"/>
  <c r="C106" i="1"/>
  <c r="G96" i="1"/>
  <c r="F96" i="1"/>
  <c r="E96" i="1"/>
  <c r="D96" i="1"/>
  <c r="C96" i="1"/>
  <c r="G86" i="1"/>
  <c r="F86" i="1"/>
  <c r="E86" i="1"/>
  <c r="D86" i="1"/>
  <c r="C86" i="1"/>
  <c r="B64" i="1"/>
  <c r="G63" i="1"/>
  <c r="B63" i="1"/>
  <c r="B62" i="1"/>
  <c r="C61" i="1"/>
  <c r="B61" i="1"/>
  <c r="B60" i="1"/>
  <c r="B59" i="1"/>
  <c r="B58" i="1"/>
  <c r="B57" i="1"/>
  <c r="G56" i="1"/>
  <c r="F56" i="1"/>
  <c r="E56" i="1"/>
  <c r="D56" i="1"/>
  <c r="C56" i="1"/>
  <c r="B56" i="1"/>
  <c r="B55" i="1"/>
  <c r="C54" i="1"/>
  <c r="B54" i="1"/>
  <c r="B39" i="1"/>
  <c r="G38" i="1"/>
  <c r="B38" i="1"/>
  <c r="B37" i="1"/>
  <c r="C36" i="1"/>
  <c r="B36" i="1"/>
  <c r="B35" i="1"/>
  <c r="B34" i="1"/>
  <c r="B33" i="1"/>
  <c r="B32" i="1"/>
  <c r="G31" i="1"/>
  <c r="F31" i="1"/>
  <c r="E31" i="1"/>
  <c r="D31" i="1"/>
  <c r="C31" i="1"/>
  <c r="B31" i="1"/>
  <c r="B30" i="1"/>
  <c r="C29" i="1"/>
  <c r="B29" i="1"/>
  <c r="B15" i="1"/>
  <c r="G14" i="1"/>
  <c r="B14" i="1"/>
  <c r="B13" i="1"/>
  <c r="G12" i="1"/>
  <c r="F12" i="1"/>
  <c r="E12" i="1"/>
  <c r="D12" i="1"/>
  <c r="C12" i="1"/>
  <c r="B12" i="1"/>
  <c r="B10" i="1"/>
  <c r="B9" i="1"/>
  <c r="C8" i="1"/>
  <c r="B8" i="1"/>
  <c r="B7" i="1"/>
  <c r="B6" i="1"/>
  <c r="B5" i="1"/>
  <c r="E172" i="1" l="1"/>
  <c r="F172" i="1"/>
  <c r="G172" i="1" s="1"/>
  <c r="E169" i="1"/>
  <c r="F169" i="1"/>
  <c r="G73" i="1"/>
  <c r="E73" i="1"/>
  <c r="C73" i="1"/>
  <c r="F73" i="1"/>
  <c r="D73" i="1"/>
  <c r="G107" i="1"/>
  <c r="F107" i="1"/>
  <c r="E107" i="1"/>
  <c r="G71" i="1"/>
  <c r="G137" i="1"/>
  <c r="F137" i="1"/>
  <c r="D107" i="1"/>
  <c r="B11" i="1"/>
  <c r="C34" i="1"/>
  <c r="E137" i="1"/>
  <c r="D137" i="1"/>
  <c r="G127" i="1"/>
  <c r="F127" i="1"/>
  <c r="E127" i="1"/>
  <c r="D127" i="1"/>
  <c r="G117" i="1"/>
  <c r="F117" i="1"/>
  <c r="E117" i="1"/>
  <c r="D117" i="1"/>
  <c r="C30" i="1"/>
  <c r="C32" i="1" s="1"/>
  <c r="G97" i="1"/>
  <c r="F97" i="1"/>
  <c r="E97" i="1"/>
  <c r="D97" i="1"/>
  <c r="G87" i="1"/>
  <c r="F87" i="1"/>
  <c r="E87" i="1"/>
  <c r="D87" i="1"/>
  <c r="F71" i="1"/>
  <c r="E71" i="1"/>
  <c r="D71" i="1"/>
  <c r="C71" i="1"/>
  <c r="C59" i="1"/>
  <c r="C55" i="1"/>
  <c r="C57" i="1" s="1"/>
  <c r="C58" i="1" s="1"/>
  <c r="C33" i="1"/>
  <c r="G169" i="1" l="1"/>
  <c r="G160" i="1"/>
  <c r="G162" i="1" s="1"/>
  <c r="F160" i="1"/>
  <c r="F162" i="1" s="1"/>
  <c r="E160" i="1"/>
  <c r="E162" i="1" s="1"/>
  <c r="D160" i="1"/>
  <c r="D162" i="1" s="1"/>
  <c r="C160" i="1"/>
  <c r="C162" i="1" s="1"/>
  <c r="C62" i="1"/>
  <c r="C64" i="1"/>
  <c r="C6" i="1"/>
  <c r="C39" i="1"/>
  <c r="C5" i="1"/>
  <c r="C37" i="1"/>
  <c r="C60" i="1"/>
  <c r="C35" i="1"/>
  <c r="C72" i="1" l="1"/>
  <c r="C157" i="1"/>
  <c r="C159" i="1" s="1"/>
  <c r="C154" i="1"/>
  <c r="C156" i="1" s="1"/>
  <c r="C7" i="1"/>
  <c r="C10" i="1"/>
  <c r="D54" i="1"/>
  <c r="D29" i="1"/>
  <c r="C9" i="1"/>
  <c r="C164" i="1" l="1"/>
  <c r="C167" i="1" s="1"/>
  <c r="C179" i="1" s="1"/>
  <c r="C180" i="1" s="1"/>
  <c r="C13" i="1"/>
  <c r="C74" i="1"/>
  <c r="D55" i="1"/>
  <c r="D57" i="1" s="1"/>
  <c r="D58" i="1" s="1"/>
  <c r="D59" i="1"/>
  <c r="D34" i="1"/>
  <c r="D30" i="1"/>
  <c r="D32" i="1" s="1"/>
  <c r="D33" i="1" s="1"/>
  <c r="C15" i="1"/>
  <c r="C11" i="1"/>
  <c r="C151" i="1" l="1"/>
  <c r="C77" i="1"/>
  <c r="D60" i="1"/>
  <c r="C76" i="1"/>
  <c r="C78" i="1"/>
  <c r="C149" i="1"/>
  <c r="C63" i="1"/>
  <c r="D61" i="1"/>
  <c r="D64" i="1"/>
  <c r="D6" i="1"/>
  <c r="D62" i="1"/>
  <c r="C38" i="1"/>
  <c r="D39" i="1"/>
  <c r="D37" i="1"/>
  <c r="D36" i="1"/>
  <c r="D5" i="1"/>
  <c r="D35" i="1"/>
  <c r="C165" i="1" l="1"/>
  <c r="C150" i="1" s="1"/>
  <c r="C176" i="1"/>
  <c r="C173" i="1"/>
  <c r="C170" i="1"/>
  <c r="E54" i="1"/>
  <c r="D10" i="1"/>
  <c r="D72" i="1"/>
  <c r="D157" i="1"/>
  <c r="D159" i="1" s="1"/>
  <c r="D7" i="1"/>
  <c r="D154" i="1"/>
  <c r="D156" i="1" s="1"/>
  <c r="E29" i="1"/>
  <c r="D9" i="1"/>
  <c r="D15" i="1" l="1"/>
  <c r="D164" i="1"/>
  <c r="D167" i="1" s="1"/>
  <c r="D179" i="1" s="1"/>
  <c r="D180" i="1" s="1"/>
  <c r="E55" i="1"/>
  <c r="E57" i="1" s="1"/>
  <c r="E58" i="1" s="1"/>
  <c r="E59" i="1"/>
  <c r="D11" i="1"/>
  <c r="C14" i="1"/>
  <c r="D13" i="1"/>
  <c r="D74" i="1"/>
  <c r="D8" i="1"/>
  <c r="E34" i="1"/>
  <c r="E30" i="1"/>
  <c r="E32" i="1" s="1"/>
  <c r="E33" i="1" s="1"/>
  <c r="D151" i="1" l="1"/>
  <c r="D63" i="1"/>
  <c r="E62" i="1"/>
  <c r="D77" i="1"/>
  <c r="E6" i="1"/>
  <c r="E64" i="1"/>
  <c r="E61" i="1"/>
  <c r="E60" i="1"/>
  <c r="D76" i="1"/>
  <c r="D78" i="1"/>
  <c r="D75" i="1"/>
  <c r="D149" i="1"/>
  <c r="D38" i="1"/>
  <c r="E5" i="1"/>
  <c r="E37" i="1"/>
  <c r="E39" i="1"/>
  <c r="E36" i="1"/>
  <c r="E35" i="1"/>
  <c r="D165" i="1" l="1"/>
  <c r="D150" i="1" s="1"/>
  <c r="D176" i="1"/>
  <c r="D170" i="1"/>
  <c r="D173" i="1"/>
  <c r="E72" i="1"/>
  <c r="E157" i="1"/>
  <c r="E159" i="1" s="1"/>
  <c r="E10" i="1"/>
  <c r="F54" i="1"/>
  <c r="E154" i="1"/>
  <c r="E156" i="1" s="1"/>
  <c r="E164" i="1" s="1"/>
  <c r="E167" i="1" s="1"/>
  <c r="E179" i="1" s="1"/>
  <c r="E180" i="1" s="1"/>
  <c r="E7" i="1"/>
  <c r="F29" i="1"/>
  <c r="E9" i="1"/>
  <c r="F59" i="1" l="1"/>
  <c r="F55" i="1"/>
  <c r="F57" i="1" s="1"/>
  <c r="F58" i="1" s="1"/>
  <c r="E11" i="1"/>
  <c r="E15" i="1"/>
  <c r="E151" i="1"/>
  <c r="D14" i="1"/>
  <c r="E13" i="1"/>
  <c r="E8" i="1"/>
  <c r="E74" i="1"/>
  <c r="F30" i="1"/>
  <c r="F32" i="1" s="1"/>
  <c r="F33" i="1" s="1"/>
  <c r="F34" i="1"/>
  <c r="E63" i="1" l="1"/>
  <c r="F61" i="1"/>
  <c r="F62" i="1"/>
  <c r="F64" i="1"/>
  <c r="F6" i="1"/>
  <c r="F60" i="1"/>
  <c r="E76" i="1"/>
  <c r="E78" i="1"/>
  <c r="E75" i="1"/>
  <c r="E149" i="1"/>
  <c r="E38" i="1"/>
  <c r="F36" i="1"/>
  <c r="F37" i="1"/>
  <c r="F39" i="1"/>
  <c r="F5" i="1"/>
  <c r="E77" i="1"/>
  <c r="F35" i="1"/>
  <c r="E165" i="1" l="1"/>
  <c r="E150" i="1" s="1"/>
  <c r="E176" i="1"/>
  <c r="E170" i="1"/>
  <c r="E173" i="1"/>
  <c r="F72" i="1"/>
  <c r="F157" i="1"/>
  <c r="F159" i="1" s="1"/>
  <c r="F10" i="1"/>
  <c r="G54" i="1"/>
  <c r="F154" i="1"/>
  <c r="F156" i="1" s="1"/>
  <c r="F164" i="1" s="1"/>
  <c r="F167" i="1" s="1"/>
  <c r="F179" i="1" s="1"/>
  <c r="F180" i="1" s="1"/>
  <c r="F7" i="1"/>
  <c r="G29" i="1"/>
  <c r="F9" i="1"/>
  <c r="G55" i="1" l="1"/>
  <c r="G57" i="1" s="1"/>
  <c r="G58" i="1" s="1"/>
  <c r="G59" i="1"/>
  <c r="F11" i="1"/>
  <c r="F151" i="1"/>
  <c r="E14" i="1"/>
  <c r="F13" i="1"/>
  <c r="F74" i="1"/>
  <c r="F8" i="1"/>
  <c r="G30" i="1"/>
  <c r="G32" i="1" s="1"/>
  <c r="G33" i="1" s="1"/>
  <c r="G34" i="1"/>
  <c r="F15" i="1"/>
  <c r="F63" i="1" l="1"/>
  <c r="F77" i="1"/>
  <c r="G64" i="1"/>
  <c r="G6" i="1"/>
  <c r="G61" i="1"/>
  <c r="G62" i="1"/>
  <c r="G60" i="1"/>
  <c r="G10" i="1" s="1"/>
  <c r="G35" i="1"/>
  <c r="G9" i="1" s="1"/>
  <c r="F76" i="1"/>
  <c r="F78" i="1"/>
  <c r="F75" i="1"/>
  <c r="F149" i="1"/>
  <c r="F38" i="1"/>
  <c r="G37" i="1"/>
  <c r="G5" i="1"/>
  <c r="G36" i="1"/>
  <c r="G39" i="1"/>
  <c r="F165" i="1" l="1"/>
  <c r="F150" i="1" s="1"/>
  <c r="F176" i="1"/>
  <c r="F170" i="1"/>
  <c r="F173" i="1"/>
  <c r="G72" i="1"/>
  <c r="G157" i="1"/>
  <c r="G159" i="1" s="1"/>
  <c r="G11" i="1"/>
  <c r="G7" i="1"/>
  <c r="G154" i="1"/>
  <c r="G156" i="1" s="1"/>
  <c r="G164" i="1" l="1"/>
  <c r="G167" i="1" s="1"/>
  <c r="G179" i="1" s="1"/>
  <c r="G15" i="1"/>
  <c r="F14" i="1"/>
  <c r="G13" i="1"/>
  <c r="G74" i="1"/>
  <c r="G8" i="1"/>
  <c r="G180" i="1" l="1"/>
  <c r="B185" i="1"/>
  <c r="B186" i="1" s="1"/>
  <c r="B189" i="1" s="1"/>
  <c r="B191" i="1" s="1"/>
  <c r="B192" i="1" s="1"/>
  <c r="G151" i="1"/>
  <c r="G76" i="1"/>
  <c r="G78" i="1"/>
  <c r="G75" i="1"/>
  <c r="G149" i="1"/>
  <c r="G77" i="1"/>
  <c r="G165" i="1" l="1"/>
  <c r="G150" i="1" s="1"/>
  <c r="G176" i="1"/>
  <c r="G170" i="1"/>
  <c r="G173" i="1"/>
</calcChain>
</file>

<file path=xl/sharedStrings.xml><?xml version="1.0" encoding="utf-8"?>
<sst xmlns="http://schemas.openxmlformats.org/spreadsheetml/2006/main" count="306" uniqueCount="154">
  <si>
    <t>Broadcom Hardware Backlog Model, AI + Other Hardware ($mm)</t>
  </si>
  <si>
    <t>Current</t>
  </si>
  <si>
    <t>Year 1</t>
  </si>
  <si>
    <t>Year 2</t>
  </si>
  <si>
    <t>Year 3</t>
  </si>
  <si>
    <t>Year 4</t>
  </si>
  <si>
    <t>Year 5</t>
  </si>
  <si>
    <t>Total Hardware Summary</t>
  </si>
  <si>
    <t>AI sales</t>
  </si>
  <si>
    <t>Other hardware sales</t>
  </si>
  <si>
    <t>Total hardware sales</t>
  </si>
  <si>
    <t>Total hardware sales growth</t>
  </si>
  <si>
    <t>AI ending backlog</t>
  </si>
  <si>
    <t>Other hardware ending backlog</t>
  </si>
  <si>
    <t>Total ending backlog</t>
  </si>
  <si>
    <t>Total new bookings</t>
  </si>
  <si>
    <t>Total bookings / sales</t>
  </si>
  <si>
    <t>Ending backlog / next-year sales</t>
  </si>
  <si>
    <t>AI share of hardware sales</t>
  </si>
  <si>
    <t>AI Backlog Model ($mm)</t>
  </si>
  <si>
    <t>Inputs</t>
  </si>
  <si>
    <t>Starting AI backlog</t>
  </si>
  <si>
    <t>New bookings</t>
  </si>
  <si>
    <t>Revenue conversion % of beginning backlog</t>
  </si>
  <si>
    <t>Same-year bookings shipped</t>
  </si>
  <si>
    <t>Sales capacity ceiling</t>
  </si>
  <si>
    <t>Customer deployment / demand ceiling</t>
  </si>
  <si>
    <t>Cancellation / pushout % of beginning backlog</t>
  </si>
  <si>
    <t>Backlog Roll-Forward</t>
  </si>
  <si>
    <t>Beginning backlog</t>
  </si>
  <si>
    <t>Backlog-supported burn</t>
  </si>
  <si>
    <t>Same-year booking burn</t>
  </si>
  <si>
    <t>Gross burn before ceilings</t>
  </si>
  <si>
    <t>AI sales / backlog burn</t>
  </si>
  <si>
    <t>Cancellations / pushouts</t>
  </si>
  <si>
    <t>Ending backlog</t>
  </si>
  <si>
    <t>AI sales growth</t>
  </si>
  <si>
    <t>Bookings / AI sales</t>
  </si>
  <si>
    <t>Limiting factor</t>
  </si>
  <si>
    <t>Other Hardware Backlog Model ($mm)</t>
  </si>
  <si>
    <t>Starting other hardware backlog</t>
  </si>
  <si>
    <t>Other hardware sales / backlog burn</t>
  </si>
  <si>
    <t>Other hardware sales growth</t>
  </si>
  <si>
    <t>Bookings / other hardware sales</t>
  </si>
  <si>
    <t>Detailed Bottom-Up Segment Forecasts ($mm unless noted)</t>
  </si>
  <si>
    <t>Detailed Segment Summary</t>
  </si>
  <si>
    <t>Detailed other hardware total</t>
  </si>
  <si>
    <t>-</t>
  </si>
  <si>
    <t>Variance to existing other hardware model</t>
  </si>
  <si>
    <t>Infrastructure software</t>
  </si>
  <si>
    <t>Total company revenue</t>
  </si>
  <si>
    <t>Company revenue growth</t>
  </si>
  <si>
    <t>AI share of total company revenue</t>
  </si>
  <si>
    <t>Hardware share of total company revenue</t>
  </si>
  <si>
    <t>Software share of total company revenue</t>
  </si>
  <si>
    <t>Wireless Bottom-Up Forecast</t>
  </si>
  <si>
    <t>Premium smartphone units (mm)</t>
  </si>
  <si>
    <t>Broadcom content / device ($)</t>
  </si>
  <si>
    <t>Broadcom customer share %</t>
  </si>
  <si>
    <t>Wireless sales</t>
  </si>
  <si>
    <t>Wireless sales growth</t>
  </si>
  <si>
    <t>Broadband Bottom-Up Forecast</t>
  </si>
  <si>
    <t>Broadband shipment base (mm)</t>
  </si>
  <si>
    <t>Content / unit ($)</t>
  </si>
  <si>
    <t>Broadcom attach / share %</t>
  </si>
  <si>
    <t>Broadband sales</t>
  </si>
  <si>
    <t>Broadband sales growth</t>
  </si>
  <si>
    <t>Server / Storage Bottom-Up Forecast</t>
  </si>
  <si>
    <t>Server / storage unit base (mm)</t>
  </si>
  <si>
    <t>Broadcom share %</t>
  </si>
  <si>
    <t>Server / storage sales</t>
  </si>
  <si>
    <t>Server / storage sales growth</t>
  </si>
  <si>
    <t>Networking / Connectivity ex-AI Bottom-Up Forecast</t>
  </si>
  <si>
    <t>Non-AI port / switch unit base (mm)</t>
  </si>
  <si>
    <t>Networking / connectivity ex-AI sales</t>
  </si>
  <si>
    <t>Networking / connectivity sales growth</t>
  </si>
  <si>
    <t>Industrial / Other Semiconductor Bottom-Up Forecast</t>
  </si>
  <si>
    <t>Industrial unit base (mm)</t>
  </si>
  <si>
    <t>Industrial / other semiconductor sales</t>
  </si>
  <si>
    <t>Industrial sales growth</t>
  </si>
  <si>
    <t>Infrastructure Software Bottom-Up Forecast</t>
  </si>
  <si>
    <t>VMware subscription contract equivalents</t>
  </si>
  <si>
    <t>Average annual revenue / contract ($mm)</t>
  </si>
  <si>
    <t>CA / Symantec / other software revenue</t>
  </si>
  <si>
    <t>Infrastructure software sales</t>
  </si>
  <si>
    <t>Infrastructure software sales growth</t>
  </si>
  <si>
    <t>Model notes</t>
  </si>
  <si>
    <t>Other hardware segment sections reconcile to the existing Other Hardware sales row above.</t>
  </si>
  <si>
    <t>Segment categories follow Broadcom company overview buckets: wireless, broadband, server/storage, networking/connectivity, industrial, plus infrastructure software.</t>
  </si>
  <si>
    <t>Blue numbers are hardcoded assumptions. Black numbers are formulas.</t>
  </si>
  <si>
    <t>Total Sales and EBIT Forecast ($mm)</t>
  </si>
  <si>
    <t>Total sales</t>
  </si>
  <si>
    <t>Estimated EBIT margin</t>
  </si>
  <si>
    <t>Estimated EBIT</t>
  </si>
  <si>
    <t>EBIT build by segment</t>
  </si>
  <si>
    <t>AI EBIT margin</t>
  </si>
  <si>
    <t>AI EBIT</t>
  </si>
  <si>
    <t>Other hardware EBIT margin</t>
  </si>
  <si>
    <t>Other hardware EBIT</t>
  </si>
  <si>
    <t>Infrastructure software EBIT margin</t>
  </si>
  <si>
    <t>Infrastructure software EBIT</t>
  </si>
  <si>
    <t>Total EBIT</t>
  </si>
  <si>
    <t>Calculated EBIT margin</t>
  </si>
  <si>
    <t>Source</t>
  </si>
  <si>
    <t>URL</t>
  </si>
  <si>
    <t>Use in model</t>
  </si>
  <si>
    <t>Notes</t>
  </si>
  <si>
    <t>Broadcom Q2 FY2026 earnings release</t>
  </si>
  <si>
    <t>https://investors.broadcom.com/news-releases/news-release-details/broadcom-inc-announces-second-quarter-fiscal-year-2026-financial</t>
  </si>
  <si>
    <t>Q2 AI revenue, semiconductor solutions revenue, infrastructure software revenue</t>
  </si>
  <si>
    <t>Anchors near-term revenue and software starting point.</t>
  </si>
  <si>
    <t>Reuters Q2 FY2026 coverage</t>
  </si>
  <si>
    <t>https://www.reuters.com/world/china/broadcom-forecasts-quarterly-revenue-above-estimates-2026-06-03/</t>
  </si>
  <si>
    <t>AI outlook and external expectation context</t>
  </si>
  <si>
    <t>Used as outside check on AI revenue setup.</t>
  </si>
  <si>
    <t>Broadcom Q2 2026 Company Overview</t>
  </si>
  <si>
    <t>https://investors.broadcom.com/static-files/602c2fd3-89a0-436f-b638-4890f20feda7</t>
  </si>
  <si>
    <t>Business segment categories</t>
  </si>
  <si>
    <t>Used to define AI XPU and AI networking, broadband, industrial, networking/connectivity, server/storage, wireless, and software buckets.</t>
  </si>
  <si>
    <t>Broadcom FY2025 Form 10-K</t>
  </si>
  <si>
    <t>https://www.sec.gov/Archives/edgar/data/1730168/000173016825000121/avgo-20251102.htm</t>
  </si>
  <si>
    <t>Segment reporting and business descriptions</t>
  </si>
  <si>
    <t>Used to validate segment categories and infrastructure software / semiconductor reporting.</t>
  </si>
  <si>
    <t>Model logic</t>
  </si>
  <si>
    <t>Internal model</t>
  </si>
  <si>
    <t>Backlog roll-forward and bottom-up revenue schedules</t>
  </si>
  <si>
    <t>Bottom-up segment inputs are model estimates. They reconcile to the existing other hardware aggregate.</t>
  </si>
  <si>
    <t>User input</t>
  </si>
  <si>
    <t>Conversation file</t>
  </si>
  <si>
    <t>Model structure and requested changes</t>
  </si>
  <si>
    <t>AI plus other hardware in one model with additional business segment detail below existing sections.</t>
  </si>
  <si>
    <t>EBIT margin model logic</t>
  </si>
  <si>
    <t>Estimated EBIT by segment</t>
  </si>
  <si>
    <t>Clean EBIT margin assumptions are based on segment mix. AI/hardware/software margins are hardcoded scenario inputs and total EBIT margin is formula-driven.</t>
  </si>
  <si>
    <t>ETR</t>
  </si>
  <si>
    <t>NOPAT</t>
  </si>
  <si>
    <t>D&amp;A</t>
  </si>
  <si>
    <t>% of Sales</t>
  </si>
  <si>
    <t>CapEx</t>
  </si>
  <si>
    <t>NOWC</t>
  </si>
  <si>
    <t>Inv in NOWC</t>
  </si>
  <si>
    <t>FCF</t>
  </si>
  <si>
    <t>Disc FCF</t>
  </si>
  <si>
    <t>Disc</t>
  </si>
  <si>
    <t>EV/FCF Exit</t>
  </si>
  <si>
    <t>Disc TV</t>
  </si>
  <si>
    <t>Cash</t>
  </si>
  <si>
    <t>Debt</t>
  </si>
  <si>
    <t>Equity</t>
  </si>
  <si>
    <t>Shares</t>
  </si>
  <si>
    <t>Share price</t>
  </si>
  <si>
    <t>Change</t>
  </si>
  <si>
    <t xml:space="preserve">EV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</si>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</sst>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[Red]\(#,##0\);\-"/>
    <numFmt numFmtId="165" formatCode="0.0%;[Red]\(0.0%\);\-"/>
    <numFmt numFmtId="166" formatCode="0.00\x;[Red]\(0.00\x\);\-"/>
    <numFmt numFmtId="167" formatCode="\$0.00;[Red]\(\$0.00\);\-"/>
    <numFmt numFmtId="169" formatCode="_(* #,##0_);_(* \(#,##0\);_(* &quot;-&quot;??_);_(@_)"/>
    <numFmt numFmtId="174" formatCode="0.0%"/>
  </numFmts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2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  <font>
      <i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5E7EB"/>
      </patternFill>
    </fill>
    <fill>
      <patternFill patternType="solid">
        <fgColor rgb="FFDBEAF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0F243E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5" borderId="0" xfId="0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165" fontId="4" fillId="6" borderId="0" xfId="0" applyNumberFormat="1" applyFont="1" applyFill="1" applyAlignment="1">
      <alignment horizontal="right"/>
    </xf>
    <xf numFmtId="0" fontId="5" fillId="7" borderId="0" xfId="0" applyFont="1" applyFill="1"/>
    <xf numFmtId="0" fontId="2" fillId="8" borderId="0" xfId="0" applyFont="1" applyFill="1"/>
    <xf numFmtId="0" fontId="3" fillId="9" borderId="0" xfId="0" applyFont="1" applyFill="1"/>
    <xf numFmtId="0" fontId="3" fillId="0" borderId="0" xfId="0" applyFont="1"/>
    <xf numFmtId="0" fontId="6" fillId="0" borderId="0" xfId="0" applyFont="1"/>
    <xf numFmtId="164" fontId="6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165" fontId="4" fillId="0" borderId="0" xfId="0" applyNumberFormat="1" applyFont="1"/>
    <xf numFmtId="165" fontId="6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2" fillId="8" borderId="0" xfId="0" applyFont="1" applyFill="1" applyAlignment="1">
      <alignment wrapText="1"/>
    </xf>
    <xf numFmtId="0" fontId="2" fillId="10" borderId="0" xfId="0" applyFont="1" applyFill="1"/>
    <xf numFmtId="0" fontId="3" fillId="11" borderId="0" xfId="0" applyFont="1" applyFill="1"/>
    <xf numFmtId="164" fontId="3" fillId="0" borderId="0" xfId="0" applyNumberFormat="1" applyFont="1"/>
    <xf numFmtId="165" fontId="3" fillId="0" borderId="0" xfId="0" applyNumberFormat="1" applyFont="1"/>
    <xf numFmtId="9" fontId="0" fillId="0" borderId="0" xfId="0" applyNumberFormat="1"/>
    <xf numFmtId="43" fontId="0" fillId="0" borderId="0" xfId="1" applyFont="1"/>
    <xf numFmtId="169" fontId="0" fillId="0" borderId="0" xfId="1" applyNumberFormat="1" applyFont="1"/>
    <xf numFmtId="169" fontId="3" fillId="0" borderId="0" xfId="1" applyNumberFormat="1" applyFont="1"/>
    <xf numFmtId="174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43" fontId="3" fillId="0" borderId="0" xfId="1" applyFont="1"/>
    <xf numFmtId="174" fontId="3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topLeftCell="A166" workbookViewId="0">
      <selection activeCell="B184" sqref="B184"/>
    </sheetView>
  </sheetViews>
  <sheetFormatPr defaultRowHeight="14.25"/>
  <cols>
    <col min="1" max="1" width="38" customWidth="1"/>
    <col min="2" max="2" width="16.125" customWidth="1"/>
    <col min="3" max="7" width="13" customWidth="1"/>
  </cols>
  <sheetData>
    <row r="1" spans="1:7" ht="54">
      <c r="A1" s="4" t="s">
        <v>0</v>
      </c>
      <c r="B1" s="1"/>
      <c r="C1" s="1"/>
      <c r="D1" s="1"/>
      <c r="E1" s="1"/>
      <c r="F1" s="1"/>
      <c r="G1" s="1"/>
    </row>
    <row r="2" spans="1:7">
      <c r="A2" s="5"/>
    </row>
    <row r="3" spans="1:7" ht="15">
      <c r="A3" s="6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</row>
    <row r="4" spans="1:7" ht="15">
      <c r="A4" s="7" t="s">
        <v>7</v>
      </c>
      <c r="B4" s="10"/>
      <c r="C4" s="10"/>
      <c r="D4" s="10"/>
      <c r="E4" s="10"/>
      <c r="F4" s="10"/>
      <c r="G4" s="10"/>
    </row>
    <row r="5" spans="1:7">
      <c r="A5" s="5" t="s">
        <v>8</v>
      </c>
      <c r="B5" s="11" t="str">
        <f>"-"</f>
        <v>-</v>
      </c>
      <c r="C5" s="11">
        <f>C33</f>
        <v>87220</v>
      </c>
      <c r="D5" s="11">
        <f>D33</f>
        <v>122736</v>
      </c>
      <c r="E5" s="11">
        <f>E33</f>
        <v>145000</v>
      </c>
      <c r="F5" s="11">
        <f>F33</f>
        <v>130000</v>
      </c>
      <c r="G5" s="11">
        <f>G33</f>
        <v>135000</v>
      </c>
    </row>
    <row r="6" spans="1:7">
      <c r="A6" s="5" t="s">
        <v>9</v>
      </c>
      <c r="B6" s="11" t="str">
        <f>"-"</f>
        <v>-</v>
      </c>
      <c r="C6" s="11">
        <f>C58</f>
        <v>18000</v>
      </c>
      <c r="D6" s="11">
        <f>D58</f>
        <v>20000</v>
      </c>
      <c r="E6" s="11">
        <f>E58</f>
        <v>21000</v>
      </c>
      <c r="F6" s="11">
        <f>F58</f>
        <v>18500</v>
      </c>
      <c r="G6" s="11">
        <f>G58</f>
        <v>19500</v>
      </c>
    </row>
    <row r="7" spans="1:7">
      <c r="A7" s="5" t="s">
        <v>10</v>
      </c>
      <c r="B7" s="11" t="str">
        <f>"-"</f>
        <v>-</v>
      </c>
      <c r="C7" s="11">
        <f>C5+C6</f>
        <v>105220</v>
      </c>
      <c r="D7" s="11">
        <f>D5+D6</f>
        <v>142736</v>
      </c>
      <c r="E7" s="11">
        <f>E5+E6</f>
        <v>166000</v>
      </c>
      <c r="F7" s="11">
        <f>F5+F6</f>
        <v>148500</v>
      </c>
      <c r="G7" s="11">
        <f>G5+G6</f>
        <v>154500</v>
      </c>
    </row>
    <row r="8" spans="1:7">
      <c r="A8" s="5" t="s">
        <v>11</v>
      </c>
      <c r="B8" s="12" t="str">
        <f>"-"</f>
        <v>-</v>
      </c>
      <c r="C8" s="12" t="str">
        <f>"-"</f>
        <v>-</v>
      </c>
      <c r="D8" s="12">
        <f>D7/C7-1</f>
        <v>0.3565481847557499</v>
      </c>
      <c r="E8" s="12">
        <f>E7/D7-1</f>
        <v>0.16298621230803723</v>
      </c>
      <c r="F8" s="12">
        <f>F7/E7-1</f>
        <v>-0.10542168674698793</v>
      </c>
      <c r="G8" s="12">
        <f>G7/F7-1</f>
        <v>4.0404040404040442E-2</v>
      </c>
    </row>
    <row r="9" spans="1:7">
      <c r="A9" s="5" t="s">
        <v>12</v>
      </c>
      <c r="B9" s="11">
        <f t="shared" ref="B9:G9" si="0">B35</f>
        <v>89000</v>
      </c>
      <c r="C9" s="11">
        <f t="shared" si="0"/>
        <v>99680</v>
      </c>
      <c r="D9" s="11">
        <f t="shared" si="0"/>
        <v>111445.6</v>
      </c>
      <c r="E9" s="11">
        <f t="shared" si="0"/>
        <v>110331.144</v>
      </c>
      <c r="F9" s="11">
        <f t="shared" si="0"/>
        <v>84227.832559999995</v>
      </c>
      <c r="G9" s="11">
        <f t="shared" si="0"/>
        <v>78806.693397200012</v>
      </c>
    </row>
    <row r="10" spans="1:7">
      <c r="A10" s="5" t="s">
        <v>13</v>
      </c>
      <c r="B10" s="11">
        <f t="shared" ref="B10:G10" si="1">B60</f>
        <v>18000</v>
      </c>
      <c r="C10" s="11">
        <f t="shared" si="1"/>
        <v>19800</v>
      </c>
      <c r="D10" s="11">
        <f t="shared" si="1"/>
        <v>22701</v>
      </c>
      <c r="E10" s="11">
        <f t="shared" si="1"/>
        <v>21860.485000000001</v>
      </c>
      <c r="F10" s="11">
        <f t="shared" si="1"/>
        <v>18423.275300000001</v>
      </c>
      <c r="G10" s="11">
        <f t="shared" si="1"/>
        <v>17239.042547000001</v>
      </c>
    </row>
    <row r="11" spans="1:7">
      <c r="A11" s="5" t="s">
        <v>14</v>
      </c>
      <c r="B11" s="11">
        <f t="shared" ref="B11:G11" si="2">B9+B10</f>
        <v>107000</v>
      </c>
      <c r="C11" s="11">
        <f t="shared" si="2"/>
        <v>119480</v>
      </c>
      <c r="D11" s="11">
        <f t="shared" si="2"/>
        <v>134146.6</v>
      </c>
      <c r="E11" s="11">
        <f t="shared" si="2"/>
        <v>132191.62900000002</v>
      </c>
      <c r="F11" s="11">
        <f t="shared" si="2"/>
        <v>102651.10785999999</v>
      </c>
      <c r="G11" s="11">
        <f t="shared" si="2"/>
        <v>96045.735944200016</v>
      </c>
    </row>
    <row r="12" spans="1:7">
      <c r="A12" s="5" t="s">
        <v>15</v>
      </c>
      <c r="B12" s="11" t="str">
        <f>"-"</f>
        <v>-</v>
      </c>
      <c r="C12" s="11">
        <f>C21+C46</f>
        <v>117700</v>
      </c>
      <c r="D12" s="11">
        <f>D21+D46</f>
        <v>158000</v>
      </c>
      <c r="E12" s="11">
        <f>E21+E46</f>
        <v>165500</v>
      </c>
      <c r="F12" s="11">
        <f>F21+F46</f>
        <v>120500</v>
      </c>
      <c r="G12" s="11">
        <f>G21+G46</f>
        <v>148500</v>
      </c>
    </row>
    <row r="13" spans="1:7">
      <c r="A13" s="5" t="s">
        <v>16</v>
      </c>
      <c r="B13" s="13" t="str">
        <f>"-"</f>
        <v>-</v>
      </c>
      <c r="C13" s="13">
        <f>C12/C7</f>
        <v>1.1186086295381106</v>
      </c>
      <c r="D13" s="13">
        <f>D12/D7</f>
        <v>1.1069386840040354</v>
      </c>
      <c r="E13" s="13">
        <f>E12/E7</f>
        <v>0.99698795180722888</v>
      </c>
      <c r="F13" s="13">
        <f>F12/F7</f>
        <v>0.81144781144781142</v>
      </c>
      <c r="G13" s="13">
        <f>G12/G7</f>
        <v>0.96116504854368934</v>
      </c>
    </row>
    <row r="14" spans="1:7">
      <c r="A14" s="5" t="s">
        <v>17</v>
      </c>
      <c r="B14" s="12" t="str">
        <f>"-"</f>
        <v>-</v>
      </c>
      <c r="C14" s="12">
        <f>C11/D7</f>
        <v>0.83706983522026679</v>
      </c>
      <c r="D14" s="12">
        <f>D11/E7</f>
        <v>0.80811204819277116</v>
      </c>
      <c r="E14" s="12">
        <f>E11/F7</f>
        <v>0.89017931986531995</v>
      </c>
      <c r="F14" s="12">
        <f>F11/G7</f>
        <v>0.66440846511326856</v>
      </c>
      <c r="G14" s="12" t="str">
        <f>"-"</f>
        <v>-</v>
      </c>
    </row>
    <row r="15" spans="1:7">
      <c r="A15" s="5" t="s">
        <v>18</v>
      </c>
      <c r="B15" s="12" t="str">
        <f>"-"</f>
        <v>-</v>
      </c>
      <c r="C15" s="12">
        <f>C5/C7</f>
        <v>0.82892986124310963</v>
      </c>
      <c r="D15" s="12">
        <f>D5/D7</f>
        <v>0.85988117923999552</v>
      </c>
      <c r="E15" s="12">
        <f>E5/E7</f>
        <v>0.87349397590361444</v>
      </c>
      <c r="F15" s="12">
        <f>F5/F7</f>
        <v>0.87542087542087543</v>
      </c>
      <c r="G15" s="12">
        <f>G5/G7</f>
        <v>0.87378640776699024</v>
      </c>
    </row>
    <row r="16" spans="1:7">
      <c r="A16" s="5"/>
      <c r="B16" s="14"/>
      <c r="C16" s="14"/>
      <c r="D16" s="14"/>
      <c r="E16" s="14"/>
      <c r="F16" s="14"/>
      <c r="G16" s="14"/>
    </row>
    <row r="17" spans="1:7" ht="15">
      <c r="A17" s="7" t="s">
        <v>19</v>
      </c>
      <c r="B17" s="10"/>
      <c r="C17" s="10"/>
      <c r="D17" s="10"/>
      <c r="E17" s="10"/>
      <c r="F17" s="10"/>
      <c r="G17" s="10"/>
    </row>
    <row r="18" spans="1:7" ht="15">
      <c r="A18" s="6"/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</row>
    <row r="19" spans="1:7" ht="15">
      <c r="A19" s="8" t="s">
        <v>20</v>
      </c>
      <c r="B19" s="15"/>
      <c r="C19" s="15"/>
      <c r="D19" s="15"/>
      <c r="E19" s="15"/>
      <c r="F19" s="15"/>
      <c r="G19" s="15"/>
    </row>
    <row r="20" spans="1:7">
      <c r="A20" s="5" t="s">
        <v>21</v>
      </c>
      <c r="B20" s="16">
        <v>89000</v>
      </c>
      <c r="C20" s="16"/>
      <c r="D20" s="16"/>
      <c r="E20" s="16"/>
      <c r="F20" s="16"/>
      <c r="G20" s="16"/>
    </row>
    <row r="21" spans="1:7">
      <c r="A21" s="5" t="s">
        <v>22</v>
      </c>
      <c r="B21" s="16"/>
      <c r="C21" s="16">
        <v>97900</v>
      </c>
      <c r="D21" s="16">
        <v>135000</v>
      </c>
      <c r="E21" s="16">
        <v>145000</v>
      </c>
      <c r="F21" s="16">
        <v>105000</v>
      </c>
      <c r="G21" s="16">
        <v>130000</v>
      </c>
    </row>
    <row r="22" spans="1:7">
      <c r="A22" s="5" t="s">
        <v>23</v>
      </c>
      <c r="B22" s="17"/>
      <c r="C22" s="17">
        <v>0.98</v>
      </c>
      <c r="D22" s="17">
        <v>0.82499999999999996</v>
      </c>
      <c r="E22" s="17">
        <v>0.8</v>
      </c>
      <c r="F22" s="17">
        <v>0.95</v>
      </c>
      <c r="G22" s="17">
        <v>0.95</v>
      </c>
    </row>
    <row r="23" spans="1:7">
      <c r="A23" s="5" t="s">
        <v>24</v>
      </c>
      <c r="B23" s="17"/>
      <c r="C23" s="17">
        <v>0</v>
      </c>
      <c r="D23" s="17">
        <v>0.3</v>
      </c>
      <c r="E23" s="17">
        <v>0.45</v>
      </c>
      <c r="F23" s="17">
        <v>0.35</v>
      </c>
      <c r="G23" s="17">
        <v>0.45</v>
      </c>
    </row>
    <row r="24" spans="1:7">
      <c r="A24" s="5" t="s">
        <v>25</v>
      </c>
      <c r="B24" s="16"/>
      <c r="C24" s="16">
        <v>87220</v>
      </c>
      <c r="D24" s="16">
        <v>135000</v>
      </c>
      <c r="E24" s="16">
        <v>170000</v>
      </c>
      <c r="F24" s="16">
        <v>200000</v>
      </c>
      <c r="G24" s="16">
        <v>220000</v>
      </c>
    </row>
    <row r="25" spans="1:7">
      <c r="A25" s="5" t="s">
        <v>26</v>
      </c>
      <c r="B25" s="16"/>
      <c r="C25" s="16">
        <v>87220</v>
      </c>
      <c r="D25" s="16">
        <v>130000</v>
      </c>
      <c r="E25" s="16">
        <v>145000</v>
      </c>
      <c r="F25" s="16">
        <v>130000</v>
      </c>
      <c r="G25" s="16">
        <v>135000</v>
      </c>
    </row>
    <row r="26" spans="1:7" ht="28.5">
      <c r="A26" s="5" t="s">
        <v>27</v>
      </c>
      <c r="B26" s="17"/>
      <c r="C26" s="17">
        <v>0</v>
      </c>
      <c r="D26" s="17">
        <v>5.0000000000000001E-3</v>
      </c>
      <c r="E26" s="17">
        <v>0.01</v>
      </c>
      <c r="F26" s="17">
        <v>0.01</v>
      </c>
      <c r="G26" s="17">
        <v>5.0000000000000001E-3</v>
      </c>
    </row>
    <row r="27" spans="1:7">
      <c r="A27" s="5"/>
      <c r="B27" s="14"/>
      <c r="C27" s="14"/>
      <c r="D27" s="14"/>
      <c r="E27" s="14"/>
      <c r="F27" s="14"/>
      <c r="G27" s="14"/>
    </row>
    <row r="28" spans="1:7" ht="15">
      <c r="A28" s="7" t="s">
        <v>28</v>
      </c>
      <c r="B28" s="10"/>
      <c r="C28" s="10"/>
      <c r="D28" s="10"/>
      <c r="E28" s="10"/>
      <c r="F28" s="10"/>
      <c r="G28" s="10"/>
    </row>
    <row r="29" spans="1:7">
      <c r="A29" s="5" t="s">
        <v>29</v>
      </c>
      <c r="B29" s="11" t="str">
        <f t="shared" ref="B29:B34" si="3">"-"</f>
        <v>-</v>
      </c>
      <c r="C29" s="11">
        <f>$B$20</f>
        <v>89000</v>
      </c>
      <c r="D29" s="11">
        <f>C35</f>
        <v>99680</v>
      </c>
      <c r="E29" s="11">
        <f>D35</f>
        <v>111445.6</v>
      </c>
      <c r="F29" s="11">
        <f>E35</f>
        <v>110331.144</v>
      </c>
      <c r="G29" s="11">
        <f>F35</f>
        <v>84227.832559999995</v>
      </c>
    </row>
    <row r="30" spans="1:7">
      <c r="A30" s="5" t="s">
        <v>30</v>
      </c>
      <c r="B30" s="11" t="str">
        <f t="shared" si="3"/>
        <v>-</v>
      </c>
      <c r="C30" s="11">
        <f>C29*C22</f>
        <v>87220</v>
      </c>
      <c r="D30" s="11">
        <f>D29*D22</f>
        <v>82236</v>
      </c>
      <c r="E30" s="11">
        <f>E29*E22</f>
        <v>89156.48000000001</v>
      </c>
      <c r="F30" s="11">
        <f>F29*F22</f>
        <v>104814.58679999999</v>
      </c>
      <c r="G30" s="11">
        <f>G29*G22</f>
        <v>80016.440931999998</v>
      </c>
    </row>
    <row r="31" spans="1:7">
      <c r="A31" s="5" t="s">
        <v>31</v>
      </c>
      <c r="B31" s="11" t="str">
        <f t="shared" si="3"/>
        <v>-</v>
      </c>
      <c r="C31" s="11">
        <f>C21*C23</f>
        <v>0</v>
      </c>
      <c r="D31" s="11">
        <f>D21*D23</f>
        <v>40500</v>
      </c>
      <c r="E31" s="11">
        <f>E21*E23</f>
        <v>65250</v>
      </c>
      <c r="F31" s="11">
        <f>F21*F23</f>
        <v>36750</v>
      </c>
      <c r="G31" s="11">
        <f>G21*G23</f>
        <v>58500</v>
      </c>
    </row>
    <row r="32" spans="1:7">
      <c r="A32" s="5" t="s">
        <v>32</v>
      </c>
      <c r="B32" s="11" t="str">
        <f t="shared" si="3"/>
        <v>-</v>
      </c>
      <c r="C32" s="11">
        <f>C30+C31</f>
        <v>87220</v>
      </c>
      <c r="D32" s="11">
        <f>D30+D31</f>
        <v>122736</v>
      </c>
      <c r="E32" s="11">
        <f>E30+E31</f>
        <v>154406.48000000001</v>
      </c>
      <c r="F32" s="11">
        <f>F30+F31</f>
        <v>141564.58679999999</v>
      </c>
      <c r="G32" s="11">
        <f>G30+G31</f>
        <v>138516.440932</v>
      </c>
    </row>
    <row r="33" spans="1:7">
      <c r="A33" s="5" t="s">
        <v>33</v>
      </c>
      <c r="B33" s="11" t="str">
        <f t="shared" si="3"/>
        <v>-</v>
      </c>
      <c r="C33" s="11">
        <f>MIN(C32,C24,C25)</f>
        <v>87220</v>
      </c>
      <c r="D33" s="11">
        <f>MIN(D32,D24,D25)</f>
        <v>122736</v>
      </c>
      <c r="E33" s="11">
        <f>MIN(E32,E24,E25)</f>
        <v>145000</v>
      </c>
      <c r="F33" s="11">
        <f>MIN(F32,F24,F25)</f>
        <v>130000</v>
      </c>
      <c r="G33" s="11">
        <f>MIN(G32,G24,G25)</f>
        <v>135000</v>
      </c>
    </row>
    <row r="34" spans="1:7">
      <c r="A34" s="5" t="s">
        <v>34</v>
      </c>
      <c r="B34" s="11" t="str">
        <f t="shared" si="3"/>
        <v>-</v>
      </c>
      <c r="C34" s="11">
        <f>C29*C26</f>
        <v>0</v>
      </c>
      <c r="D34" s="11">
        <f>D29*D26</f>
        <v>498.40000000000003</v>
      </c>
      <c r="E34" s="11">
        <f>E29*E26</f>
        <v>1114.4560000000001</v>
      </c>
      <c r="F34" s="11">
        <f>F29*F26</f>
        <v>1103.3114399999999</v>
      </c>
      <c r="G34" s="11">
        <f>G29*G26</f>
        <v>421.13916280000001</v>
      </c>
    </row>
    <row r="35" spans="1:7">
      <c r="A35" s="5" t="s">
        <v>35</v>
      </c>
      <c r="B35" s="11">
        <f>$B$20</f>
        <v>89000</v>
      </c>
      <c r="C35" s="11">
        <f>C29+C21-C33-C34</f>
        <v>99680</v>
      </c>
      <c r="D35" s="11">
        <f>D29+D21-D33-D34</f>
        <v>111445.6</v>
      </c>
      <c r="E35" s="11">
        <f>E29+E21-E33-E34</f>
        <v>110331.144</v>
      </c>
      <c r="F35" s="11">
        <f>F29+F21-F33-F34</f>
        <v>84227.832559999995</v>
      </c>
      <c r="G35" s="11">
        <f>G29+G21-G33-G34</f>
        <v>78806.693397200012</v>
      </c>
    </row>
    <row r="36" spans="1:7">
      <c r="A36" s="5" t="s">
        <v>36</v>
      </c>
      <c r="B36" s="12" t="str">
        <f>"-"</f>
        <v>-</v>
      </c>
      <c r="C36" s="12" t="str">
        <f>"-"</f>
        <v>-</v>
      </c>
      <c r="D36" s="12">
        <f>D33/C33-1</f>
        <v>0.40720018344416409</v>
      </c>
      <c r="E36" s="12">
        <f>E33/D33-1</f>
        <v>0.18139747099465509</v>
      </c>
      <c r="F36" s="12">
        <f>F33/E33-1</f>
        <v>-0.10344827586206895</v>
      </c>
      <c r="G36" s="12">
        <f>G33/F33-1</f>
        <v>3.8461538461538547E-2</v>
      </c>
    </row>
    <row r="37" spans="1:7">
      <c r="A37" s="5" t="s">
        <v>37</v>
      </c>
      <c r="B37" s="13" t="str">
        <f>"-"</f>
        <v>-</v>
      </c>
      <c r="C37" s="13">
        <f>C21/C33</f>
        <v>1.1224489795918366</v>
      </c>
      <c r="D37" s="13">
        <f>D21/D33</f>
        <v>1.0999217833398514</v>
      </c>
      <c r="E37" s="13">
        <f>E21/E33</f>
        <v>1</v>
      </c>
      <c r="F37" s="13">
        <f>F21/F33</f>
        <v>0.80769230769230771</v>
      </c>
      <c r="G37" s="13">
        <f>G21/G33</f>
        <v>0.96296296296296291</v>
      </c>
    </row>
    <row r="38" spans="1:7">
      <c r="A38" s="5" t="s">
        <v>17</v>
      </c>
      <c r="B38" s="12" t="str">
        <f>"-"</f>
        <v>-</v>
      </c>
      <c r="C38" s="12">
        <f>C35/D33</f>
        <v>0.8121496545430843</v>
      </c>
      <c r="D38" s="12">
        <f>D35/E33</f>
        <v>0.76859034482758626</v>
      </c>
      <c r="E38" s="12">
        <f>E35/F33</f>
        <v>0.84870110769230767</v>
      </c>
      <c r="F38" s="12">
        <f>F35/G33</f>
        <v>0.62390987081481475</v>
      </c>
      <c r="G38" s="12" t="str">
        <f>"-"</f>
        <v>-</v>
      </c>
    </row>
    <row r="39" spans="1:7">
      <c r="A39" s="5" t="s">
        <v>38</v>
      </c>
      <c r="B39" s="14" t="str">
        <f>"-"</f>
        <v>-</v>
      </c>
      <c r="C39" s="14" t="str">
        <f>IF(C33=C32,"Backlog support",IF(C33=C24,"Capacity","Demand"))</f>
        <v>Backlog support</v>
      </c>
      <c r="D39" s="14" t="str">
        <f>IF(D33=D32,"Backlog support",IF(D33=D24,"Capacity","Demand"))</f>
        <v>Backlog support</v>
      </c>
      <c r="E39" s="14" t="str">
        <f>IF(E33=E32,"Backlog support",IF(E33=E24,"Capacity","Demand"))</f>
        <v>Demand</v>
      </c>
      <c r="F39" s="14" t="str">
        <f>IF(F33=F32,"Backlog support",IF(F33=F24,"Capacity","Demand"))</f>
        <v>Demand</v>
      </c>
      <c r="G39" s="14" t="str">
        <f>IF(G33=G32,"Backlog support",IF(G33=G24,"Capacity","Demand"))</f>
        <v>Demand</v>
      </c>
    </row>
    <row r="40" spans="1:7">
      <c r="A40" s="5"/>
      <c r="B40" s="14"/>
      <c r="C40" s="14"/>
      <c r="D40" s="14"/>
      <c r="E40" s="14"/>
      <c r="F40" s="14"/>
      <c r="G40" s="14"/>
    </row>
    <row r="41" spans="1:7">
      <c r="A41" s="5"/>
      <c r="B41" s="14"/>
      <c r="C41" s="14"/>
      <c r="D41" s="14"/>
      <c r="E41" s="14"/>
      <c r="F41" s="14"/>
      <c r="G41" s="14"/>
    </row>
    <row r="42" spans="1:7" ht="15">
      <c r="A42" s="7" t="s">
        <v>39</v>
      </c>
      <c r="B42" s="10"/>
      <c r="C42" s="10"/>
      <c r="D42" s="10"/>
      <c r="E42" s="10"/>
      <c r="F42" s="10"/>
      <c r="G42" s="10"/>
    </row>
    <row r="43" spans="1:7" ht="15">
      <c r="A43" s="6"/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</row>
    <row r="44" spans="1:7" ht="15">
      <c r="A44" s="8" t="s">
        <v>20</v>
      </c>
      <c r="B44" s="15"/>
      <c r="C44" s="15"/>
      <c r="D44" s="15"/>
      <c r="E44" s="15"/>
      <c r="F44" s="15"/>
      <c r="G44" s="15"/>
    </row>
    <row r="45" spans="1:7">
      <c r="A45" s="5" t="s">
        <v>40</v>
      </c>
      <c r="B45" s="16">
        <v>18000</v>
      </c>
      <c r="C45" s="16"/>
      <c r="D45" s="16"/>
      <c r="E45" s="16"/>
      <c r="F45" s="16"/>
      <c r="G45" s="16"/>
    </row>
    <row r="46" spans="1:7">
      <c r="A46" s="5" t="s">
        <v>22</v>
      </c>
      <c r="B46" s="16"/>
      <c r="C46" s="16">
        <v>19800</v>
      </c>
      <c r="D46" s="16">
        <v>23000</v>
      </c>
      <c r="E46" s="16">
        <v>20500</v>
      </c>
      <c r="F46" s="16">
        <v>15500</v>
      </c>
      <c r="G46" s="16">
        <v>18500</v>
      </c>
    </row>
    <row r="47" spans="1:7">
      <c r="A47" s="5" t="s">
        <v>23</v>
      </c>
      <c r="B47" s="17"/>
      <c r="C47" s="17">
        <v>0.9</v>
      </c>
      <c r="D47" s="17">
        <v>0.875</v>
      </c>
      <c r="E47" s="17">
        <v>0.82499999999999996</v>
      </c>
      <c r="F47" s="17">
        <v>0.95</v>
      </c>
      <c r="G47" s="17">
        <v>1</v>
      </c>
    </row>
    <row r="48" spans="1:7">
      <c r="A48" s="5" t="s">
        <v>24</v>
      </c>
      <c r="B48" s="17"/>
      <c r="C48" s="17">
        <v>0.1</v>
      </c>
      <c r="D48" s="17">
        <v>0.15</v>
      </c>
      <c r="E48" s="17">
        <v>0.2</v>
      </c>
      <c r="F48" s="17">
        <v>0.15</v>
      </c>
      <c r="G48" s="17">
        <v>0.15</v>
      </c>
    </row>
    <row r="49" spans="1:7">
      <c r="A49" s="5" t="s">
        <v>25</v>
      </c>
      <c r="B49" s="16"/>
      <c r="C49" s="16">
        <v>18000</v>
      </c>
      <c r="D49" s="16">
        <v>21000</v>
      </c>
      <c r="E49" s="16">
        <v>22000</v>
      </c>
      <c r="F49" s="16">
        <v>20000</v>
      </c>
      <c r="G49" s="16">
        <v>20500</v>
      </c>
    </row>
    <row r="50" spans="1:7">
      <c r="A50" s="5" t="s">
        <v>26</v>
      </c>
      <c r="B50" s="16"/>
      <c r="C50" s="16">
        <v>18000</v>
      </c>
      <c r="D50" s="16">
        <v>20000</v>
      </c>
      <c r="E50" s="16">
        <v>21000</v>
      </c>
      <c r="F50" s="16">
        <v>18500</v>
      </c>
      <c r="G50" s="16">
        <v>19500</v>
      </c>
    </row>
    <row r="51" spans="1:7" ht="28.5">
      <c r="A51" s="5" t="s">
        <v>27</v>
      </c>
      <c r="B51" s="17"/>
      <c r="C51" s="17">
        <v>0</v>
      </c>
      <c r="D51" s="17">
        <v>5.0000000000000001E-3</v>
      </c>
      <c r="E51" s="17">
        <v>1.4999999999999999E-2</v>
      </c>
      <c r="F51" s="17">
        <v>0.02</v>
      </c>
      <c r="G51" s="17">
        <v>0.01</v>
      </c>
    </row>
    <row r="52" spans="1:7">
      <c r="A52" s="5"/>
      <c r="B52" s="14"/>
      <c r="C52" s="14"/>
      <c r="D52" s="14"/>
      <c r="E52" s="14"/>
      <c r="F52" s="14"/>
      <c r="G52" s="14"/>
    </row>
    <row r="53" spans="1:7" ht="15">
      <c r="A53" s="7" t="s">
        <v>28</v>
      </c>
      <c r="B53" s="10"/>
      <c r="C53" s="10"/>
      <c r="D53" s="10"/>
      <c r="E53" s="10"/>
      <c r="F53" s="10"/>
      <c r="G53" s="10"/>
    </row>
    <row r="54" spans="1:7">
      <c r="A54" s="5" t="s">
        <v>29</v>
      </c>
      <c r="B54" s="11" t="str">
        <f t="shared" ref="B54:B59" si="4">"-"</f>
        <v>-</v>
      </c>
      <c r="C54" s="11">
        <f>$B$45</f>
        <v>18000</v>
      </c>
      <c r="D54" s="11">
        <f>C60</f>
        <v>19800</v>
      </c>
      <c r="E54" s="11">
        <f>D60</f>
        <v>22701</v>
      </c>
      <c r="F54" s="11">
        <f>E60</f>
        <v>21860.485000000001</v>
      </c>
      <c r="G54" s="11">
        <f>F60</f>
        <v>18423.275300000001</v>
      </c>
    </row>
    <row r="55" spans="1:7">
      <c r="A55" s="5" t="s">
        <v>30</v>
      </c>
      <c r="B55" s="11" t="str">
        <f t="shared" si="4"/>
        <v>-</v>
      </c>
      <c r="C55" s="11">
        <f>C54*C47</f>
        <v>16200</v>
      </c>
      <c r="D55" s="11">
        <f>D54*D47</f>
        <v>17325</v>
      </c>
      <c r="E55" s="11">
        <f>E54*E47</f>
        <v>18728.325000000001</v>
      </c>
      <c r="F55" s="11">
        <f>F54*F47</f>
        <v>20767.460749999998</v>
      </c>
      <c r="G55" s="11">
        <f>G54*G47</f>
        <v>18423.275300000001</v>
      </c>
    </row>
    <row r="56" spans="1:7">
      <c r="A56" s="5" t="s">
        <v>31</v>
      </c>
      <c r="B56" s="11" t="str">
        <f t="shared" si="4"/>
        <v>-</v>
      </c>
      <c r="C56" s="11">
        <f>C46*C48</f>
        <v>1980</v>
      </c>
      <c r="D56" s="11">
        <f>D46*D48</f>
        <v>3450</v>
      </c>
      <c r="E56" s="11">
        <f>E46*E48</f>
        <v>4100</v>
      </c>
      <c r="F56" s="11">
        <f>F46*F48</f>
        <v>2325</v>
      </c>
      <c r="G56" s="11">
        <f>G46*G48</f>
        <v>2775</v>
      </c>
    </row>
    <row r="57" spans="1:7">
      <c r="A57" s="5" t="s">
        <v>32</v>
      </c>
      <c r="B57" s="11" t="str">
        <f t="shared" si="4"/>
        <v>-</v>
      </c>
      <c r="C57" s="11">
        <f>C55+C56</f>
        <v>18180</v>
      </c>
      <c r="D57" s="11">
        <f>D55+D56</f>
        <v>20775</v>
      </c>
      <c r="E57" s="11">
        <f>E55+E56</f>
        <v>22828.325000000001</v>
      </c>
      <c r="F57" s="11">
        <f>F55+F56</f>
        <v>23092.460749999998</v>
      </c>
      <c r="G57" s="11">
        <f>G55+G56</f>
        <v>21198.275300000001</v>
      </c>
    </row>
    <row r="58" spans="1:7">
      <c r="A58" s="5" t="s">
        <v>41</v>
      </c>
      <c r="B58" s="11" t="str">
        <f t="shared" si="4"/>
        <v>-</v>
      </c>
      <c r="C58" s="11">
        <f>MIN(C57,C49,C50)</f>
        <v>18000</v>
      </c>
      <c r="D58" s="11">
        <f>MIN(D57,D49,D50)</f>
        <v>20000</v>
      </c>
      <c r="E58" s="11">
        <f>MIN(E57,E49,E50)</f>
        <v>21000</v>
      </c>
      <c r="F58" s="11">
        <f>MIN(F57,F49,F50)</f>
        <v>18500</v>
      </c>
      <c r="G58" s="11">
        <f>MIN(G57,G49,G50)</f>
        <v>19500</v>
      </c>
    </row>
    <row r="59" spans="1:7">
      <c r="A59" s="5" t="s">
        <v>34</v>
      </c>
      <c r="B59" s="11" t="str">
        <f t="shared" si="4"/>
        <v>-</v>
      </c>
      <c r="C59" s="11">
        <f>C54*C51</f>
        <v>0</v>
      </c>
      <c r="D59" s="11">
        <f>D54*D51</f>
        <v>99</v>
      </c>
      <c r="E59" s="11">
        <f>E54*E51</f>
        <v>340.51499999999999</v>
      </c>
      <c r="F59" s="11">
        <f>F54*F51</f>
        <v>437.2097</v>
      </c>
      <c r="G59" s="11">
        <f>G54*G51</f>
        <v>184.232753</v>
      </c>
    </row>
    <row r="60" spans="1:7">
      <c r="A60" s="5" t="s">
        <v>35</v>
      </c>
      <c r="B60" s="11">
        <f>$B$45</f>
        <v>18000</v>
      </c>
      <c r="C60" s="11">
        <f>C54+C46-C58-C59</f>
        <v>19800</v>
      </c>
      <c r="D60" s="11">
        <f>D54+D46-D58-D59</f>
        <v>22701</v>
      </c>
      <c r="E60" s="11">
        <f>E54+E46-E58-E59</f>
        <v>21860.485000000001</v>
      </c>
      <c r="F60" s="11">
        <f>F54+F46-F58-F59</f>
        <v>18423.275300000001</v>
      </c>
      <c r="G60" s="11">
        <f>G54+G46-G58-G59</f>
        <v>17239.042547000001</v>
      </c>
    </row>
    <row r="61" spans="1:7">
      <c r="A61" s="5" t="s">
        <v>42</v>
      </c>
      <c r="B61" s="12" t="str">
        <f>"-"</f>
        <v>-</v>
      </c>
      <c r="C61" s="12" t="str">
        <f>"-"</f>
        <v>-</v>
      </c>
      <c r="D61" s="12">
        <f>D58/C58-1</f>
        <v>0.11111111111111116</v>
      </c>
      <c r="E61" s="12">
        <f>E58/D58-1</f>
        <v>5.0000000000000044E-2</v>
      </c>
      <c r="F61" s="12">
        <f>F58/E58-1</f>
        <v>-0.11904761904761907</v>
      </c>
      <c r="G61" s="12">
        <f>G58/F58-1</f>
        <v>5.4054054054053946E-2</v>
      </c>
    </row>
    <row r="62" spans="1:7">
      <c r="A62" s="5" t="s">
        <v>43</v>
      </c>
      <c r="B62" s="13" t="str">
        <f>"-"</f>
        <v>-</v>
      </c>
      <c r="C62" s="13">
        <f>C46/C58</f>
        <v>1.1000000000000001</v>
      </c>
      <c r="D62" s="13">
        <f>D46/D58</f>
        <v>1.1499999999999999</v>
      </c>
      <c r="E62" s="13">
        <f>E46/E58</f>
        <v>0.97619047619047616</v>
      </c>
      <c r="F62" s="13">
        <f>F46/F58</f>
        <v>0.83783783783783783</v>
      </c>
      <c r="G62" s="13">
        <f>G46/G58</f>
        <v>0.94871794871794868</v>
      </c>
    </row>
    <row r="63" spans="1:7">
      <c r="A63" s="5" t="s">
        <v>17</v>
      </c>
      <c r="B63" s="12" t="str">
        <f>"-"</f>
        <v>-</v>
      </c>
      <c r="C63" s="12">
        <f>C60/D58</f>
        <v>0.99</v>
      </c>
      <c r="D63" s="12">
        <f>D60/E58</f>
        <v>1.081</v>
      </c>
      <c r="E63" s="12">
        <f>E60/F58</f>
        <v>1.1816478378378379</v>
      </c>
      <c r="F63" s="12">
        <f>F60/G58</f>
        <v>0.94478334871794878</v>
      </c>
      <c r="G63" s="12" t="str">
        <f>"-"</f>
        <v>-</v>
      </c>
    </row>
    <row r="64" spans="1:7">
      <c r="A64" s="5" t="s">
        <v>38</v>
      </c>
      <c r="B64" s="14" t="str">
        <f>"-"</f>
        <v>-</v>
      </c>
      <c r="C64" s="14" t="str">
        <f>IF(C58=C57,"Backlog support",IF(C58=C49,"Capacity","Demand"))</f>
        <v>Capacity</v>
      </c>
      <c r="D64" s="14" t="str">
        <f>IF(D58=D57,"Backlog support",IF(D58=D49,"Capacity","Demand"))</f>
        <v>Demand</v>
      </c>
      <c r="E64" s="14" t="str">
        <f>IF(E58=E57,"Backlog support",IF(E58=E49,"Capacity","Demand"))</f>
        <v>Demand</v>
      </c>
      <c r="F64" s="14" t="str">
        <f>IF(F58=F57,"Backlog support",IF(F58=F49,"Capacity","Demand"))</f>
        <v>Demand</v>
      </c>
      <c r="G64" s="14" t="str">
        <f>IF(G58=G57,"Backlog support",IF(G58=G49,"Capacity","Demand"))</f>
        <v>Demand</v>
      </c>
    </row>
    <row r="67" spans="1:7" ht="15.75">
      <c r="A67" s="18" t="s">
        <v>44</v>
      </c>
      <c r="B67" s="18"/>
      <c r="C67" s="18"/>
      <c r="D67" s="18"/>
      <c r="E67" s="18"/>
      <c r="F67" s="18"/>
      <c r="G67" s="18"/>
    </row>
    <row r="69" spans="1:7" ht="15">
      <c r="A69" s="19" t="s">
        <v>45</v>
      </c>
      <c r="B69" s="19"/>
      <c r="C69" s="19"/>
      <c r="D69" s="19"/>
      <c r="E69" s="19"/>
      <c r="F69" s="19"/>
      <c r="G69" s="19"/>
    </row>
    <row r="70" spans="1:7" ht="15">
      <c r="A70" s="20"/>
      <c r="B70" s="20" t="s">
        <v>1</v>
      </c>
      <c r="C70" s="20" t="s">
        <v>2</v>
      </c>
      <c r="D70" s="20" t="s">
        <v>3</v>
      </c>
      <c r="E70" s="20" t="s">
        <v>4</v>
      </c>
      <c r="F70" s="20" t="s">
        <v>5</v>
      </c>
      <c r="G70" s="20" t="s">
        <v>6</v>
      </c>
    </row>
    <row r="71" spans="1:7" ht="15">
      <c r="A71" s="21" t="s">
        <v>46</v>
      </c>
      <c r="B71" s="21" t="s">
        <v>47</v>
      </c>
      <c r="C71" s="28">
        <f>C86+C96+C106+C116+C126</f>
        <v>18004.63</v>
      </c>
      <c r="D71" s="28">
        <f>D86+D96+D106+D116+D126</f>
        <v>20020.490000000002</v>
      </c>
      <c r="E71" s="28">
        <f>E86+E96+E106+E116+E126</f>
        <v>21042.785</v>
      </c>
      <c r="F71" s="28">
        <f>F86+F96+F106+F116+F126</f>
        <v>18482.165000000001</v>
      </c>
      <c r="G71" s="28">
        <f>G86+G96+G106+G116+G126</f>
        <v>19515.349999999999</v>
      </c>
    </row>
    <row r="72" spans="1:7">
      <c r="A72" t="s">
        <v>48</v>
      </c>
      <c r="B72" t="s">
        <v>47</v>
      </c>
      <c r="C72" s="23">
        <f>C71-C6</f>
        <v>4.6300000000010186</v>
      </c>
      <c r="D72" s="23">
        <f>D71-D6</f>
        <v>20.490000000001601</v>
      </c>
      <c r="E72" s="23">
        <f>E71-E6</f>
        <v>42.784999999999854</v>
      </c>
      <c r="F72" s="23">
        <f>F71-F6</f>
        <v>-17.834999999999127</v>
      </c>
      <c r="G72" s="23">
        <f>G71-G6</f>
        <v>15.349999999998545</v>
      </c>
    </row>
    <row r="73" spans="1:7" ht="15">
      <c r="A73" s="21" t="s">
        <v>49</v>
      </c>
      <c r="B73" s="21" t="s">
        <v>47</v>
      </c>
      <c r="C73" s="28">
        <f>C136</f>
        <v>34500</v>
      </c>
      <c r="D73" s="28">
        <f>D136</f>
        <v>38535</v>
      </c>
      <c r="E73" s="28">
        <f>E136</f>
        <v>42333</v>
      </c>
      <c r="F73" s="28">
        <f>F136</f>
        <v>45773</v>
      </c>
      <c r="G73" s="28">
        <f>G136</f>
        <v>48983</v>
      </c>
    </row>
    <row r="74" spans="1:7" ht="15">
      <c r="A74" s="21" t="s">
        <v>50</v>
      </c>
      <c r="B74" s="21" t="s">
        <v>47</v>
      </c>
      <c r="C74" s="28">
        <f>C7+C73</f>
        <v>139720</v>
      </c>
      <c r="D74" s="28">
        <f>D7+D73</f>
        <v>181271</v>
      </c>
      <c r="E74" s="28">
        <f>E7+E73</f>
        <v>208333</v>
      </c>
      <c r="F74" s="28">
        <f>F7+F73</f>
        <v>194273</v>
      </c>
      <c r="G74" s="28">
        <f>G7+G73</f>
        <v>203483</v>
      </c>
    </row>
    <row r="75" spans="1:7">
      <c r="A75" t="s">
        <v>51</v>
      </c>
      <c r="B75" t="s">
        <v>47</v>
      </c>
      <c r="C75" s="27" t="s">
        <v>47</v>
      </c>
      <c r="D75" s="27">
        <f>D74/C74-1</f>
        <v>0.29738763240767252</v>
      </c>
      <c r="E75" s="27">
        <f>E74/D74-1</f>
        <v>0.14929028912512199</v>
      </c>
      <c r="F75" s="27">
        <f>F74/E74-1</f>
        <v>-6.7488107980972822E-2</v>
      </c>
      <c r="G75" s="27">
        <f>G74/F74-1</f>
        <v>4.7407514168206655E-2</v>
      </c>
    </row>
    <row r="76" spans="1:7">
      <c r="A76" t="s">
        <v>52</v>
      </c>
      <c r="B76" t="s">
        <v>47</v>
      </c>
      <c r="C76" s="27">
        <f>C5/C74</f>
        <v>0.62424849699398799</v>
      </c>
      <c r="D76" s="27">
        <f>D5/D74</f>
        <v>0.67708568938219571</v>
      </c>
      <c r="E76" s="27">
        <f>E5/E74</f>
        <v>0.69600111360178174</v>
      </c>
      <c r="F76" s="27">
        <f>F5/F74</f>
        <v>0.66916143777056003</v>
      </c>
      <c r="G76" s="27">
        <f>G5/G74</f>
        <v>0.66344608640525249</v>
      </c>
    </row>
    <row r="77" spans="1:7">
      <c r="A77" t="s">
        <v>53</v>
      </c>
      <c r="B77" t="s">
        <v>47</v>
      </c>
      <c r="C77" s="27">
        <f>C7/C74</f>
        <v>0.75307758373890643</v>
      </c>
      <c r="D77" s="27">
        <f>D7/D74</f>
        <v>0.78741773366947831</v>
      </c>
      <c r="E77" s="27">
        <f>E7/E74</f>
        <v>0.79680127488203978</v>
      </c>
      <c r="F77" s="27">
        <f>F7/F74</f>
        <v>0.76438825776098585</v>
      </c>
      <c r="G77" s="27">
        <f>G7/G74</f>
        <v>0.75927718777490016</v>
      </c>
    </row>
    <row r="78" spans="1:7">
      <c r="A78" t="s">
        <v>54</v>
      </c>
      <c r="B78" t="s">
        <v>47</v>
      </c>
      <c r="C78" s="27">
        <f>C73/C74</f>
        <v>0.24692241626109362</v>
      </c>
      <c r="D78" s="27">
        <f>D73/D74</f>
        <v>0.21258226633052171</v>
      </c>
      <c r="E78" s="27">
        <f>E73/E74</f>
        <v>0.20319872511796019</v>
      </c>
      <c r="F78" s="27">
        <f>F73/F74</f>
        <v>0.23561174223901418</v>
      </c>
      <c r="G78" s="27">
        <f>G73/G74</f>
        <v>0.24072281222509989</v>
      </c>
    </row>
    <row r="80" spans="1:7" ht="15">
      <c r="A80" s="19" t="s">
        <v>55</v>
      </c>
      <c r="B80" s="19"/>
      <c r="C80" s="19"/>
      <c r="D80" s="19"/>
      <c r="E80" s="19"/>
      <c r="F80" s="19"/>
      <c r="G80" s="19"/>
    </row>
    <row r="81" spans="1:7" ht="15">
      <c r="A81" s="20"/>
      <c r="B81" s="20" t="s">
        <v>1</v>
      </c>
      <c r="C81" s="20" t="s">
        <v>2</v>
      </c>
      <c r="D81" s="20" t="s">
        <v>3</v>
      </c>
      <c r="E81" s="20" t="s">
        <v>4</v>
      </c>
      <c r="F81" s="20" t="s">
        <v>5</v>
      </c>
      <c r="G81" s="20" t="s">
        <v>6</v>
      </c>
    </row>
    <row r="82" spans="1:7" ht="15">
      <c r="A82" s="21" t="s">
        <v>20</v>
      </c>
      <c r="B82" s="21"/>
      <c r="C82" s="21"/>
      <c r="D82" s="21"/>
      <c r="E82" s="21"/>
      <c r="F82" s="21"/>
      <c r="G82" s="21"/>
    </row>
    <row r="83" spans="1:7">
      <c r="A83" t="s">
        <v>56</v>
      </c>
      <c r="B83" t="s">
        <v>47</v>
      </c>
      <c r="C83" s="24">
        <v>240</v>
      </c>
      <c r="D83" s="24">
        <v>245</v>
      </c>
      <c r="E83" s="24">
        <v>247</v>
      </c>
      <c r="F83" s="24">
        <v>225</v>
      </c>
      <c r="G83" s="24">
        <v>230</v>
      </c>
    </row>
    <row r="84" spans="1:7">
      <c r="A84" t="s">
        <v>57</v>
      </c>
      <c r="B84" t="s">
        <v>47</v>
      </c>
      <c r="C84" s="25">
        <v>43</v>
      </c>
      <c r="D84" s="25">
        <v>44</v>
      </c>
      <c r="E84" s="25">
        <v>45</v>
      </c>
      <c r="F84" s="25">
        <v>43</v>
      </c>
      <c r="G84" s="25">
        <v>44</v>
      </c>
    </row>
    <row r="85" spans="1:7">
      <c r="A85" t="s">
        <v>58</v>
      </c>
      <c r="B85" t="s">
        <v>47</v>
      </c>
      <c r="C85" s="26">
        <v>0.79500000000000004</v>
      </c>
      <c r="D85" s="26">
        <v>0.79800000000000004</v>
      </c>
      <c r="E85" s="26">
        <v>0.79200000000000004</v>
      </c>
      <c r="F85" s="26">
        <v>0.79500000000000004</v>
      </c>
      <c r="G85" s="26">
        <v>0.79</v>
      </c>
    </row>
    <row r="86" spans="1:7" ht="15">
      <c r="A86" s="21" t="s">
        <v>59</v>
      </c>
      <c r="B86" s="21" t="s">
        <v>47</v>
      </c>
      <c r="C86" s="28">
        <f>C83*C84*C85</f>
        <v>8204.4</v>
      </c>
      <c r="D86" s="28">
        <f>D83*D84*D85</f>
        <v>8602.44</v>
      </c>
      <c r="E86" s="28">
        <f>E83*E84*E85</f>
        <v>8803.08</v>
      </c>
      <c r="F86" s="28">
        <f>F83*F84*F85</f>
        <v>7691.625</v>
      </c>
      <c r="G86" s="28">
        <f>G83*G84*G85</f>
        <v>7994.8</v>
      </c>
    </row>
    <row r="87" spans="1:7">
      <c r="A87" t="s">
        <v>60</v>
      </c>
      <c r="B87" t="s">
        <v>47</v>
      </c>
      <c r="C87" s="22" t="s">
        <v>47</v>
      </c>
      <c r="D87" s="27">
        <f>D86/C86-1</f>
        <v>4.8515430744478616E-2</v>
      </c>
      <c r="E87" s="27">
        <f>E86/D86-1</f>
        <v>2.3323615160349753E-2</v>
      </c>
      <c r="F87" s="27">
        <f>F86/E86-1</f>
        <v>-0.12625751441540911</v>
      </c>
      <c r="G87" s="27">
        <f>G86/F86-1</f>
        <v>3.9416248192027048E-2</v>
      </c>
    </row>
    <row r="90" spans="1:7" ht="15">
      <c r="A90" s="19" t="s">
        <v>61</v>
      </c>
      <c r="B90" s="19"/>
      <c r="C90" s="19"/>
      <c r="D90" s="19"/>
      <c r="E90" s="19"/>
      <c r="F90" s="19"/>
      <c r="G90" s="19"/>
    </row>
    <row r="91" spans="1:7" ht="15">
      <c r="A91" s="20"/>
      <c r="B91" s="20" t="s">
        <v>1</v>
      </c>
      <c r="C91" s="20" t="s">
        <v>2</v>
      </c>
      <c r="D91" s="20" t="s">
        <v>3</v>
      </c>
      <c r="E91" s="20" t="s">
        <v>4</v>
      </c>
      <c r="F91" s="20" t="s">
        <v>5</v>
      </c>
      <c r="G91" s="20" t="s">
        <v>6</v>
      </c>
    </row>
    <row r="92" spans="1:7" ht="15">
      <c r="A92" s="21" t="s">
        <v>20</v>
      </c>
      <c r="B92" s="21"/>
      <c r="C92" s="21"/>
      <c r="D92" s="21"/>
      <c r="E92" s="21"/>
      <c r="F92" s="21"/>
      <c r="G92" s="21"/>
    </row>
    <row r="93" spans="1:7">
      <c r="A93" t="s">
        <v>62</v>
      </c>
      <c r="B93" t="s">
        <v>47</v>
      </c>
      <c r="C93" s="24">
        <v>82</v>
      </c>
      <c r="D93" s="24">
        <v>90</v>
      </c>
      <c r="E93" s="24">
        <v>92</v>
      </c>
      <c r="F93" s="24">
        <v>82</v>
      </c>
      <c r="G93" s="24">
        <v>85</v>
      </c>
    </row>
    <row r="94" spans="1:7">
      <c r="A94" t="s">
        <v>63</v>
      </c>
      <c r="B94" t="s">
        <v>47</v>
      </c>
      <c r="C94" s="25">
        <v>44</v>
      </c>
      <c r="D94" s="25">
        <v>47</v>
      </c>
      <c r="E94" s="25">
        <v>48.5</v>
      </c>
      <c r="F94" s="25">
        <v>47</v>
      </c>
      <c r="G94" s="25">
        <v>48</v>
      </c>
    </row>
    <row r="95" spans="1:7">
      <c r="A95" t="s">
        <v>64</v>
      </c>
      <c r="B95" t="s">
        <v>47</v>
      </c>
      <c r="C95" s="26">
        <v>0.88500000000000001</v>
      </c>
      <c r="D95" s="26">
        <v>0.875</v>
      </c>
      <c r="E95" s="26">
        <v>0.875</v>
      </c>
      <c r="F95" s="26">
        <v>0.88</v>
      </c>
      <c r="G95" s="26">
        <v>0.88</v>
      </c>
    </row>
    <row r="96" spans="1:7" ht="15">
      <c r="A96" s="21" t="s">
        <v>65</v>
      </c>
      <c r="B96" s="21" t="s">
        <v>47</v>
      </c>
      <c r="C96" s="28">
        <f>C93*C94*C95</f>
        <v>3193.08</v>
      </c>
      <c r="D96" s="28">
        <f>D93*D94*D95</f>
        <v>3701.25</v>
      </c>
      <c r="E96" s="28">
        <f>E93*E94*E95</f>
        <v>3904.25</v>
      </c>
      <c r="F96" s="28">
        <f>F93*F94*F95</f>
        <v>3391.52</v>
      </c>
      <c r="G96" s="28">
        <f>G93*G94*G95</f>
        <v>3590.4</v>
      </c>
    </row>
    <row r="97" spans="1:7">
      <c r="A97" t="s">
        <v>66</v>
      </c>
      <c r="B97" t="s">
        <v>47</v>
      </c>
      <c r="C97" s="22" t="s">
        <v>47</v>
      </c>
      <c r="D97" s="27">
        <f>D96/C96-1</f>
        <v>0.15914728099515196</v>
      </c>
      <c r="E97" s="27">
        <f>E96/D96-1</f>
        <v>5.4846335697399606E-2</v>
      </c>
      <c r="F97" s="27">
        <f>F96/E96-1</f>
        <v>-0.13132611897291413</v>
      </c>
      <c r="G97" s="27">
        <f>G96/F96-1</f>
        <v>5.8640373637778964E-2</v>
      </c>
    </row>
    <row r="100" spans="1:7" ht="15">
      <c r="A100" s="19" t="s">
        <v>67</v>
      </c>
      <c r="B100" s="19"/>
      <c r="C100" s="19"/>
      <c r="D100" s="19"/>
      <c r="E100" s="19"/>
      <c r="F100" s="19"/>
      <c r="G100" s="19"/>
    </row>
    <row r="101" spans="1:7" ht="15">
      <c r="A101" s="20"/>
      <c r="B101" s="20" t="s">
        <v>1</v>
      </c>
      <c r="C101" s="20" t="s">
        <v>2</v>
      </c>
      <c r="D101" s="20" t="s">
        <v>3</v>
      </c>
      <c r="E101" s="20" t="s">
        <v>4</v>
      </c>
      <c r="F101" s="20" t="s">
        <v>5</v>
      </c>
      <c r="G101" s="20" t="s">
        <v>6</v>
      </c>
    </row>
    <row r="102" spans="1:7" ht="15">
      <c r="A102" s="21" t="s">
        <v>20</v>
      </c>
      <c r="B102" s="21"/>
      <c r="C102" s="21"/>
      <c r="D102" s="21"/>
      <c r="E102" s="21"/>
      <c r="F102" s="21"/>
      <c r="G102" s="21"/>
    </row>
    <row r="103" spans="1:7">
      <c r="A103" t="s">
        <v>68</v>
      </c>
      <c r="B103" t="s">
        <v>47</v>
      </c>
      <c r="C103" s="24">
        <v>43</v>
      </c>
      <c r="D103" s="24">
        <v>47</v>
      </c>
      <c r="E103" s="24">
        <v>49</v>
      </c>
      <c r="F103" s="24">
        <v>43</v>
      </c>
      <c r="G103" s="24">
        <v>45</v>
      </c>
    </row>
    <row r="104" spans="1:7">
      <c r="A104" t="s">
        <v>63</v>
      </c>
      <c r="B104" t="s">
        <v>47</v>
      </c>
      <c r="C104" s="25">
        <v>72</v>
      </c>
      <c r="D104" s="25">
        <v>75</v>
      </c>
      <c r="E104" s="25">
        <v>77</v>
      </c>
      <c r="F104" s="25">
        <v>76</v>
      </c>
      <c r="G104" s="25">
        <v>78</v>
      </c>
    </row>
    <row r="105" spans="1:7">
      <c r="A105" t="s">
        <v>69</v>
      </c>
      <c r="B105" t="s">
        <v>47</v>
      </c>
      <c r="C105" s="26">
        <v>0.875</v>
      </c>
      <c r="D105" s="26">
        <v>0.88</v>
      </c>
      <c r="E105" s="26">
        <v>0.88</v>
      </c>
      <c r="F105" s="26">
        <v>0.89</v>
      </c>
      <c r="G105" s="26">
        <v>0.89</v>
      </c>
    </row>
    <row r="106" spans="1:7" ht="15">
      <c r="A106" s="21" t="s">
        <v>70</v>
      </c>
      <c r="B106" s="21" t="s">
        <v>47</v>
      </c>
      <c r="C106" s="28">
        <f>C103*C104*C105</f>
        <v>2709</v>
      </c>
      <c r="D106" s="28">
        <f>D103*D104*D105</f>
        <v>3102</v>
      </c>
      <c r="E106" s="28">
        <f>E103*E104*E105</f>
        <v>3320.2400000000002</v>
      </c>
      <c r="F106" s="28">
        <f>F103*F104*F105</f>
        <v>2908.52</v>
      </c>
      <c r="G106" s="28">
        <f>G103*G104*G105</f>
        <v>3123.9</v>
      </c>
    </row>
    <row r="107" spans="1:7">
      <c r="A107" t="s">
        <v>71</v>
      </c>
      <c r="B107" t="s">
        <v>47</v>
      </c>
      <c r="C107" s="22" t="s">
        <v>47</v>
      </c>
      <c r="D107" s="27">
        <f>D106/C106-1</f>
        <v>0.14507198228128471</v>
      </c>
      <c r="E107" s="27">
        <f>E106/D106-1</f>
        <v>7.035460992907816E-2</v>
      </c>
      <c r="F107" s="27">
        <f>F106/E106-1</f>
        <v>-0.12400308411440142</v>
      </c>
      <c r="G107" s="27">
        <f>G106/F106-1</f>
        <v>7.4051407588739293E-2</v>
      </c>
    </row>
    <row r="110" spans="1:7" ht="15">
      <c r="A110" s="19" t="s">
        <v>72</v>
      </c>
      <c r="B110" s="19"/>
      <c r="C110" s="19"/>
      <c r="D110" s="19"/>
      <c r="E110" s="19"/>
      <c r="F110" s="19"/>
      <c r="G110" s="19"/>
    </row>
    <row r="111" spans="1:7" ht="15">
      <c r="A111" s="20"/>
      <c r="B111" s="20" t="s">
        <v>1</v>
      </c>
      <c r="C111" s="20" t="s">
        <v>2</v>
      </c>
      <c r="D111" s="20" t="s">
        <v>3</v>
      </c>
      <c r="E111" s="20" t="s">
        <v>4</v>
      </c>
      <c r="F111" s="20" t="s">
        <v>5</v>
      </c>
      <c r="G111" s="20" t="s">
        <v>6</v>
      </c>
    </row>
    <row r="112" spans="1:7" ht="15">
      <c r="A112" s="21" t="s">
        <v>20</v>
      </c>
      <c r="B112" s="21"/>
      <c r="C112" s="21"/>
      <c r="D112" s="21"/>
      <c r="E112" s="21"/>
      <c r="F112" s="21"/>
      <c r="G112" s="21"/>
    </row>
    <row r="113" spans="1:7">
      <c r="A113" t="s">
        <v>73</v>
      </c>
      <c r="B113" t="s">
        <v>47</v>
      </c>
      <c r="C113" s="24">
        <v>160</v>
      </c>
      <c r="D113" s="24">
        <v>180</v>
      </c>
      <c r="E113" s="24">
        <v>185</v>
      </c>
      <c r="F113" s="24">
        <v>170</v>
      </c>
      <c r="G113" s="24">
        <v>175</v>
      </c>
    </row>
    <row r="114" spans="1:7">
      <c r="A114" t="s">
        <v>63</v>
      </c>
      <c r="B114" t="s">
        <v>47</v>
      </c>
      <c r="C114" s="25">
        <v>18.75</v>
      </c>
      <c r="D114" s="25">
        <v>20.75</v>
      </c>
      <c r="E114" s="25">
        <v>22</v>
      </c>
      <c r="F114" s="25">
        <v>21.25</v>
      </c>
      <c r="G114" s="25">
        <v>22.25</v>
      </c>
    </row>
    <row r="115" spans="1:7">
      <c r="A115" t="s">
        <v>64</v>
      </c>
      <c r="B115" t="s">
        <v>47</v>
      </c>
      <c r="C115" s="26">
        <v>0.8</v>
      </c>
      <c r="D115" s="26">
        <v>0.8</v>
      </c>
      <c r="E115" s="26">
        <v>0.81</v>
      </c>
      <c r="F115" s="26">
        <v>0.8</v>
      </c>
      <c r="G115" s="26">
        <v>0.8</v>
      </c>
    </row>
    <row r="116" spans="1:7" ht="15">
      <c r="A116" s="21" t="s">
        <v>74</v>
      </c>
      <c r="B116" s="21" t="s">
        <v>47</v>
      </c>
      <c r="C116" s="28">
        <f>C113*C114*C115</f>
        <v>2400</v>
      </c>
      <c r="D116" s="28">
        <f>D113*D114*D115</f>
        <v>2988</v>
      </c>
      <c r="E116" s="28">
        <f>E113*E114*E115</f>
        <v>3296.7000000000003</v>
      </c>
      <c r="F116" s="28">
        <f>F113*F114*F115</f>
        <v>2890</v>
      </c>
      <c r="G116" s="28">
        <f>G113*G114*G115</f>
        <v>3115</v>
      </c>
    </row>
    <row r="117" spans="1:7">
      <c r="A117" t="s">
        <v>75</v>
      </c>
      <c r="B117" t="s">
        <v>47</v>
      </c>
      <c r="C117" s="22" t="s">
        <v>47</v>
      </c>
      <c r="D117" s="27">
        <f>D116/C116-1</f>
        <v>0.24500000000000011</v>
      </c>
      <c r="E117" s="27">
        <f>E116/D116-1</f>
        <v>0.10331325301204819</v>
      </c>
      <c r="F117" s="27">
        <f>F116/E116-1</f>
        <v>-0.12336579003245673</v>
      </c>
      <c r="G117" s="27">
        <f>G116/F116-1</f>
        <v>7.7854671280276788E-2</v>
      </c>
    </row>
    <row r="120" spans="1:7" ht="15">
      <c r="A120" s="19" t="s">
        <v>76</v>
      </c>
      <c r="B120" s="19"/>
      <c r="C120" s="19"/>
      <c r="D120" s="19"/>
      <c r="E120" s="19"/>
      <c r="F120" s="19"/>
      <c r="G120" s="19"/>
    </row>
    <row r="121" spans="1:7" ht="15">
      <c r="A121" s="20"/>
      <c r="B121" s="20" t="s">
        <v>1</v>
      </c>
      <c r="C121" s="20" t="s">
        <v>2</v>
      </c>
      <c r="D121" s="20" t="s">
        <v>3</v>
      </c>
      <c r="E121" s="20" t="s">
        <v>4</v>
      </c>
      <c r="F121" s="20" t="s">
        <v>5</v>
      </c>
      <c r="G121" s="20" t="s">
        <v>6</v>
      </c>
    </row>
    <row r="122" spans="1:7" ht="15">
      <c r="A122" s="21" t="s">
        <v>20</v>
      </c>
      <c r="B122" s="21"/>
      <c r="C122" s="21"/>
      <c r="D122" s="21"/>
      <c r="E122" s="21"/>
      <c r="F122" s="21"/>
      <c r="G122" s="21"/>
    </row>
    <row r="123" spans="1:7">
      <c r="A123" t="s">
        <v>77</v>
      </c>
      <c r="B123" t="s">
        <v>47</v>
      </c>
      <c r="C123" s="24">
        <v>95</v>
      </c>
      <c r="D123" s="24">
        <v>98</v>
      </c>
      <c r="E123" s="24">
        <v>101</v>
      </c>
      <c r="F123" s="24">
        <v>97</v>
      </c>
      <c r="G123" s="24">
        <v>100</v>
      </c>
    </row>
    <row r="124" spans="1:7">
      <c r="A124" t="s">
        <v>63</v>
      </c>
      <c r="B124" t="s">
        <v>47</v>
      </c>
      <c r="C124" s="25">
        <v>19</v>
      </c>
      <c r="D124" s="25">
        <v>20</v>
      </c>
      <c r="E124" s="25">
        <v>20.5</v>
      </c>
      <c r="F124" s="25">
        <v>20</v>
      </c>
      <c r="G124" s="25">
        <v>20.5</v>
      </c>
    </row>
    <row r="125" spans="1:7">
      <c r="A125" t="s">
        <v>69</v>
      </c>
      <c r="B125" t="s">
        <v>47</v>
      </c>
      <c r="C125" s="26">
        <v>0.83</v>
      </c>
      <c r="D125" s="26">
        <v>0.83</v>
      </c>
      <c r="E125" s="26">
        <v>0.83</v>
      </c>
      <c r="F125" s="26">
        <v>0.82499999999999996</v>
      </c>
      <c r="G125" s="26">
        <v>0.82499999999999996</v>
      </c>
    </row>
    <row r="126" spans="1:7" ht="15">
      <c r="A126" s="21" t="s">
        <v>78</v>
      </c>
      <c r="B126" s="21" t="s">
        <v>47</v>
      </c>
      <c r="C126" s="28">
        <f>C123*C124*C125</f>
        <v>1498.1499999999999</v>
      </c>
      <c r="D126" s="28">
        <f>D123*D124*D125</f>
        <v>1626.8</v>
      </c>
      <c r="E126" s="28">
        <f>E123*E124*E125</f>
        <v>1718.5149999999999</v>
      </c>
      <c r="F126" s="28">
        <f>F123*F124*F125</f>
        <v>1600.5</v>
      </c>
      <c r="G126" s="28">
        <f>G123*G124*G125</f>
        <v>1691.25</v>
      </c>
    </row>
    <row r="127" spans="1:7">
      <c r="A127" t="s">
        <v>79</v>
      </c>
      <c r="B127" t="s">
        <v>47</v>
      </c>
      <c r="C127" s="22" t="s">
        <v>47</v>
      </c>
      <c r="D127" s="27">
        <f>D126/C126-1</f>
        <v>8.5872576177285387E-2</v>
      </c>
      <c r="E127" s="27">
        <f>E126/D126-1</f>
        <v>5.637755102040809E-2</v>
      </c>
      <c r="F127" s="27">
        <f>F126/E126-1</f>
        <v>-6.8672662153079767E-2</v>
      </c>
      <c r="G127" s="27">
        <f>G126/F126-1</f>
        <v>5.6701030927835072E-2</v>
      </c>
    </row>
    <row r="130" spans="1:7" ht="15">
      <c r="A130" s="19" t="s">
        <v>80</v>
      </c>
      <c r="B130" s="19"/>
      <c r="C130" s="19"/>
      <c r="D130" s="19"/>
      <c r="E130" s="19"/>
      <c r="F130" s="19"/>
      <c r="G130" s="19"/>
    </row>
    <row r="131" spans="1:7" ht="15">
      <c r="A131" s="20"/>
      <c r="B131" s="20" t="s">
        <v>1</v>
      </c>
      <c r="C131" s="20" t="s">
        <v>2</v>
      </c>
      <c r="D131" s="20" t="s">
        <v>3</v>
      </c>
      <c r="E131" s="20" t="s">
        <v>4</v>
      </c>
      <c r="F131" s="20" t="s">
        <v>5</v>
      </c>
      <c r="G131" s="20" t="s">
        <v>6</v>
      </c>
    </row>
    <row r="132" spans="1:7" ht="15">
      <c r="A132" s="21" t="s">
        <v>20</v>
      </c>
      <c r="B132" s="21"/>
      <c r="C132" s="21"/>
      <c r="D132" s="21"/>
      <c r="E132" s="21"/>
      <c r="F132" s="21"/>
      <c r="G132" s="21"/>
    </row>
    <row r="133" spans="1:7">
      <c r="A133" t="s">
        <v>81</v>
      </c>
      <c r="B133" t="s">
        <v>47</v>
      </c>
      <c r="C133" s="24">
        <v>12000</v>
      </c>
      <c r="D133" s="24">
        <v>13200</v>
      </c>
      <c r="E133" s="24">
        <v>14100</v>
      </c>
      <c r="F133" s="24">
        <v>14800</v>
      </c>
      <c r="G133" s="24">
        <v>15400</v>
      </c>
    </row>
    <row r="134" spans="1:7">
      <c r="A134" t="s">
        <v>82</v>
      </c>
      <c r="B134" t="s">
        <v>47</v>
      </c>
      <c r="C134" s="25">
        <v>2</v>
      </c>
      <c r="D134" s="25">
        <v>2.1</v>
      </c>
      <c r="E134" s="25">
        <v>2.2200000000000002</v>
      </c>
      <c r="F134" s="25">
        <v>2.34</v>
      </c>
      <c r="G134" s="25">
        <v>2.4500000000000002</v>
      </c>
    </row>
    <row r="135" spans="1:7">
      <c r="A135" t="s">
        <v>83</v>
      </c>
      <c r="B135" t="s">
        <v>47</v>
      </c>
      <c r="C135" s="24">
        <v>10500</v>
      </c>
      <c r="D135" s="24">
        <v>10815</v>
      </c>
      <c r="E135" s="24">
        <v>11031</v>
      </c>
      <c r="F135" s="24">
        <v>11141</v>
      </c>
      <c r="G135" s="24">
        <v>11253</v>
      </c>
    </row>
    <row r="136" spans="1:7" ht="15">
      <c r="A136" s="21" t="s">
        <v>84</v>
      </c>
      <c r="B136" s="21" t="s">
        <v>47</v>
      </c>
      <c r="C136" s="28">
        <f>C133*C134+C135</f>
        <v>34500</v>
      </c>
      <c r="D136" s="28">
        <f>D133*D134+D135</f>
        <v>38535</v>
      </c>
      <c r="E136" s="28">
        <f>E133*E134+E135</f>
        <v>42333</v>
      </c>
      <c r="F136" s="28">
        <f>F133*F134+F135</f>
        <v>45773</v>
      </c>
      <c r="G136" s="28">
        <f>G133*G134+G135</f>
        <v>48983</v>
      </c>
    </row>
    <row r="137" spans="1:7">
      <c r="A137" t="s">
        <v>85</v>
      </c>
      <c r="B137" t="s">
        <v>47</v>
      </c>
      <c r="C137" s="22" t="s">
        <v>47</v>
      </c>
      <c r="D137" s="27">
        <f>D136/C136-1</f>
        <v>0.1169565217391304</v>
      </c>
      <c r="E137" s="27">
        <f>E136/D136-1</f>
        <v>9.8559750875827135E-2</v>
      </c>
      <c r="F137" s="27">
        <f>F136/E136-1</f>
        <v>8.1260482366002806E-2</v>
      </c>
      <c r="G137" s="27">
        <f>G136/F136-1</f>
        <v>7.0128678478579065E-2</v>
      </c>
    </row>
    <row r="140" spans="1:7" ht="15">
      <c r="A140" s="19" t="s">
        <v>86</v>
      </c>
      <c r="B140" s="19"/>
      <c r="C140" s="19"/>
      <c r="D140" s="19"/>
      <c r="E140" s="19"/>
      <c r="F140" s="19"/>
      <c r="G140" s="19"/>
    </row>
    <row r="141" spans="1:7">
      <c r="A141" s="29" t="s">
        <v>87</v>
      </c>
      <c r="B141" s="29"/>
      <c r="C141" s="29"/>
      <c r="D141" s="29"/>
      <c r="E141" s="29"/>
      <c r="F141" s="29"/>
      <c r="G141" s="29"/>
    </row>
    <row r="142" spans="1:7">
      <c r="A142" s="29" t="s">
        <v>88</v>
      </c>
      <c r="B142" s="29"/>
      <c r="C142" s="29"/>
      <c r="D142" s="29"/>
      <c r="E142" s="29"/>
      <c r="F142" s="29"/>
      <c r="G142" s="29"/>
    </row>
    <row r="143" spans="1:7">
      <c r="A143" s="29" t="s">
        <v>89</v>
      </c>
      <c r="B143" s="29"/>
      <c r="C143" s="29"/>
      <c r="D143" s="29"/>
      <c r="E143" s="29"/>
      <c r="F143" s="29"/>
      <c r="G143" s="29"/>
    </row>
    <row r="145" spans="1:7" ht="15">
      <c r="A145" s="31" t="s">
        <v>90</v>
      </c>
      <c r="B145" s="31"/>
      <c r="C145" s="31"/>
      <c r="D145" s="31"/>
      <c r="E145" s="31"/>
      <c r="F145" s="31"/>
      <c r="G145" s="31"/>
    </row>
    <row r="147" spans="1:7" ht="15">
      <c r="A147" s="31"/>
      <c r="B147" s="31" t="s">
        <v>1</v>
      </c>
      <c r="C147" s="31" t="s">
        <v>2</v>
      </c>
      <c r="D147" s="31" t="s">
        <v>3</v>
      </c>
      <c r="E147" s="31" t="s">
        <v>4</v>
      </c>
      <c r="F147" s="31" t="s">
        <v>5</v>
      </c>
      <c r="G147" s="31" t="s">
        <v>6</v>
      </c>
    </row>
    <row r="149" spans="1:7" ht="15">
      <c r="A149" s="21" t="s">
        <v>91</v>
      </c>
      <c r="B149" s="21" t="s">
        <v>47</v>
      </c>
      <c r="C149" s="33">
        <f>C74</f>
        <v>139720</v>
      </c>
      <c r="D149" s="33">
        <f>D74</f>
        <v>181271</v>
      </c>
      <c r="E149" s="33">
        <f>E74</f>
        <v>208333</v>
      </c>
      <c r="F149" s="33">
        <f>F74</f>
        <v>194273</v>
      </c>
      <c r="G149" s="33">
        <f>G74</f>
        <v>203483</v>
      </c>
    </row>
    <row r="150" spans="1:7" ht="15">
      <c r="A150" s="21" t="s">
        <v>92</v>
      </c>
      <c r="B150" s="21" t="s">
        <v>47</v>
      </c>
      <c r="C150" s="34">
        <f>C165</f>
        <v>0.59288290867449189</v>
      </c>
      <c r="D150" s="34">
        <f>D165</f>
        <v>0.61116670620231583</v>
      </c>
      <c r="E150" s="34">
        <f>E165</f>
        <v>0.62077582524132036</v>
      </c>
      <c r="F150" s="34">
        <f>F165</f>
        <v>0.61634550349250805</v>
      </c>
      <c r="G150" s="34">
        <f>G165</f>
        <v>0.61124315053345979</v>
      </c>
    </row>
    <row r="151" spans="1:7" ht="15">
      <c r="A151" s="21" t="s">
        <v>93</v>
      </c>
      <c r="B151" s="21" t="s">
        <v>47</v>
      </c>
      <c r="C151" s="33">
        <f>C164</f>
        <v>82837.600000000006</v>
      </c>
      <c r="D151" s="33">
        <f>D164</f>
        <v>110786.79999999999</v>
      </c>
      <c r="E151" s="33">
        <f>E164</f>
        <v>129328.09</v>
      </c>
      <c r="F151" s="33">
        <f>F164</f>
        <v>119739.29000000001</v>
      </c>
      <c r="G151" s="33">
        <f>G164</f>
        <v>124377.59</v>
      </c>
    </row>
    <row r="153" spans="1:7" ht="15">
      <c r="A153" s="32" t="s">
        <v>94</v>
      </c>
      <c r="B153" s="32"/>
      <c r="C153" s="32">
        <v>1</v>
      </c>
      <c r="D153" s="32">
        <v>2</v>
      </c>
      <c r="E153" s="32">
        <v>3</v>
      </c>
      <c r="F153" s="32">
        <v>4</v>
      </c>
      <c r="G153" s="32">
        <v>5</v>
      </c>
    </row>
    <row r="154" spans="1:7">
      <c r="A154" t="s">
        <v>8</v>
      </c>
      <c r="B154" t="s">
        <v>47</v>
      </c>
      <c r="C154" s="2">
        <f>C5</f>
        <v>87220</v>
      </c>
      <c r="D154" s="2">
        <f>D5</f>
        <v>122736</v>
      </c>
      <c r="E154" s="2">
        <f>E5</f>
        <v>145000</v>
      </c>
      <c r="F154" s="2">
        <f>F5</f>
        <v>130000</v>
      </c>
      <c r="G154" s="2">
        <f>G5</f>
        <v>135000</v>
      </c>
    </row>
    <row r="155" spans="1:7">
      <c r="A155" t="s">
        <v>95</v>
      </c>
      <c r="B155" t="s">
        <v>47</v>
      </c>
      <c r="C155" s="26">
        <v>0.57999999999999996</v>
      </c>
      <c r="D155" s="26">
        <v>0.6</v>
      </c>
      <c r="E155" s="26">
        <v>0.61</v>
      </c>
      <c r="F155" s="26">
        <v>0.6</v>
      </c>
      <c r="G155" s="26">
        <v>0.59</v>
      </c>
    </row>
    <row r="156" spans="1:7">
      <c r="A156" t="s">
        <v>96</v>
      </c>
      <c r="B156" t="s">
        <v>47</v>
      </c>
      <c r="C156" s="2">
        <f>C154*C155</f>
        <v>50587.6</v>
      </c>
      <c r="D156" s="2">
        <f>D154*D155</f>
        <v>73641.599999999991</v>
      </c>
      <c r="E156" s="2">
        <f>E154*E155</f>
        <v>88450</v>
      </c>
      <c r="F156" s="2">
        <f>F154*F155</f>
        <v>78000</v>
      </c>
      <c r="G156" s="2">
        <f>G154*G155</f>
        <v>79650</v>
      </c>
    </row>
    <row r="157" spans="1:7">
      <c r="A157" t="s">
        <v>9</v>
      </c>
      <c r="B157" t="s">
        <v>47</v>
      </c>
      <c r="C157" s="2">
        <f>C6</f>
        <v>18000</v>
      </c>
      <c r="D157" s="2">
        <f>D6</f>
        <v>20000</v>
      </c>
      <c r="E157" s="2">
        <f>E6</f>
        <v>21000</v>
      </c>
      <c r="F157" s="2">
        <f>F6</f>
        <v>18500</v>
      </c>
      <c r="G157" s="2">
        <f>G6</f>
        <v>19500</v>
      </c>
    </row>
    <row r="158" spans="1:7">
      <c r="A158" t="s">
        <v>97</v>
      </c>
      <c r="B158" t="s">
        <v>47</v>
      </c>
      <c r="C158" s="26">
        <v>0.45</v>
      </c>
      <c r="D158" s="26">
        <v>0.47</v>
      </c>
      <c r="E158" s="26">
        <v>0.47499999999999998</v>
      </c>
      <c r="F158" s="26">
        <v>0.45</v>
      </c>
      <c r="G158" s="26">
        <v>0.46</v>
      </c>
    </row>
    <row r="159" spans="1:7">
      <c r="A159" t="s">
        <v>98</v>
      </c>
      <c r="B159" t="s">
        <v>47</v>
      </c>
      <c r="C159" s="2">
        <f>C157*C158</f>
        <v>8100</v>
      </c>
      <c r="D159" s="2">
        <f>D157*D158</f>
        <v>9400</v>
      </c>
      <c r="E159" s="2">
        <f>E157*E158</f>
        <v>9975</v>
      </c>
      <c r="F159" s="2">
        <f>F157*F158</f>
        <v>8325</v>
      </c>
      <c r="G159" s="2">
        <f>G157*G158</f>
        <v>8970</v>
      </c>
    </row>
    <row r="160" spans="1:7">
      <c r="A160" t="s">
        <v>84</v>
      </c>
      <c r="B160" t="s">
        <v>47</v>
      </c>
      <c r="C160" s="2">
        <f>C73</f>
        <v>34500</v>
      </c>
      <c r="D160" s="2">
        <f>D73</f>
        <v>38535</v>
      </c>
      <c r="E160" s="2">
        <f>E73</f>
        <v>42333</v>
      </c>
      <c r="F160" s="2">
        <f>F73</f>
        <v>45773</v>
      </c>
      <c r="G160" s="2">
        <f>G73</f>
        <v>48983</v>
      </c>
    </row>
    <row r="161" spans="1:7">
      <c r="A161" t="s">
        <v>99</v>
      </c>
      <c r="B161" t="s">
        <v>47</v>
      </c>
      <c r="C161" s="26">
        <v>0.7</v>
      </c>
      <c r="D161" s="26">
        <v>0.72</v>
      </c>
      <c r="E161" s="26">
        <v>0.73</v>
      </c>
      <c r="F161" s="26">
        <v>0.73</v>
      </c>
      <c r="G161" s="26">
        <v>0.73</v>
      </c>
    </row>
    <row r="162" spans="1:7">
      <c r="A162" t="s">
        <v>100</v>
      </c>
      <c r="B162" t="s">
        <v>47</v>
      </c>
      <c r="C162" s="2">
        <f>C160*C161</f>
        <v>24150</v>
      </c>
      <c r="D162" s="2">
        <f>D160*D161</f>
        <v>27745.200000000001</v>
      </c>
      <c r="E162" s="2">
        <f>E160*E161</f>
        <v>30903.09</v>
      </c>
      <c r="F162" s="2">
        <f>F160*F161</f>
        <v>33414.29</v>
      </c>
      <c r="G162" s="2">
        <f>G160*G161</f>
        <v>35757.589999999997</v>
      </c>
    </row>
    <row r="163" spans="1:7">
      <c r="C163" s="2"/>
      <c r="D163" s="2"/>
      <c r="E163" s="2"/>
      <c r="F163" s="2"/>
      <c r="G163" s="2"/>
    </row>
    <row r="164" spans="1:7" s="21" customFormat="1" ht="15">
      <c r="A164" s="21" t="s">
        <v>101</v>
      </c>
      <c r="B164" s="21" t="s">
        <v>47</v>
      </c>
      <c r="C164" s="33">
        <f>SUM(C156,C159,C162)</f>
        <v>82837.600000000006</v>
      </c>
      <c r="D164" s="33">
        <f>SUM(D156,D159,D162)</f>
        <v>110786.79999999999</v>
      </c>
      <c r="E164" s="33">
        <f>SUM(E156,E159,E162)</f>
        <v>129328.09</v>
      </c>
      <c r="F164" s="33">
        <f>SUM(F156,F159,F162)</f>
        <v>119739.29000000001</v>
      </c>
      <c r="G164" s="33">
        <f>SUM(G156,G159,G162)</f>
        <v>124377.59</v>
      </c>
    </row>
    <row r="165" spans="1:7">
      <c r="A165" t="s">
        <v>102</v>
      </c>
      <c r="B165" t="s">
        <v>47</v>
      </c>
      <c r="C165" s="3">
        <f>C164/C149</f>
        <v>0.59288290867449189</v>
      </c>
      <c r="D165" s="3">
        <f>D164/D149</f>
        <v>0.61116670620231583</v>
      </c>
      <c r="E165" s="3">
        <f>E164/E149</f>
        <v>0.62077582524132036</v>
      </c>
      <c r="F165" s="3">
        <f>F164/F149</f>
        <v>0.61634550349250805</v>
      </c>
      <c r="G165" s="3">
        <f>G164/G149</f>
        <v>0.61124315053345979</v>
      </c>
    </row>
    <row r="166" spans="1:7">
      <c r="A166" t="s">
        <v>134</v>
      </c>
      <c r="C166" s="35">
        <v>0.23</v>
      </c>
      <c r="D166" s="35">
        <v>0.23</v>
      </c>
      <c r="E166" s="35">
        <v>0.23</v>
      </c>
      <c r="F166" s="35">
        <v>0.23</v>
      </c>
      <c r="G166" s="35">
        <v>0.23</v>
      </c>
    </row>
    <row r="167" spans="1:7" s="21" customFormat="1" ht="15">
      <c r="A167" s="21" t="s">
        <v>135</v>
      </c>
      <c r="C167" s="38">
        <f>C164*(1-C166)</f>
        <v>63784.952000000005</v>
      </c>
      <c r="D167" s="38">
        <f t="shared" ref="D167:G167" si="5">D164*(1-D166)</f>
        <v>85305.835999999996</v>
      </c>
      <c r="E167" s="38">
        <f t="shared" si="5"/>
        <v>99582.629300000001</v>
      </c>
      <c r="F167" s="38">
        <f t="shared" si="5"/>
        <v>92199.253300000011</v>
      </c>
      <c r="G167" s="38">
        <f t="shared" si="5"/>
        <v>95770.744300000006</v>
      </c>
    </row>
    <row r="169" spans="1:7">
      <c r="A169" t="s">
        <v>136</v>
      </c>
      <c r="C169" s="37">
        <v>9000</v>
      </c>
      <c r="D169" s="37">
        <f>C169+250</f>
        <v>9250</v>
      </c>
      <c r="E169" s="37">
        <f t="shared" ref="E169:G169" si="6">D169+250</f>
        <v>9500</v>
      </c>
      <c r="F169" s="37">
        <f t="shared" si="6"/>
        <v>9750</v>
      </c>
      <c r="G169" s="37">
        <f t="shared" si="6"/>
        <v>10000</v>
      </c>
    </row>
    <row r="170" spans="1:7">
      <c r="A170" t="s">
        <v>137</v>
      </c>
      <c r="C170" s="39">
        <f>C169/C149</f>
        <v>6.4414543372459207E-2</v>
      </c>
      <c r="D170" s="39">
        <f t="shared" ref="D170:G170" si="7">D169/D149</f>
        <v>5.1028570482868192E-2</v>
      </c>
      <c r="E170" s="39">
        <f t="shared" si="7"/>
        <v>4.5600072960116735E-2</v>
      </c>
      <c r="F170" s="39">
        <f t="shared" si="7"/>
        <v>5.0187107832791997E-2</v>
      </c>
      <c r="G170" s="39">
        <f t="shared" si="7"/>
        <v>4.9144154548537225E-2</v>
      </c>
    </row>
    <row r="172" spans="1:7">
      <c r="A172" t="s">
        <v>138</v>
      </c>
      <c r="C172" s="37">
        <v>-1050</v>
      </c>
      <c r="D172" s="37">
        <f>C172-100</f>
        <v>-1150</v>
      </c>
      <c r="E172" s="37">
        <f t="shared" ref="E172:G172" si="8">D172-100</f>
        <v>-1250</v>
      </c>
      <c r="F172" s="37">
        <f t="shared" si="8"/>
        <v>-1350</v>
      </c>
      <c r="G172" s="37">
        <f t="shared" si="8"/>
        <v>-1450</v>
      </c>
    </row>
    <row r="173" spans="1:7">
      <c r="A173" t="s">
        <v>137</v>
      </c>
      <c r="C173" s="39">
        <f>C172/C149</f>
        <v>-7.5150300601202402E-3</v>
      </c>
      <c r="D173" s="39">
        <f t="shared" ref="D173:G173" si="9">D172/D149</f>
        <v>-6.3440925465187478E-3</v>
      </c>
      <c r="E173" s="39">
        <f t="shared" si="9"/>
        <v>-6.00000960001536E-3</v>
      </c>
      <c r="F173" s="39">
        <f t="shared" si="9"/>
        <v>-6.9489841614635076E-3</v>
      </c>
      <c r="G173" s="39">
        <f t="shared" si="9"/>
        <v>-7.1259024095378974E-3</v>
      </c>
    </row>
    <row r="175" spans="1:7">
      <c r="A175" t="s">
        <v>139</v>
      </c>
      <c r="B175" s="37">
        <v>5975</v>
      </c>
      <c r="C175" s="37">
        <v>11815</v>
      </c>
      <c r="D175" s="37">
        <v>12035</v>
      </c>
      <c r="E175" s="37">
        <v>12000</v>
      </c>
      <c r="F175" s="37">
        <v>12090</v>
      </c>
      <c r="G175" s="37">
        <v>12000</v>
      </c>
    </row>
    <row r="176" spans="1:7">
      <c r="A176" t="s">
        <v>137</v>
      </c>
      <c r="C176" s="39">
        <f>C175/C149</f>
        <v>8.4561981105067283E-2</v>
      </c>
      <c r="D176" s="39">
        <f t="shared" ref="D176:G176" si="10">D175/D149</f>
        <v>6.6392307649872292E-2</v>
      </c>
      <c r="E176" s="39">
        <f t="shared" si="10"/>
        <v>5.7600092160147456E-2</v>
      </c>
      <c r="F176" s="39">
        <f t="shared" si="10"/>
        <v>6.2232013712662078E-2</v>
      </c>
      <c r="G176" s="39">
        <f t="shared" si="10"/>
        <v>5.897298545824467E-2</v>
      </c>
    </row>
    <row r="177" spans="1:7">
      <c r="A177" t="s">
        <v>140</v>
      </c>
      <c r="C177" s="40">
        <f>B175-C175</f>
        <v>-5840</v>
      </c>
      <c r="D177" s="40">
        <f t="shared" ref="D177:G177" si="11">C175-D175</f>
        <v>-220</v>
      </c>
      <c r="E177" s="40">
        <f t="shared" si="11"/>
        <v>35</v>
      </c>
      <c r="F177" s="40">
        <f t="shared" si="11"/>
        <v>-90</v>
      </c>
      <c r="G177" s="40">
        <f t="shared" si="11"/>
        <v>90</v>
      </c>
    </row>
    <row r="179" spans="1:7" s="21" customFormat="1" ht="15">
      <c r="A179" s="21" t="s">
        <v>141</v>
      </c>
      <c r="C179" s="41">
        <f>SUM(C177,C172,C169,C167)</f>
        <v>65894.952000000005</v>
      </c>
      <c r="D179" s="41">
        <f t="shared" ref="D179:G179" si="12">SUM(D177,D172,D169,D167)</f>
        <v>93185.835999999996</v>
      </c>
      <c r="E179" s="41">
        <f t="shared" si="12"/>
        <v>107867.6293</v>
      </c>
      <c r="F179" s="41">
        <f t="shared" si="12"/>
        <v>100509.25330000001</v>
      </c>
      <c r="G179" s="41">
        <f t="shared" si="12"/>
        <v>104410.74430000001</v>
      </c>
    </row>
    <row r="180" spans="1:7">
      <c r="A180" t="s">
        <v>142</v>
      </c>
      <c r="C180" s="37">
        <f>C179/(1+$B$183)^C153</f>
        <v>60454.084403669724</v>
      </c>
      <c r="D180" s="37">
        <f t="shared" ref="D180:G180" si="13">D179/(1+$B$183)^D153</f>
        <v>78432.653817018756</v>
      </c>
      <c r="E180" s="37">
        <f t="shared" si="13"/>
        <v>83293.60137881081</v>
      </c>
      <c r="F180" s="37">
        <f t="shared" si="13"/>
        <v>71203.288983057806</v>
      </c>
      <c r="G180" s="37">
        <f t="shared" si="13"/>
        <v>67859.819787341054</v>
      </c>
    </row>
    <row r="182" spans="1:7">
      <c r="A182" t="s">
        <v>153</v>
      </c>
      <c r="B182" s="36">
        <v>385</v>
      </c>
    </row>
    <row r="183" spans="1:7">
      <c r="A183" t="s">
        <v>143</v>
      </c>
      <c r="B183" s="35">
        <v>0.09</v>
      </c>
    </row>
    <row r="184" spans="1:7">
      <c r="A184" t="s">
        <v>144</v>
      </c>
      <c r="B184" s="36">
        <v>25</v>
      </c>
    </row>
    <row r="185" spans="1:7">
      <c r="A185" t="s">
        <v>145</v>
      </c>
      <c r="B185" s="37">
        <f>(G179*B184)/(1+B183)^G153</f>
        <v>1696495.4946835262</v>
      </c>
    </row>
    <row r="186" spans="1:7">
      <c r="A186" t="s">
        <v>152</v>
      </c>
      <c r="B186" s="40">
        <f>B185+SUM(C180:G180)</f>
        <v>2057738.9430534244</v>
      </c>
    </row>
    <row r="187" spans="1:7">
      <c r="A187" t="s">
        <v>146</v>
      </c>
      <c r="B187" s="37">
        <v>19628</v>
      </c>
    </row>
    <row r="188" spans="1:7">
      <c r="A188" t="s">
        <v>147</v>
      </c>
      <c r="B188" s="37">
        <v>64907</v>
      </c>
    </row>
    <row r="189" spans="1:7">
      <c r="A189" t="s">
        <v>148</v>
      </c>
      <c r="B189" s="37">
        <f>B186+B187-B188</f>
        <v>2012459.9430534244</v>
      </c>
    </row>
    <row r="190" spans="1:7">
      <c r="A190" t="s">
        <v>149</v>
      </c>
      <c r="B190" s="37">
        <v>4878</v>
      </c>
    </row>
    <row r="191" spans="1:7" ht="15">
      <c r="A191" s="21" t="s">
        <v>150</v>
      </c>
      <c r="B191" s="42">
        <f>B189/B190</f>
        <v>412.55841391009108</v>
      </c>
    </row>
    <row r="192" spans="1:7" ht="15">
      <c r="A192" s="21" t="s">
        <v>151</v>
      </c>
      <c r="B192" s="43">
        <f>B191/B182-1</f>
        <v>7.1580295870366406E-2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25"/>
  <cols>
    <col min="1" max="1" width="28" customWidth="1"/>
    <col min="2" max="2" width="68" customWidth="1"/>
    <col min="3" max="3" width="34" customWidth="1"/>
    <col min="4" max="4" width="44" customWidth="1"/>
  </cols>
  <sheetData>
    <row r="1" spans="1:4" ht="15">
      <c r="A1" s="30" t="s">
        <v>103</v>
      </c>
      <c r="B1" s="30" t="s">
        <v>104</v>
      </c>
      <c r="C1" s="30" t="s">
        <v>105</v>
      </c>
      <c r="D1" s="30" t="s">
        <v>106</v>
      </c>
    </row>
    <row r="2" spans="1:4" ht="42.75">
      <c r="A2" s="5" t="s">
        <v>107</v>
      </c>
      <c r="B2" s="5" t="s">
        <v>108</v>
      </c>
      <c r="C2" s="5" t="s">
        <v>109</v>
      </c>
      <c r="D2" s="5" t="s">
        <v>110</v>
      </c>
    </row>
    <row r="3" spans="1:4" ht="28.5">
      <c r="A3" s="5" t="s">
        <v>111</v>
      </c>
      <c r="B3" s="5" t="s">
        <v>112</v>
      </c>
      <c r="C3" s="5" t="s">
        <v>113</v>
      </c>
      <c r="D3" s="5" t="s">
        <v>114</v>
      </c>
    </row>
    <row r="4" spans="1:4" ht="42.75">
      <c r="A4" s="5" t="s">
        <v>115</v>
      </c>
      <c r="B4" s="5" t="s">
        <v>116</v>
      </c>
      <c r="C4" s="5" t="s">
        <v>117</v>
      </c>
      <c r="D4" s="5" t="s">
        <v>118</v>
      </c>
    </row>
    <row r="5" spans="1:4" ht="28.5">
      <c r="A5" s="5" t="s">
        <v>119</v>
      </c>
      <c r="B5" s="5" t="s">
        <v>120</v>
      </c>
      <c r="C5" s="5" t="s">
        <v>121</v>
      </c>
      <c r="D5" s="5" t="s">
        <v>122</v>
      </c>
    </row>
    <row r="6" spans="1:4">
      <c r="A6" t="s">
        <v>123</v>
      </c>
      <c r="B6" t="s">
        <v>124</v>
      </c>
      <c r="C6" t="s">
        <v>125</v>
      </c>
      <c r="D6" t="s">
        <v>126</v>
      </c>
    </row>
    <row r="7" spans="1:4">
      <c r="A7" t="s">
        <v>127</v>
      </c>
      <c r="B7" t="s">
        <v>128</v>
      </c>
      <c r="C7" t="s">
        <v>129</v>
      </c>
      <c r="D7" t="s">
        <v>130</v>
      </c>
    </row>
    <row r="8" spans="1:4">
      <c r="A8" t="s">
        <v>131</v>
      </c>
      <c r="B8" t="s">
        <v>124</v>
      </c>
      <c r="C8" t="s">
        <v>132</v>
      </c>
      <c r="D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Model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2026-06-06T19:58:08Z</dcterms:modified>
</cp:coreProperties>
</file>