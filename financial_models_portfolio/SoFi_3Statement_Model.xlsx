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NII Buildout" sheetId="2" state="visible" r:id="rId4"/>
    <sheet name="Calcs" sheetId="3" state="visible" r:id="rId5"/>
    <sheet name="Income Statement" sheetId="4" state="visible" r:id="rId6"/>
    <sheet name="Balance Sheet" sheetId="5" state="visible" r:id="rId7"/>
    <sheet name="Cash Flow Statement" sheetId="6" state="visible" r:id="rId8"/>
    <sheet name="KPIs &amp; Segmen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<sst xmlns="http://schemas.openxmlformats.org/spreadsheetml/2006/main" count="422" uniqueCount="357">
  <si>
    <t xml:space="preserve">SoFi Technologies, Inc.</t>
  </si>
  <si>
    <t xml:space="preserve">Hist</t>
  </si>
  <si>
    <t xml:space="preserve">Proj</t>
  </si>
  <si>
    <t xml:space="preserve">$ USD (amounts in $mm)</t>
  </si>
  <si>
    <t xml:space="preserve">Net Interest Income Drivers (Volume x Rate)</t>
  </si>
  <si>
    <t xml:space="preserve">Interest-Earning Assets</t>
  </si>
  <si>
    <t xml:space="preserve">Avg interest-earning assets ($mm)</t>
  </si>
  <si>
    <t xml:space="preserve">Avg loans + avg securities + est. cash deposits at banks (~$3B)</t>
  </si>
  <si>
    <t xml:space="preserve">Avg yield on interest-earning assets</t>
  </si>
  <si>
    <t xml:space="preserve">Declining: rate cuts, mix shift to lower-yield securities</t>
  </si>
  <si>
    <t xml:space="preserve">Total interest income ($mm)</t>
  </si>
  <si>
    <t xml:space="preserve"> avg iea x avg yield</t>
  </si>
  <si>
    <t xml:space="preserve">Interest-Bearing Liabilities</t>
  </si>
  <si>
    <t xml:space="preserve">Avg interest-bearing deposits ($mm)</t>
  </si>
  <si>
    <t xml:space="preserve">SoFi Money growth, member adds, direct deposit penetration</t>
  </si>
  <si>
    <t xml:space="preserve">Avg cost of deposits</t>
  </si>
  <si>
    <t xml:space="preserve">Declining: Fed cuts, sticky checking balances at 0% APY</t>
  </si>
  <si>
    <t xml:space="preserve">Deposit interest expense ($mm)</t>
  </si>
  <si>
    <t xml:space="preserve">Avg debt ($mm)</t>
  </si>
  <si>
    <t xml:space="preserve">Declining: paying down warehouse/securitization, replacing with deposits</t>
  </si>
  <si>
    <t xml:space="preserve">Avg cost of debt</t>
  </si>
  <si>
    <t xml:space="preserve">Debt interest expense ($mm)</t>
  </si>
  <si>
    <t xml:space="preserve">Total interest expense ($mm)</t>
  </si>
  <si>
    <t xml:space="preserve">Net interest income ($mm)</t>
  </si>
  <si>
    <t xml:space="preserve">Net interest margin (NIM)</t>
  </si>
  <si>
    <t xml:space="preserve"> nii / avg iea</t>
  </si>
  <si>
    <t xml:space="preserve">Noninterest Income Drivers (Activity-Based)</t>
  </si>
  <si>
    <t xml:space="preserve">Total members (mm)</t>
  </si>
  <si>
    <t xml:space="preserve">Member growth decelerates from 35% toward 13%</t>
  </si>
  <si>
    <t xml:space="preserve">Products per member</t>
  </si>
  <si>
    <t xml:space="preserve">Cross-sell improving via FSPL strategy</t>
  </si>
  <si>
    <t xml:space="preserve">Total products (mm)</t>
  </si>
  <si>
    <t xml:space="preserve">Loan origination volume ($mm)</t>
  </si>
  <si>
    <t xml:space="preserve">57% growth in 2025. Decelerating.</t>
  </si>
  <si>
    <t xml:space="preserve">Origination fee / gain-on-sale rate (bps of volume)</t>
  </si>
  <si>
    <t xml:space="preserve">Declining: more LPB (fee) vs balance sheet (gain-on-sale)</t>
  </si>
  <si>
    <t xml:space="preserve">Loan origination, sales, securitizations &amp; servicing ($mm)</t>
  </si>
  <si>
    <t xml:space="preserve"> volume x bps / 10000</t>
  </si>
  <si>
    <t xml:space="preserve">LPB origination volume on behalf of 3rd parties ($mm)</t>
  </si>
  <si>
    <t xml:space="preserve">$11B in 2025. Growth decelerates as penetration matures</t>
  </si>
  <si>
    <t xml:space="preserve">LPB fee rate (bps)</t>
  </si>
  <si>
    <t xml:space="preserve">Stabilizing around ~535 bps ($52 per loan avg fee)</t>
  </si>
  <si>
    <t xml:space="preserve">Loan platform fees ($mm)</t>
  </si>
  <si>
    <t xml:space="preserve"> lpb volume x fee rate / 10000</t>
  </si>
  <si>
    <t xml:space="preserve">Technology Platform enabled accounts (mm)</t>
  </si>
  <si>
    <t xml:space="preserve">Post-Chime trough. Rebuilding via brand partnerships</t>
  </si>
  <si>
    <t xml:space="preserve">Revenue per enabled account ($)</t>
  </si>
  <si>
    <t xml:space="preserve">Declining from 2025 peak (Chime termination fee inflated)</t>
  </si>
  <si>
    <t xml:space="preserve">Technology products and solutions ($mm)</t>
  </si>
  <si>
    <t xml:space="preserve"> accounts x rev/account</t>
  </si>
  <si>
    <t xml:space="preserve">SoFi Money + Credit Card active accounts (mm)</t>
  </si>
  <si>
    <t xml:space="preserve">Interchange driven by card/debit active accounts</t>
  </si>
  <si>
    <t xml:space="preserve">Revenue per active account ($)</t>
  </si>
  <si>
    <t xml:space="preserve">Interchange, brokerage, referral fees per active account</t>
  </si>
  <si>
    <t xml:space="preserve">Other noninterest income ($mm)</t>
  </si>
  <si>
    <t xml:space="preserve"> active accounts (mm) x revenue per account ($))))</t>
  </si>
  <si>
    <t xml:space="preserve">Total noninterest income ($mm)</t>
  </si>
  <si>
    <t xml:space="preserve">Total net revenue ($mm)</t>
  </si>
  <si>
    <t xml:space="preserve">Provision for Credit Losses</t>
  </si>
  <si>
    <t xml:space="preserve">Total loans at amortized cost ($mm)</t>
  </si>
  <si>
    <t xml:space="preserve">Only HFI-AC loans carry ACL. Growing with credit card + commercial</t>
  </si>
  <si>
    <t xml:space="preserve">NCO rate on AC loans</t>
  </si>
  <si>
    <t xml:space="preserve">Normalizing at ~2% after credit card tightening in 2024-25</t>
  </si>
  <si>
    <t xml:space="preserve">Provision for credit losses ($mm)</t>
  </si>
  <si>
    <t xml:space="preserve"> ac loans x nco RATE(simplified)</t>
  </si>
  <si>
    <t xml:space="preserve">Noninterest Expense Drivers (Unit Economics)</t>
  </si>
  <si>
    <t xml:space="preserve">Total employees</t>
  </si>
  <si>
    <t xml:space="preserve">Growing with business complexity. ~11% CAGR decelerating</t>
  </si>
  <si>
    <t xml:space="preserve">Avg comp + benefits per employee ($K)</t>
  </si>
  <si>
    <t xml:space="preserve">~3% annual inflation on per-head cost</t>
  </si>
  <si>
    <t xml:space="preserve">Total compensation &amp; benefits ($mm)</t>
  </si>
  <si>
    <t xml:space="preserve"> employees x avg comp / 1000</t>
  </si>
  <si>
    <t xml:space="preserve">Marketing spend per new member acquired ($)</t>
  </si>
  <si>
    <t xml:space="preserve">CAC. Elevated in 2025 for brand. Normalizing.</t>
  </si>
  <si>
    <t xml:space="preserve">New members added (mm)</t>
  </si>
  <si>
    <t xml:space="preserve"> current members - prior members</t>
  </si>
  <si>
    <t xml:space="preserve">Total marketing spend ($mm)</t>
  </si>
  <si>
    <t xml:space="preserve"> new members x cac</t>
  </si>
  <si>
    <t xml:space="preserve">Brand &amp; other S&amp;M ($mm)</t>
  </si>
  <si>
    <t xml:space="preserve">Stadium naming, national campaigns. Growing but decelerating.</t>
  </si>
  <si>
    <t xml:space="preserve">Total sales &amp; marketing ($mm)</t>
  </si>
  <si>
    <t xml:space="preserve"> direct acquisition + brand/other s&amp;m</t>
  </si>
  <si>
    <t xml:space="preserve">Processing cost per product ($)</t>
  </si>
  <si>
    <t xml:space="preserve">Cost of ops per product. Declining with scale.</t>
  </si>
  <si>
    <t xml:space="preserve">Cost of operations ($mm)</t>
  </si>
  <si>
    <t xml:space="preserve"> total products (mm) x processing cost/product</t>
  </si>
  <si>
    <t xml:space="preserve">Compliance, legal, infrastructure ($mm)</t>
  </si>
  <si>
    <t xml:space="preserve">Fixed cost base. Growing with regulatory complexity.</t>
  </si>
  <si>
    <t xml:space="preserve">Total G&amp;A ($mm)</t>
  </si>
  <si>
    <t xml:space="preserve"> compliance/infra + 15% of comp (g&amp;a headcount allocation)</t>
  </si>
  <si>
    <t xml:space="preserve">Tech &amp; product development ($mm)</t>
  </si>
  <si>
    <t xml:space="preserve"> 30% of comp (eng allocation) + d&amp;a (software amortization)</t>
  </si>
  <si>
    <t xml:space="preserve">Goodwill impairment ($mm)</t>
  </si>
  <si>
    <t xml:space="preserve">Total noninterest expense ($mm)</t>
  </si>
  <si>
    <t xml:space="preserve"> tech + s&amp;m + cost of ops + g&amp;a + impairment</t>
  </si>
  <si>
    <t xml:space="preserve">Implied efficiency ratio</t>
  </si>
  <si>
    <t xml:space="preserve">Total opex / total revenue</t>
  </si>
  <si>
    <t xml:space="preserve">Revenue per employee ($K)</t>
  </si>
  <si>
    <t xml:space="preserve">Productivity metric</t>
  </si>
  <si>
    <t xml:space="preserve">Opex per member ($)</t>
  </si>
  <si>
    <t xml:space="preserve">Declining with member growth</t>
  </si>
  <si>
    <t xml:space="preserve">Income Taxes &amp; Shares</t>
  </si>
  <si>
    <t xml:space="preserve">Effective tax rate</t>
  </si>
  <si>
    <t xml:space="preserve">2024 distorted by DTA release. Normalizing to 22-25%</t>
  </si>
  <si>
    <t xml:space="preserve">Diluted WASO (mm)</t>
  </si>
  <si>
    <t xml:space="preserve">SBC dilution ~3% annually. No buyback assumed.</t>
  </si>
  <si>
    <t xml:space="preserve">Balance Sheet Drivers</t>
  </si>
  <si>
    <t xml:space="preserve">Assets</t>
  </si>
  <si>
    <t xml:space="preserve">End-of-period deposits ($mm)</t>
  </si>
  <si>
    <t xml:space="preserve"> members (mm) x deposits per member</t>
  </si>
  <si>
    <t xml:space="preserve">Deposits per member ($)</t>
  </si>
  <si>
    <t xml:space="preserve">Plateaus as new lower-balance members dilute avg</t>
  </si>
  <si>
    <t xml:space="preserve">On-balance-sheet originations ($mm)</t>
  </si>
  <si>
    <t xml:space="preserve"> total originations - lpb originations (off-bs)</t>
  </si>
  <si>
    <t xml:space="preserve">Loan principal runoff rate (% of beg balance)</t>
  </si>
  <si>
    <t xml:space="preserve">Paydowns, refinancings, sales, charge-offs. Rising with maturity.</t>
  </si>
  <si>
    <t xml:space="preserve">Beginning loans ($mm)</t>
  </si>
  <si>
    <t xml:space="preserve">Ending total loans ($mm)</t>
  </si>
  <si>
    <t xml:space="preserve"> beg loans + on-bs originations - runoff</t>
  </si>
  <si>
    <t xml:space="preserve">Loans HFS % of total</t>
  </si>
  <si>
    <t xml:space="preserve">Declining: shifting more to HFI for NII</t>
  </si>
  <si>
    <t xml:space="preserve">Loans HFI FV % of total</t>
  </si>
  <si>
    <t xml:space="preserve">Growing: personal/student loans held longer</t>
  </si>
  <si>
    <t xml:space="preserve">Loans HFI AC % of total</t>
  </si>
  <si>
    <t xml:space="preserve">Credit card + commercial. Stable share.</t>
  </si>
  <si>
    <t xml:space="preserve">Investment securities ($mm)</t>
  </si>
  <si>
    <t xml:space="preserve">Deploying excess liquidity into AFS securities</t>
  </si>
  <si>
    <t xml:space="preserve">Servicing rights ($mm)</t>
  </si>
  <si>
    <t xml:space="preserve">Growing with LPB volume (servicing retained)</t>
  </si>
  <si>
    <t xml:space="preserve">CAPEX ($mm)</t>
  </si>
  <si>
    <t xml:space="preserve">Tech platform, office buildout, Galileo/Technisys</t>
  </si>
  <si>
    <t xml:space="preserve">D&amp;A ($mm)</t>
  </si>
  <si>
    <t xml:space="preserve">Growing with cumulative capex. Software ~3yr amort.</t>
  </si>
  <si>
    <t xml:space="preserve">Goodwill ($mm)</t>
  </si>
  <si>
    <t xml:space="preserve">Galileo + Technisys. No impairment assumed.</t>
  </si>
  <si>
    <t xml:space="preserve">Intangible assets ($mm)</t>
  </si>
  <si>
    <t xml:space="preserve">Amortizing Technisys/Galileo acquired intangibles</t>
  </si>
  <si>
    <t xml:space="preserve">Restricted cash ($mm)</t>
  </si>
  <si>
    <t xml:space="preserve">Liabilities</t>
  </si>
  <si>
    <t xml:space="preserve">Debt ending balance ($mm)</t>
  </si>
  <si>
    <t xml:space="preserve">Continued paydown. Deposits replacing warehouse debt</t>
  </si>
  <si>
    <t xml:space="preserve">Debt repayment ($mm)</t>
  </si>
  <si>
    <t xml:space="preserve">Convertibles retired. Remaining is term/revolver</t>
  </si>
  <si>
    <t xml:space="preserve">Equity</t>
  </si>
  <si>
    <t xml:space="preserve">SBC expense ($mm)</t>
  </si>
  <si>
    <t xml:space="preserve">Growing with headcount. ~7-8% of revenue.</t>
  </si>
  <si>
    <t xml:space="preserve">Dividend payout %</t>
  </si>
  <si>
    <t xml:space="preserve">No dividend expected through 2030.</t>
  </si>
  <si>
    <t xml:space="preserve">Operating lease ROU assets ($mm)</t>
  </si>
  <si>
    <t xml:space="preserve">General operating lease commitments</t>
  </si>
  <si>
    <t xml:space="preserve">Other assets ($mm)</t>
  </si>
  <si>
    <t xml:space="preserve">DTA + other. Growing with deferred tax asset utilization</t>
  </si>
  <si>
    <t xml:space="preserve">AP, accruals &amp; other liabilities ($mm)</t>
  </si>
  <si>
    <t xml:space="preserve">Operating lease liabilities ($mm)</t>
  </si>
  <si>
    <t xml:space="preserve">APIC ($mm)</t>
  </si>
  <si>
    <t xml:space="preserve">Prior APIC + SBC expense (simplified)</t>
  </si>
  <si>
    <t xml:space="preserve">AOCI ($mm)</t>
  </si>
  <si>
    <t xml:space="preserve">Net Interest Income Build (Volume x Rate)</t>
  </si>
  <si>
    <t xml:space="preserve">Avg yield on IEA</t>
  </si>
  <si>
    <t xml:space="preserve">Total interest income</t>
  </si>
  <si>
    <t xml:space="preserve">Total interest expense</t>
  </si>
  <si>
    <t xml:space="preserve">Net interest income</t>
  </si>
  <si>
    <t xml:space="preserve">NIM</t>
  </si>
  <si>
    <t xml:space="preserve">Noninterest Income Build (Activity x Price)</t>
  </si>
  <si>
    <t xml:space="preserve">Loan orig, sales, securitizations &amp; servicing</t>
  </si>
  <si>
    <t xml:space="preserve">Technology products and solutions</t>
  </si>
  <si>
    <t xml:space="preserve">Loan platform fees</t>
  </si>
  <si>
    <t xml:space="preserve">Other noninterest income</t>
  </si>
  <si>
    <t xml:space="preserve">Total noninterest income</t>
  </si>
  <si>
    <t xml:space="preserve">Total net revenue</t>
  </si>
  <si>
    <t xml:space="preserve">YoY growth</t>
  </si>
  <si>
    <t xml:space="preserve">Revenue Segment Allocation</t>
  </si>
  <si>
    <t xml:space="preserve">Lending</t>
  </si>
  <si>
    <t xml:space="preserve">Technology Platform</t>
  </si>
  <si>
    <t xml:space="preserve">Financial Services</t>
  </si>
  <si>
    <t xml:space="preserve">Total (segment)</t>
  </si>
  <si>
    <t xml:space="preserve">PP&amp;E Schedule</t>
  </si>
  <si>
    <t xml:space="preserve">Beginning</t>
  </si>
  <si>
    <t xml:space="preserve">Depreciation</t>
  </si>
  <si>
    <t xml:space="preserve">CapEx</t>
  </si>
  <si>
    <t xml:space="preserve">Ending</t>
  </si>
  <si>
    <t xml:space="preserve">Retained Earnings (Accumulated Deficit) Schedule</t>
  </si>
  <si>
    <t xml:space="preserve">Dividends</t>
  </si>
  <si>
    <t xml:space="preserve">Net Income</t>
  </si>
  <si>
    <t xml:space="preserve">Linked from IS forecast output</t>
  </si>
  <si>
    <t xml:space="preserve">Debt Schedule</t>
  </si>
  <si>
    <t xml:space="preserve">New issuance</t>
  </si>
  <si>
    <t xml:space="preserve">Repayment</t>
  </si>
  <si>
    <t xml:space="preserve">Interest Expense Build</t>
  </si>
  <si>
    <t xml:space="preserve">Avg deposits ($mm)</t>
  </si>
  <si>
    <t xml:space="preserve">Cost of deposits</t>
  </si>
  <si>
    <t xml:space="preserve">Deposit interest expense</t>
  </si>
  <si>
    <t xml:space="preserve">Cost of debt</t>
  </si>
  <si>
    <t xml:space="preserve">Debt interest expense</t>
  </si>
  <si>
    <t xml:space="preserve">Consolidated Statements of Operations ($mm)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</si>
  <si>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</si>
  <si>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</si>
  <si>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</si>
  <si>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</si>
  <si>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</si>
  <si>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Interest Income</t>
  </si>
  <si>
    <t xml:space="preserve">  Loans and securitizations</t>
  </si>
  <si>
    <t xml:space="preserve">  Other interest income</t>
  </si>
  <si>
    <t xml:space="preserve">Interest Expense</t>
  </si>
  <si>
    <t xml:space="preserve">  Securitizations and warehouses</t>
  </si>
  <si>
    <t xml:space="preserve">  Deposits</t>
  </si>
  <si>
    <t xml:space="preserve">  Corporate borrowings</t>
  </si>
  <si>
    <t xml:space="preserve">  Other interest expense</t>
  </si>
  <si>
    <t xml:space="preserve">Noninterest Income</t>
  </si>
  <si>
    <t xml:space="preserve">  Loan origination, sales, securitizations and servicing</t>
  </si>
  <si>
    <t xml:space="preserve">  Technology products and solutions</t>
  </si>
  <si>
    <t xml:space="preserve">  Loan platform fees</t>
  </si>
  <si>
    <t xml:space="preserve">  Other noninterest income</t>
  </si>
  <si>
    <t xml:space="preserve">Provision for credit losses</t>
  </si>
  <si>
    <t xml:space="preserve">Noninterest Expense</t>
  </si>
  <si>
    <t xml:space="preserve">  Technology and product development</t>
  </si>
  <si>
    <t xml:space="preserve">  Sales and marketing</t>
  </si>
  <si>
    <t xml:space="preserve">  Cost of operations</t>
  </si>
  <si>
    <t xml:space="preserve">  General and administrative</t>
  </si>
  <si>
    <t xml:space="preserve">  Goodwill impairment</t>
  </si>
  <si>
    <t xml:space="preserve">Total noninterest expense</t>
  </si>
  <si>
    <t xml:space="preserve">Income (loss) before income taxes</t>
  </si>
  <si>
    <t xml:space="preserve">Income tax (expense) benefit</t>
  </si>
  <si>
    <t xml:space="preserve">Net income (loss)</t>
  </si>
  <si>
    <t xml:space="preserve">Other Comprehensive Income (Loss)</t>
  </si>
  <si>
    <t xml:space="preserve">  Unrealized gains (losses) on AFS securities, net</t>
  </si>
  <si>
    <t xml:space="preserve">  Foreign currency translation adjustments, net</t>
  </si>
  <si>
    <t xml:space="preserve">Total other comprehensive income (loss)</t>
  </si>
  <si>
    <t xml:space="preserve">Comprehensive income (loss)</t>
  </si>
  <si>
    <t xml:space="preserve">Per Share Data</t>
  </si>
  <si>
    <t xml:space="preserve">  EPS - basic</t>
  </si>
  <si>
    <t xml:space="preserve">  EPS - diluted</t>
  </si>
  <si>
    <t xml:space="preserve">  Weighted avg shares outstanding - basic (mm)</t>
  </si>
  <si>
    <t xml:space="preserve">  Weighted avg shares outstanding - diluted (mm)</t>
  </si>
  <si>
    <t xml:space="preserve">Consolidated Balance Sheets ($mm)</t>
  </si>
  <si>
    <t xml:space="preserve">  Cash and cash equivalents</t>
  </si>
  <si>
    <t xml:space="preserve">  Restricted cash and restricted cash equivalents</t>
  </si>
  <si>
    <t xml:space="preserve">  Investment securities</t>
  </si>
  <si>
    <t xml:space="preserve">  Loans held for sale</t>
  </si>
  <si>
    <t xml:space="preserve">  Loans held for investment, at fair value</t>
  </si>
  <si>
    <t xml:space="preserve">  Loans held for investment, at amortized cost</t>
  </si>
  <si>
    <t xml:space="preserve">  Servicing rights</t>
  </si>
  <si>
    <t xml:space="preserve">  Property, equipment and software</t>
  </si>
  <si>
    <t xml:space="preserve">  Goodwill</t>
  </si>
  <si>
    <t xml:space="preserve">  Intangible assets</t>
  </si>
  <si>
    <t xml:space="preserve">  Operating lease right-of-use assets</t>
  </si>
  <si>
    <t xml:space="preserve">  Other assets</t>
  </si>
  <si>
    <t xml:space="preserve">Total assets</t>
  </si>
  <si>
    <t xml:space="preserve">  Interest-bearing deposits</t>
  </si>
  <si>
    <t xml:space="preserve">  Noninterest-bearing deposits</t>
  </si>
  <si>
    <t xml:space="preserve">Total deposits</t>
  </si>
  <si>
    <t xml:space="preserve">  Accounts payable, accruals and other liabilities</t>
  </si>
  <si>
    <t xml:space="preserve">  Operating lease liabilities</t>
  </si>
  <si>
    <t xml:space="preserve">  Debt</t>
  </si>
  <si>
    <t xml:space="preserve">  Residual interests classified as debt</t>
  </si>
  <si>
    <t xml:space="preserve">Total liabilities</t>
  </si>
  <si>
    <t xml:space="preserve">Temporary Equity</t>
  </si>
  <si>
    <t xml:space="preserve">  Redeemable preferred stock</t>
  </si>
  <si>
    <t xml:space="preserve">Permanent Equity</t>
  </si>
  <si>
    <t xml:space="preserve">  Common stock</t>
  </si>
  <si>
    <t xml:space="preserve">  Additional paid-in capital</t>
  </si>
  <si>
    <t xml:space="preserve">  Accumulated other comprehensive income (loss)</t>
  </si>
  <si>
    <t xml:space="preserve">  Accumulated deficit</t>
  </si>
  <si>
    <t xml:space="preserve">Total permanent equity</t>
  </si>
  <si>
    <t xml:space="preserve">Total liabilities and equity</t>
  </si>
  <si>
    <t xml:space="preserve">Consolidated Statements of Cash Flows ($mm)</t>
  </si>
  <si>
    <t xml:space="preserve">Operating Activities</t>
  </si>
  <si>
    <t xml:space="preserve">  Net income (loss)</t>
  </si>
  <si>
    <t xml:space="preserve">  Share-based compensation expense</t>
  </si>
  <si>
    <t xml:space="preserve">  Depreciation and amortization</t>
  </si>
  <si>
    <t xml:space="preserve">  Deferred debt issuance and discount expense</t>
  </si>
  <si>
    <t xml:space="preserve">  Gain on extinguishment of convertible debt</t>
  </si>
  <si>
    <t xml:space="preserve">  Provision for credit losses</t>
  </si>
  <si>
    <t xml:space="preserve">  Deferred income taxes</t>
  </si>
  <si>
    <t xml:space="preserve">  Fair value changes in loans held for investment</t>
  </si>
  <si>
    <t xml:space="preserve">  Fair value changes in securitization investments</t>
  </si>
  <si>
    <t xml:space="preserve">  Fair value changes in warrant liabilities</t>
  </si>
  <si>
    <t xml:space="preserve">  Fair value changes in residual interests classified as debt</t>
  </si>
  <si>
    <t xml:space="preserve">  Other adjustments</t>
  </si>
  <si>
    <t xml:space="preserve">  Changes in loans held for sale, net</t>
  </si>
  <si>
    <t xml:space="preserve">  Changes in loans previously classified as HFS, net</t>
  </si>
  <si>
    <t xml:space="preserve">  Changes in accrued interest on loans</t>
  </si>
  <si>
    <t xml:space="preserve">  Changes in servicing assets</t>
  </si>
  <si>
    <t xml:space="preserve">  Changes in other assets</t>
  </si>
  <si>
    <t xml:space="preserve">  Changes in other liabilities</t>
  </si>
  <si>
    <t xml:space="preserve">Net cash used in operating activities</t>
  </si>
  <si>
    <t xml:space="preserve">Investing Activities</t>
  </si>
  <si>
    <t xml:space="preserve">  Purchases of property, equipment and software</t>
  </si>
  <si>
    <t xml:space="preserve">  Capitalized software development costs</t>
  </si>
  <si>
    <t xml:space="preserve">  Purchases of AFS investments</t>
  </si>
  <si>
    <t xml:space="preserve">  Proceeds from sales of AFS investments</t>
  </si>
  <si>
    <t xml:space="preserve">  Proceeds from maturities/paydowns of AFS investments</t>
  </si>
  <si>
    <t xml:space="preserve">  Purchases of loans held for investment</t>
  </si>
  <si>
    <t xml:space="preserve">  Proceeds from sales of loans held for investment</t>
  </si>
  <si>
    <t xml:space="preserve">  Other changes in loans held for investment, net</t>
  </si>
  <si>
    <t xml:space="preserve">  Proceeds from securitization investments</t>
  </si>
  <si>
    <t xml:space="preserve">  Proceeds from non-securitization investments</t>
  </si>
  <si>
    <t xml:space="preserve">  Purchases of non-securitization investments</t>
  </si>
  <si>
    <t xml:space="preserve">  Acquisition of businesses, net of cash acquired</t>
  </si>
  <si>
    <t xml:space="preserve">  Other investing activities</t>
  </si>
  <si>
    <t xml:space="preserve">Net cash used in investing activities</t>
  </si>
  <si>
    <t xml:space="preserve">Financing Activities</t>
  </si>
  <si>
    <t xml:space="preserve">  Net change in deposits</t>
  </si>
  <si>
    <t xml:space="preserve">  Proceeds from issuance of common stock</t>
  </si>
  <si>
    <t xml:space="preserve">  Payment of common stock issuance costs</t>
  </si>
  <si>
    <t xml:space="preserve">  Net change in debt facilities</t>
  </si>
  <si>
    <t xml:space="preserve">  Proceeds from other debt issuances</t>
  </si>
  <si>
    <t xml:space="preserve">  Repayment of other debt</t>
  </si>
  <si>
    <t xml:space="preserve">  Payment of debt issuance costs</t>
  </si>
  <si>
    <t xml:space="preserve">  Purchase of capped calls</t>
  </si>
  <si>
    <t xml:space="preserve">  Unwind of capped calls</t>
  </si>
  <si>
    <t xml:space="preserve">  Taxes paid related to net share settlement</t>
  </si>
  <si>
    <t xml:space="preserve">  Proceeds from stock option exercises</t>
  </si>
  <si>
    <t xml:space="preserve">  Proceeds from issuance of common stock under ESPP</t>
  </si>
  <si>
    <t xml:space="preserve">  Payment of redeemable preferred stock dividends</t>
  </si>
  <si>
    <t xml:space="preserve">  Redemption of Series 1 preferred stock</t>
  </si>
  <si>
    <t xml:space="preserve">  Other financing activities</t>
  </si>
  <si>
    <t xml:space="preserve">Net cash provided by financing activities</t>
  </si>
  <si>
    <t xml:space="preserve">Effect of exchange rates on cash</t>
  </si>
  <si>
    <t xml:space="preserve">Net increase (decrease) in cash and equivalents</t>
  </si>
  <si>
    <t xml:space="preserve">Cash, restricted cash at beginning of period</t>
  </si>
  <si>
    <t xml:space="preserve">Cash, restricted cash at end of period</t>
  </si>
  <si>
    <t xml:space="preserve">Supplemental Information</t>
  </si>
  <si>
    <t xml:space="preserve">  Interest paid</t>
  </si>
  <si>
    <t xml:space="preserve">  Income taxes paid, net</t>
  </si>
  <si>
    <t xml:space="preserve">Key Performance Indicators &amp; Segment Information ($mm)</t>
  </si>
  <si>
    <t xml:space="preserve">Segment Revenue ($mm)</t>
  </si>
  <si>
    <t xml:space="preserve">  Lending</t>
  </si>
  <si>
    <t xml:space="preserve">  Technology Platform</t>
  </si>
  <si>
    <t xml:space="preserve">  Financial Services</t>
  </si>
  <si>
    <t xml:space="preserve">Segment Contribution Profit ($mm)</t>
  </si>
  <si>
    <t xml:space="preserve">Segment Contribution Margin</t>
  </si>
  <si>
    <t xml:space="preserve">Non-GAAP Measures ($mm)</t>
  </si>
  <si>
    <t xml:space="preserve">  Adjusted net revenue</t>
  </si>
  <si>
    <t xml:space="preserve">Member &amp; Product Metrics</t>
  </si>
  <si>
    <t xml:space="preserve">  Total members (mm)</t>
  </si>
  <si>
    <t xml:space="preserve">  Total products (mm)</t>
  </si>
  <si>
    <t xml:space="preserve">Technology Platform Metrics</t>
  </si>
  <si>
    <t xml:space="preserve">  Total enabled accounts (mm)</t>
  </si>
  <si>
    <t xml:space="preserve">Balance Sheet Metrics ($mm)</t>
  </si>
  <si>
    <t xml:space="preserve">  Total deposits</t>
  </si>
  <si>
    <t xml:space="preserve">  Total loans (HFS + HFI)</t>
  </si>
  <si>
    <t xml:space="preserve">Key Ratios</t>
  </si>
  <si>
    <t xml:space="preserve">  Net interest margin</t>
  </si>
  <si>
    <t xml:space="preserve">  Total risk-based capital ratio (SoFi Technologies)</t>
  </si>
  <si>
    <t xml:space="preserve">  Total risk-based capital ratio (SoFi Bank)</t>
  </si>
  <si>
    <t xml:space="preserve">Origination Volume ($mm)</t>
  </si>
  <si>
    <t xml:space="preserve">  Personal loans</t>
  </si>
  <si>
    <t xml:space="preserve">  Student loans</t>
  </si>
  <si>
    <t xml:space="preserve">  Home loans</t>
  </si>
  <si>
    <t xml:space="preserve">Credit Quality</t>
  </si>
  <si>
    <t xml:space="preserve">  Personal loan NCO ratio</t>
  </si>
  <si>
    <t xml:space="preserve">  Student loan NCO ratio</t>
  </si>
  <si>
    <t xml:space="preserve">  Credit card NCO ratio</t>
  </si>
  <si>
    <t xml:space="preserve">  Total loan NCO ratio</t>
  </si>
  <si>
    <t xml:space="preserve">Share Information</t>
  </si>
  <si>
    <t xml:space="preserve">  Shares outstanding (mm)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</si>
</sst>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_);_(* \(#,##0\);_(* 0_);_(@_)"/>
    <numFmt numFmtId="166" formatCode="_(* #,##0_);_(* \(#,##0\);_(* 0_);_(@_)"/>
    <numFmt numFmtId="167" formatCode="0.00%"/>
    <numFmt numFmtId="168" formatCode="#,##0.0"/>
    <numFmt numFmtId="169" formatCode="0.00"/>
    <numFmt numFmtId="170" formatCode="0"/>
    <numFmt numFmtId="171" formatCode="#,##0"/>
    <numFmt numFmtId="172" formatCode="0.0"/>
    <numFmt numFmtId="173" formatCode="0.0%"/>
    <numFmt numFmtId="174" formatCode="#,##0;\(#,##0\);0"/>
    <numFmt numFmtId="175" formatCode="#,##0.00;\(#,##0.00\);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u val="double"/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u val="double"/>
      <sz val="12"/>
      <name val="Calibri"/>
      <family val="0"/>
      <charset val="1"/>
    </font>
    <font>
      <b val="true"/>
      <sz val="12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u val="doubl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6400"/>
      <rgbColor rgb="FF333300"/>
      <rgbColor rgb="FF993300"/>
      <rgbColor rgb="FF993366"/>
      <rgbColor rgb="FF1F4E79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52"/>
    <col collapsed="false" customWidth="true" hidden="false" outlineLevel="0" max="11" min="3" style="1" width="13"/>
  </cols>
  <sheetData>
    <row r="1" customFormat="false" ht="19.5" hidden="false" customHeight="true" outlineLevel="0" collapsed="false">
      <c r="A1" s="2" t="s">
        <v>0</v>
      </c>
      <c r="B1" s="3"/>
      <c r="C1" s="4" t="s">
        <v>1</v>
      </c>
      <c r="D1" s="4" t="s">
        <v>1</v>
      </c>
      <c r="E1" s="4" t="s">
        <v>1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</row>
    <row r="2" customFormat="false" ht="15" hidden="false" customHeight="true" outlineLevel="0" collapsed="false">
      <c r="A2" s="5" t="s">
        <v>3</v>
      </c>
      <c r="B2" s="3"/>
      <c r="C2" s="6" t="n">
        <v>2023</v>
      </c>
      <c r="D2" s="6" t="n">
        <v>2024</v>
      </c>
      <c r="E2" s="6" t="n">
        <v>2025</v>
      </c>
      <c r="F2" s="6" t="n">
        <v>2026</v>
      </c>
      <c r="G2" s="6" t="n">
        <v>2027</v>
      </c>
      <c r="H2" s="6" t="n">
        <v>2028</v>
      </c>
      <c r="I2" s="6" t="n">
        <v>2029</v>
      </c>
      <c r="J2" s="6" t="n">
        <v>2030</v>
      </c>
    </row>
    <row r="4" customFormat="false" ht="15" hidden="false" customHeight="true" outlineLevel="0" collapsed="false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A5" s="9" t="s">
        <v>5</v>
      </c>
    </row>
    <row r="6" customFormat="false" ht="15" hidden="false" customHeight="true" outlineLevel="0" collapsed="false">
      <c r="B6" s="10" t="s">
        <v>6</v>
      </c>
      <c r="C6" s="11" t="n">
        <v>21447</v>
      </c>
      <c r="D6" s="11" t="n">
        <v>29587</v>
      </c>
      <c r="E6" s="11" t="n">
        <v>37913</v>
      </c>
      <c r="F6" s="12" t="n">
        <f aca="false">ROUND((E82+F82)/2+(E86+F86)/2+3000,0)</f>
        <v>48502</v>
      </c>
      <c r="G6" s="12" t="n">
        <f aca="false">ROUND((F82+G82)/2+(F86+G86)/2+3000,0)</f>
        <v>57833</v>
      </c>
      <c r="H6" s="12" t="n">
        <f aca="false">ROUND((G82+H82)/2+(G86+H86)/2+3000,0)</f>
        <v>66570</v>
      </c>
      <c r="I6" s="12" t="n">
        <f aca="false">ROUND((H82+I82)/2+(H86+I86)/2+3000,0)</f>
        <v>75247</v>
      </c>
      <c r="J6" s="12" t="n">
        <f aca="false">ROUND((I82+J82)/2+(I86+J86)/2+3000,0)</f>
        <v>83533</v>
      </c>
      <c r="K6" s="13" t="s">
        <v>7</v>
      </c>
    </row>
    <row r="7" customFormat="false" ht="15" hidden="false" customHeight="true" outlineLevel="0" collapsed="false">
      <c r="B7" s="10" t="s">
        <v>8</v>
      </c>
      <c r="C7" s="14" t="n">
        <v>0.0956</v>
      </c>
      <c r="D7" s="14" t="n">
        <v>0.0949</v>
      </c>
      <c r="E7" s="14" t="n">
        <v>0.089</v>
      </c>
      <c r="F7" s="15" t="n">
        <v>0.0855</v>
      </c>
      <c r="G7" s="15" t="n">
        <v>0.0825</v>
      </c>
      <c r="H7" s="15" t="n">
        <v>0.08</v>
      </c>
      <c r="I7" s="15" t="n">
        <v>0.078</v>
      </c>
      <c r="J7" s="15" t="n">
        <v>0.0765</v>
      </c>
      <c r="K7" s="13" t="s">
        <v>9</v>
      </c>
    </row>
    <row r="8" customFormat="false" ht="15" hidden="false" customHeight="true" outlineLevel="0" collapsed="false">
      <c r="B8" s="10" t="s">
        <v>10</v>
      </c>
      <c r="C8" s="16" t="n">
        <f aca="false">ROUND(C6*C7,0)</f>
        <v>2050</v>
      </c>
      <c r="D8" s="16" t="n">
        <f aca="false">ROUND(D6*D7,0)</f>
        <v>2808</v>
      </c>
      <c r="E8" s="16" t="n">
        <f aca="false">ROUND(E6*E7,0)</f>
        <v>3374</v>
      </c>
      <c r="F8" s="17" t="n">
        <f aca="false">F6*F7</f>
        <v>4146.921</v>
      </c>
      <c r="G8" s="17" t="n">
        <f aca="false">G6*G7</f>
        <v>4771.2225</v>
      </c>
      <c r="H8" s="17" t="n">
        <f aca="false">H6*H7</f>
        <v>5325.6</v>
      </c>
      <c r="I8" s="17" t="n">
        <f aca="false">I6*I7</f>
        <v>5869.266</v>
      </c>
      <c r="J8" s="17" t="n">
        <f aca="false">J6*J7</f>
        <v>6390.2745</v>
      </c>
      <c r="K8" s="13" t="s">
        <v>11</v>
      </c>
    </row>
    <row r="10" customFormat="false" ht="15" hidden="false" customHeight="true" outlineLevel="0" collapsed="false">
      <c r="A10" s="9" t="s">
        <v>12</v>
      </c>
    </row>
    <row r="11" customFormat="false" ht="15" hidden="false" customHeight="true" outlineLevel="0" collapsed="false">
      <c r="B11" s="10" t="s">
        <v>13</v>
      </c>
      <c r="C11" s="11" t="n">
        <v>12655</v>
      </c>
      <c r="D11" s="11" t="n">
        <v>22614</v>
      </c>
      <c r="E11" s="11" t="n">
        <v>29861</v>
      </c>
      <c r="F11" s="12" t="n">
        <f aca="false">ROUND((E77+F77)/2,0)</f>
        <v>43133</v>
      </c>
      <c r="G11" s="12" t="n">
        <f aca="false">ROUND((F77+G77)/2,0)</f>
        <v>53632</v>
      </c>
      <c r="H11" s="12" t="n">
        <f aca="false">ROUND((G77+H77)/2,0)</f>
        <v>62902</v>
      </c>
      <c r="I11" s="12" t="n">
        <f aca="false">ROUND((H77+I77)/2,0)</f>
        <v>71433</v>
      </c>
      <c r="J11" s="12" t="n">
        <f aca="false">ROUND((I77+J77)/2,0)</f>
        <v>79341</v>
      </c>
      <c r="K11" s="13" t="s">
        <v>14</v>
      </c>
    </row>
    <row r="12" customFormat="false" ht="15" hidden="false" customHeight="true" outlineLevel="0" collapsed="false">
      <c r="B12" s="10" t="s">
        <v>15</v>
      </c>
      <c r="C12" s="14" t="n">
        <v>0.0401</v>
      </c>
      <c r="D12" s="14" t="n">
        <v>0.0411</v>
      </c>
      <c r="E12" s="14" t="n">
        <v>0.034</v>
      </c>
      <c r="F12" s="15" t="n">
        <v>0.031</v>
      </c>
      <c r="G12" s="15" t="n">
        <v>0.029</v>
      </c>
      <c r="H12" s="15" t="n">
        <v>0.0275</v>
      </c>
      <c r="I12" s="15" t="n">
        <v>0.026</v>
      </c>
      <c r="J12" s="15" t="n">
        <v>0.025</v>
      </c>
      <c r="K12" s="13" t="s">
        <v>16</v>
      </c>
    </row>
    <row r="13" customFormat="false" ht="15" hidden="false" customHeight="true" outlineLevel="0" collapsed="false">
      <c r="B13" s="10" t="s">
        <v>17</v>
      </c>
      <c r="C13" s="18" t="n">
        <f aca="false">ROUND(C11*C12,0)</f>
        <v>507</v>
      </c>
      <c r="D13" s="18" t="n">
        <f aca="false">ROUND(D11*D12,0)</f>
        <v>929</v>
      </c>
      <c r="E13" s="18" t="n">
        <f aca="false">ROUND(E11*E12,0)</f>
        <v>1015</v>
      </c>
      <c r="F13" s="19" t="n">
        <f aca="false">F11*F12</f>
        <v>1337.123</v>
      </c>
      <c r="G13" s="19" t="n">
        <f aca="false">G11*G12</f>
        <v>1555.328</v>
      </c>
      <c r="H13" s="19" t="n">
        <f aca="false">H11*H12</f>
        <v>1729.805</v>
      </c>
      <c r="I13" s="19" t="n">
        <f aca="false">I11*I12</f>
        <v>1857.258</v>
      </c>
      <c r="J13" s="19" t="n">
        <f aca="false">J11*J12</f>
        <v>1983.525</v>
      </c>
    </row>
    <row r="14" customFormat="false" ht="15" hidden="false" customHeight="true" outlineLevel="0" collapsed="false">
      <c r="B14" s="10" t="s">
        <v>18</v>
      </c>
      <c r="C14" s="11" t="n">
        <v>5533</v>
      </c>
      <c r="D14" s="11" t="n">
        <v>3527</v>
      </c>
      <c r="E14" s="11" t="n">
        <v>3488</v>
      </c>
      <c r="F14" s="12" t="n">
        <f aca="false">ROUND((E94+F94)/2,0)</f>
        <v>1665</v>
      </c>
      <c r="G14" s="12" t="n">
        <f aca="false">ROUND((F94+G94)/2,0)</f>
        <v>1415</v>
      </c>
      <c r="H14" s="12" t="n">
        <f aca="false">ROUND((G94+H94)/2,0)</f>
        <v>1240</v>
      </c>
      <c r="I14" s="12" t="n">
        <f aca="false">ROUND((H94+I94)/2,0)</f>
        <v>1115</v>
      </c>
      <c r="J14" s="12" t="n">
        <f aca="false">ROUND((I94+J94)/2,0)</f>
        <v>1040</v>
      </c>
      <c r="K14" s="13" t="s">
        <v>19</v>
      </c>
    </row>
    <row r="15" customFormat="false" ht="15" hidden="false" customHeight="true" outlineLevel="0" collapsed="false">
      <c r="B15" s="10" t="s">
        <v>20</v>
      </c>
      <c r="C15" s="14" t="n">
        <v>0.0509</v>
      </c>
      <c r="D15" s="14" t="n">
        <v>0.0457</v>
      </c>
      <c r="E15" s="14" t="n">
        <v>0.0408</v>
      </c>
      <c r="F15" s="15" t="n">
        <v>0.038</v>
      </c>
      <c r="G15" s="15" t="n">
        <v>0.036</v>
      </c>
      <c r="H15" s="15" t="n">
        <v>0.035</v>
      </c>
      <c r="I15" s="15" t="n">
        <v>0.034</v>
      </c>
      <c r="J15" s="15" t="n">
        <v>0.033</v>
      </c>
    </row>
    <row r="16" customFormat="false" ht="15" hidden="false" customHeight="true" outlineLevel="0" collapsed="false">
      <c r="B16" s="10" t="s">
        <v>21</v>
      </c>
      <c r="C16" s="18" t="n">
        <f aca="false">ROUND(C14*C15,0)</f>
        <v>282</v>
      </c>
      <c r="D16" s="18" t="n">
        <f aca="false">ROUND(D14*D15,0)</f>
        <v>161</v>
      </c>
      <c r="E16" s="18" t="n">
        <f aca="false">ROUND(E14*E15,0)</f>
        <v>142</v>
      </c>
      <c r="F16" s="19" t="n">
        <f aca="false">F14*F15</f>
        <v>63.27</v>
      </c>
      <c r="G16" s="19" t="n">
        <f aca="false">G14*G15</f>
        <v>50.94</v>
      </c>
      <c r="H16" s="19" t="n">
        <f aca="false">H14*H15</f>
        <v>43.4</v>
      </c>
      <c r="I16" s="19" t="n">
        <f aca="false">I14*I15</f>
        <v>37.91</v>
      </c>
      <c r="J16" s="19" t="n">
        <f aca="false">J14*J15</f>
        <v>34.32</v>
      </c>
    </row>
    <row r="17" customFormat="false" ht="15" hidden="false" customHeight="true" outlineLevel="0" collapsed="false">
      <c r="B17" s="10" t="s">
        <v>22</v>
      </c>
      <c r="C17" s="16" t="n">
        <f aca="false">C13+C16</f>
        <v>789</v>
      </c>
      <c r="D17" s="16" t="n">
        <f aca="false">D13+D16</f>
        <v>1090</v>
      </c>
      <c r="E17" s="16" t="n">
        <f aca="false">E13+E16</f>
        <v>1157</v>
      </c>
      <c r="F17" s="17" t="n">
        <f aca="false">F13+F16</f>
        <v>1400.393</v>
      </c>
      <c r="G17" s="17" t="n">
        <f aca="false">G13+G16</f>
        <v>1606.268</v>
      </c>
      <c r="H17" s="17" t="n">
        <f aca="false">H13+H16</f>
        <v>1773.205</v>
      </c>
      <c r="I17" s="17" t="n">
        <f aca="false">I13+I16</f>
        <v>1895.168</v>
      </c>
      <c r="J17" s="17" t="n">
        <f aca="false">J13+J16</f>
        <v>2017.845</v>
      </c>
    </row>
    <row r="19" customFormat="false" ht="15" hidden="false" customHeight="true" outlineLevel="0" collapsed="false">
      <c r="B19" s="10" t="s">
        <v>23</v>
      </c>
      <c r="C19" s="20" t="n">
        <f aca="false">C8-C17</f>
        <v>1261</v>
      </c>
      <c r="D19" s="20" t="n">
        <f aca="false">D8-D17</f>
        <v>1718</v>
      </c>
      <c r="E19" s="20" t="n">
        <f aca="false">E8-E17</f>
        <v>2217</v>
      </c>
      <c r="F19" s="21" t="n">
        <f aca="false">F8-F17</f>
        <v>2746.528</v>
      </c>
      <c r="G19" s="21" t="n">
        <f aca="false">G8-G17</f>
        <v>3164.9545</v>
      </c>
      <c r="H19" s="21" t="n">
        <f aca="false">H8-H17</f>
        <v>3552.395</v>
      </c>
      <c r="I19" s="21" t="n">
        <f aca="false">I8-I17</f>
        <v>3974.098</v>
      </c>
      <c r="J19" s="21" t="n">
        <f aca="false">J8-J17</f>
        <v>4372.4295</v>
      </c>
    </row>
    <row r="20" customFormat="false" ht="15" hidden="false" customHeight="true" outlineLevel="0" collapsed="false">
      <c r="B20" s="10" t="s">
        <v>24</v>
      </c>
      <c r="C20" s="22" t="n">
        <f aca="false">C19/C6</f>
        <v>0.0587961020189304</v>
      </c>
      <c r="D20" s="22" t="n">
        <f aca="false">D19/D6</f>
        <v>0.0580660425186737</v>
      </c>
      <c r="E20" s="22" t="n">
        <f aca="false">E19/E6</f>
        <v>0.0584759844908079</v>
      </c>
      <c r="F20" s="23" t="n">
        <f aca="false">F19/F6</f>
        <v>0.0566271081604882</v>
      </c>
      <c r="G20" s="23" t="n">
        <f aca="false">G19/G6</f>
        <v>0.054725753462556</v>
      </c>
      <c r="H20" s="23" t="n">
        <f aca="false">H19/H6</f>
        <v>0.053363301787592</v>
      </c>
      <c r="I20" s="23" t="n">
        <f aca="false">I19/I6</f>
        <v>0.0528140390979042</v>
      </c>
      <c r="J20" s="23" t="n">
        <f aca="false">J19/J6</f>
        <v>0.0523437384027869</v>
      </c>
      <c r="K20" s="13" t="s">
        <v>25</v>
      </c>
    </row>
    <row r="22" customFormat="false" ht="15" hidden="false" customHeight="true" outlineLevel="0" collapsed="false">
      <c r="A22" s="7" t="s">
        <v>26</v>
      </c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true" outlineLevel="0" collapsed="false">
      <c r="B23" s="10" t="s">
        <v>27</v>
      </c>
      <c r="C23" s="24" t="n">
        <v>7.5</v>
      </c>
      <c r="D23" s="24" t="n">
        <v>10.1</v>
      </c>
      <c r="E23" s="24" t="n">
        <v>13.6</v>
      </c>
      <c r="F23" s="25" t="n">
        <v>17</v>
      </c>
      <c r="G23" s="25" t="n">
        <v>20.5</v>
      </c>
      <c r="H23" s="25" t="n">
        <v>24</v>
      </c>
      <c r="I23" s="25" t="n">
        <v>27.5</v>
      </c>
      <c r="J23" s="25" t="n">
        <v>31</v>
      </c>
      <c r="K23" s="13" t="s">
        <v>28</v>
      </c>
    </row>
    <row r="24" customFormat="false" ht="15" hidden="false" customHeight="true" outlineLevel="0" collapsed="false">
      <c r="B24" s="10" t="s">
        <v>29</v>
      </c>
      <c r="C24" s="26" t="n">
        <v>1.46</v>
      </c>
      <c r="D24" s="26" t="n">
        <v>1.46</v>
      </c>
      <c r="E24" s="26" t="n">
        <v>1.49</v>
      </c>
      <c r="F24" s="27" t="n">
        <v>1.52</v>
      </c>
      <c r="G24" s="27" t="n">
        <v>1.54</v>
      </c>
      <c r="H24" s="27" t="n">
        <v>1.56</v>
      </c>
      <c r="I24" s="27" t="n">
        <v>1.57</v>
      </c>
      <c r="J24" s="27" t="n">
        <v>1.58</v>
      </c>
      <c r="K24" s="13" t="s">
        <v>30</v>
      </c>
    </row>
    <row r="25" customFormat="false" ht="15" hidden="false" customHeight="true" outlineLevel="0" collapsed="false">
      <c r="B25" s="10" t="s">
        <v>31</v>
      </c>
      <c r="C25" s="28" t="n">
        <f aca="false">C23*C24</f>
        <v>10.95</v>
      </c>
      <c r="D25" s="28" t="n">
        <f aca="false">D23*D24</f>
        <v>14.746</v>
      </c>
      <c r="E25" s="28" t="n">
        <f aca="false">E23*E24</f>
        <v>20.264</v>
      </c>
      <c r="F25" s="29" t="n">
        <f aca="false">F23*F24</f>
        <v>25.84</v>
      </c>
      <c r="G25" s="29" t="n">
        <f aca="false">G23*G24</f>
        <v>31.57</v>
      </c>
      <c r="H25" s="29" t="n">
        <f aca="false">H23*H24</f>
        <v>37.44</v>
      </c>
      <c r="I25" s="29" t="n">
        <f aca="false">I23*I24</f>
        <v>43.175</v>
      </c>
      <c r="J25" s="29" t="n">
        <f aca="false">J23*J24</f>
        <v>48.98</v>
      </c>
    </row>
    <row r="27" customFormat="false" ht="15" hidden="false" customHeight="true" outlineLevel="0" collapsed="false">
      <c r="B27" s="10" t="s">
        <v>32</v>
      </c>
      <c r="C27" s="11" t="n">
        <v>14500</v>
      </c>
      <c r="D27" s="11" t="n">
        <v>17700</v>
      </c>
      <c r="E27" s="11" t="n">
        <v>27700</v>
      </c>
      <c r="F27" s="30" t="n">
        <v>32000</v>
      </c>
      <c r="G27" s="30" t="n">
        <v>36000</v>
      </c>
      <c r="H27" s="30" t="n">
        <v>40000</v>
      </c>
      <c r="I27" s="30" t="n">
        <v>44000</v>
      </c>
      <c r="J27" s="30" t="n">
        <v>47000</v>
      </c>
      <c r="K27" s="13" t="s">
        <v>33</v>
      </c>
    </row>
    <row r="28" customFormat="false" ht="15" hidden="false" customHeight="true" outlineLevel="0" collapsed="false">
      <c r="B28" s="10" t="s">
        <v>34</v>
      </c>
      <c r="C28" s="31" t="n">
        <v>282</v>
      </c>
      <c r="D28" s="31" t="n">
        <v>157</v>
      </c>
      <c r="E28" s="31" t="n">
        <v>88</v>
      </c>
      <c r="F28" s="32" t="n">
        <v>66</v>
      </c>
      <c r="G28" s="32" t="n">
        <v>51</v>
      </c>
      <c r="H28" s="32" t="n">
        <v>41</v>
      </c>
      <c r="I28" s="32" t="n">
        <v>34</v>
      </c>
      <c r="J28" s="32" t="n">
        <v>30</v>
      </c>
      <c r="K28" s="13" t="s">
        <v>35</v>
      </c>
    </row>
    <row r="29" customFormat="false" ht="15" hidden="false" customHeight="true" outlineLevel="0" collapsed="false">
      <c r="B29" s="10" t="s">
        <v>36</v>
      </c>
      <c r="C29" s="18" t="n">
        <f aca="false">ROUND(C27*C28/10000,0)</f>
        <v>409</v>
      </c>
      <c r="D29" s="18" t="n">
        <f aca="false">ROUND(D27*D28/10000,0)</f>
        <v>278</v>
      </c>
      <c r="E29" s="18" t="n">
        <f aca="false">ROUND(E27*E28/10000,0)</f>
        <v>244</v>
      </c>
      <c r="F29" s="19" t="n">
        <f aca="false">ROUND(F27*F28/10000,0)</f>
        <v>211</v>
      </c>
      <c r="G29" s="19" t="n">
        <f aca="false">ROUND(G27*G28/10000,0)</f>
        <v>184</v>
      </c>
      <c r="H29" s="19" t="n">
        <f aca="false">ROUND(H27*H28/10000,0)</f>
        <v>164</v>
      </c>
      <c r="I29" s="19" t="n">
        <f aca="false">ROUND(I27*I28/10000,0)</f>
        <v>150</v>
      </c>
      <c r="J29" s="19" t="n">
        <f aca="false">ROUND(J27*J28/10000,0)</f>
        <v>141</v>
      </c>
      <c r="K29" s="13" t="s">
        <v>37</v>
      </c>
    </row>
    <row r="31" customFormat="false" ht="15" hidden="false" customHeight="true" outlineLevel="0" collapsed="false">
      <c r="B31" s="10" t="s">
        <v>38</v>
      </c>
      <c r="C31" s="11" t="n">
        <v>600</v>
      </c>
      <c r="D31" s="11" t="n">
        <v>3800</v>
      </c>
      <c r="E31" s="11" t="n">
        <v>11000</v>
      </c>
      <c r="F31" s="30" t="n">
        <v>14000</v>
      </c>
      <c r="G31" s="30" t="n">
        <v>16500</v>
      </c>
      <c r="H31" s="30" t="n">
        <v>18500</v>
      </c>
      <c r="I31" s="30" t="n">
        <v>20000</v>
      </c>
      <c r="J31" s="30" t="n">
        <v>21500</v>
      </c>
      <c r="K31" s="13" t="s">
        <v>39</v>
      </c>
    </row>
    <row r="32" customFormat="false" ht="15" hidden="false" customHeight="true" outlineLevel="0" collapsed="false">
      <c r="B32" s="10" t="s">
        <v>40</v>
      </c>
      <c r="C32" s="31" t="n">
        <v>567</v>
      </c>
      <c r="D32" s="31" t="n">
        <v>373</v>
      </c>
      <c r="E32" s="31" t="n">
        <v>524</v>
      </c>
      <c r="F32" s="32" t="n">
        <v>536</v>
      </c>
      <c r="G32" s="32" t="n">
        <v>533</v>
      </c>
      <c r="H32" s="32" t="n">
        <v>535</v>
      </c>
      <c r="I32" s="32" t="n">
        <v>540</v>
      </c>
      <c r="J32" s="32" t="n">
        <v>540</v>
      </c>
      <c r="K32" s="13" t="s">
        <v>41</v>
      </c>
    </row>
    <row r="33" customFormat="false" ht="15" hidden="false" customHeight="true" outlineLevel="0" collapsed="false">
      <c r="B33" s="10" t="s">
        <v>42</v>
      </c>
      <c r="C33" s="18" t="n">
        <f aca="false">ROUND(C31*C32/10000,0)</f>
        <v>34</v>
      </c>
      <c r="D33" s="18" t="n">
        <f aca="false">ROUND(D31*D32/10000,0)</f>
        <v>142</v>
      </c>
      <c r="E33" s="18" t="n">
        <f aca="false">ROUND(E31*E32/10000,0)</f>
        <v>576</v>
      </c>
      <c r="F33" s="19" t="n">
        <f aca="false">ROUND(F31*F32/10000,0)</f>
        <v>750</v>
      </c>
      <c r="G33" s="19" t="n">
        <f aca="false">ROUND(G31*G32/10000,0)</f>
        <v>879</v>
      </c>
      <c r="H33" s="19" t="n">
        <f aca="false">ROUND(H31*H32/10000,0)</f>
        <v>990</v>
      </c>
      <c r="I33" s="19" t="n">
        <f aca="false">ROUND(I31*I32/10000,0)</f>
        <v>1080</v>
      </c>
      <c r="J33" s="19" t="n">
        <f aca="false">ROUND(J31*J32/10000,0)</f>
        <v>1161</v>
      </c>
      <c r="K33" s="13" t="s">
        <v>43</v>
      </c>
    </row>
    <row r="35" customFormat="false" ht="15" hidden="false" customHeight="true" outlineLevel="0" collapsed="false">
      <c r="B35" s="10" t="s">
        <v>44</v>
      </c>
      <c r="C35" s="33" t="n">
        <v>151</v>
      </c>
      <c r="D35" s="33" t="n">
        <v>160</v>
      </c>
      <c r="E35" s="33" t="n">
        <v>128</v>
      </c>
      <c r="F35" s="34" t="n">
        <v>135</v>
      </c>
      <c r="G35" s="34" t="n">
        <v>145</v>
      </c>
      <c r="H35" s="34" t="n">
        <v>158</v>
      </c>
      <c r="I35" s="34" t="n">
        <v>172</v>
      </c>
      <c r="J35" s="34" t="n">
        <v>188</v>
      </c>
      <c r="K35" s="13" t="s">
        <v>45</v>
      </c>
    </row>
    <row r="36" customFormat="false" ht="15" hidden="false" customHeight="true" outlineLevel="0" collapsed="false">
      <c r="B36" s="10" t="s">
        <v>46</v>
      </c>
      <c r="C36" s="26" t="n">
        <v>2.15</v>
      </c>
      <c r="D36" s="26" t="n">
        <v>2.47</v>
      </c>
      <c r="E36" s="26" t="n">
        <v>3.52</v>
      </c>
      <c r="F36" s="27" t="n">
        <v>2.96</v>
      </c>
      <c r="G36" s="27" t="n">
        <v>3.07</v>
      </c>
      <c r="H36" s="27" t="n">
        <v>3.13</v>
      </c>
      <c r="I36" s="27" t="n">
        <v>3.2</v>
      </c>
      <c r="J36" s="27" t="n">
        <v>3.24</v>
      </c>
      <c r="K36" s="13" t="s">
        <v>47</v>
      </c>
    </row>
    <row r="37" customFormat="false" ht="15" hidden="false" customHeight="true" outlineLevel="0" collapsed="false">
      <c r="B37" s="10" t="s">
        <v>48</v>
      </c>
      <c r="C37" s="18" t="n">
        <f aca="false">ROUND(C35*C36,0)</f>
        <v>325</v>
      </c>
      <c r="D37" s="18" t="n">
        <f aca="false">ROUND(D35*D36,0)</f>
        <v>395</v>
      </c>
      <c r="E37" s="18" t="n">
        <f aca="false">ROUND(E35*E36,0)</f>
        <v>451</v>
      </c>
      <c r="F37" s="19" t="n">
        <f aca="false">ROUND(F35*F36,0)</f>
        <v>400</v>
      </c>
      <c r="G37" s="19" t="n">
        <f aca="false">ROUND(G35*G36,0)</f>
        <v>445</v>
      </c>
      <c r="H37" s="19" t="n">
        <f aca="false">ROUND(H35*H36,0)</f>
        <v>495</v>
      </c>
      <c r="I37" s="19" t="n">
        <f aca="false">ROUND(I35*I36,0)</f>
        <v>550</v>
      </c>
      <c r="J37" s="19" t="n">
        <f aca="false">ROUND(J35*J36,0)</f>
        <v>609</v>
      </c>
      <c r="K37" s="13" t="s">
        <v>49</v>
      </c>
    </row>
    <row r="39" customFormat="false" ht="15" hidden="false" customHeight="true" outlineLevel="0" collapsed="false">
      <c r="B39" s="10" t="s">
        <v>50</v>
      </c>
      <c r="C39" s="24" t="n">
        <v>4</v>
      </c>
      <c r="D39" s="24" t="n">
        <v>5.8</v>
      </c>
      <c r="E39" s="24" t="n">
        <v>8.5</v>
      </c>
      <c r="F39" s="25" t="n">
        <v>11</v>
      </c>
      <c r="G39" s="25" t="n">
        <v>13.5</v>
      </c>
      <c r="H39" s="25" t="n">
        <v>16</v>
      </c>
      <c r="I39" s="25" t="n">
        <v>18.5</v>
      </c>
      <c r="J39" s="25" t="n">
        <v>21</v>
      </c>
      <c r="K39" s="13" t="s">
        <v>51</v>
      </c>
    </row>
    <row r="40" customFormat="false" ht="15" hidden="false" customHeight="true" outlineLevel="0" collapsed="false">
      <c r="B40" s="10" t="s">
        <v>52</v>
      </c>
      <c r="C40" s="35" t="n">
        <v>32</v>
      </c>
      <c r="D40" s="35" t="n">
        <v>32.4</v>
      </c>
      <c r="E40" s="35" t="n">
        <v>25.3</v>
      </c>
      <c r="F40" s="36" t="n">
        <v>24.1</v>
      </c>
      <c r="G40" s="36" t="n">
        <v>23.7</v>
      </c>
      <c r="H40" s="36" t="n">
        <v>23.4</v>
      </c>
      <c r="I40" s="36" t="n">
        <v>23.2</v>
      </c>
      <c r="J40" s="36" t="n">
        <v>23.1</v>
      </c>
      <c r="K40" s="13" t="s">
        <v>53</v>
      </c>
    </row>
    <row r="41" customFormat="false" ht="15" hidden="false" customHeight="true" outlineLevel="0" collapsed="false">
      <c r="B41" s="10" t="s">
        <v>54</v>
      </c>
      <c r="C41" s="18" t="n">
        <f aca="false">ROUND(C39*C40,0)</f>
        <v>128</v>
      </c>
      <c r="D41" s="18" t="n">
        <f aca="false">ROUND(D39*D40,0)</f>
        <v>188</v>
      </c>
      <c r="E41" s="18" t="n">
        <f aca="false">ROUND(E39*E40,0)</f>
        <v>215</v>
      </c>
      <c r="F41" s="19" t="n">
        <f aca="false">ROUND(F39*F40,0)</f>
        <v>265</v>
      </c>
      <c r="G41" s="19" t="n">
        <f aca="false">ROUND(G39*G40,0)</f>
        <v>320</v>
      </c>
      <c r="H41" s="19" t="n">
        <f aca="false">ROUND(H39*H40,0)</f>
        <v>374</v>
      </c>
      <c r="I41" s="19" t="n">
        <f aca="false">ROUND(I39*I40,0)</f>
        <v>429</v>
      </c>
      <c r="J41" s="19" t="n">
        <f aca="false">ROUND(J39*J40,0)</f>
        <v>485</v>
      </c>
      <c r="K41" s="13" t="s">
        <v>55</v>
      </c>
    </row>
    <row r="43" customFormat="false" ht="15" hidden="false" customHeight="true" outlineLevel="0" collapsed="false">
      <c r="B43" s="10" t="s">
        <v>56</v>
      </c>
      <c r="C43" s="20" t="n">
        <f aca="false">C29+C37+C33+C41</f>
        <v>896</v>
      </c>
      <c r="D43" s="20" t="n">
        <f aca="false">D29+D37+D33+D41</f>
        <v>1003</v>
      </c>
      <c r="E43" s="20" t="n">
        <f aca="false">E29+E37+E33+E41</f>
        <v>1486</v>
      </c>
      <c r="F43" s="21" t="n">
        <f aca="false">F29+F37+F33+F41</f>
        <v>1626</v>
      </c>
      <c r="G43" s="21" t="n">
        <f aca="false">G29+G37+G33+G41</f>
        <v>1828</v>
      </c>
      <c r="H43" s="21" t="n">
        <f aca="false">H29+H37+H33+H41</f>
        <v>2023</v>
      </c>
      <c r="I43" s="21" t="n">
        <f aca="false">I29+I37+I33+I41</f>
        <v>2209</v>
      </c>
      <c r="J43" s="21" t="n">
        <f aca="false">J29+J37+J33+J41</f>
        <v>2396</v>
      </c>
    </row>
    <row r="44" customFormat="false" ht="15" hidden="false" customHeight="true" outlineLevel="0" collapsed="false">
      <c r="B44" s="10" t="s">
        <v>57</v>
      </c>
      <c r="C44" s="20" t="n">
        <f aca="false">C19+C43</f>
        <v>2157</v>
      </c>
      <c r="D44" s="20" t="n">
        <f aca="false">D19+D43</f>
        <v>2721</v>
      </c>
      <c r="E44" s="20" t="n">
        <f aca="false">E19+E43</f>
        <v>3703</v>
      </c>
      <c r="F44" s="21" t="n">
        <f aca="false">F19+F43</f>
        <v>4372.528</v>
      </c>
      <c r="G44" s="21" t="n">
        <f aca="false">G19+G43</f>
        <v>4992.9545</v>
      </c>
      <c r="H44" s="21" t="n">
        <f aca="false">H19+H43</f>
        <v>5575.395</v>
      </c>
      <c r="I44" s="21" t="n">
        <f aca="false">I19+I43</f>
        <v>6183.098</v>
      </c>
      <c r="J44" s="21" t="n">
        <f aca="false">J19+J43</f>
        <v>6768.4295</v>
      </c>
    </row>
    <row r="46" customFormat="false" ht="15" hidden="false" customHeight="true" outlineLevel="0" collapsed="false">
      <c r="A46" s="7" t="s">
        <v>58</v>
      </c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5" hidden="false" customHeight="true" outlineLevel="0" collapsed="false">
      <c r="B47" s="10" t="s">
        <v>59</v>
      </c>
      <c r="C47" s="18" t="n">
        <f aca="false">ROUND(C82*C85,0)</f>
        <v>826</v>
      </c>
      <c r="D47" s="18" t="n">
        <f aca="false">ROUND(D82*D85,0)</f>
        <v>1239</v>
      </c>
      <c r="E47" s="18" t="n">
        <f aca="false">ROUND(E82*E85,0)</f>
        <v>1522</v>
      </c>
      <c r="F47" s="12" t="n">
        <f aca="false">ROUND(F82*F85,0)</f>
        <v>1892</v>
      </c>
      <c r="G47" s="12" t="n">
        <f aca="false">ROUND(G82*G85,0)</f>
        <v>2227</v>
      </c>
      <c r="H47" s="12" t="n">
        <f aca="false">ROUND(H82*H85,0)</f>
        <v>2553</v>
      </c>
      <c r="I47" s="12" t="n">
        <f aca="false">ROUND(I82*I85,0)</f>
        <v>2887</v>
      </c>
      <c r="J47" s="12" t="n">
        <f aca="false">ROUND(J82*J85,0)</f>
        <v>3185</v>
      </c>
      <c r="K47" s="13" t="s">
        <v>60</v>
      </c>
    </row>
    <row r="48" customFormat="false" ht="15" hidden="false" customHeight="true" outlineLevel="0" collapsed="false">
      <c r="B48" s="10" t="s">
        <v>61</v>
      </c>
      <c r="C48" s="14" t="n">
        <v>0.049</v>
      </c>
      <c r="D48" s="14" t="n">
        <v>0.032</v>
      </c>
      <c r="E48" s="14" t="n">
        <v>0.017</v>
      </c>
      <c r="F48" s="15" t="n">
        <v>0.02</v>
      </c>
      <c r="G48" s="15" t="n">
        <v>0.02</v>
      </c>
      <c r="H48" s="15" t="n">
        <v>0.02</v>
      </c>
      <c r="I48" s="15" t="n">
        <v>0.02</v>
      </c>
      <c r="J48" s="15" t="n">
        <v>0.02</v>
      </c>
      <c r="K48" s="13" t="s">
        <v>62</v>
      </c>
    </row>
    <row r="49" customFormat="false" ht="15" hidden="false" customHeight="true" outlineLevel="0" collapsed="false">
      <c r="B49" s="10" t="s">
        <v>63</v>
      </c>
      <c r="C49" s="18" t="n">
        <f aca="false">ROUND(C47*C48,0)</f>
        <v>40</v>
      </c>
      <c r="D49" s="18" t="n">
        <f aca="false">ROUND(D47*D48,0)</f>
        <v>40</v>
      </c>
      <c r="E49" s="18" t="n">
        <f aca="false">ROUND(E47*E48,0)</f>
        <v>26</v>
      </c>
      <c r="F49" s="19" t="n">
        <f aca="false">ROUND(F47*F48,0)</f>
        <v>38</v>
      </c>
      <c r="G49" s="19" t="n">
        <f aca="false">ROUND(G47*G48,0)</f>
        <v>45</v>
      </c>
      <c r="H49" s="19" t="n">
        <f aca="false">ROUND(H47*H48,0)</f>
        <v>51</v>
      </c>
      <c r="I49" s="19" t="n">
        <f aca="false">ROUND(I47*I48,0)</f>
        <v>58</v>
      </c>
      <c r="J49" s="19" t="n">
        <f aca="false">ROUND(J47*J48,0)</f>
        <v>64</v>
      </c>
      <c r="K49" s="13" t="s">
        <v>64</v>
      </c>
    </row>
    <row r="51" customFormat="false" ht="15" hidden="false" customHeight="true" outlineLevel="0" collapsed="false">
      <c r="A51" s="7" t="s">
        <v>65</v>
      </c>
      <c r="B51" s="37"/>
      <c r="C51" s="37"/>
      <c r="D51" s="37"/>
      <c r="E51" s="37"/>
      <c r="F51" s="37"/>
      <c r="G51" s="37"/>
      <c r="H51" s="37"/>
      <c r="I51" s="37"/>
      <c r="J51" s="37"/>
      <c r="K51" s="10"/>
    </row>
    <row r="52" customFormat="false" ht="15" hidden="false" customHeight="true" outlineLevel="0" collapsed="false">
      <c r="A52" s="10"/>
      <c r="B52" s="10" t="s">
        <v>66</v>
      </c>
      <c r="C52" s="33" t="n">
        <v>6300</v>
      </c>
      <c r="D52" s="33" t="n">
        <v>7000</v>
      </c>
      <c r="E52" s="33" t="n">
        <v>8100</v>
      </c>
      <c r="F52" s="34" t="n">
        <v>9200</v>
      </c>
      <c r="G52" s="34" t="n">
        <v>10200</v>
      </c>
      <c r="H52" s="34" t="n">
        <v>11100</v>
      </c>
      <c r="I52" s="34" t="n">
        <v>11900</v>
      </c>
      <c r="J52" s="34" t="n">
        <v>12600</v>
      </c>
      <c r="K52" s="13" t="s">
        <v>67</v>
      </c>
    </row>
    <row r="53" customFormat="false" ht="15" hidden="false" customHeight="true" outlineLevel="0" collapsed="false">
      <c r="A53" s="10"/>
      <c r="B53" s="10" t="s">
        <v>68</v>
      </c>
      <c r="C53" s="33" t="n">
        <v>126</v>
      </c>
      <c r="D53" s="33" t="n">
        <v>126</v>
      </c>
      <c r="E53" s="33" t="n">
        <v>134</v>
      </c>
      <c r="F53" s="34" t="n">
        <v>139</v>
      </c>
      <c r="G53" s="34" t="n">
        <v>143</v>
      </c>
      <c r="H53" s="34" t="n">
        <v>147</v>
      </c>
      <c r="I53" s="34" t="n">
        <v>151</v>
      </c>
      <c r="J53" s="34" t="n">
        <v>155</v>
      </c>
      <c r="K53" s="13" t="s">
        <v>69</v>
      </c>
    </row>
    <row r="54" customFormat="false" ht="15" hidden="false" customHeight="true" outlineLevel="0" collapsed="false">
      <c r="A54" s="10"/>
      <c r="B54" s="10" t="s">
        <v>70</v>
      </c>
      <c r="C54" s="16" t="n">
        <f aca="false">ROUND(C52*C53/1000,0)</f>
        <v>794</v>
      </c>
      <c r="D54" s="16" t="n">
        <f aca="false">ROUND(D52*D53/1000,0)</f>
        <v>882</v>
      </c>
      <c r="E54" s="16" t="n">
        <f aca="false">ROUND(E52*E53/1000,0)</f>
        <v>1085</v>
      </c>
      <c r="F54" s="17" t="n">
        <f aca="false">ROUND(F52*F53/1000,0)</f>
        <v>1279</v>
      </c>
      <c r="G54" s="17" t="n">
        <f aca="false">ROUND(G52*G53/1000,0)</f>
        <v>1459</v>
      </c>
      <c r="H54" s="17" t="n">
        <f aca="false">ROUND(H52*H53/1000,0)</f>
        <v>1632</v>
      </c>
      <c r="I54" s="17" t="n">
        <f aca="false">ROUND(I52*I53/1000,0)</f>
        <v>1797</v>
      </c>
      <c r="J54" s="17" t="n">
        <f aca="false">ROUND(J52*J53/1000,0)</f>
        <v>1953</v>
      </c>
      <c r="K54" s="13" t="s">
        <v>71</v>
      </c>
    </row>
    <row r="55" customFormat="false" ht="15" hidden="false" customHeight="true" outlineLevel="0" collapsed="false">
      <c r="A55" s="10"/>
      <c r="B55" s="10" t="s">
        <v>72</v>
      </c>
      <c r="C55" s="33" t="n">
        <v>60</v>
      </c>
      <c r="D55" s="33" t="n">
        <v>56</v>
      </c>
      <c r="E55" s="33" t="n">
        <v>76</v>
      </c>
      <c r="F55" s="34" t="n">
        <v>72</v>
      </c>
      <c r="G55" s="34" t="n">
        <v>68</v>
      </c>
      <c r="H55" s="34" t="n">
        <v>65</v>
      </c>
      <c r="I55" s="34" t="n">
        <v>63</v>
      </c>
      <c r="J55" s="34" t="n">
        <v>62</v>
      </c>
      <c r="K55" s="13" t="s">
        <v>73</v>
      </c>
    </row>
    <row r="56" customFormat="false" ht="15" hidden="false" customHeight="true" outlineLevel="0" collapsed="false">
      <c r="A56" s="10"/>
      <c r="B56" s="10" t="s">
        <v>74</v>
      </c>
      <c r="C56" s="24" t="n">
        <v>1.7</v>
      </c>
      <c r="D56" s="28" t="n">
        <f aca="false">D23-C23</f>
        <v>2.6</v>
      </c>
      <c r="E56" s="28" t="n">
        <f aca="false">E23-D23</f>
        <v>3.5</v>
      </c>
      <c r="F56" s="29" t="n">
        <f aca="false">F23-E23</f>
        <v>3.4</v>
      </c>
      <c r="G56" s="29" t="n">
        <f aca="false">G23-F23</f>
        <v>3.5</v>
      </c>
      <c r="H56" s="29" t="n">
        <f aca="false">H23-G23</f>
        <v>3.5</v>
      </c>
      <c r="I56" s="29" t="n">
        <f aca="false">I23-H23</f>
        <v>3.5</v>
      </c>
      <c r="J56" s="29" t="n">
        <f aca="false">J23-I23</f>
        <v>3.5</v>
      </c>
      <c r="K56" s="13" t="s">
        <v>75</v>
      </c>
    </row>
    <row r="57" customFormat="false" ht="15" hidden="false" customHeight="true" outlineLevel="0" collapsed="false">
      <c r="A57" s="10"/>
      <c r="B57" s="10" t="s">
        <v>76</v>
      </c>
      <c r="C57" s="18" t="n">
        <f aca="false">ROUND(C56*C55,0)</f>
        <v>102</v>
      </c>
      <c r="D57" s="18" t="n">
        <f aca="false">ROUND(D56*D55,0)</f>
        <v>146</v>
      </c>
      <c r="E57" s="18" t="n">
        <f aca="false">ROUND(E56*E55,0)</f>
        <v>266</v>
      </c>
      <c r="F57" s="19" t="n">
        <f aca="false">ROUND(F56*F55,0)</f>
        <v>245</v>
      </c>
      <c r="G57" s="19" t="n">
        <f aca="false">ROUND(G56*G55,0)</f>
        <v>238</v>
      </c>
      <c r="H57" s="19" t="n">
        <f aca="false">ROUND(H56*H55,0)</f>
        <v>228</v>
      </c>
      <c r="I57" s="19" t="n">
        <f aca="false">ROUND(I56*I55,0)</f>
        <v>221</v>
      </c>
      <c r="J57" s="19" t="n">
        <f aca="false">ROUND(J56*J55,0)</f>
        <v>217</v>
      </c>
      <c r="K57" s="13" t="s">
        <v>77</v>
      </c>
    </row>
    <row r="58" customFormat="false" ht="15" hidden="false" customHeight="true" outlineLevel="0" collapsed="false">
      <c r="A58" s="10"/>
      <c r="B58" s="10" t="s">
        <v>78</v>
      </c>
      <c r="C58" s="11" t="n">
        <v>617</v>
      </c>
      <c r="D58" s="11" t="n">
        <v>650</v>
      </c>
      <c r="E58" s="11" t="n">
        <v>829</v>
      </c>
      <c r="F58" s="30" t="n">
        <v>900</v>
      </c>
      <c r="G58" s="30" t="n">
        <v>960</v>
      </c>
      <c r="H58" s="30" t="n">
        <v>1010</v>
      </c>
      <c r="I58" s="30" t="n">
        <v>1050</v>
      </c>
      <c r="J58" s="30" t="n">
        <v>1085</v>
      </c>
      <c r="K58" s="13" t="s">
        <v>79</v>
      </c>
    </row>
    <row r="59" customFormat="false" ht="15" hidden="false" customHeight="true" outlineLevel="0" collapsed="false">
      <c r="A59" s="10"/>
      <c r="B59" s="10" t="s">
        <v>80</v>
      </c>
      <c r="C59" s="16" t="n">
        <f aca="false">C57+C58</f>
        <v>719</v>
      </c>
      <c r="D59" s="16" t="n">
        <f aca="false">D57+D58</f>
        <v>796</v>
      </c>
      <c r="E59" s="16" t="n">
        <f aca="false">E57+E58</f>
        <v>1095</v>
      </c>
      <c r="F59" s="17" t="n">
        <f aca="false">F57+F58</f>
        <v>1145</v>
      </c>
      <c r="G59" s="17" t="n">
        <f aca="false">G57+G58</f>
        <v>1198</v>
      </c>
      <c r="H59" s="17" t="n">
        <f aca="false">H57+H58</f>
        <v>1238</v>
      </c>
      <c r="I59" s="17" t="n">
        <f aca="false">I57+I58</f>
        <v>1271</v>
      </c>
      <c r="J59" s="17" t="n">
        <f aca="false">J57+J58</f>
        <v>1302</v>
      </c>
      <c r="K59" s="13" t="s">
        <v>81</v>
      </c>
    </row>
    <row r="60" customFormat="false" ht="15" hidden="false" customHeight="true" outlineLevel="0" collapsed="false">
      <c r="A60" s="10"/>
      <c r="B60" s="10" t="s">
        <v>82</v>
      </c>
      <c r="C60" s="35" t="n">
        <v>18.5</v>
      </c>
      <c r="D60" s="35" t="n">
        <v>16.5</v>
      </c>
      <c r="E60" s="35" t="n">
        <v>15.5</v>
      </c>
      <c r="F60" s="36" t="n">
        <v>14.5</v>
      </c>
      <c r="G60" s="36" t="n">
        <v>13.8</v>
      </c>
      <c r="H60" s="36" t="n">
        <v>13.2</v>
      </c>
      <c r="I60" s="36" t="n">
        <v>12.7</v>
      </c>
      <c r="J60" s="36" t="n">
        <v>12.3</v>
      </c>
      <c r="K60" s="13" t="s">
        <v>83</v>
      </c>
    </row>
    <row r="61" customFormat="false" ht="15" hidden="false" customHeight="true" outlineLevel="0" collapsed="false">
      <c r="A61" s="10"/>
      <c r="B61" s="10" t="s">
        <v>84</v>
      </c>
      <c r="C61" s="18" t="n">
        <f aca="false">ROUND(C25*C60,0)</f>
        <v>203</v>
      </c>
      <c r="D61" s="18" t="n">
        <f aca="false">ROUND(D25*D60,0)</f>
        <v>243</v>
      </c>
      <c r="E61" s="18" t="n">
        <f aca="false">ROUND(E25*E60,0)</f>
        <v>314</v>
      </c>
      <c r="F61" s="19" t="n">
        <f aca="false">ROUND(F25*F60,0)</f>
        <v>375</v>
      </c>
      <c r="G61" s="19" t="n">
        <f aca="false">ROUND(G25*G60,0)</f>
        <v>436</v>
      </c>
      <c r="H61" s="19" t="n">
        <f aca="false">ROUND(H25*H60,0)</f>
        <v>494</v>
      </c>
      <c r="I61" s="19" t="n">
        <f aca="false">ROUND(I25*I60,0)</f>
        <v>548</v>
      </c>
      <c r="J61" s="19" t="n">
        <f aca="false">ROUND(J25*J60,0)</f>
        <v>602</v>
      </c>
      <c r="K61" s="13" t="s">
        <v>85</v>
      </c>
    </row>
    <row r="62" customFormat="false" ht="15" hidden="false" customHeight="true" outlineLevel="0" collapsed="false">
      <c r="A62" s="10"/>
      <c r="B62" s="10" t="s">
        <v>86</v>
      </c>
      <c r="C62" s="11" t="n">
        <v>417</v>
      </c>
      <c r="D62" s="11" t="n">
        <v>434</v>
      </c>
      <c r="E62" s="11" t="n">
        <v>490</v>
      </c>
      <c r="F62" s="30" t="n">
        <v>520</v>
      </c>
      <c r="G62" s="30" t="n">
        <v>545</v>
      </c>
      <c r="H62" s="30" t="n">
        <v>570</v>
      </c>
      <c r="I62" s="30" t="n">
        <v>595</v>
      </c>
      <c r="J62" s="30" t="n">
        <v>620</v>
      </c>
      <c r="K62" s="13" t="s">
        <v>87</v>
      </c>
    </row>
    <row r="63" customFormat="false" ht="15" hidden="false" customHeight="true" outlineLevel="0" collapsed="false">
      <c r="A63" s="10"/>
      <c r="B63" s="10" t="s">
        <v>88</v>
      </c>
      <c r="C63" s="18" t="n">
        <f aca="false">C62+ROUND(C54*0.15,0)</f>
        <v>536</v>
      </c>
      <c r="D63" s="18" t="n">
        <f aca="false">D62+ROUND(D54*0.15,0)</f>
        <v>566</v>
      </c>
      <c r="E63" s="18" t="n">
        <f aca="false">E62+ROUND(E54*0.15,0)</f>
        <v>653</v>
      </c>
      <c r="F63" s="19" t="n">
        <f aca="false">F62+ROUND(F54*0.15,0)</f>
        <v>712</v>
      </c>
      <c r="G63" s="19" t="n">
        <f aca="false">G62+ROUND(G54*0.15,0)</f>
        <v>764</v>
      </c>
      <c r="H63" s="19" t="n">
        <f aca="false">H62+ROUND(H54*0.15,0)</f>
        <v>815</v>
      </c>
      <c r="I63" s="19" t="n">
        <f aca="false">I62+ROUND(I54*0.15,0)</f>
        <v>865</v>
      </c>
      <c r="J63" s="19" t="n">
        <f aca="false">J62+ROUND(J54*0.15,0)</f>
        <v>913</v>
      </c>
      <c r="K63" s="13" t="s">
        <v>89</v>
      </c>
    </row>
    <row r="64" customFormat="false" ht="15" hidden="false" customHeight="true" outlineLevel="0" collapsed="false">
      <c r="A64" s="10"/>
      <c r="B64" s="10" t="s">
        <v>90</v>
      </c>
      <c r="C64" s="18" t="n">
        <f aca="false">ROUND(C54*0.3,0)+C89</f>
        <v>439</v>
      </c>
      <c r="D64" s="18" t="n">
        <f aca="false">ROUND(D54*0.3,0)+D89</f>
        <v>468</v>
      </c>
      <c r="E64" s="18" t="n">
        <f aca="false">ROUND(E54*0.3,0)+E89</f>
        <v>560</v>
      </c>
      <c r="F64" s="19" t="n">
        <f aca="false">ROUND(F54*0.3,0)+F89</f>
        <v>644</v>
      </c>
      <c r="G64" s="19" t="n">
        <f aca="false">ROUND(G54*0.3,0)+G89</f>
        <v>728</v>
      </c>
      <c r="H64" s="19" t="n">
        <f aca="false">ROUND(H54*0.3,0)+H89</f>
        <v>805</v>
      </c>
      <c r="I64" s="19" t="n">
        <f aca="false">ROUND(I54*0.3,0)+I89</f>
        <v>879</v>
      </c>
      <c r="J64" s="19" t="n">
        <f aca="false">ROUND(J54*0.3,0)+J89</f>
        <v>951</v>
      </c>
      <c r="K64" s="13" t="s">
        <v>91</v>
      </c>
    </row>
    <row r="65" customFormat="false" ht="15" hidden="false" customHeight="true" outlineLevel="0" collapsed="false">
      <c r="A65" s="10"/>
      <c r="B65" s="10" t="s">
        <v>92</v>
      </c>
      <c r="C65" s="11" t="n">
        <v>247</v>
      </c>
      <c r="D65" s="11" t="n">
        <v>0</v>
      </c>
      <c r="E65" s="11" t="n">
        <v>0</v>
      </c>
      <c r="F65" s="30" t="n">
        <v>0</v>
      </c>
      <c r="G65" s="30" t="n">
        <v>0</v>
      </c>
      <c r="H65" s="30" t="n">
        <v>0</v>
      </c>
      <c r="I65" s="30" t="n">
        <v>0</v>
      </c>
      <c r="J65" s="30" t="n">
        <v>0</v>
      </c>
      <c r="K65" s="10"/>
    </row>
    <row r="66" customFormat="false" ht="15" hidden="false" customHeight="true" outlineLevel="0" collapsed="false">
      <c r="A66" s="10"/>
      <c r="B66" s="10" t="s">
        <v>93</v>
      </c>
      <c r="C66" s="20" t="n">
        <f aca="false">C64+C59+C61+C63+C65</f>
        <v>2144</v>
      </c>
      <c r="D66" s="20" t="n">
        <f aca="false">D64+D59+D61+D63+D65</f>
        <v>2073</v>
      </c>
      <c r="E66" s="20" t="n">
        <f aca="false">E64+E59+E61+E63+E65</f>
        <v>2622</v>
      </c>
      <c r="F66" s="21" t="n">
        <f aca="false">F64+F59+F61+F63+F65</f>
        <v>2876</v>
      </c>
      <c r="G66" s="21" t="n">
        <f aca="false">G64+G59+G61+G63+G65</f>
        <v>3126</v>
      </c>
      <c r="H66" s="21" t="n">
        <f aca="false">H64+H59+H61+H63+H65</f>
        <v>3352</v>
      </c>
      <c r="I66" s="21" t="n">
        <f aca="false">I64+I59+I61+I63+I65</f>
        <v>3563</v>
      </c>
      <c r="J66" s="21" t="n">
        <f aca="false">J64+J59+J61+J63+J65</f>
        <v>3768</v>
      </c>
      <c r="K66" s="13" t="s">
        <v>94</v>
      </c>
    </row>
    <row r="67" customFormat="false" ht="15" hidden="false" customHeight="true" outlineLevel="0" collapsed="false">
      <c r="A67" s="10"/>
      <c r="B67" s="10" t="s">
        <v>95</v>
      </c>
      <c r="C67" s="38" t="n">
        <f aca="false">C66/C44</f>
        <v>0.99397311080204</v>
      </c>
      <c r="D67" s="38" t="n">
        <f aca="false">D66/D44</f>
        <v>0.761852260198456</v>
      </c>
      <c r="E67" s="38" t="n">
        <f aca="false">E66/E44</f>
        <v>0.708074534161491</v>
      </c>
      <c r="F67" s="39" t="n">
        <f aca="false">F66/F44</f>
        <v>0.657743072199881</v>
      </c>
      <c r="G67" s="39" t="n">
        <f aca="false">G66/G44</f>
        <v>0.626082212445557</v>
      </c>
      <c r="H67" s="39" t="n">
        <f aca="false">H66/H44</f>
        <v>0.601213008226323</v>
      </c>
      <c r="I67" s="39" t="n">
        <f aca="false">I66/I44</f>
        <v>0.576248346702575</v>
      </c>
      <c r="J67" s="39" t="n">
        <f aca="false">J66/J44</f>
        <v>0.556702260103322</v>
      </c>
      <c r="K67" s="13" t="s">
        <v>96</v>
      </c>
    </row>
    <row r="68" customFormat="false" ht="15" hidden="false" customHeight="true" outlineLevel="0" collapsed="false">
      <c r="A68" s="10"/>
      <c r="B68" s="10" t="s">
        <v>97</v>
      </c>
      <c r="C68" s="40" t="n">
        <f aca="false">ROUND(C44/C52*1000,0)</f>
        <v>342</v>
      </c>
      <c r="D68" s="40" t="n">
        <f aca="false">ROUND(D44/D52*1000,0)</f>
        <v>389</v>
      </c>
      <c r="E68" s="40" t="n">
        <f aca="false">ROUND(E44/E52*1000,0)</f>
        <v>457</v>
      </c>
      <c r="F68" s="41" t="n">
        <f aca="false">ROUND(F44/F52*1000,0)</f>
        <v>475</v>
      </c>
      <c r="G68" s="41" t="n">
        <f aca="false">ROUND(G44/G52*1000,0)</f>
        <v>490</v>
      </c>
      <c r="H68" s="41" t="n">
        <f aca="false">ROUND(H44/H52*1000,0)</f>
        <v>502</v>
      </c>
      <c r="I68" s="41" t="n">
        <f aca="false">ROUND(I44/I52*1000,0)</f>
        <v>520</v>
      </c>
      <c r="J68" s="41" t="n">
        <f aca="false">ROUND(J44/J52*1000,0)</f>
        <v>537</v>
      </c>
      <c r="K68" s="13" t="s">
        <v>98</v>
      </c>
    </row>
    <row r="69" customFormat="false" ht="15" hidden="false" customHeight="true" outlineLevel="0" collapsed="false">
      <c r="A69" s="10"/>
      <c r="B69" s="10" t="s">
        <v>99</v>
      </c>
      <c r="C69" s="40" t="n">
        <f aca="false">ROUND(C66/C23,0)</f>
        <v>286</v>
      </c>
      <c r="D69" s="40" t="n">
        <f aca="false">ROUND(D66/D23,0)</f>
        <v>205</v>
      </c>
      <c r="E69" s="40" t="n">
        <f aca="false">ROUND(E66/E23,0)</f>
        <v>193</v>
      </c>
      <c r="F69" s="41" t="n">
        <f aca="false">ROUND(F66/F23,0)</f>
        <v>169</v>
      </c>
      <c r="G69" s="41" t="n">
        <f aca="false">ROUND(G66/G23,0)</f>
        <v>152</v>
      </c>
      <c r="H69" s="41" t="n">
        <f aca="false">ROUND(H66/H23,0)</f>
        <v>140</v>
      </c>
      <c r="I69" s="41" t="n">
        <f aca="false">ROUND(I66/I23,0)</f>
        <v>130</v>
      </c>
      <c r="J69" s="41" t="n">
        <f aca="false">ROUND(J66/J23,0)</f>
        <v>122</v>
      </c>
      <c r="K69" s="13" t="s">
        <v>100</v>
      </c>
    </row>
    <row r="70" customFormat="false" ht="15" hidden="false" customHeight="true" outlineLevel="0" collapsed="false">
      <c r="A70" s="10"/>
      <c r="B70" s="10"/>
      <c r="C70" s="42"/>
      <c r="D70" s="42"/>
      <c r="E70" s="42"/>
      <c r="F70" s="42"/>
      <c r="G70" s="42"/>
      <c r="H70" s="42"/>
      <c r="I70" s="42"/>
      <c r="J70" s="42"/>
      <c r="K70" s="10"/>
    </row>
    <row r="71" customFormat="false" ht="15" hidden="false" customHeight="true" outlineLevel="0" collapsed="false">
      <c r="A71" s="7" t="s">
        <v>101</v>
      </c>
      <c r="B71" s="37"/>
      <c r="C71" s="43"/>
      <c r="D71" s="43"/>
      <c r="E71" s="43"/>
      <c r="F71" s="43"/>
      <c r="G71" s="43"/>
      <c r="H71" s="43"/>
      <c r="I71" s="43"/>
      <c r="J71" s="43"/>
      <c r="K71" s="10"/>
    </row>
    <row r="72" customFormat="false" ht="15" hidden="false" customHeight="true" outlineLevel="0" collapsed="false">
      <c r="A72" s="10"/>
      <c r="B72" s="10" t="s">
        <v>102</v>
      </c>
      <c r="C72" s="44" t="n">
        <v>-0.001</v>
      </c>
      <c r="D72" s="44" t="n">
        <v>-1.137</v>
      </c>
      <c r="E72" s="44" t="n">
        <v>0.085</v>
      </c>
      <c r="F72" s="45" t="n">
        <v>0.22</v>
      </c>
      <c r="G72" s="45" t="n">
        <v>0.23</v>
      </c>
      <c r="H72" s="45" t="n">
        <v>0.24</v>
      </c>
      <c r="I72" s="45" t="n">
        <v>0.25</v>
      </c>
      <c r="J72" s="45" t="n">
        <v>0.25</v>
      </c>
      <c r="K72" s="13" t="s">
        <v>103</v>
      </c>
    </row>
    <row r="73" customFormat="false" ht="15" hidden="false" customHeight="true" outlineLevel="0" collapsed="false">
      <c r="A73" s="10"/>
      <c r="B73" s="10" t="s">
        <v>104</v>
      </c>
      <c r="C73" s="24" t="n">
        <v>945</v>
      </c>
      <c r="D73" s="24" t="n">
        <v>1101.4</v>
      </c>
      <c r="E73" s="24" t="n">
        <v>1251.8</v>
      </c>
      <c r="F73" s="25" t="n">
        <v>1290</v>
      </c>
      <c r="G73" s="25" t="n">
        <v>1330</v>
      </c>
      <c r="H73" s="25" t="n">
        <v>1370</v>
      </c>
      <c r="I73" s="25" t="n">
        <v>1410</v>
      </c>
      <c r="J73" s="25" t="n">
        <v>1450</v>
      </c>
      <c r="K73" s="13" t="s">
        <v>105</v>
      </c>
    </row>
    <row r="74" customFormat="false" ht="15" hidden="false" customHeight="true" outlineLevel="0" collapsed="false">
      <c r="A74" s="10"/>
      <c r="B74" s="10"/>
      <c r="C74" s="42"/>
      <c r="D74" s="42"/>
      <c r="E74" s="42"/>
      <c r="F74" s="42"/>
      <c r="G74" s="42"/>
      <c r="H74" s="42"/>
      <c r="I74" s="42"/>
      <c r="J74" s="42"/>
      <c r="K74" s="10"/>
    </row>
    <row r="75" customFormat="false" ht="15" hidden="false" customHeight="true" outlineLevel="0" collapsed="false">
      <c r="A75" s="7" t="s">
        <v>106</v>
      </c>
      <c r="B75" s="37"/>
      <c r="C75" s="43"/>
      <c r="D75" s="43"/>
      <c r="E75" s="43"/>
      <c r="F75" s="43"/>
      <c r="G75" s="43"/>
      <c r="H75" s="43"/>
      <c r="I75" s="43"/>
      <c r="J75" s="43"/>
      <c r="K75" s="10"/>
    </row>
    <row r="76" customFormat="false" ht="15" hidden="false" customHeight="true" outlineLevel="0" collapsed="false">
      <c r="A76" s="9" t="s">
        <v>107</v>
      </c>
      <c r="B76" s="10"/>
      <c r="C76" s="42"/>
      <c r="D76" s="42"/>
      <c r="E76" s="42"/>
      <c r="F76" s="42"/>
      <c r="G76" s="42"/>
      <c r="H76" s="42"/>
      <c r="I76" s="42"/>
      <c r="J76" s="42"/>
      <c r="K76" s="10"/>
    </row>
    <row r="77" customFormat="false" ht="15" hidden="false" customHeight="true" outlineLevel="0" collapsed="false">
      <c r="A77" s="10"/>
      <c r="B77" s="10" t="s">
        <v>108</v>
      </c>
      <c r="C77" s="18" t="n">
        <f aca="false">ROUND(C23*C78,0)</f>
        <v>18623</v>
      </c>
      <c r="D77" s="18" t="n">
        <f aca="false">ROUND(D23*D78,0)</f>
        <v>25977</v>
      </c>
      <c r="E77" s="18" t="n">
        <f aca="false">ROUND(E23*E78,0)</f>
        <v>37509</v>
      </c>
      <c r="F77" s="19" t="n">
        <f aca="false">ROUND(F23*F78,0)</f>
        <v>48756</v>
      </c>
      <c r="G77" s="19" t="n">
        <f aca="false">ROUND(G23*G78,0)</f>
        <v>58507</v>
      </c>
      <c r="H77" s="19" t="n">
        <f aca="false">ROUND(H23*H78,0)</f>
        <v>67296</v>
      </c>
      <c r="I77" s="19" t="n">
        <f aca="false">ROUND(I23*I78,0)</f>
        <v>75570</v>
      </c>
      <c r="J77" s="19" t="n">
        <f aca="false">ROUND(J23*J78,0)</f>
        <v>83111</v>
      </c>
      <c r="K77" s="13" t="s">
        <v>109</v>
      </c>
    </row>
    <row r="78" customFormat="false" ht="15" hidden="false" customHeight="true" outlineLevel="0" collapsed="false">
      <c r="A78" s="10"/>
      <c r="B78" s="10" t="s">
        <v>110</v>
      </c>
      <c r="C78" s="33" t="n">
        <v>2483</v>
      </c>
      <c r="D78" s="33" t="n">
        <v>2572</v>
      </c>
      <c r="E78" s="33" t="n">
        <v>2758</v>
      </c>
      <c r="F78" s="34" t="n">
        <v>2868</v>
      </c>
      <c r="G78" s="34" t="n">
        <v>2854</v>
      </c>
      <c r="H78" s="34" t="n">
        <v>2804</v>
      </c>
      <c r="I78" s="34" t="n">
        <v>2748</v>
      </c>
      <c r="J78" s="34" t="n">
        <v>2681</v>
      </c>
      <c r="K78" s="13" t="s">
        <v>111</v>
      </c>
    </row>
    <row r="79" customFormat="false" ht="15" hidden="false" customHeight="true" outlineLevel="0" collapsed="false">
      <c r="A79" s="10"/>
      <c r="B79" s="10" t="s">
        <v>112</v>
      </c>
      <c r="C79" s="11"/>
      <c r="D79" s="11"/>
      <c r="E79" s="11" t="n">
        <v>16700</v>
      </c>
      <c r="F79" s="19" t="n">
        <f aca="false">F27-F31</f>
        <v>18000</v>
      </c>
      <c r="G79" s="19" t="n">
        <f aca="false">G27-G31</f>
        <v>19500</v>
      </c>
      <c r="H79" s="19" t="n">
        <f aca="false">H27-H31</f>
        <v>21500</v>
      </c>
      <c r="I79" s="19" t="n">
        <f aca="false">I27-I31</f>
        <v>24000</v>
      </c>
      <c r="J79" s="19" t="n">
        <f aca="false">J27-J31</f>
        <v>25500</v>
      </c>
      <c r="K79" s="13" t="s">
        <v>113</v>
      </c>
    </row>
    <row r="80" customFormat="false" ht="15" hidden="false" customHeight="true" outlineLevel="0" collapsed="false">
      <c r="A80" s="10"/>
      <c r="B80" s="10" t="s">
        <v>114</v>
      </c>
      <c r="C80" s="44"/>
      <c r="D80" s="44"/>
      <c r="E80" s="44" t="n">
        <v>0.225</v>
      </c>
      <c r="F80" s="45" t="n">
        <v>0.23</v>
      </c>
      <c r="G80" s="45" t="n">
        <v>0.235</v>
      </c>
      <c r="H80" s="45" t="n">
        <v>0.24</v>
      </c>
      <c r="I80" s="45" t="n">
        <v>0.245</v>
      </c>
      <c r="J80" s="45" t="n">
        <v>0.25</v>
      </c>
      <c r="K80" s="13" t="s">
        <v>115</v>
      </c>
    </row>
    <row r="81" customFormat="false" ht="15" hidden="false" customHeight="true" outlineLevel="0" collapsed="false">
      <c r="A81" s="10"/>
      <c r="B81" s="10" t="s">
        <v>116</v>
      </c>
      <c r="C81" s="11"/>
      <c r="D81" s="11"/>
      <c r="E81" s="11" t="n">
        <v>27528</v>
      </c>
      <c r="F81" s="19" t="n">
        <f aca="false">E82</f>
        <v>38038</v>
      </c>
      <c r="G81" s="19" t="n">
        <f aca="false">F82</f>
        <v>47289</v>
      </c>
      <c r="H81" s="19" t="n">
        <f aca="false">G82</f>
        <v>55676</v>
      </c>
      <c r="I81" s="19" t="n">
        <f aca="false">H82</f>
        <v>63814</v>
      </c>
      <c r="J81" s="19" t="n">
        <f aca="false">I82</f>
        <v>72180</v>
      </c>
      <c r="K81" s="10"/>
    </row>
    <row r="82" customFormat="false" ht="15" hidden="false" customHeight="true" outlineLevel="0" collapsed="false">
      <c r="A82" s="10"/>
      <c r="B82" s="10" t="s">
        <v>117</v>
      </c>
      <c r="C82" s="46" t="n">
        <v>22958</v>
      </c>
      <c r="D82" s="46" t="n">
        <v>27528</v>
      </c>
      <c r="E82" s="46" t="n">
        <v>38038</v>
      </c>
      <c r="F82" s="17" t="n">
        <f aca="false">F81+F79-ROUND(F81*F80,0)</f>
        <v>47289</v>
      </c>
      <c r="G82" s="17" t="n">
        <f aca="false">G81+G79-ROUND(G81*G80,0)</f>
        <v>55676</v>
      </c>
      <c r="H82" s="17" t="n">
        <f aca="false">H81+H79-ROUND(H81*H80,0)</f>
        <v>63814</v>
      </c>
      <c r="I82" s="17" t="n">
        <f aca="false">I81+I79-ROUND(I81*I80,0)</f>
        <v>72180</v>
      </c>
      <c r="J82" s="17" t="n">
        <f aca="false">J81+J79-ROUND(J81*J80,0)</f>
        <v>79635</v>
      </c>
      <c r="K82" s="13" t="s">
        <v>118</v>
      </c>
    </row>
    <row r="83" customFormat="false" ht="15" hidden="false" customHeight="true" outlineLevel="0" collapsed="false">
      <c r="A83" s="10"/>
      <c r="B83" s="10" t="s">
        <v>119</v>
      </c>
      <c r="C83" s="44" t="n">
        <v>0.671</v>
      </c>
      <c r="D83" s="44" t="n">
        <v>0.642</v>
      </c>
      <c r="E83" s="44" t="n">
        <v>0.601</v>
      </c>
      <c r="F83" s="45" t="n">
        <v>0.58</v>
      </c>
      <c r="G83" s="45" t="n">
        <v>0.56</v>
      </c>
      <c r="H83" s="45" t="n">
        <v>0.545</v>
      </c>
      <c r="I83" s="45" t="n">
        <v>0.53</v>
      </c>
      <c r="J83" s="45" t="n">
        <v>0.52</v>
      </c>
      <c r="K83" s="13" t="s">
        <v>120</v>
      </c>
    </row>
    <row r="84" customFormat="false" ht="15" hidden="false" customHeight="true" outlineLevel="0" collapsed="false">
      <c r="A84" s="10"/>
      <c r="B84" s="10" t="s">
        <v>121</v>
      </c>
      <c r="C84" s="44" t="n">
        <v>0.293</v>
      </c>
      <c r="D84" s="44" t="n">
        <v>0.312</v>
      </c>
      <c r="E84" s="44" t="n">
        <v>0.359</v>
      </c>
      <c r="F84" s="45" t="n">
        <v>0.38</v>
      </c>
      <c r="G84" s="45" t="n">
        <v>0.4</v>
      </c>
      <c r="H84" s="45" t="n">
        <v>0.415</v>
      </c>
      <c r="I84" s="45" t="n">
        <v>0.43</v>
      </c>
      <c r="J84" s="45" t="n">
        <v>0.44</v>
      </c>
      <c r="K84" s="13" t="s">
        <v>122</v>
      </c>
    </row>
    <row r="85" customFormat="false" ht="15" hidden="false" customHeight="true" outlineLevel="0" collapsed="false">
      <c r="A85" s="10"/>
      <c r="B85" s="10" t="s">
        <v>123</v>
      </c>
      <c r="C85" s="44" t="n">
        <v>0.036</v>
      </c>
      <c r="D85" s="44" t="n">
        <v>0.045</v>
      </c>
      <c r="E85" s="44" t="n">
        <v>0.04</v>
      </c>
      <c r="F85" s="45" t="n">
        <v>0.04</v>
      </c>
      <c r="G85" s="45" t="n">
        <v>0.04</v>
      </c>
      <c r="H85" s="45" t="n">
        <v>0.04</v>
      </c>
      <c r="I85" s="45" t="n">
        <v>0.04</v>
      </c>
      <c r="J85" s="45" t="n">
        <v>0.04</v>
      </c>
      <c r="K85" s="13" t="s">
        <v>124</v>
      </c>
    </row>
    <row r="86" customFormat="false" ht="15" hidden="false" customHeight="true" outlineLevel="0" collapsed="false">
      <c r="A86" s="10"/>
      <c r="B86" s="10" t="s">
        <v>125</v>
      </c>
      <c r="C86" s="11" t="n">
        <v>702</v>
      </c>
      <c r="D86" s="11" t="n">
        <v>1896</v>
      </c>
      <c r="E86" s="11" t="n">
        <v>2576</v>
      </c>
      <c r="F86" s="30" t="n">
        <v>3100</v>
      </c>
      <c r="G86" s="30" t="n">
        <v>3600</v>
      </c>
      <c r="H86" s="30" t="n">
        <v>4050</v>
      </c>
      <c r="I86" s="30" t="n">
        <v>4450</v>
      </c>
      <c r="J86" s="30" t="n">
        <v>4800</v>
      </c>
      <c r="K86" s="13" t="s">
        <v>126</v>
      </c>
    </row>
    <row r="87" customFormat="false" ht="15" hidden="false" customHeight="true" outlineLevel="0" collapsed="false">
      <c r="A87" s="10"/>
      <c r="B87" s="10" t="s">
        <v>127</v>
      </c>
      <c r="C87" s="11" t="n">
        <v>180</v>
      </c>
      <c r="D87" s="11" t="n">
        <v>342</v>
      </c>
      <c r="E87" s="11" t="n">
        <v>378</v>
      </c>
      <c r="F87" s="30" t="n">
        <v>420</v>
      </c>
      <c r="G87" s="30" t="n">
        <v>465</v>
      </c>
      <c r="H87" s="30" t="n">
        <v>510</v>
      </c>
      <c r="I87" s="30" t="n">
        <v>555</v>
      </c>
      <c r="J87" s="30" t="n">
        <v>600</v>
      </c>
      <c r="K87" s="13" t="s">
        <v>128</v>
      </c>
    </row>
    <row r="88" customFormat="false" ht="15" hidden="false" customHeight="true" outlineLevel="0" collapsed="false">
      <c r="A88" s="10"/>
      <c r="B88" s="10" t="s">
        <v>129</v>
      </c>
      <c r="C88" s="11" t="n">
        <v>121</v>
      </c>
      <c r="D88" s="11" t="n">
        <v>163</v>
      </c>
      <c r="E88" s="11" t="n">
        <v>251</v>
      </c>
      <c r="F88" s="30" t="n">
        <v>280</v>
      </c>
      <c r="G88" s="30" t="n">
        <v>300</v>
      </c>
      <c r="H88" s="30" t="n">
        <v>315</v>
      </c>
      <c r="I88" s="30" t="n">
        <v>330</v>
      </c>
      <c r="J88" s="30" t="n">
        <v>345</v>
      </c>
      <c r="K88" s="13" t="s">
        <v>130</v>
      </c>
    </row>
    <row r="89" customFormat="false" ht="15" hidden="false" customHeight="true" outlineLevel="0" collapsed="false">
      <c r="A89" s="10"/>
      <c r="B89" s="10" t="s">
        <v>131</v>
      </c>
      <c r="C89" s="11" t="n">
        <v>201</v>
      </c>
      <c r="D89" s="11" t="n">
        <v>203</v>
      </c>
      <c r="E89" s="11" t="n">
        <v>234</v>
      </c>
      <c r="F89" s="30" t="n">
        <v>260</v>
      </c>
      <c r="G89" s="30" t="n">
        <v>290</v>
      </c>
      <c r="H89" s="30" t="n">
        <v>315</v>
      </c>
      <c r="I89" s="30" t="n">
        <v>340</v>
      </c>
      <c r="J89" s="30" t="n">
        <v>365</v>
      </c>
      <c r="K89" s="13" t="s">
        <v>132</v>
      </c>
    </row>
    <row r="90" customFormat="false" ht="15" hidden="false" customHeight="true" outlineLevel="0" collapsed="false">
      <c r="A90" s="10"/>
      <c r="B90" s="10" t="s">
        <v>133</v>
      </c>
      <c r="C90" s="11" t="n">
        <v>1394</v>
      </c>
      <c r="D90" s="11" t="n">
        <v>1394</v>
      </c>
      <c r="E90" s="11" t="n">
        <v>1394</v>
      </c>
      <c r="F90" s="30" t="n">
        <v>1394</v>
      </c>
      <c r="G90" s="30" t="n">
        <v>1394</v>
      </c>
      <c r="H90" s="30" t="n">
        <v>1394</v>
      </c>
      <c r="I90" s="30" t="n">
        <v>1394</v>
      </c>
      <c r="J90" s="30" t="n">
        <v>1394</v>
      </c>
      <c r="K90" s="13" t="s">
        <v>134</v>
      </c>
    </row>
    <row r="91" customFormat="false" ht="15" hidden="false" customHeight="true" outlineLevel="0" collapsed="false">
      <c r="A91" s="10"/>
      <c r="B91" s="10" t="s">
        <v>135</v>
      </c>
      <c r="C91" s="11" t="n">
        <v>364</v>
      </c>
      <c r="D91" s="11" t="n">
        <v>298</v>
      </c>
      <c r="E91" s="11" t="n">
        <v>232</v>
      </c>
      <c r="F91" s="30" t="n">
        <v>170</v>
      </c>
      <c r="G91" s="30" t="n">
        <v>115</v>
      </c>
      <c r="H91" s="30" t="n">
        <v>70</v>
      </c>
      <c r="I91" s="30" t="n">
        <v>35</v>
      </c>
      <c r="J91" s="30" t="n">
        <v>10</v>
      </c>
      <c r="K91" s="13" t="s">
        <v>136</v>
      </c>
    </row>
    <row r="92" customFormat="false" ht="15" hidden="false" customHeight="true" outlineLevel="0" collapsed="false">
      <c r="A92" s="10"/>
      <c r="B92" s="10" t="s">
        <v>137</v>
      </c>
      <c r="C92" s="47" t="n">
        <v>531</v>
      </c>
      <c r="D92" s="47" t="n">
        <v>171</v>
      </c>
      <c r="E92" s="47" t="n">
        <v>427</v>
      </c>
      <c r="F92" s="48" t="n">
        <v>350</v>
      </c>
      <c r="G92" s="48" t="n">
        <v>350</v>
      </c>
      <c r="H92" s="48" t="n">
        <v>350</v>
      </c>
      <c r="I92" s="48" t="n">
        <v>350</v>
      </c>
      <c r="J92" s="48" t="n">
        <v>350</v>
      </c>
      <c r="K92" s="10"/>
    </row>
    <row r="93" customFormat="false" ht="15" hidden="false" customHeight="true" outlineLevel="0" collapsed="false">
      <c r="A93" s="9" t="s">
        <v>138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customFormat="false" ht="15" hidden="false" customHeight="true" outlineLevel="0" collapsed="false">
      <c r="A94" s="10"/>
      <c r="B94" s="10" t="s">
        <v>139</v>
      </c>
      <c r="C94" s="11" t="n">
        <v>5233</v>
      </c>
      <c r="D94" s="11" t="n">
        <v>3093</v>
      </c>
      <c r="E94" s="11" t="n">
        <v>1815</v>
      </c>
      <c r="F94" s="12" t="n">
        <f aca="false">E94+F95</f>
        <v>1515</v>
      </c>
      <c r="G94" s="12" t="n">
        <f aca="false">F94+G95</f>
        <v>1315</v>
      </c>
      <c r="H94" s="12" t="n">
        <f aca="false">G94+H95</f>
        <v>1165</v>
      </c>
      <c r="I94" s="12" t="n">
        <f aca="false">H94+I95</f>
        <v>1065</v>
      </c>
      <c r="J94" s="12" t="n">
        <f aca="false">I94+J95</f>
        <v>1015</v>
      </c>
      <c r="K94" s="13" t="s">
        <v>140</v>
      </c>
    </row>
    <row r="95" customFormat="false" ht="15" hidden="false" customHeight="true" outlineLevel="0" collapsed="false">
      <c r="A95" s="10"/>
      <c r="B95" s="10" t="s">
        <v>141</v>
      </c>
      <c r="C95" s="11" t="n">
        <v>-593</v>
      </c>
      <c r="D95" s="11" t="n">
        <v>-2985</v>
      </c>
      <c r="E95" s="11" t="n">
        <v>-1278</v>
      </c>
      <c r="F95" s="30" t="n">
        <v>-300</v>
      </c>
      <c r="G95" s="30" t="n">
        <v>-200</v>
      </c>
      <c r="H95" s="30" t="n">
        <v>-150</v>
      </c>
      <c r="I95" s="30" t="n">
        <v>-100</v>
      </c>
      <c r="J95" s="30" t="n">
        <v>-50</v>
      </c>
      <c r="K95" s="13" t="s">
        <v>142</v>
      </c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customFormat="false" ht="15" hidden="false" customHeight="true" outlineLevel="0" collapsed="false">
      <c r="A97" s="9" t="s">
        <v>143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customFormat="false" ht="15" hidden="false" customHeight="true" outlineLevel="0" collapsed="false">
      <c r="A98" s="10"/>
      <c r="B98" s="10" t="s">
        <v>144</v>
      </c>
      <c r="C98" s="11" t="n">
        <v>271</v>
      </c>
      <c r="D98" s="11" t="n">
        <v>246</v>
      </c>
      <c r="E98" s="11" t="n">
        <v>262</v>
      </c>
      <c r="F98" s="30" t="n">
        <v>285</v>
      </c>
      <c r="G98" s="30" t="n">
        <v>310</v>
      </c>
      <c r="H98" s="30" t="n">
        <v>335</v>
      </c>
      <c r="I98" s="30" t="n">
        <v>360</v>
      </c>
      <c r="J98" s="30" t="n">
        <v>385</v>
      </c>
      <c r="K98" s="13" t="s">
        <v>145</v>
      </c>
    </row>
    <row r="99" customFormat="false" ht="15" hidden="false" customHeight="true" outlineLevel="0" collapsed="false">
      <c r="A99" s="10"/>
      <c r="B99" s="10" t="s">
        <v>146</v>
      </c>
      <c r="C99" s="44" t="n">
        <v>0</v>
      </c>
      <c r="D99" s="44" t="n">
        <v>0</v>
      </c>
      <c r="E99" s="44" t="n">
        <v>0</v>
      </c>
      <c r="F99" s="45" t="n">
        <v>0</v>
      </c>
      <c r="G99" s="45" t="n">
        <v>0</v>
      </c>
      <c r="H99" s="45" t="n">
        <v>0</v>
      </c>
      <c r="I99" s="45" t="n">
        <v>0</v>
      </c>
      <c r="J99" s="45" t="n">
        <v>0</v>
      </c>
      <c r="K99" s="13" t="s">
        <v>147</v>
      </c>
    </row>
    <row r="100" customFormat="false" ht="15" hidden="false" customHeight="true" outlineLevel="0" collapsed="false">
      <c r="A100" s="10"/>
      <c r="B100" s="10" t="s">
        <v>148</v>
      </c>
      <c r="C100" s="47" t="n">
        <v>90</v>
      </c>
      <c r="D100" s="47" t="n">
        <v>81</v>
      </c>
      <c r="E100" s="47" t="n">
        <v>94</v>
      </c>
      <c r="F100" s="48" t="n">
        <v>90</v>
      </c>
      <c r="G100" s="48" t="n">
        <v>85</v>
      </c>
      <c r="H100" s="48" t="n">
        <v>80</v>
      </c>
      <c r="I100" s="48" t="n">
        <v>75</v>
      </c>
      <c r="J100" s="48" t="n">
        <v>70</v>
      </c>
      <c r="K100" s="13" t="s">
        <v>149</v>
      </c>
    </row>
    <row r="101" customFormat="false" ht="15" hidden="false" customHeight="false" outlineLevel="0" collapsed="false">
      <c r="B101" s="49" t="s">
        <v>150</v>
      </c>
      <c r="C101" s="47" t="n">
        <v>554</v>
      </c>
      <c r="D101" s="47" t="n">
        <v>1715</v>
      </c>
      <c r="E101" s="47" t="n">
        <v>2177</v>
      </c>
      <c r="F101" s="48" t="n">
        <v>2500</v>
      </c>
      <c r="G101" s="48" t="n">
        <v>2850</v>
      </c>
      <c r="H101" s="48" t="n">
        <v>3200</v>
      </c>
      <c r="I101" s="48" t="n">
        <v>3550</v>
      </c>
      <c r="J101" s="48" t="n">
        <v>3900</v>
      </c>
      <c r="K101" s="50" t="s">
        <v>151</v>
      </c>
    </row>
    <row r="102" customFormat="false" ht="15" hidden="false" customHeight="false" outlineLevel="0" collapsed="false">
      <c r="B102" s="49" t="s">
        <v>152</v>
      </c>
      <c r="C102" s="47" t="n">
        <v>550</v>
      </c>
      <c r="D102" s="47" t="n">
        <v>557</v>
      </c>
      <c r="E102" s="47" t="n">
        <v>744</v>
      </c>
      <c r="F102" s="48" t="n">
        <v>850</v>
      </c>
      <c r="G102" s="48" t="n">
        <v>960</v>
      </c>
      <c r="H102" s="48" t="n">
        <v>1070</v>
      </c>
      <c r="I102" s="48" t="n">
        <v>1180</v>
      </c>
      <c r="J102" s="48" t="n">
        <v>1290</v>
      </c>
    </row>
    <row r="103" customFormat="false" ht="15" hidden="false" customHeight="false" outlineLevel="0" collapsed="false">
      <c r="B103" s="49" t="s">
        <v>153</v>
      </c>
      <c r="C103" s="47" t="n">
        <v>109</v>
      </c>
      <c r="D103" s="47" t="n">
        <v>97</v>
      </c>
      <c r="E103" s="47" t="n">
        <v>106</v>
      </c>
      <c r="F103" s="48" t="n">
        <v>100</v>
      </c>
      <c r="G103" s="48" t="n">
        <v>95</v>
      </c>
      <c r="H103" s="48" t="n">
        <v>90</v>
      </c>
      <c r="I103" s="48" t="n">
        <v>85</v>
      </c>
      <c r="J103" s="48" t="n">
        <v>80</v>
      </c>
    </row>
    <row r="104" customFormat="false" ht="15" hidden="false" customHeight="false" outlineLevel="0" collapsed="false">
      <c r="B104" s="49" t="s">
        <v>154</v>
      </c>
      <c r="C104" s="47" t="n">
        <v>7040</v>
      </c>
      <c r="D104" s="47" t="n">
        <v>7839</v>
      </c>
      <c r="E104" s="47" t="n">
        <v>11303</v>
      </c>
      <c r="F104" s="12" t="n">
        <f aca="false">E104+F98</f>
        <v>11588</v>
      </c>
      <c r="G104" s="12" t="n">
        <f aca="false">F104+G98</f>
        <v>11898</v>
      </c>
      <c r="H104" s="12" t="n">
        <f aca="false">G104+H98</f>
        <v>12233</v>
      </c>
      <c r="I104" s="12" t="n">
        <f aca="false">H104+I98</f>
        <v>12593</v>
      </c>
      <c r="J104" s="12" t="n">
        <f aca="false">I104+J98</f>
        <v>12978</v>
      </c>
      <c r="K104" s="50" t="s">
        <v>155</v>
      </c>
    </row>
    <row r="105" customFormat="false" ht="15" hidden="false" customHeight="false" outlineLevel="0" collapsed="false">
      <c r="B105" s="49" t="s">
        <v>156</v>
      </c>
      <c r="C105" s="47" t="n">
        <v>-1</v>
      </c>
      <c r="D105" s="47" t="n">
        <v>-8</v>
      </c>
      <c r="E105" s="47" t="n">
        <v>11</v>
      </c>
      <c r="F105" s="48" t="n">
        <v>11</v>
      </c>
      <c r="G105" s="48" t="n">
        <v>11</v>
      </c>
      <c r="H105" s="48" t="n">
        <v>11</v>
      </c>
      <c r="I105" s="48" t="n">
        <v>11</v>
      </c>
      <c r="J105" s="48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52"/>
    <col collapsed="false" customWidth="true" hidden="false" outlineLevel="0" max="11" min="3" style="1" width="13"/>
  </cols>
  <sheetData>
    <row r="1" customFormat="false" ht="19.5" hidden="false" customHeight="true" outlineLevel="0" collapsed="false">
      <c r="A1" s="2" t="s">
        <v>0</v>
      </c>
      <c r="B1" s="3"/>
      <c r="C1" s="4" t="s">
        <v>1</v>
      </c>
      <c r="D1" s="4" t="s">
        <v>1</v>
      </c>
      <c r="E1" s="4" t="s">
        <v>1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</row>
    <row r="2" customFormat="false" ht="15" hidden="false" customHeight="true" outlineLevel="0" collapsed="false">
      <c r="A2" s="5" t="s">
        <v>3</v>
      </c>
      <c r="B2" s="3"/>
      <c r="C2" s="6" t="n">
        <v>2023</v>
      </c>
      <c r="D2" s="6" t="n">
        <v>2024</v>
      </c>
      <c r="E2" s="6" t="n">
        <v>2025</v>
      </c>
      <c r="F2" s="6" t="n">
        <v>2026</v>
      </c>
      <c r="G2" s="6" t="n">
        <v>2027</v>
      </c>
      <c r="H2" s="6" t="n">
        <v>2028</v>
      </c>
      <c r="I2" s="6" t="n">
        <v>2029</v>
      </c>
      <c r="J2" s="6" t="n">
        <v>2030</v>
      </c>
    </row>
    <row r="4" customFormat="false" ht="15" hidden="false" customHeight="true" outlineLevel="0" collapsed="false">
      <c r="A4" s="7" t="s">
        <v>157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B5" s="10" t="s">
        <v>6</v>
      </c>
      <c r="C5" s="11" t="n">
        <v>21447</v>
      </c>
      <c r="D5" s="11" t="n">
        <v>29587</v>
      </c>
      <c r="E5" s="11" t="n">
        <v>37913</v>
      </c>
      <c r="F5" s="51" t="n">
        <f aca="false">Assumptions!F6</f>
        <v>48502</v>
      </c>
      <c r="G5" s="51" t="n">
        <f aca="false">Assumptions!G6</f>
        <v>57833</v>
      </c>
      <c r="H5" s="51" t="n">
        <f aca="false">Assumptions!H6</f>
        <v>66570</v>
      </c>
      <c r="I5" s="51" t="n">
        <f aca="false">Assumptions!I6</f>
        <v>75247</v>
      </c>
      <c r="J5" s="51" t="n">
        <f aca="false">Assumptions!J6</f>
        <v>83533</v>
      </c>
    </row>
    <row r="6" customFormat="false" ht="15" hidden="false" customHeight="true" outlineLevel="0" collapsed="false">
      <c r="B6" s="10" t="s">
        <v>158</v>
      </c>
      <c r="C6" s="14" t="n">
        <v>0.0956</v>
      </c>
      <c r="D6" s="14" t="n">
        <v>0.0949</v>
      </c>
      <c r="E6" s="14" t="n">
        <v>0.089</v>
      </c>
      <c r="F6" s="52" t="n">
        <f aca="false">Assumptions!F7</f>
        <v>0.0855</v>
      </c>
      <c r="G6" s="52" t="n">
        <f aca="false">Assumptions!G7</f>
        <v>0.0825</v>
      </c>
      <c r="H6" s="52" t="n">
        <f aca="false">Assumptions!H7</f>
        <v>0.08</v>
      </c>
      <c r="I6" s="52" t="n">
        <f aca="false">Assumptions!I7</f>
        <v>0.078</v>
      </c>
      <c r="J6" s="52" t="n">
        <f aca="false">Assumptions!J7</f>
        <v>0.0765</v>
      </c>
    </row>
    <row r="7" customFormat="false" ht="15" hidden="false" customHeight="true" outlineLevel="0" collapsed="false">
      <c r="B7" s="10" t="s">
        <v>159</v>
      </c>
      <c r="C7" s="46" t="n">
        <v>2051</v>
      </c>
      <c r="D7" s="46" t="n">
        <v>2808</v>
      </c>
      <c r="E7" s="46" t="n">
        <v>3375</v>
      </c>
      <c r="F7" s="17" t="n">
        <f aca="false">F5*F6</f>
        <v>4146.921</v>
      </c>
      <c r="G7" s="17" t="n">
        <f aca="false">G5*G6</f>
        <v>4771.2225</v>
      </c>
      <c r="H7" s="17" t="n">
        <f aca="false">H5*H6</f>
        <v>5325.6</v>
      </c>
      <c r="I7" s="17" t="n">
        <f aca="false">I5*I6</f>
        <v>5869.266</v>
      </c>
      <c r="J7" s="17" t="n">
        <f aca="false">J5*J6</f>
        <v>6390.2745</v>
      </c>
    </row>
    <row r="8" customFormat="false" ht="15" hidden="false" customHeight="true" outlineLevel="0" collapsed="false">
      <c r="B8" s="10" t="s">
        <v>160</v>
      </c>
      <c r="C8" s="11" t="n">
        <v>789</v>
      </c>
      <c r="D8" s="11" t="n">
        <v>1091</v>
      </c>
      <c r="E8" s="11" t="n">
        <v>1156</v>
      </c>
      <c r="F8" s="51" t="n">
        <f aca="false">Assumptions!F17</f>
        <v>1400.393</v>
      </c>
      <c r="G8" s="51" t="n">
        <f aca="false">Assumptions!G17</f>
        <v>1606.268</v>
      </c>
      <c r="H8" s="51" t="n">
        <f aca="false">Assumptions!H17</f>
        <v>1773.205</v>
      </c>
      <c r="I8" s="51" t="n">
        <f aca="false">Assumptions!I17</f>
        <v>1895.168</v>
      </c>
      <c r="J8" s="51" t="n">
        <f aca="false">Assumptions!J17</f>
        <v>2017.845</v>
      </c>
    </row>
    <row r="9" customFormat="false" ht="15" hidden="false" customHeight="true" outlineLevel="0" collapsed="false">
      <c r="B9" s="10" t="s">
        <v>161</v>
      </c>
      <c r="C9" s="53" t="n">
        <v>1262</v>
      </c>
      <c r="D9" s="53" t="n">
        <v>1716</v>
      </c>
      <c r="E9" s="53" t="n">
        <v>2219</v>
      </c>
      <c r="F9" s="21" t="n">
        <f aca="false">F7-F8</f>
        <v>2746.528</v>
      </c>
      <c r="G9" s="21" t="n">
        <f aca="false">G7-G8</f>
        <v>3164.9545</v>
      </c>
      <c r="H9" s="21" t="n">
        <f aca="false">H7-H8</f>
        <v>3552.395</v>
      </c>
      <c r="I9" s="21" t="n">
        <f aca="false">I7-I8</f>
        <v>3974.098</v>
      </c>
      <c r="J9" s="21" t="n">
        <f aca="false">J7-J8</f>
        <v>4372.4295</v>
      </c>
    </row>
    <row r="10" customFormat="false" ht="15" hidden="false" customHeight="true" outlineLevel="0" collapsed="false">
      <c r="B10" s="10" t="s">
        <v>162</v>
      </c>
      <c r="C10" s="14" t="n">
        <v>0.0588</v>
      </c>
      <c r="D10" s="14" t="n">
        <v>0.058</v>
      </c>
      <c r="E10" s="14" t="n">
        <v>0.0585</v>
      </c>
      <c r="F10" s="23" t="n">
        <f aca="false">F9/F5</f>
        <v>0.0566271081604882</v>
      </c>
      <c r="G10" s="23" t="n">
        <f aca="false">G9/G5</f>
        <v>0.054725753462556</v>
      </c>
      <c r="H10" s="23" t="n">
        <f aca="false">H9/H5</f>
        <v>0.053363301787592</v>
      </c>
      <c r="I10" s="23" t="n">
        <f aca="false">I9/I5</f>
        <v>0.0528140390979042</v>
      </c>
      <c r="J10" s="23" t="n">
        <f aca="false">J9/J5</f>
        <v>0.0523437384027869</v>
      </c>
    </row>
    <row r="12" customFormat="false" ht="15" hidden="false" customHeight="true" outlineLevel="0" collapsed="false">
      <c r="A12" s="7" t="s">
        <v>163</v>
      </c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true" outlineLevel="0" collapsed="false">
      <c r="B13" s="10" t="s">
        <v>164</v>
      </c>
      <c r="C13" s="11" t="n">
        <v>409</v>
      </c>
      <c r="D13" s="11" t="n">
        <v>278</v>
      </c>
      <c r="E13" s="11" t="n">
        <v>243</v>
      </c>
      <c r="F13" s="51" t="n">
        <f aca="false">Assumptions!F29</f>
        <v>211</v>
      </c>
      <c r="G13" s="51" t="n">
        <f aca="false">Assumptions!G29</f>
        <v>184</v>
      </c>
      <c r="H13" s="51" t="n">
        <f aca="false">Assumptions!H29</f>
        <v>164</v>
      </c>
      <c r="I13" s="51" t="n">
        <f aca="false">Assumptions!I29</f>
        <v>150</v>
      </c>
      <c r="J13" s="51" t="n">
        <f aca="false">Assumptions!J29</f>
        <v>141</v>
      </c>
    </row>
    <row r="14" customFormat="false" ht="15" hidden="false" customHeight="true" outlineLevel="0" collapsed="false">
      <c r="B14" s="10" t="s">
        <v>165</v>
      </c>
      <c r="C14" s="11" t="n">
        <v>324</v>
      </c>
      <c r="D14" s="11" t="n">
        <v>351</v>
      </c>
      <c r="E14" s="11" t="n">
        <v>361</v>
      </c>
      <c r="F14" s="51" t="n">
        <f aca="false">Assumptions!F37</f>
        <v>400</v>
      </c>
      <c r="G14" s="51" t="n">
        <f aca="false">Assumptions!G37</f>
        <v>445</v>
      </c>
      <c r="H14" s="51" t="n">
        <f aca="false">Assumptions!H37</f>
        <v>495</v>
      </c>
      <c r="I14" s="51" t="n">
        <f aca="false">Assumptions!I37</f>
        <v>550</v>
      </c>
      <c r="J14" s="51" t="n">
        <f aca="false">Assumptions!J37</f>
        <v>609</v>
      </c>
    </row>
    <row r="15" customFormat="false" ht="15" hidden="false" customHeight="true" outlineLevel="0" collapsed="false">
      <c r="B15" s="10" t="s">
        <v>166</v>
      </c>
      <c r="C15" s="11" t="n">
        <v>34</v>
      </c>
      <c r="D15" s="11" t="n">
        <v>142</v>
      </c>
      <c r="E15" s="11" t="n">
        <v>576</v>
      </c>
      <c r="F15" s="51" t="n">
        <f aca="false">Assumptions!F33</f>
        <v>750</v>
      </c>
      <c r="G15" s="51" t="n">
        <f aca="false">Assumptions!G33</f>
        <v>879</v>
      </c>
      <c r="H15" s="51" t="n">
        <f aca="false">Assumptions!H33</f>
        <v>990</v>
      </c>
      <c r="I15" s="51" t="n">
        <f aca="false">Assumptions!I33</f>
        <v>1080</v>
      </c>
      <c r="J15" s="51" t="n">
        <f aca="false">Assumptions!J33</f>
        <v>1161</v>
      </c>
    </row>
    <row r="16" customFormat="false" ht="15" hidden="false" customHeight="true" outlineLevel="0" collapsed="false">
      <c r="B16" s="10" t="s">
        <v>167</v>
      </c>
      <c r="C16" s="11" t="n">
        <v>128</v>
      </c>
      <c r="D16" s="11" t="n">
        <v>188</v>
      </c>
      <c r="E16" s="11" t="n">
        <v>215</v>
      </c>
      <c r="F16" s="51" t="n">
        <f aca="false">Assumptions!F41</f>
        <v>265</v>
      </c>
      <c r="G16" s="51" t="n">
        <f aca="false">Assumptions!G41</f>
        <v>320</v>
      </c>
      <c r="H16" s="51" t="n">
        <f aca="false">Assumptions!H41</f>
        <v>374</v>
      </c>
      <c r="I16" s="51" t="n">
        <f aca="false">Assumptions!I41</f>
        <v>429</v>
      </c>
      <c r="J16" s="51" t="n">
        <f aca="false">Assumptions!J41</f>
        <v>485</v>
      </c>
    </row>
    <row r="17" customFormat="false" ht="15" hidden="false" customHeight="true" outlineLevel="0" collapsed="false">
      <c r="B17" s="10" t="s">
        <v>168</v>
      </c>
      <c r="C17" s="53" t="n">
        <v>861</v>
      </c>
      <c r="D17" s="53" t="n">
        <v>958</v>
      </c>
      <c r="E17" s="53" t="n">
        <v>1394</v>
      </c>
      <c r="F17" s="21" t="n">
        <f aca="false">F13+F14+F15+F16</f>
        <v>1626</v>
      </c>
      <c r="G17" s="21" t="n">
        <f aca="false">G13+G14+G15+G16</f>
        <v>1828</v>
      </c>
      <c r="H17" s="21" t="n">
        <f aca="false">H13+H14+H15+H16</f>
        <v>2023</v>
      </c>
      <c r="I17" s="21" t="n">
        <f aca="false">I13+I14+I15+I16</f>
        <v>2209</v>
      </c>
      <c r="J17" s="21" t="n">
        <f aca="false">J13+J14+J15+J16</f>
        <v>2396</v>
      </c>
    </row>
    <row r="19" customFormat="false" ht="15" hidden="false" customHeight="true" outlineLevel="0" collapsed="false">
      <c r="B19" s="10" t="s">
        <v>169</v>
      </c>
      <c r="C19" s="54" t="n">
        <v>2123</v>
      </c>
      <c r="D19" s="54" t="n">
        <v>2675</v>
      </c>
      <c r="E19" s="54" t="n">
        <v>3613</v>
      </c>
      <c r="F19" s="55" t="n">
        <f aca="false">F9+F17</f>
        <v>4372.528</v>
      </c>
      <c r="G19" s="55" t="n">
        <f aca="false">G9+G17</f>
        <v>4992.9545</v>
      </c>
      <c r="H19" s="55" t="n">
        <f aca="false">H9+H17</f>
        <v>5575.395</v>
      </c>
      <c r="I19" s="55" t="n">
        <f aca="false">I9+I17</f>
        <v>6183.098</v>
      </c>
      <c r="J19" s="55" t="n">
        <f aca="false">J9+J17</f>
        <v>6768.4295</v>
      </c>
    </row>
    <row r="20" customFormat="false" ht="15" hidden="false" customHeight="true" outlineLevel="0" collapsed="false">
      <c r="B20" s="10" t="s">
        <v>170</v>
      </c>
      <c r="C20" s="44"/>
      <c r="D20" s="44" t="n">
        <v>0.26</v>
      </c>
      <c r="E20" s="44" t="n">
        <v>0.351</v>
      </c>
      <c r="F20" s="39" t="n">
        <f aca="false">F19/E19-1</f>
        <v>0.210220869083864</v>
      </c>
      <c r="G20" s="39" t="n">
        <f aca="false">G19/F19-1</f>
        <v>0.141891944431231</v>
      </c>
      <c r="H20" s="39" t="n">
        <f aca="false">H19/G19-1</f>
        <v>0.116652475002526</v>
      </c>
      <c r="I20" s="39" t="n">
        <f aca="false">I19/H19-1</f>
        <v>0.108997299742888</v>
      </c>
      <c r="J20" s="39" t="n">
        <f aca="false">J19/I19-1</f>
        <v>0.0946663792163733</v>
      </c>
    </row>
    <row r="22" customFormat="false" ht="15" hidden="false" customHeight="true" outlineLevel="0" collapsed="false">
      <c r="A22" s="7" t="s">
        <v>171</v>
      </c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true" outlineLevel="0" collapsed="false">
      <c r="B23" s="10" t="s">
        <v>172</v>
      </c>
      <c r="C23" s="11" t="n">
        <v>1371</v>
      </c>
      <c r="D23" s="11" t="n">
        <v>1485</v>
      </c>
      <c r="E23" s="11" t="n">
        <v>1849</v>
      </c>
      <c r="F23" s="30" t="n">
        <v>2164</v>
      </c>
      <c r="G23" s="30" t="n">
        <v>2484</v>
      </c>
      <c r="H23" s="30" t="n">
        <v>2806</v>
      </c>
      <c r="I23" s="30" t="n">
        <v>3134</v>
      </c>
      <c r="J23" s="30" t="n">
        <v>3447</v>
      </c>
    </row>
    <row r="24" customFormat="false" ht="15" hidden="false" customHeight="true" outlineLevel="0" collapsed="false">
      <c r="B24" s="10" t="s">
        <v>173</v>
      </c>
      <c r="C24" s="11" t="n">
        <v>352</v>
      </c>
      <c r="D24" s="11" t="n">
        <v>395</v>
      </c>
      <c r="E24" s="11" t="n">
        <v>450</v>
      </c>
      <c r="F24" s="30" t="n">
        <v>513</v>
      </c>
      <c r="G24" s="30" t="n">
        <v>577</v>
      </c>
      <c r="H24" s="30" t="n">
        <v>642</v>
      </c>
      <c r="I24" s="30" t="n">
        <v>706</v>
      </c>
      <c r="J24" s="30" t="n">
        <v>770</v>
      </c>
    </row>
    <row r="25" customFormat="false" ht="15" hidden="false" customHeight="true" outlineLevel="0" collapsed="false">
      <c r="B25" s="10" t="s">
        <v>174</v>
      </c>
      <c r="C25" s="11" t="n">
        <v>437</v>
      </c>
      <c r="D25" s="11" t="n">
        <v>822</v>
      </c>
      <c r="E25" s="11" t="n">
        <v>1542</v>
      </c>
      <c r="F25" s="30" t="n">
        <v>1958</v>
      </c>
      <c r="G25" s="30" t="n">
        <v>2368</v>
      </c>
      <c r="H25" s="30" t="n">
        <v>2770</v>
      </c>
      <c r="I25" s="30" t="n">
        <v>3148</v>
      </c>
      <c r="J25" s="30" t="n">
        <v>3513</v>
      </c>
    </row>
    <row r="26" customFormat="false" ht="15" hidden="false" customHeight="true" outlineLevel="0" collapsed="false">
      <c r="B26" s="10" t="s">
        <v>175</v>
      </c>
      <c r="C26" s="46" t="n">
        <v>2160</v>
      </c>
      <c r="D26" s="46" t="n">
        <v>2702</v>
      </c>
      <c r="E26" s="46" t="n">
        <v>3841</v>
      </c>
      <c r="F26" s="17" t="n">
        <f aca="false">F23+F24+F25</f>
        <v>4635</v>
      </c>
      <c r="G26" s="17" t="n">
        <f aca="false">G23+G24+G25</f>
        <v>5429</v>
      </c>
      <c r="H26" s="17" t="n">
        <f aca="false">H23+H24+H25</f>
        <v>6218</v>
      </c>
      <c r="I26" s="17" t="n">
        <f aca="false">I23+I24+I25</f>
        <v>6988</v>
      </c>
      <c r="J26" s="17" t="n">
        <f aca="false">J23+J24+J25</f>
        <v>7730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52"/>
    <col collapsed="false" customWidth="true" hidden="false" outlineLevel="0" max="11" min="3" style="1" width="13"/>
  </cols>
  <sheetData>
    <row r="1" customFormat="false" ht="19.5" hidden="false" customHeight="true" outlineLevel="0" collapsed="false">
      <c r="A1" s="2" t="s">
        <v>0</v>
      </c>
      <c r="B1" s="3"/>
      <c r="C1" s="4" t="s">
        <v>1</v>
      </c>
      <c r="D1" s="4" t="s">
        <v>1</v>
      </c>
      <c r="E1" s="4" t="s">
        <v>1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</row>
    <row r="2" customFormat="false" ht="15" hidden="false" customHeight="true" outlineLevel="0" collapsed="false">
      <c r="A2" s="5" t="s">
        <v>3</v>
      </c>
      <c r="B2" s="3"/>
      <c r="C2" s="6" t="n">
        <v>2023</v>
      </c>
      <c r="D2" s="6" t="n">
        <v>2024</v>
      </c>
      <c r="E2" s="6" t="n">
        <v>2025</v>
      </c>
      <c r="F2" s="6" t="n">
        <v>2026</v>
      </c>
      <c r="G2" s="6" t="n">
        <v>2027</v>
      </c>
      <c r="H2" s="6" t="n">
        <v>2028</v>
      </c>
      <c r="I2" s="6" t="n">
        <v>2029</v>
      </c>
      <c r="J2" s="6" t="n">
        <v>2030</v>
      </c>
    </row>
    <row r="4" customFormat="false" ht="15" hidden="false" customHeight="true" outlineLevel="0" collapsed="false">
      <c r="A4" s="7" t="s">
        <v>176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B5" s="10" t="s">
        <v>177</v>
      </c>
      <c r="F5" s="30" t="n">
        <v>416</v>
      </c>
      <c r="G5" s="19" t="n">
        <f aca="false">F8</f>
        <v>436</v>
      </c>
      <c r="H5" s="19" t="n">
        <f aca="false">G8</f>
        <v>446</v>
      </c>
      <c r="I5" s="19" t="n">
        <f aca="false">H8</f>
        <v>446</v>
      </c>
      <c r="J5" s="19" t="n">
        <f aca="false">I8</f>
        <v>436</v>
      </c>
    </row>
    <row r="6" customFormat="false" ht="15" hidden="false" customHeight="true" outlineLevel="0" collapsed="false">
      <c r="B6" s="10" t="s">
        <v>178</v>
      </c>
      <c r="F6" s="56" t="n">
        <f aca="false">Assumptions!F89</f>
        <v>260</v>
      </c>
      <c r="G6" s="56" t="n">
        <f aca="false">Assumptions!G89</f>
        <v>290</v>
      </c>
      <c r="H6" s="56" t="n">
        <f aca="false">Assumptions!H89</f>
        <v>315</v>
      </c>
      <c r="I6" s="56" t="n">
        <f aca="false">Assumptions!I89</f>
        <v>340</v>
      </c>
      <c r="J6" s="56" t="n">
        <f aca="false">Assumptions!J89</f>
        <v>365</v>
      </c>
    </row>
    <row r="7" customFormat="false" ht="15" hidden="false" customHeight="true" outlineLevel="0" collapsed="false">
      <c r="B7" s="10" t="s">
        <v>179</v>
      </c>
      <c r="F7" s="56" t="n">
        <f aca="false">Assumptions!F88</f>
        <v>280</v>
      </c>
      <c r="G7" s="56" t="n">
        <f aca="false">Assumptions!G88</f>
        <v>300</v>
      </c>
      <c r="H7" s="56" t="n">
        <f aca="false">Assumptions!H88</f>
        <v>315</v>
      </c>
      <c r="I7" s="56" t="n">
        <f aca="false">Assumptions!I88</f>
        <v>330</v>
      </c>
      <c r="J7" s="56" t="n">
        <f aca="false">Assumptions!J88</f>
        <v>345</v>
      </c>
    </row>
    <row r="8" customFormat="false" ht="15" hidden="false" customHeight="true" outlineLevel="0" collapsed="false">
      <c r="B8" s="10" t="s">
        <v>180</v>
      </c>
      <c r="E8" s="57" t="n">
        <v>416</v>
      </c>
      <c r="F8" s="17" t="n">
        <f aca="false">F5-F6+F7</f>
        <v>436</v>
      </c>
      <c r="G8" s="17" t="n">
        <f aca="false">G5-G6+G7</f>
        <v>446</v>
      </c>
      <c r="H8" s="17" t="n">
        <f aca="false">H5-H6+H7</f>
        <v>446</v>
      </c>
      <c r="I8" s="17" t="n">
        <f aca="false">I5-I6+I7</f>
        <v>436</v>
      </c>
      <c r="J8" s="17" t="n">
        <f aca="false">J5-J6+J7</f>
        <v>416</v>
      </c>
    </row>
    <row r="10" customFormat="false" ht="15" hidden="false" customHeight="true" outlineLevel="0" collapsed="false">
      <c r="A10" s="7" t="s">
        <v>181</v>
      </c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true" outlineLevel="0" collapsed="false">
      <c r="B11" s="10" t="s">
        <v>177</v>
      </c>
      <c r="F11" s="30" t="n">
        <v>-824</v>
      </c>
      <c r="G11" s="19" t="n">
        <f aca="false">F14</f>
        <v>314</v>
      </c>
      <c r="H11" s="19" t="n">
        <f aca="false">G14</f>
        <v>1717</v>
      </c>
      <c r="I11" s="19" t="n">
        <f aca="false">H14</f>
        <v>3368</v>
      </c>
      <c r="J11" s="19" t="n">
        <f aca="false">I14</f>
        <v>5290</v>
      </c>
    </row>
    <row r="12" customFormat="false" ht="15" hidden="false" customHeight="true" outlineLevel="0" collapsed="false">
      <c r="B12" s="10" t="s">
        <v>182</v>
      </c>
      <c r="F12" s="30" t="n">
        <v>0</v>
      </c>
      <c r="G12" s="30" t="n">
        <v>0</v>
      </c>
      <c r="H12" s="30" t="n">
        <v>0</v>
      </c>
      <c r="I12" s="30" t="n">
        <v>0</v>
      </c>
      <c r="J12" s="30" t="n">
        <v>0</v>
      </c>
    </row>
    <row r="13" customFormat="false" ht="15" hidden="false" customHeight="true" outlineLevel="0" collapsed="false">
      <c r="B13" s="10" t="s">
        <v>183</v>
      </c>
      <c r="F13" s="56" t="n">
        <f aca="false">ROUND((Assumptions!F44-Assumptions!F49-Assumptions!F66)*(1-Assumptions!F72),0)</f>
        <v>1138</v>
      </c>
      <c r="G13" s="56" t="n">
        <f aca="false">ROUND((Assumptions!G44-Assumptions!G49-Assumptions!G66)*(1-Assumptions!G72),0)</f>
        <v>1403</v>
      </c>
      <c r="H13" s="56" t="n">
        <f aca="false">ROUND((Assumptions!H44-Assumptions!H49-Assumptions!H66)*(1-Assumptions!H72),0)</f>
        <v>1651</v>
      </c>
      <c r="I13" s="56" t="n">
        <f aca="false">ROUND((Assumptions!I44-Assumptions!I49-Assumptions!I66)*(1-Assumptions!I72),0)</f>
        <v>1922</v>
      </c>
      <c r="J13" s="56" t="n">
        <f aca="false">ROUND((Assumptions!J44-Assumptions!J49-Assumptions!J66)*(1-Assumptions!J72),0)</f>
        <v>2202</v>
      </c>
      <c r="K13" s="13" t="s">
        <v>184</v>
      </c>
    </row>
    <row r="14" customFormat="false" ht="15" hidden="false" customHeight="true" outlineLevel="0" collapsed="false">
      <c r="B14" s="10" t="s">
        <v>180</v>
      </c>
      <c r="E14" s="57" t="n">
        <v>-824</v>
      </c>
      <c r="F14" s="17" t="n">
        <f aca="false">F11+F13-F12</f>
        <v>314</v>
      </c>
      <c r="G14" s="17" t="n">
        <f aca="false">G11+G13-G12</f>
        <v>1717</v>
      </c>
      <c r="H14" s="17" t="n">
        <f aca="false">H11+H13-H12</f>
        <v>3368</v>
      </c>
      <c r="I14" s="17" t="n">
        <f aca="false">I11+I13-I12</f>
        <v>5290</v>
      </c>
      <c r="J14" s="17" t="n">
        <f aca="false">J11+J13-J12</f>
        <v>7492</v>
      </c>
    </row>
    <row r="16" customFormat="false" ht="15" hidden="false" customHeight="true" outlineLevel="0" collapsed="false">
      <c r="A16" s="7" t="s">
        <v>185</v>
      </c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true" outlineLevel="0" collapsed="false">
      <c r="B17" s="10" t="s">
        <v>177</v>
      </c>
      <c r="F17" s="30" t="n">
        <v>1815</v>
      </c>
      <c r="G17" s="19" t="n">
        <f aca="false">F20</f>
        <v>1515</v>
      </c>
      <c r="H17" s="19" t="n">
        <f aca="false">G20</f>
        <v>1315</v>
      </c>
      <c r="I17" s="19" t="n">
        <f aca="false">H20</f>
        <v>1165</v>
      </c>
      <c r="J17" s="19" t="n">
        <f aca="false">I20</f>
        <v>1065</v>
      </c>
    </row>
    <row r="18" customFormat="false" ht="15" hidden="false" customHeight="true" outlineLevel="0" collapsed="false">
      <c r="B18" s="10" t="s">
        <v>186</v>
      </c>
      <c r="F18" s="30" t="n">
        <v>0</v>
      </c>
      <c r="G18" s="30" t="n">
        <v>0</v>
      </c>
      <c r="H18" s="30" t="n">
        <v>0</v>
      </c>
      <c r="I18" s="30" t="n">
        <v>0</v>
      </c>
      <c r="J18" s="30" t="n">
        <v>0</v>
      </c>
    </row>
    <row r="19" customFormat="false" ht="15" hidden="false" customHeight="true" outlineLevel="0" collapsed="false">
      <c r="B19" s="10" t="s">
        <v>187</v>
      </c>
      <c r="F19" s="56" t="n">
        <f aca="false">Assumptions!F95</f>
        <v>-300</v>
      </c>
      <c r="G19" s="56" t="n">
        <f aca="false">Assumptions!G95</f>
        <v>-200</v>
      </c>
      <c r="H19" s="56" t="n">
        <f aca="false">Assumptions!H95</f>
        <v>-150</v>
      </c>
      <c r="I19" s="56" t="n">
        <f aca="false">Assumptions!I95</f>
        <v>-100</v>
      </c>
      <c r="J19" s="56" t="n">
        <f aca="false">Assumptions!J95</f>
        <v>-50</v>
      </c>
    </row>
    <row r="20" customFormat="false" ht="15" hidden="false" customHeight="true" outlineLevel="0" collapsed="false">
      <c r="B20" s="10" t="s">
        <v>180</v>
      </c>
      <c r="E20" s="57" t="n">
        <v>1815</v>
      </c>
      <c r="F20" s="58" t="n">
        <f aca="false">F17+F18+F19</f>
        <v>1515</v>
      </c>
      <c r="G20" s="58" t="n">
        <f aca="false">G17+G18+G19</f>
        <v>1315</v>
      </c>
      <c r="H20" s="58" t="n">
        <f aca="false">H17+H18+H19</f>
        <v>1165</v>
      </c>
      <c r="I20" s="58" t="n">
        <f aca="false">I17+I18+I19</f>
        <v>1065</v>
      </c>
      <c r="J20" s="58" t="n">
        <f aca="false">J17+J18+J19</f>
        <v>1015</v>
      </c>
    </row>
    <row r="22" customFormat="false" ht="15" hidden="false" customHeight="true" outlineLevel="0" collapsed="false">
      <c r="A22" s="7" t="s">
        <v>188</v>
      </c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true" outlineLevel="0" collapsed="false">
      <c r="B23" s="10" t="s">
        <v>189</v>
      </c>
      <c r="F23" s="51" t="n">
        <f aca="false">Assumptions!F11</f>
        <v>43133</v>
      </c>
      <c r="G23" s="51" t="n">
        <f aca="false">Assumptions!G11</f>
        <v>53632</v>
      </c>
      <c r="H23" s="51" t="n">
        <f aca="false">Assumptions!H11</f>
        <v>62902</v>
      </c>
      <c r="I23" s="51" t="n">
        <f aca="false">Assumptions!I11</f>
        <v>71433</v>
      </c>
      <c r="J23" s="51" t="n">
        <f aca="false">Assumptions!J11</f>
        <v>79341</v>
      </c>
    </row>
    <row r="24" customFormat="false" ht="15" hidden="false" customHeight="true" outlineLevel="0" collapsed="false">
      <c r="B24" s="10" t="s">
        <v>190</v>
      </c>
      <c r="F24" s="52" t="n">
        <f aca="false">Assumptions!F12</f>
        <v>0.031</v>
      </c>
      <c r="G24" s="52" t="n">
        <f aca="false">Assumptions!G12</f>
        <v>0.029</v>
      </c>
      <c r="H24" s="52" t="n">
        <f aca="false">Assumptions!H12</f>
        <v>0.0275</v>
      </c>
      <c r="I24" s="52" t="n">
        <f aca="false">Assumptions!I12</f>
        <v>0.026</v>
      </c>
      <c r="J24" s="52" t="n">
        <f aca="false">Assumptions!J12</f>
        <v>0.025</v>
      </c>
    </row>
    <row r="25" customFormat="false" ht="15" hidden="false" customHeight="true" outlineLevel="0" collapsed="false">
      <c r="B25" s="10" t="s">
        <v>191</v>
      </c>
      <c r="F25" s="19" t="n">
        <f aca="false">F23*F24</f>
        <v>1337.123</v>
      </c>
      <c r="G25" s="19" t="n">
        <f aca="false">G23*G24</f>
        <v>1555.328</v>
      </c>
      <c r="H25" s="19" t="n">
        <f aca="false">H23*H24</f>
        <v>1729.805</v>
      </c>
      <c r="I25" s="19" t="n">
        <f aca="false">I23*I24</f>
        <v>1857.258</v>
      </c>
      <c r="J25" s="19" t="n">
        <f aca="false">J23*J24</f>
        <v>1983.525</v>
      </c>
    </row>
    <row r="26" customFormat="false" ht="15" hidden="false" customHeight="true" outlineLevel="0" collapsed="false">
      <c r="B26" s="10" t="s">
        <v>18</v>
      </c>
      <c r="F26" s="51" t="n">
        <f aca="false">Assumptions!F14</f>
        <v>1665</v>
      </c>
      <c r="G26" s="51" t="n">
        <f aca="false">Assumptions!G14</f>
        <v>1415</v>
      </c>
      <c r="H26" s="51" t="n">
        <f aca="false">Assumptions!H14</f>
        <v>1240</v>
      </c>
      <c r="I26" s="51" t="n">
        <f aca="false">Assumptions!I14</f>
        <v>1115</v>
      </c>
      <c r="J26" s="51" t="n">
        <f aca="false">Assumptions!J14</f>
        <v>1040</v>
      </c>
    </row>
    <row r="27" customFormat="false" ht="15" hidden="false" customHeight="true" outlineLevel="0" collapsed="false">
      <c r="B27" s="10" t="s">
        <v>192</v>
      </c>
      <c r="F27" s="52" t="n">
        <f aca="false">Assumptions!F15</f>
        <v>0.038</v>
      </c>
      <c r="G27" s="52" t="n">
        <f aca="false">Assumptions!G15</f>
        <v>0.036</v>
      </c>
      <c r="H27" s="52" t="n">
        <f aca="false">Assumptions!H15</f>
        <v>0.035</v>
      </c>
      <c r="I27" s="52" t="n">
        <f aca="false">Assumptions!I15</f>
        <v>0.034</v>
      </c>
      <c r="J27" s="52" t="n">
        <f aca="false">Assumptions!J15</f>
        <v>0.033</v>
      </c>
    </row>
    <row r="28" customFormat="false" ht="15" hidden="false" customHeight="true" outlineLevel="0" collapsed="false">
      <c r="B28" s="10" t="s">
        <v>193</v>
      </c>
      <c r="F28" s="19" t="n">
        <f aca="false">F26*F27</f>
        <v>63.27</v>
      </c>
      <c r="G28" s="19" t="n">
        <f aca="false">G26*G27</f>
        <v>50.94</v>
      </c>
      <c r="H28" s="19" t="n">
        <f aca="false">H26*H27</f>
        <v>43.4</v>
      </c>
      <c r="I28" s="19" t="n">
        <f aca="false">I26*I27</f>
        <v>37.91</v>
      </c>
      <c r="J28" s="19" t="n">
        <f aca="false">J26*J27</f>
        <v>34.32</v>
      </c>
    </row>
    <row r="29" customFormat="false" ht="15" hidden="false" customHeight="true" outlineLevel="0" collapsed="false">
      <c r="B29" s="10" t="s">
        <v>160</v>
      </c>
      <c r="F29" s="17" t="n">
        <f aca="false">F28+F25</f>
        <v>1400.393</v>
      </c>
      <c r="G29" s="17" t="n">
        <f aca="false">G28+G25</f>
        <v>1606.268</v>
      </c>
      <c r="H29" s="17" t="n">
        <f aca="false">H28+H25</f>
        <v>1773.205</v>
      </c>
      <c r="I29" s="17" t="n">
        <f aca="false">I28+I25</f>
        <v>1895.168</v>
      </c>
      <c r="J29" s="17" t="n">
        <f aca="false">J28+J25</f>
        <v>2017.845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6" min="2" style="1" width="14"/>
  </cols>
  <sheetData>
    <row r="1" customFormat="false" ht="15" hidden="false" customHeight="true" outlineLevel="0" collapsed="false">
      <c r="A1" s="59" t="s">
        <v>0</v>
      </c>
    </row>
    <row r="2" customFormat="false" ht="15" hidden="false" customHeight="true" outlineLevel="0" collapsed="false">
      <c r="A2" s="60" t="s">
        <v>194</v>
      </c>
      <c r="B2" s="61" t="s">
        <v>195</v>
      </c>
      <c r="C2" s="61" t="s">
        <v>196</v>
      </c>
      <c r="D2" s="61" t="s">
        <v>197</v>
      </c>
      <c r="E2" s="61" t="s">
        <v>198</v>
      </c>
      <c r="F2" s="61" t="s">
        <v>199</v>
      </c>
    </row>
    <row r="4" customFormat="false" ht="15" hidden="false" customHeight="true" outlineLevel="0" collapsed="false">
      <c r="A4" s="62" t="s">
        <v>200</v>
      </c>
    </row>
    <row r="5" customFormat="false" ht="15" hidden="false" customHeight="true" outlineLevel="0" collapsed="false">
      <c r="A5" s="63" t="s">
        <v>201</v>
      </c>
      <c r="B5" s="64" t="n">
        <v>352</v>
      </c>
      <c r="C5" s="64" t="n">
        <v>760</v>
      </c>
      <c r="D5" s="64" t="n">
        <v>1944</v>
      </c>
      <c r="E5" s="64" t="n">
        <v>2602</v>
      </c>
      <c r="F5" s="64" t="n">
        <v>3146</v>
      </c>
    </row>
    <row r="6" customFormat="false" ht="15" hidden="false" customHeight="true" outlineLevel="0" collapsed="false">
      <c r="A6" s="63" t="s">
        <v>202</v>
      </c>
      <c r="B6" s="64" t="n">
        <v>3</v>
      </c>
      <c r="C6" s="64" t="n">
        <v>14</v>
      </c>
      <c r="D6" s="64" t="n">
        <v>107</v>
      </c>
      <c r="E6" s="64" t="n">
        <v>206</v>
      </c>
      <c r="F6" s="64" t="n">
        <v>229</v>
      </c>
    </row>
    <row r="7" customFormat="false" ht="15" hidden="false" customHeight="true" outlineLevel="0" collapsed="false">
      <c r="A7" s="65" t="s">
        <v>159</v>
      </c>
      <c r="B7" s="66" t="n">
        <v>355</v>
      </c>
      <c r="C7" s="66" t="n">
        <v>773</v>
      </c>
      <c r="D7" s="66" t="n">
        <v>2051</v>
      </c>
      <c r="E7" s="66" t="n">
        <v>2808</v>
      </c>
      <c r="F7" s="66" t="n">
        <v>3375</v>
      </c>
    </row>
    <row r="9" customFormat="false" ht="15" hidden="false" customHeight="true" outlineLevel="0" collapsed="false">
      <c r="A9" s="62" t="s">
        <v>203</v>
      </c>
    </row>
    <row r="10" customFormat="false" ht="15" hidden="false" customHeight="true" outlineLevel="0" collapsed="false">
      <c r="A10" s="63" t="s">
        <v>204</v>
      </c>
      <c r="B10" s="64" t="n">
        <v>90</v>
      </c>
      <c r="C10" s="64" t="n">
        <v>110</v>
      </c>
      <c r="D10" s="64" t="n">
        <v>244</v>
      </c>
      <c r="E10" s="64" t="n">
        <v>112</v>
      </c>
      <c r="F10" s="64" t="n">
        <v>96</v>
      </c>
    </row>
    <row r="11" customFormat="false" ht="15" hidden="false" customHeight="true" outlineLevel="0" collapsed="false">
      <c r="A11" s="63" t="s">
        <v>205</v>
      </c>
      <c r="B11" s="64" t="n">
        <v>0</v>
      </c>
      <c r="C11" s="64" t="n">
        <v>60</v>
      </c>
      <c r="D11" s="64" t="n">
        <v>508</v>
      </c>
      <c r="E11" s="64" t="n">
        <v>930</v>
      </c>
      <c r="F11" s="64" t="n">
        <v>1014</v>
      </c>
    </row>
    <row r="12" customFormat="false" ht="15" hidden="false" customHeight="true" outlineLevel="0" collapsed="false">
      <c r="A12" s="63" t="s">
        <v>206</v>
      </c>
      <c r="B12" s="64" t="n">
        <v>10</v>
      </c>
      <c r="C12" s="64" t="n">
        <v>18</v>
      </c>
      <c r="D12" s="64" t="n">
        <v>37</v>
      </c>
      <c r="E12" s="64" t="n">
        <v>48</v>
      </c>
      <c r="F12" s="64" t="n">
        <v>46</v>
      </c>
    </row>
    <row r="13" customFormat="false" ht="15" hidden="false" customHeight="true" outlineLevel="0" collapsed="false">
      <c r="A13" s="63" t="s">
        <v>207</v>
      </c>
      <c r="B13" s="64" t="n">
        <v>2</v>
      </c>
      <c r="C13" s="64" t="n">
        <v>1</v>
      </c>
      <c r="D13" s="64" t="n">
        <v>0</v>
      </c>
      <c r="E13" s="64" t="n">
        <v>0</v>
      </c>
      <c r="F13" s="64" t="n">
        <v>1</v>
      </c>
    </row>
    <row r="14" customFormat="false" ht="15" hidden="false" customHeight="true" outlineLevel="0" collapsed="false">
      <c r="A14" s="65" t="s">
        <v>160</v>
      </c>
      <c r="B14" s="66" t="n">
        <v>103</v>
      </c>
      <c r="C14" s="66" t="n">
        <v>189</v>
      </c>
      <c r="D14" s="66" t="n">
        <v>789</v>
      </c>
      <c r="E14" s="66" t="n">
        <v>1091</v>
      </c>
      <c r="F14" s="66" t="n">
        <v>1156</v>
      </c>
    </row>
    <row r="16" customFormat="false" ht="15" hidden="false" customHeight="true" outlineLevel="0" collapsed="false">
      <c r="A16" s="65" t="s">
        <v>161</v>
      </c>
      <c r="B16" s="66" t="n">
        <v>252</v>
      </c>
      <c r="C16" s="66" t="n">
        <v>584</v>
      </c>
      <c r="D16" s="66" t="n">
        <v>1262</v>
      </c>
      <c r="E16" s="66" t="n">
        <v>1716</v>
      </c>
      <c r="F16" s="66" t="n">
        <v>2219</v>
      </c>
    </row>
    <row r="18" customFormat="false" ht="15" hidden="false" customHeight="true" outlineLevel="0" collapsed="false">
      <c r="A18" s="62" t="s">
        <v>208</v>
      </c>
    </row>
    <row r="19" customFormat="false" ht="15" hidden="false" customHeight="true" outlineLevel="0" collapsed="false">
      <c r="A19" s="63" t="s">
        <v>209</v>
      </c>
      <c r="B19" s="64" t="n">
        <v>480</v>
      </c>
      <c r="C19" s="64" t="n">
        <v>609</v>
      </c>
      <c r="D19" s="64" t="n">
        <v>409</v>
      </c>
      <c r="E19" s="64" t="n">
        <v>278</v>
      </c>
      <c r="F19" s="64" t="n">
        <v>243</v>
      </c>
    </row>
    <row r="20" customFormat="false" ht="15" hidden="false" customHeight="true" outlineLevel="0" collapsed="false">
      <c r="A20" s="63" t="s">
        <v>210</v>
      </c>
      <c r="B20" s="64" t="n">
        <v>192</v>
      </c>
      <c r="C20" s="64" t="n">
        <v>305</v>
      </c>
      <c r="D20" s="64" t="n">
        <v>324</v>
      </c>
      <c r="E20" s="64" t="n">
        <v>351</v>
      </c>
      <c r="F20" s="64" t="n">
        <v>361</v>
      </c>
    </row>
    <row r="21" customFormat="false" ht="15" hidden="false" customHeight="true" outlineLevel="0" collapsed="false">
      <c r="A21" s="63" t="s">
        <v>211</v>
      </c>
      <c r="B21" s="64" t="n">
        <v>0</v>
      </c>
      <c r="C21" s="64" t="n">
        <v>0</v>
      </c>
      <c r="D21" s="64" t="n">
        <v>34</v>
      </c>
      <c r="E21" s="64" t="n">
        <v>142</v>
      </c>
      <c r="F21" s="64" t="n">
        <v>576</v>
      </c>
    </row>
    <row r="22" customFormat="false" ht="15" hidden="false" customHeight="true" outlineLevel="0" collapsed="false">
      <c r="A22" s="63" t="s">
        <v>212</v>
      </c>
      <c r="B22" s="64" t="n">
        <v>60</v>
      </c>
      <c r="C22" s="64" t="n">
        <v>76</v>
      </c>
      <c r="D22" s="64" t="n">
        <v>128</v>
      </c>
      <c r="E22" s="64" t="n">
        <v>188</v>
      </c>
      <c r="F22" s="64" t="n">
        <v>215</v>
      </c>
    </row>
    <row r="23" customFormat="false" ht="15" hidden="false" customHeight="true" outlineLevel="0" collapsed="false">
      <c r="A23" s="65" t="s">
        <v>168</v>
      </c>
      <c r="B23" s="66" t="n">
        <v>733</v>
      </c>
      <c r="C23" s="66" t="n">
        <v>989</v>
      </c>
      <c r="D23" s="66" t="n">
        <v>861</v>
      </c>
      <c r="E23" s="66" t="n">
        <v>958</v>
      </c>
      <c r="F23" s="66" t="n">
        <v>1394</v>
      </c>
    </row>
    <row r="25" customFormat="false" ht="15" hidden="false" customHeight="true" outlineLevel="0" collapsed="false">
      <c r="A25" s="65" t="s">
        <v>169</v>
      </c>
      <c r="B25" s="66" t="n">
        <v>985</v>
      </c>
      <c r="C25" s="66" t="n">
        <v>1574</v>
      </c>
      <c r="D25" s="66" t="n">
        <v>2123</v>
      </c>
      <c r="E25" s="66" t="n">
        <v>2675</v>
      </c>
      <c r="F25" s="66" t="n">
        <v>3613</v>
      </c>
    </row>
    <row r="27" customFormat="false" ht="15" hidden="false" customHeight="true" outlineLevel="0" collapsed="false">
      <c r="A27" s="63" t="s">
        <v>213</v>
      </c>
      <c r="B27" s="64" t="n">
        <v>8</v>
      </c>
      <c r="C27" s="64" t="n">
        <v>54</v>
      </c>
      <c r="D27" s="64" t="n">
        <v>55</v>
      </c>
      <c r="E27" s="64" t="n">
        <v>32</v>
      </c>
      <c r="F27" s="64" t="n">
        <v>30</v>
      </c>
    </row>
    <row r="29" customFormat="false" ht="15" hidden="false" customHeight="true" outlineLevel="0" collapsed="false">
      <c r="A29" s="62" t="s">
        <v>214</v>
      </c>
    </row>
    <row r="30" customFormat="false" ht="15" hidden="false" customHeight="true" outlineLevel="0" collapsed="false">
      <c r="A30" s="63" t="s">
        <v>215</v>
      </c>
      <c r="B30" s="64" t="n">
        <v>276</v>
      </c>
      <c r="C30" s="64" t="n">
        <v>405</v>
      </c>
      <c r="D30" s="64" t="n">
        <v>511</v>
      </c>
      <c r="E30" s="64" t="n">
        <v>552</v>
      </c>
      <c r="F30" s="64" t="n">
        <v>648</v>
      </c>
    </row>
    <row r="31" customFormat="false" ht="15" hidden="false" customHeight="true" outlineLevel="0" collapsed="false">
      <c r="A31" s="63" t="s">
        <v>216</v>
      </c>
      <c r="B31" s="64" t="n">
        <v>427</v>
      </c>
      <c r="C31" s="64" t="n">
        <v>618</v>
      </c>
      <c r="D31" s="64" t="n">
        <v>719</v>
      </c>
      <c r="E31" s="64" t="n">
        <v>796</v>
      </c>
      <c r="F31" s="64" t="n">
        <v>1095</v>
      </c>
    </row>
    <row r="32" customFormat="false" ht="15" hidden="false" customHeight="true" outlineLevel="0" collapsed="false">
      <c r="A32" s="63" t="s">
        <v>217</v>
      </c>
      <c r="B32" s="64" t="n">
        <v>257</v>
      </c>
      <c r="C32" s="64" t="n">
        <v>313</v>
      </c>
      <c r="D32" s="64" t="n">
        <v>380</v>
      </c>
      <c r="E32" s="64" t="n">
        <v>462</v>
      </c>
      <c r="F32" s="64" t="n">
        <v>609</v>
      </c>
    </row>
    <row r="33" customFormat="false" ht="15" hidden="false" customHeight="true" outlineLevel="0" collapsed="false">
      <c r="A33" s="63" t="s">
        <v>218</v>
      </c>
      <c r="B33" s="64" t="n">
        <v>499</v>
      </c>
      <c r="C33" s="64" t="n">
        <v>502</v>
      </c>
      <c r="D33" s="64" t="n">
        <v>511</v>
      </c>
      <c r="E33" s="64" t="n">
        <v>600</v>
      </c>
      <c r="F33" s="64" t="n">
        <v>704</v>
      </c>
    </row>
    <row r="34" customFormat="false" ht="15" hidden="false" customHeight="true" outlineLevel="0" collapsed="false">
      <c r="A34" s="63" t="s">
        <v>219</v>
      </c>
      <c r="B34" s="64" t="n">
        <v>0</v>
      </c>
      <c r="C34" s="64" t="n">
        <v>0</v>
      </c>
      <c r="D34" s="64" t="n">
        <v>247</v>
      </c>
      <c r="E34" s="64" t="n">
        <v>0</v>
      </c>
      <c r="F34" s="64" t="n">
        <v>0</v>
      </c>
    </row>
    <row r="35" customFormat="false" ht="15" hidden="false" customHeight="true" outlineLevel="0" collapsed="false">
      <c r="A35" s="65" t="s">
        <v>220</v>
      </c>
      <c r="B35" s="66" t="n">
        <v>1458</v>
      </c>
      <c r="C35" s="66" t="n">
        <v>1838</v>
      </c>
      <c r="D35" s="66" t="n">
        <v>2369</v>
      </c>
      <c r="E35" s="66" t="n">
        <v>2410</v>
      </c>
      <c r="F35" s="66" t="n">
        <v>3057</v>
      </c>
    </row>
    <row r="37" customFormat="false" ht="15" hidden="false" customHeight="true" outlineLevel="0" collapsed="false">
      <c r="A37" s="65" t="s">
        <v>221</v>
      </c>
      <c r="B37" s="66" t="n">
        <v>-481</v>
      </c>
      <c r="C37" s="66" t="n">
        <v>-319</v>
      </c>
      <c r="D37" s="66" t="n">
        <v>-301</v>
      </c>
      <c r="E37" s="66" t="n">
        <v>233</v>
      </c>
      <c r="F37" s="66" t="n">
        <v>526</v>
      </c>
    </row>
    <row r="38" customFormat="false" ht="15" hidden="false" customHeight="true" outlineLevel="0" collapsed="false">
      <c r="A38" s="63" t="s">
        <v>222</v>
      </c>
      <c r="B38" s="64" t="n">
        <v>-3</v>
      </c>
      <c r="C38" s="64" t="n">
        <v>-2</v>
      </c>
      <c r="D38" s="64" t="n">
        <v>0</v>
      </c>
      <c r="E38" s="64" t="n">
        <v>265</v>
      </c>
      <c r="F38" s="64" t="n">
        <v>-45</v>
      </c>
    </row>
    <row r="39" customFormat="false" ht="15" hidden="false" customHeight="true" outlineLevel="0" collapsed="false">
      <c r="A39" s="65" t="s">
        <v>223</v>
      </c>
      <c r="B39" s="66" t="n">
        <v>-484</v>
      </c>
      <c r="C39" s="66" t="n">
        <v>-320</v>
      </c>
      <c r="D39" s="66" t="n">
        <v>-301</v>
      </c>
      <c r="E39" s="66" t="n">
        <v>499</v>
      </c>
      <c r="F39" s="66" t="n">
        <v>481</v>
      </c>
    </row>
    <row r="41" customFormat="false" ht="15" hidden="false" customHeight="true" outlineLevel="0" collapsed="false">
      <c r="A41" s="62" t="s">
        <v>224</v>
      </c>
    </row>
    <row r="42" customFormat="false" ht="15" hidden="false" customHeight="true" outlineLevel="0" collapsed="false">
      <c r="A42" s="63" t="s">
        <v>225</v>
      </c>
      <c r="B42" s="64" t="n">
        <v>-1</v>
      </c>
      <c r="C42" s="64" t="n">
        <v>-7</v>
      </c>
      <c r="D42" s="64" t="n">
        <v>6</v>
      </c>
      <c r="E42" s="64" t="n">
        <v>-7</v>
      </c>
      <c r="F42" s="64" t="n">
        <v>20</v>
      </c>
    </row>
    <row r="43" customFormat="false" ht="15" hidden="false" customHeight="true" outlineLevel="0" collapsed="false">
      <c r="A43" s="63" t="s">
        <v>226</v>
      </c>
      <c r="B43" s="64" t="n">
        <v>0</v>
      </c>
      <c r="C43" s="64" t="n">
        <v>0</v>
      </c>
      <c r="D43" s="64" t="n">
        <v>1</v>
      </c>
      <c r="E43" s="64" t="n">
        <v>0</v>
      </c>
      <c r="F43" s="64" t="n">
        <v>0</v>
      </c>
    </row>
    <row r="44" customFormat="false" ht="15" hidden="false" customHeight="true" outlineLevel="0" collapsed="false">
      <c r="A44" s="65" t="s">
        <v>227</v>
      </c>
      <c r="B44" s="66" t="n">
        <v>-1</v>
      </c>
      <c r="C44" s="66" t="n">
        <v>-7</v>
      </c>
      <c r="D44" s="66" t="n">
        <v>7</v>
      </c>
      <c r="E44" s="66" t="n">
        <v>-7</v>
      </c>
      <c r="F44" s="66" t="n">
        <v>19</v>
      </c>
    </row>
    <row r="45" customFormat="false" ht="15" hidden="false" customHeight="true" outlineLevel="0" collapsed="false">
      <c r="A45" s="65" t="s">
        <v>228</v>
      </c>
      <c r="B45" s="66" t="n">
        <v>-485</v>
      </c>
      <c r="C45" s="66" t="n">
        <v>-327</v>
      </c>
      <c r="D45" s="66" t="n">
        <v>-294</v>
      </c>
      <c r="E45" s="66" t="n">
        <v>492</v>
      </c>
      <c r="F45" s="66" t="n">
        <v>501</v>
      </c>
    </row>
    <row r="47" customFormat="false" ht="15" hidden="false" customHeight="true" outlineLevel="0" collapsed="false">
      <c r="A47" s="62" t="s">
        <v>229</v>
      </c>
    </row>
    <row r="48" customFormat="false" ht="15" hidden="false" customHeight="true" outlineLevel="0" collapsed="false">
      <c r="A48" s="63" t="s">
        <v>230</v>
      </c>
      <c r="B48" s="67" t="n">
        <v>-1</v>
      </c>
      <c r="C48" s="67" t="n">
        <v>-0.4</v>
      </c>
      <c r="D48" s="67" t="n">
        <v>-0.36</v>
      </c>
      <c r="E48" s="67" t="n">
        <v>0.46</v>
      </c>
      <c r="F48" s="67" t="n">
        <v>0.42</v>
      </c>
    </row>
    <row r="49" customFormat="false" ht="15" hidden="false" customHeight="true" outlineLevel="0" collapsed="false">
      <c r="A49" s="63" t="s">
        <v>231</v>
      </c>
      <c r="B49" s="67" t="n">
        <v>-1</v>
      </c>
      <c r="C49" s="67" t="n">
        <v>-0.4</v>
      </c>
      <c r="D49" s="67" t="n">
        <v>-0.36</v>
      </c>
      <c r="E49" s="67" t="n">
        <v>0.39</v>
      </c>
      <c r="F49" s="67" t="n">
        <v>0.39</v>
      </c>
    </row>
    <row r="50" customFormat="false" ht="15" hidden="false" customHeight="true" outlineLevel="0" collapsed="false">
      <c r="A50" s="63" t="s">
        <v>232</v>
      </c>
      <c r="B50" s="68" t="n">
        <v>526.7</v>
      </c>
      <c r="C50" s="68" t="n">
        <v>900.9</v>
      </c>
      <c r="D50" s="68" t="n">
        <v>945</v>
      </c>
      <c r="E50" s="68" t="n">
        <v>1050.2</v>
      </c>
      <c r="F50" s="68" t="n">
        <v>1150.1</v>
      </c>
    </row>
    <row r="51" customFormat="false" ht="15" hidden="false" customHeight="true" outlineLevel="0" collapsed="false">
      <c r="A51" s="63" t="s">
        <v>233</v>
      </c>
      <c r="B51" s="68" t="n">
        <v>526.7</v>
      </c>
      <c r="C51" s="68" t="n">
        <v>900.9</v>
      </c>
      <c r="D51" s="68" t="n">
        <v>945</v>
      </c>
      <c r="E51" s="68" t="n">
        <v>1101.4</v>
      </c>
      <c r="F51" s="68" t="n">
        <v>1251.8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5" min="2" style="1" width="14"/>
  </cols>
  <sheetData>
    <row r="1" customFormat="false" ht="15" hidden="false" customHeight="true" outlineLevel="0" collapsed="false">
      <c r="A1" s="59" t="s">
        <v>0</v>
      </c>
    </row>
    <row r="2" customFormat="false" ht="15" hidden="false" customHeight="true" outlineLevel="0" collapsed="false">
      <c r="A2" s="60" t="s">
        <v>234</v>
      </c>
      <c r="B2" s="61" t="s">
        <v>196</v>
      </c>
      <c r="C2" s="61" t="s">
        <v>197</v>
      </c>
      <c r="D2" s="61" t="s">
        <v>198</v>
      </c>
      <c r="E2" s="61" t="s">
        <v>199</v>
      </c>
    </row>
    <row r="4" customFormat="false" ht="15" hidden="false" customHeight="true" outlineLevel="0" collapsed="false">
      <c r="A4" s="62" t="s">
        <v>107</v>
      </c>
    </row>
    <row r="5" customFormat="false" ht="15" hidden="false" customHeight="true" outlineLevel="0" collapsed="false">
      <c r="A5" s="63" t="s">
        <v>235</v>
      </c>
      <c r="B5" s="64" t="n">
        <v>1422</v>
      </c>
      <c r="C5" s="64" t="n">
        <v>3085</v>
      </c>
      <c r="D5" s="64" t="n">
        <v>2538</v>
      </c>
      <c r="E5" s="64" t="n">
        <v>4929</v>
      </c>
    </row>
    <row r="6" customFormat="false" ht="15" hidden="false" customHeight="true" outlineLevel="0" collapsed="false">
      <c r="A6" s="63" t="s">
        <v>236</v>
      </c>
      <c r="B6" s="64" t="n">
        <v>424</v>
      </c>
      <c r="C6" s="64" t="n">
        <v>531</v>
      </c>
      <c r="D6" s="64" t="n">
        <v>171</v>
      </c>
      <c r="E6" s="64" t="n">
        <v>427</v>
      </c>
    </row>
    <row r="7" customFormat="false" ht="15" hidden="false" customHeight="true" outlineLevel="0" collapsed="false">
      <c r="A7" s="63" t="s">
        <v>237</v>
      </c>
      <c r="B7" s="64" t="n">
        <v>397</v>
      </c>
      <c r="C7" s="64" t="n">
        <v>702</v>
      </c>
      <c r="D7" s="64" t="n">
        <v>1896</v>
      </c>
      <c r="E7" s="64" t="n">
        <v>2576</v>
      </c>
    </row>
    <row r="8" customFormat="false" ht="15" hidden="false" customHeight="true" outlineLevel="0" collapsed="false">
      <c r="A8" s="63" t="s">
        <v>238</v>
      </c>
      <c r="B8" s="64" t="n">
        <v>13557</v>
      </c>
      <c r="C8" s="64" t="n">
        <v>15397</v>
      </c>
      <c r="D8" s="64" t="n">
        <v>17685</v>
      </c>
      <c r="E8" s="64" t="n">
        <v>22863</v>
      </c>
    </row>
    <row r="9" customFormat="false" ht="15" hidden="false" customHeight="true" outlineLevel="0" collapsed="false">
      <c r="A9" s="63" t="s">
        <v>239</v>
      </c>
      <c r="B9" s="64" t="n">
        <v>0</v>
      </c>
      <c r="C9" s="64" t="n">
        <v>6725</v>
      </c>
      <c r="D9" s="64" t="n">
        <v>8597</v>
      </c>
      <c r="E9" s="64" t="n">
        <v>13658</v>
      </c>
    </row>
    <row r="10" customFormat="false" ht="15" hidden="false" customHeight="true" outlineLevel="0" collapsed="false">
      <c r="A10" s="63" t="s">
        <v>240</v>
      </c>
      <c r="B10" s="64" t="n">
        <v>308</v>
      </c>
      <c r="C10" s="64" t="n">
        <v>836</v>
      </c>
      <c r="D10" s="64" t="n">
        <v>1246</v>
      </c>
      <c r="E10" s="64" t="n">
        <v>1517</v>
      </c>
    </row>
    <row r="11" customFormat="false" ht="15" hidden="false" customHeight="true" outlineLevel="0" collapsed="false">
      <c r="A11" s="63" t="s">
        <v>241</v>
      </c>
      <c r="B11" s="64" t="n">
        <v>150</v>
      </c>
      <c r="C11" s="64" t="n">
        <v>180</v>
      </c>
      <c r="D11" s="64" t="n">
        <v>342</v>
      </c>
      <c r="E11" s="64" t="n">
        <v>378</v>
      </c>
    </row>
    <row r="12" customFormat="false" ht="15" hidden="false" customHeight="true" outlineLevel="0" collapsed="false">
      <c r="A12" s="63" t="s">
        <v>242</v>
      </c>
      <c r="B12" s="64" t="n">
        <v>170</v>
      </c>
      <c r="C12" s="64" t="n">
        <v>217</v>
      </c>
      <c r="D12" s="64" t="n">
        <v>288</v>
      </c>
      <c r="E12" s="64" t="n">
        <v>416</v>
      </c>
    </row>
    <row r="13" customFormat="false" ht="15" hidden="false" customHeight="true" outlineLevel="0" collapsed="false">
      <c r="A13" s="63" t="s">
        <v>243</v>
      </c>
      <c r="B13" s="64" t="n">
        <v>1623</v>
      </c>
      <c r="C13" s="64" t="n">
        <v>1394</v>
      </c>
      <c r="D13" s="64" t="n">
        <v>1394</v>
      </c>
      <c r="E13" s="64" t="n">
        <v>1394</v>
      </c>
    </row>
    <row r="14" customFormat="false" ht="15" hidden="false" customHeight="true" outlineLevel="0" collapsed="false">
      <c r="A14" s="63" t="s">
        <v>244</v>
      </c>
      <c r="B14" s="64" t="n">
        <v>442</v>
      </c>
      <c r="C14" s="64" t="n">
        <v>364</v>
      </c>
      <c r="D14" s="64" t="n">
        <v>298</v>
      </c>
      <c r="E14" s="64" t="n">
        <v>232</v>
      </c>
    </row>
    <row r="15" customFormat="false" ht="15" hidden="false" customHeight="true" outlineLevel="0" collapsed="false">
      <c r="A15" s="63" t="s">
        <v>245</v>
      </c>
      <c r="B15" s="64" t="n">
        <v>97</v>
      </c>
      <c r="C15" s="64" t="n">
        <v>90</v>
      </c>
      <c r="D15" s="64" t="n">
        <v>81</v>
      </c>
      <c r="E15" s="64" t="n">
        <v>94</v>
      </c>
    </row>
    <row r="16" customFormat="false" ht="15" hidden="false" customHeight="true" outlineLevel="0" collapsed="false">
      <c r="A16" s="63" t="s">
        <v>246</v>
      </c>
      <c r="B16" s="64" t="n">
        <v>417</v>
      </c>
      <c r="C16" s="64" t="n">
        <v>554</v>
      </c>
      <c r="D16" s="64" t="n">
        <v>1715</v>
      </c>
      <c r="E16" s="64" t="n">
        <v>2177</v>
      </c>
    </row>
    <row r="17" customFormat="false" ht="15" hidden="false" customHeight="true" outlineLevel="0" collapsed="false">
      <c r="A17" s="65" t="s">
        <v>247</v>
      </c>
      <c r="B17" s="66" t="n">
        <v>19008</v>
      </c>
      <c r="C17" s="66" t="n">
        <v>30075</v>
      </c>
      <c r="D17" s="66" t="n">
        <v>36251</v>
      </c>
      <c r="E17" s="66" t="n">
        <v>50660</v>
      </c>
    </row>
    <row r="19" customFormat="false" ht="15" hidden="false" customHeight="true" outlineLevel="0" collapsed="false">
      <c r="A19" s="62" t="s">
        <v>138</v>
      </c>
    </row>
    <row r="20" customFormat="false" ht="15" hidden="false" customHeight="true" outlineLevel="0" collapsed="false">
      <c r="A20" s="63" t="s">
        <v>248</v>
      </c>
      <c r="B20" s="64" t="n">
        <v>7266</v>
      </c>
      <c r="C20" s="64" t="n">
        <v>18569</v>
      </c>
      <c r="D20" s="64" t="n">
        <v>25861</v>
      </c>
      <c r="E20" s="64" t="n">
        <v>37387</v>
      </c>
    </row>
    <row r="21" customFormat="false" ht="15" hidden="false" customHeight="true" outlineLevel="0" collapsed="false">
      <c r="A21" s="63" t="s">
        <v>249</v>
      </c>
      <c r="B21" s="64" t="n">
        <v>77</v>
      </c>
      <c r="C21" s="64" t="n">
        <v>52</v>
      </c>
      <c r="D21" s="64" t="n">
        <v>117</v>
      </c>
      <c r="E21" s="64" t="n">
        <v>118</v>
      </c>
    </row>
    <row r="22" customFormat="false" ht="15" hidden="false" customHeight="true" outlineLevel="0" collapsed="false">
      <c r="A22" s="65" t="s">
        <v>250</v>
      </c>
      <c r="B22" s="66" t="n">
        <v>7342</v>
      </c>
      <c r="C22" s="66" t="n">
        <v>18621</v>
      </c>
      <c r="D22" s="66" t="n">
        <v>25978</v>
      </c>
      <c r="E22" s="66" t="n">
        <v>37505</v>
      </c>
    </row>
    <row r="23" customFormat="false" ht="15" hidden="false" customHeight="true" outlineLevel="0" collapsed="false">
      <c r="A23" s="63" t="s">
        <v>251</v>
      </c>
      <c r="B23" s="64" t="n">
        <v>516</v>
      </c>
      <c r="C23" s="64" t="n">
        <v>550</v>
      </c>
      <c r="D23" s="64" t="n">
        <v>557</v>
      </c>
      <c r="E23" s="64" t="n">
        <v>744</v>
      </c>
    </row>
    <row r="24" customFormat="false" ht="15" hidden="false" customHeight="true" outlineLevel="0" collapsed="false">
      <c r="A24" s="63" t="s">
        <v>252</v>
      </c>
      <c r="B24" s="64" t="n">
        <v>118</v>
      </c>
      <c r="C24" s="64" t="n">
        <v>109</v>
      </c>
      <c r="D24" s="64" t="n">
        <v>97</v>
      </c>
      <c r="E24" s="64" t="n">
        <v>106</v>
      </c>
    </row>
    <row r="25" customFormat="false" ht="15" hidden="false" customHeight="true" outlineLevel="0" collapsed="false">
      <c r="A25" s="63" t="s">
        <v>253</v>
      </c>
      <c r="B25" s="64" t="n">
        <v>5486</v>
      </c>
      <c r="C25" s="64" t="n">
        <v>5233</v>
      </c>
      <c r="D25" s="64" t="n">
        <v>3093</v>
      </c>
      <c r="E25" s="64" t="n">
        <v>1815</v>
      </c>
    </row>
    <row r="26" customFormat="false" ht="15" hidden="false" customHeight="true" outlineLevel="0" collapsed="false">
      <c r="A26" s="63" t="s">
        <v>254</v>
      </c>
      <c r="B26" s="64" t="n">
        <v>17</v>
      </c>
      <c r="C26" s="64" t="n">
        <v>7</v>
      </c>
      <c r="D26" s="64" t="n">
        <v>1</v>
      </c>
      <c r="E26" s="64" t="n">
        <v>1</v>
      </c>
    </row>
    <row r="27" customFormat="false" ht="15" hidden="false" customHeight="true" outlineLevel="0" collapsed="false">
      <c r="A27" s="65" t="s">
        <v>255</v>
      </c>
      <c r="B27" s="66" t="n">
        <v>13479</v>
      </c>
      <c r="C27" s="66" t="n">
        <v>24520</v>
      </c>
      <c r="D27" s="66" t="n">
        <v>29726</v>
      </c>
      <c r="E27" s="66" t="n">
        <v>40171</v>
      </c>
    </row>
    <row r="29" customFormat="false" ht="15" hidden="false" customHeight="true" outlineLevel="0" collapsed="false">
      <c r="A29" s="62" t="s">
        <v>256</v>
      </c>
    </row>
    <row r="30" customFormat="false" ht="15" hidden="false" customHeight="true" outlineLevel="0" collapsed="false">
      <c r="A30" s="63" t="s">
        <v>257</v>
      </c>
      <c r="B30" s="64" t="n">
        <v>320</v>
      </c>
      <c r="C30" s="64" t="n">
        <v>320</v>
      </c>
      <c r="D30" s="64" t="n">
        <v>0</v>
      </c>
      <c r="E30" s="64" t="n">
        <v>0</v>
      </c>
    </row>
    <row r="32" customFormat="false" ht="15" hidden="false" customHeight="true" outlineLevel="0" collapsed="false">
      <c r="A32" s="62" t="s">
        <v>258</v>
      </c>
    </row>
    <row r="33" customFormat="false" ht="15" hidden="false" customHeight="true" outlineLevel="0" collapsed="false">
      <c r="A33" s="63" t="s">
        <v>259</v>
      </c>
      <c r="B33" s="64" t="n">
        <v>0</v>
      </c>
      <c r="C33" s="64" t="n">
        <v>0</v>
      </c>
      <c r="D33" s="64" t="n">
        <v>0</v>
      </c>
      <c r="E33" s="64" t="n">
        <v>0</v>
      </c>
    </row>
    <row r="34" customFormat="false" ht="15" hidden="false" customHeight="true" outlineLevel="0" collapsed="false">
      <c r="A34" s="63" t="s">
        <v>260</v>
      </c>
      <c r="B34" s="64" t="n">
        <v>6720</v>
      </c>
      <c r="C34" s="64" t="n">
        <v>7040</v>
      </c>
      <c r="D34" s="64" t="n">
        <v>7839</v>
      </c>
      <c r="E34" s="64" t="n">
        <v>11303</v>
      </c>
    </row>
    <row r="35" customFormat="false" ht="15" hidden="false" customHeight="true" outlineLevel="0" collapsed="false">
      <c r="A35" s="63" t="s">
        <v>261</v>
      </c>
      <c r="B35" s="64" t="n">
        <v>-8</v>
      </c>
      <c r="C35" s="64" t="n">
        <v>-1</v>
      </c>
      <c r="D35" s="64" t="n">
        <v>-8</v>
      </c>
      <c r="E35" s="64" t="n">
        <v>11</v>
      </c>
    </row>
    <row r="36" customFormat="false" ht="15" hidden="false" customHeight="true" outlineLevel="0" collapsed="false">
      <c r="A36" s="63" t="s">
        <v>262</v>
      </c>
      <c r="B36" s="64" t="n">
        <v>-1504</v>
      </c>
      <c r="C36" s="64" t="n">
        <v>-1804</v>
      </c>
      <c r="D36" s="64" t="n">
        <v>-1306</v>
      </c>
      <c r="E36" s="64" t="n">
        <v>-824</v>
      </c>
    </row>
    <row r="37" customFormat="false" ht="15" hidden="false" customHeight="true" outlineLevel="0" collapsed="false">
      <c r="A37" s="65" t="s">
        <v>263</v>
      </c>
      <c r="B37" s="66" t="n">
        <v>5208</v>
      </c>
      <c r="C37" s="66" t="n">
        <v>5235</v>
      </c>
      <c r="D37" s="66" t="n">
        <v>6525</v>
      </c>
      <c r="E37" s="66" t="n">
        <v>10489</v>
      </c>
    </row>
    <row r="38" customFormat="false" ht="15" hidden="false" customHeight="true" outlineLevel="0" collapsed="false">
      <c r="A38" s="65" t="s">
        <v>264</v>
      </c>
      <c r="B38" s="66" t="n">
        <v>19008</v>
      </c>
      <c r="C38" s="66" t="n">
        <v>30075</v>
      </c>
      <c r="D38" s="66" t="n">
        <v>36251</v>
      </c>
      <c r="E38" s="66" t="n">
        <v>50660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6" min="2" style="1" width="14"/>
  </cols>
  <sheetData>
    <row r="1" customFormat="false" ht="15" hidden="false" customHeight="true" outlineLevel="0" collapsed="false">
      <c r="A1" s="59" t="s">
        <v>0</v>
      </c>
    </row>
    <row r="2" customFormat="false" ht="15" hidden="false" customHeight="true" outlineLevel="0" collapsed="false">
      <c r="A2" s="60" t="s">
        <v>265</v>
      </c>
      <c r="B2" s="61" t="s">
        <v>195</v>
      </c>
      <c r="C2" s="61" t="s">
        <v>196</v>
      </c>
      <c r="D2" s="61" t="s">
        <v>197</v>
      </c>
      <c r="E2" s="61" t="s">
        <v>198</v>
      </c>
      <c r="F2" s="61" t="s">
        <v>199</v>
      </c>
    </row>
    <row r="4" customFormat="false" ht="15" hidden="false" customHeight="true" outlineLevel="0" collapsed="false">
      <c r="A4" s="62" t="s">
        <v>266</v>
      </c>
    </row>
    <row r="5" customFormat="false" ht="15" hidden="false" customHeight="true" outlineLevel="0" collapsed="false">
      <c r="A5" s="63" t="s">
        <v>267</v>
      </c>
      <c r="B5" s="64" t="n">
        <v>-484</v>
      </c>
      <c r="C5" s="64" t="n">
        <v>-320</v>
      </c>
      <c r="D5" s="64" t="n">
        <v>-301</v>
      </c>
      <c r="E5" s="64" t="n">
        <v>499</v>
      </c>
      <c r="F5" s="64" t="n">
        <v>481</v>
      </c>
    </row>
    <row r="6" customFormat="false" ht="15" hidden="false" customHeight="true" outlineLevel="0" collapsed="false">
      <c r="A6" s="63" t="s">
        <v>268</v>
      </c>
      <c r="B6" s="64" t="n">
        <v>239</v>
      </c>
      <c r="C6" s="64" t="n">
        <v>306</v>
      </c>
      <c r="D6" s="64" t="n">
        <v>271</v>
      </c>
      <c r="E6" s="64" t="n">
        <v>246</v>
      </c>
      <c r="F6" s="64" t="n">
        <v>262</v>
      </c>
    </row>
    <row r="7" customFormat="false" ht="15" hidden="false" customHeight="true" outlineLevel="0" collapsed="false">
      <c r="A7" s="63" t="s">
        <v>269</v>
      </c>
      <c r="B7" s="64" t="n">
        <v>102</v>
      </c>
      <c r="C7" s="64" t="n">
        <v>151</v>
      </c>
      <c r="D7" s="64" t="n">
        <v>201</v>
      </c>
      <c r="E7" s="64" t="n">
        <v>203</v>
      </c>
      <c r="F7" s="64" t="n">
        <v>234</v>
      </c>
    </row>
    <row r="8" customFormat="false" ht="15" hidden="false" customHeight="true" outlineLevel="0" collapsed="false">
      <c r="A8" s="63" t="s">
        <v>219</v>
      </c>
      <c r="B8" s="64" t="n">
        <v>0</v>
      </c>
      <c r="C8" s="64" t="n">
        <v>0</v>
      </c>
      <c r="D8" s="64" t="n">
        <v>247</v>
      </c>
      <c r="E8" s="64" t="n">
        <v>0</v>
      </c>
      <c r="F8" s="64" t="n">
        <v>0</v>
      </c>
    </row>
    <row r="9" customFormat="false" ht="15" hidden="false" customHeight="true" outlineLevel="0" collapsed="false">
      <c r="A9" s="63" t="s">
        <v>270</v>
      </c>
      <c r="B9" s="64" t="n">
        <v>18</v>
      </c>
      <c r="C9" s="64" t="n">
        <v>18</v>
      </c>
      <c r="D9" s="64" t="n">
        <v>20</v>
      </c>
      <c r="E9" s="64" t="n">
        <v>13</v>
      </c>
      <c r="F9" s="64" t="n">
        <v>11</v>
      </c>
    </row>
    <row r="10" customFormat="false" ht="15" hidden="false" customHeight="true" outlineLevel="0" collapsed="false">
      <c r="A10" s="63" t="s">
        <v>271</v>
      </c>
      <c r="B10" s="64" t="n">
        <v>0</v>
      </c>
      <c r="C10" s="64" t="n">
        <v>0</v>
      </c>
      <c r="D10" s="64" t="n">
        <v>-15</v>
      </c>
      <c r="E10" s="64" t="n">
        <v>-63</v>
      </c>
      <c r="F10" s="64" t="n">
        <v>0</v>
      </c>
    </row>
    <row r="11" customFormat="false" ht="15" hidden="false" customHeight="true" outlineLevel="0" collapsed="false">
      <c r="A11" s="63" t="s">
        <v>272</v>
      </c>
      <c r="B11" s="64" t="n">
        <v>8</v>
      </c>
      <c r="C11" s="64" t="n">
        <v>54</v>
      </c>
      <c r="D11" s="64" t="n">
        <v>55</v>
      </c>
      <c r="E11" s="64" t="n">
        <v>32</v>
      </c>
      <c r="F11" s="64" t="n">
        <v>30</v>
      </c>
    </row>
    <row r="12" customFormat="false" ht="15" hidden="false" customHeight="true" outlineLevel="0" collapsed="false">
      <c r="A12" s="63" t="s">
        <v>273</v>
      </c>
      <c r="B12" s="64" t="n">
        <v>1</v>
      </c>
      <c r="C12" s="64" t="n">
        <v>-3</v>
      </c>
      <c r="D12" s="64" t="n">
        <v>-16</v>
      </c>
      <c r="E12" s="64" t="n">
        <v>-287</v>
      </c>
      <c r="F12" s="64" t="n">
        <v>16</v>
      </c>
    </row>
    <row r="13" customFormat="false" ht="15" hidden="false" customHeight="true" outlineLevel="0" collapsed="false">
      <c r="A13" s="63" t="s">
        <v>274</v>
      </c>
      <c r="B13" s="64" t="n">
        <v>0</v>
      </c>
      <c r="C13" s="64" t="n">
        <v>0</v>
      </c>
      <c r="D13" s="64" t="n">
        <v>-44</v>
      </c>
      <c r="E13" s="64" t="n">
        <v>-158</v>
      </c>
      <c r="F13" s="64" t="n">
        <v>-351</v>
      </c>
    </row>
    <row r="14" customFormat="false" ht="15" hidden="false" customHeight="true" outlineLevel="0" collapsed="false">
      <c r="A14" s="63" t="s">
        <v>275</v>
      </c>
      <c r="B14" s="64" t="n">
        <v>-7</v>
      </c>
      <c r="C14" s="64" t="n">
        <v>14</v>
      </c>
      <c r="D14" s="64" t="n">
        <v>0</v>
      </c>
      <c r="E14" s="64" t="n">
        <v>-3</v>
      </c>
      <c r="F14" s="64" t="n">
        <v>-2</v>
      </c>
    </row>
    <row r="15" customFormat="false" ht="15" hidden="false" customHeight="true" outlineLevel="0" collapsed="false">
      <c r="A15" s="63" t="s">
        <v>276</v>
      </c>
      <c r="B15" s="64" t="n">
        <v>107</v>
      </c>
      <c r="C15" s="64" t="n">
        <v>0</v>
      </c>
      <c r="D15" s="64" t="n">
        <v>0</v>
      </c>
      <c r="E15" s="64" t="n">
        <v>0</v>
      </c>
      <c r="F15" s="64" t="n">
        <v>0</v>
      </c>
    </row>
    <row r="16" customFormat="false" ht="15" hidden="false" customHeight="true" outlineLevel="0" collapsed="false">
      <c r="A16" s="63" t="s">
        <v>277</v>
      </c>
      <c r="B16" s="64" t="n">
        <v>23</v>
      </c>
      <c r="C16" s="64" t="n">
        <v>7</v>
      </c>
      <c r="D16" s="64" t="n">
        <v>0</v>
      </c>
      <c r="E16" s="64" t="n">
        <v>0</v>
      </c>
      <c r="F16" s="64" t="n">
        <v>0</v>
      </c>
    </row>
    <row r="17" customFormat="false" ht="15" hidden="false" customHeight="true" outlineLevel="0" collapsed="false">
      <c r="A17" s="63" t="s">
        <v>278</v>
      </c>
      <c r="B17" s="64" t="n">
        <v>-12</v>
      </c>
      <c r="C17" s="64" t="n">
        <v>13</v>
      </c>
      <c r="D17" s="64" t="n">
        <v>-14</v>
      </c>
      <c r="E17" s="64" t="n">
        <v>10</v>
      </c>
      <c r="F17" s="64" t="n">
        <v>14</v>
      </c>
    </row>
    <row r="18" customFormat="false" ht="15" hidden="false" customHeight="true" outlineLevel="0" collapsed="false">
      <c r="A18" s="63" t="s">
        <v>279</v>
      </c>
      <c r="B18" s="64" t="n">
        <v>-1308</v>
      </c>
      <c r="C18" s="64" t="n">
        <v>-7463</v>
      </c>
      <c r="D18" s="64" t="n">
        <v>-7779</v>
      </c>
      <c r="E18" s="64" t="n">
        <v>-2343</v>
      </c>
      <c r="F18" s="64" t="n">
        <v>-5271</v>
      </c>
    </row>
    <row r="19" customFormat="false" ht="15" hidden="false" customHeight="true" outlineLevel="0" collapsed="false">
      <c r="A19" s="63" t="s">
        <v>280</v>
      </c>
      <c r="B19" s="64" t="n">
        <v>0</v>
      </c>
      <c r="C19" s="64" t="n">
        <v>0</v>
      </c>
      <c r="D19" s="64" t="n">
        <v>141</v>
      </c>
      <c r="E19" s="64" t="n">
        <v>1351</v>
      </c>
      <c r="F19" s="64" t="n">
        <v>874</v>
      </c>
    </row>
    <row r="20" customFormat="false" ht="15" hidden="false" customHeight="true" outlineLevel="0" collapsed="false">
      <c r="A20" s="63" t="s">
        <v>281</v>
      </c>
      <c r="B20" s="64" t="n">
        <v>0</v>
      </c>
      <c r="C20" s="64" t="n">
        <v>0</v>
      </c>
      <c r="D20" s="64" t="n">
        <v>0</v>
      </c>
      <c r="E20" s="64" t="n">
        <v>-24</v>
      </c>
      <c r="F20" s="64" t="n">
        <v>-45</v>
      </c>
    </row>
    <row r="21" customFormat="false" ht="15" hidden="false" customHeight="true" outlineLevel="0" collapsed="false">
      <c r="A21" s="63" t="s">
        <v>282</v>
      </c>
      <c r="B21" s="64" t="n">
        <v>-19</v>
      </c>
      <c r="C21" s="64" t="n">
        <v>18</v>
      </c>
      <c r="D21" s="64" t="n">
        <v>-32</v>
      </c>
      <c r="E21" s="64" t="n">
        <v>-162</v>
      </c>
      <c r="F21" s="64" t="n">
        <v>-36</v>
      </c>
    </row>
    <row r="22" customFormat="false" ht="15" hidden="false" customHeight="true" outlineLevel="0" collapsed="false">
      <c r="A22" s="63" t="s">
        <v>283</v>
      </c>
      <c r="B22" s="64" t="n">
        <v>-11</v>
      </c>
      <c r="C22" s="64" t="n">
        <v>-57</v>
      </c>
      <c r="D22" s="64" t="n">
        <v>-6</v>
      </c>
      <c r="E22" s="64" t="n">
        <v>-458</v>
      </c>
      <c r="F22" s="64" t="n">
        <v>-101</v>
      </c>
    </row>
    <row r="23" customFormat="false" ht="15" hidden="false" customHeight="true" outlineLevel="0" collapsed="false">
      <c r="A23" s="63" t="s">
        <v>284</v>
      </c>
      <c r="B23" s="64" t="n">
        <v>-9</v>
      </c>
      <c r="C23" s="64" t="n">
        <v>6</v>
      </c>
      <c r="D23" s="64" t="n">
        <v>42</v>
      </c>
      <c r="E23" s="64" t="n">
        <v>24</v>
      </c>
      <c r="F23" s="64" t="n">
        <v>140</v>
      </c>
    </row>
    <row r="24" customFormat="false" ht="15" hidden="false" customHeight="true" outlineLevel="0" collapsed="false">
      <c r="A24" s="65" t="s">
        <v>285</v>
      </c>
      <c r="B24" s="66" t="n">
        <v>-1350</v>
      </c>
      <c r="C24" s="66" t="n">
        <v>-7256</v>
      </c>
      <c r="D24" s="66" t="n">
        <v>-7227</v>
      </c>
      <c r="E24" s="66" t="n">
        <v>-1120</v>
      </c>
      <c r="F24" s="66" t="n">
        <v>-3742</v>
      </c>
    </row>
    <row r="26" customFormat="false" ht="15" hidden="false" customHeight="true" outlineLevel="0" collapsed="false">
      <c r="A26" s="62" t="s">
        <v>286</v>
      </c>
    </row>
    <row r="27" customFormat="false" ht="15" hidden="false" customHeight="true" outlineLevel="0" collapsed="false">
      <c r="A27" s="63" t="s">
        <v>287</v>
      </c>
      <c r="B27" s="64" t="n">
        <v>-52</v>
      </c>
      <c r="C27" s="64" t="n">
        <v>-93</v>
      </c>
      <c r="D27" s="64" t="n">
        <v>-111</v>
      </c>
      <c r="E27" s="64" t="n">
        <v>-154</v>
      </c>
      <c r="F27" s="64" t="n">
        <v>-242</v>
      </c>
    </row>
    <row r="28" customFormat="false" ht="15" hidden="false" customHeight="true" outlineLevel="0" collapsed="false">
      <c r="A28" s="63" t="s">
        <v>288</v>
      </c>
      <c r="B28" s="64" t="n">
        <v>0</v>
      </c>
      <c r="C28" s="64" t="n">
        <v>-11</v>
      </c>
      <c r="D28" s="64" t="n">
        <v>-10</v>
      </c>
      <c r="E28" s="64" t="n">
        <v>-9</v>
      </c>
      <c r="F28" s="64" t="n">
        <v>-9</v>
      </c>
    </row>
    <row r="29" customFormat="false" ht="15" hidden="false" customHeight="true" outlineLevel="0" collapsed="false">
      <c r="A29" s="63" t="s">
        <v>289</v>
      </c>
      <c r="B29" s="64" t="n">
        <v>-246</v>
      </c>
      <c r="C29" s="64" t="n">
        <v>-45</v>
      </c>
      <c r="D29" s="64" t="n">
        <v>-801</v>
      </c>
      <c r="E29" s="64" t="n">
        <v>-2191</v>
      </c>
      <c r="F29" s="64" t="n">
        <v>-1668</v>
      </c>
    </row>
    <row r="30" customFormat="false" ht="15" hidden="false" customHeight="true" outlineLevel="0" collapsed="false">
      <c r="A30" s="63" t="s">
        <v>290</v>
      </c>
      <c r="B30" s="64" t="n">
        <v>53</v>
      </c>
      <c r="C30" s="64" t="n">
        <v>23</v>
      </c>
      <c r="D30" s="64" t="n">
        <v>266</v>
      </c>
      <c r="E30" s="64" t="n">
        <v>186</v>
      </c>
      <c r="F30" s="64" t="n">
        <v>522</v>
      </c>
    </row>
    <row r="31" customFormat="false" ht="15" hidden="false" customHeight="true" outlineLevel="0" collapsed="false">
      <c r="A31" s="63" t="s">
        <v>291</v>
      </c>
      <c r="B31" s="64" t="n">
        <v>5</v>
      </c>
      <c r="C31" s="64" t="n">
        <v>15</v>
      </c>
      <c r="D31" s="64" t="n">
        <v>154</v>
      </c>
      <c r="E31" s="64" t="n">
        <v>808</v>
      </c>
      <c r="F31" s="64" t="n">
        <v>550</v>
      </c>
    </row>
    <row r="32" customFormat="false" ht="15" hidden="false" customHeight="true" outlineLevel="0" collapsed="false">
      <c r="A32" s="63" t="s">
        <v>292</v>
      </c>
      <c r="B32" s="64" t="n">
        <v>0</v>
      </c>
      <c r="C32" s="64" t="n">
        <v>0</v>
      </c>
      <c r="D32" s="64" t="n">
        <v>0</v>
      </c>
      <c r="E32" s="64" t="n">
        <v>0</v>
      </c>
      <c r="F32" s="64" t="n">
        <v>-2083</v>
      </c>
    </row>
    <row r="33" customFormat="false" ht="15" hidden="false" customHeight="true" outlineLevel="0" collapsed="false">
      <c r="A33" s="63" t="s">
        <v>293</v>
      </c>
      <c r="B33" s="64" t="n">
        <v>0</v>
      </c>
      <c r="C33" s="64" t="n">
        <v>0</v>
      </c>
      <c r="D33" s="64" t="n">
        <v>0</v>
      </c>
      <c r="E33" s="64" t="n">
        <v>678</v>
      </c>
      <c r="F33" s="64" t="n">
        <v>393</v>
      </c>
    </row>
    <row r="34" customFormat="false" ht="15" hidden="false" customHeight="true" outlineLevel="0" collapsed="false">
      <c r="A34" s="63" t="s">
        <v>294</v>
      </c>
      <c r="B34" s="64" t="n">
        <v>0</v>
      </c>
      <c r="C34" s="64" t="n">
        <v>-174</v>
      </c>
      <c r="D34" s="64" t="n">
        <v>-1362</v>
      </c>
      <c r="E34" s="64" t="n">
        <v>-4183</v>
      </c>
      <c r="F34" s="64" t="n">
        <v>-4199</v>
      </c>
    </row>
    <row r="35" customFormat="false" ht="15" hidden="false" customHeight="true" outlineLevel="0" collapsed="false">
      <c r="A35" s="63" t="s">
        <v>295</v>
      </c>
      <c r="B35" s="64" t="n">
        <v>247</v>
      </c>
      <c r="C35" s="64" t="n">
        <v>119</v>
      </c>
      <c r="D35" s="64" t="n">
        <v>108</v>
      </c>
      <c r="E35" s="64" t="n">
        <v>80</v>
      </c>
      <c r="F35" s="64" t="n">
        <v>78</v>
      </c>
    </row>
    <row r="36" customFormat="false" ht="15" hidden="false" customHeight="true" outlineLevel="0" collapsed="false">
      <c r="A36" s="63" t="s">
        <v>296</v>
      </c>
      <c r="B36" s="64" t="n">
        <v>110</v>
      </c>
      <c r="C36" s="64" t="n">
        <v>0</v>
      </c>
      <c r="D36" s="64" t="n">
        <v>5</v>
      </c>
      <c r="E36" s="64" t="n">
        <v>4</v>
      </c>
      <c r="F36" s="64" t="n">
        <v>42</v>
      </c>
    </row>
    <row r="37" customFormat="false" ht="15" hidden="false" customHeight="true" outlineLevel="0" collapsed="false">
      <c r="A37" s="63" t="s">
        <v>297</v>
      </c>
      <c r="B37" s="64" t="n">
        <v>-22</v>
      </c>
      <c r="C37" s="64" t="n">
        <v>0</v>
      </c>
      <c r="D37" s="64" t="n">
        <v>-67</v>
      </c>
      <c r="E37" s="64" t="n">
        <v>-38</v>
      </c>
      <c r="F37" s="64" t="n">
        <v>-102</v>
      </c>
    </row>
    <row r="38" customFormat="false" ht="15" hidden="false" customHeight="true" outlineLevel="0" collapsed="false">
      <c r="A38" s="63" t="s">
        <v>298</v>
      </c>
      <c r="B38" s="64" t="n">
        <v>0</v>
      </c>
      <c r="C38" s="64" t="n">
        <v>59</v>
      </c>
      <c r="D38" s="64" t="n">
        <v>-72</v>
      </c>
      <c r="E38" s="64" t="n">
        <v>0</v>
      </c>
      <c r="F38" s="64" t="n">
        <v>0</v>
      </c>
    </row>
    <row r="39" customFormat="false" ht="15" hidden="false" customHeight="true" outlineLevel="0" collapsed="false">
      <c r="A39" s="63" t="s">
        <v>299</v>
      </c>
      <c r="B39" s="64" t="n">
        <v>17</v>
      </c>
      <c r="C39" s="64" t="n">
        <v>0</v>
      </c>
      <c r="D39" s="64" t="n">
        <v>0</v>
      </c>
      <c r="E39" s="64" t="n">
        <v>0</v>
      </c>
      <c r="F39" s="64" t="n">
        <v>0</v>
      </c>
    </row>
    <row r="40" customFormat="false" ht="15" hidden="false" customHeight="true" outlineLevel="0" collapsed="false">
      <c r="A40" s="65" t="s">
        <v>300</v>
      </c>
      <c r="B40" s="66" t="n">
        <v>110</v>
      </c>
      <c r="C40" s="66" t="n">
        <v>-106</v>
      </c>
      <c r="D40" s="66" t="n">
        <v>-1890</v>
      </c>
      <c r="E40" s="66" t="n">
        <v>-4821</v>
      </c>
      <c r="F40" s="66" t="n">
        <v>-6719</v>
      </c>
    </row>
    <row r="42" customFormat="false" ht="15" hidden="false" customHeight="true" outlineLevel="0" collapsed="false">
      <c r="A42" s="62" t="s">
        <v>301</v>
      </c>
    </row>
    <row r="43" customFormat="false" ht="15" hidden="false" customHeight="true" outlineLevel="0" collapsed="false">
      <c r="A43" s="63" t="s">
        <v>302</v>
      </c>
      <c r="B43" s="64" t="n">
        <v>0</v>
      </c>
      <c r="C43" s="64" t="n">
        <v>7153</v>
      </c>
      <c r="D43" s="64" t="n">
        <v>11232</v>
      </c>
      <c r="E43" s="64" t="n">
        <v>6954</v>
      </c>
      <c r="F43" s="64" t="n">
        <v>11249</v>
      </c>
    </row>
    <row r="44" customFormat="false" ht="15" hidden="false" customHeight="true" outlineLevel="0" collapsed="false">
      <c r="A44" s="63" t="s">
        <v>303</v>
      </c>
      <c r="B44" s="64" t="n">
        <v>0</v>
      </c>
      <c r="C44" s="64" t="n">
        <v>0</v>
      </c>
      <c r="D44" s="64" t="n">
        <v>0</v>
      </c>
      <c r="E44" s="64" t="n">
        <v>0</v>
      </c>
      <c r="F44" s="64" t="n">
        <v>3186</v>
      </c>
    </row>
    <row r="45" customFormat="false" ht="15" hidden="false" customHeight="true" outlineLevel="0" collapsed="false">
      <c r="A45" s="63" t="s">
        <v>304</v>
      </c>
      <c r="B45" s="64" t="n">
        <v>0</v>
      </c>
      <c r="C45" s="64" t="n">
        <v>0</v>
      </c>
      <c r="D45" s="64" t="n">
        <v>0</v>
      </c>
      <c r="E45" s="64" t="n">
        <v>0</v>
      </c>
      <c r="F45" s="64" t="n">
        <v>-3</v>
      </c>
    </row>
    <row r="46" customFormat="false" ht="15" hidden="false" customHeight="true" outlineLevel="0" collapsed="false">
      <c r="A46" s="63" t="s">
        <v>305</v>
      </c>
      <c r="B46" s="64" t="n">
        <v>-1187</v>
      </c>
      <c r="C46" s="64" t="n">
        <v>1418</v>
      </c>
      <c r="D46" s="64" t="n">
        <v>181</v>
      </c>
      <c r="E46" s="64" t="n">
        <v>-1983</v>
      </c>
      <c r="F46" s="64" t="n">
        <v>-1257</v>
      </c>
    </row>
    <row r="47" customFormat="false" ht="15" hidden="false" customHeight="true" outlineLevel="0" collapsed="false">
      <c r="A47" s="63" t="s">
        <v>306</v>
      </c>
      <c r="B47" s="64" t="n">
        <v>1192</v>
      </c>
      <c r="C47" s="64" t="n">
        <v>440</v>
      </c>
      <c r="D47" s="64" t="n">
        <v>340</v>
      </c>
      <c r="E47" s="64" t="n">
        <v>845</v>
      </c>
      <c r="F47" s="64" t="n">
        <v>0</v>
      </c>
    </row>
    <row r="48" customFormat="false" ht="15" hidden="false" customHeight="true" outlineLevel="0" collapsed="false">
      <c r="A48" s="63" t="s">
        <v>307</v>
      </c>
      <c r="B48" s="64" t="n">
        <v>-913</v>
      </c>
      <c r="C48" s="64" t="n">
        <v>-516</v>
      </c>
      <c r="D48" s="64" t="n">
        <v>-800</v>
      </c>
      <c r="E48" s="64" t="n">
        <v>-353</v>
      </c>
      <c r="F48" s="64" t="n">
        <v>-29</v>
      </c>
    </row>
    <row r="49" customFormat="false" ht="15" hidden="false" customHeight="true" outlineLevel="0" collapsed="false">
      <c r="A49" s="63" t="s">
        <v>308</v>
      </c>
      <c r="B49" s="64" t="n">
        <v>-9</v>
      </c>
      <c r="C49" s="64" t="n">
        <v>-8</v>
      </c>
      <c r="D49" s="64" t="n">
        <v>-12</v>
      </c>
      <c r="E49" s="64" t="n">
        <v>-8</v>
      </c>
      <c r="F49" s="64" t="n">
        <v>-3</v>
      </c>
    </row>
    <row r="50" customFormat="false" ht="15" hidden="false" customHeight="true" outlineLevel="0" collapsed="false">
      <c r="A50" s="63" t="s">
        <v>309</v>
      </c>
      <c r="B50" s="64" t="n">
        <v>-114</v>
      </c>
      <c r="C50" s="64" t="n">
        <v>0</v>
      </c>
      <c r="D50" s="64" t="n">
        <v>0</v>
      </c>
      <c r="E50" s="64" t="n">
        <v>-91</v>
      </c>
      <c r="F50" s="64" t="n">
        <v>0</v>
      </c>
    </row>
    <row r="51" customFormat="false" ht="15" hidden="false" customHeight="true" outlineLevel="0" collapsed="false">
      <c r="A51" s="63" t="s">
        <v>310</v>
      </c>
      <c r="B51" s="64" t="n">
        <v>0</v>
      </c>
      <c r="C51" s="64" t="n">
        <v>0</v>
      </c>
      <c r="D51" s="64" t="n">
        <v>0</v>
      </c>
      <c r="E51" s="64" t="n">
        <v>10</v>
      </c>
      <c r="F51" s="64" t="n">
        <v>0</v>
      </c>
    </row>
    <row r="52" customFormat="false" ht="15" hidden="false" customHeight="true" outlineLevel="0" collapsed="false">
      <c r="A52" s="63" t="s">
        <v>311</v>
      </c>
      <c r="B52" s="64" t="n">
        <v>-43</v>
      </c>
      <c r="C52" s="64" t="n">
        <v>-9</v>
      </c>
      <c r="D52" s="64" t="n">
        <v>-15</v>
      </c>
      <c r="E52" s="64" t="n">
        <v>-23</v>
      </c>
      <c r="F52" s="64" t="n">
        <v>-65</v>
      </c>
    </row>
    <row r="53" customFormat="false" ht="15" hidden="false" customHeight="true" outlineLevel="0" collapsed="false">
      <c r="A53" s="63" t="s">
        <v>312</v>
      </c>
      <c r="B53" s="64" t="n">
        <v>25</v>
      </c>
      <c r="C53" s="64" t="n">
        <v>3</v>
      </c>
      <c r="D53" s="64" t="n">
        <v>1</v>
      </c>
      <c r="E53" s="64" t="n">
        <v>21</v>
      </c>
      <c r="F53" s="64" t="n">
        <v>7</v>
      </c>
    </row>
    <row r="54" customFormat="false" ht="15" hidden="false" customHeight="true" outlineLevel="0" collapsed="false">
      <c r="A54" s="63" t="s">
        <v>313</v>
      </c>
      <c r="B54" s="64" t="n">
        <v>0</v>
      </c>
      <c r="C54" s="64" t="n">
        <v>0</v>
      </c>
      <c r="D54" s="64" t="n">
        <v>0</v>
      </c>
      <c r="E54" s="64" t="n">
        <v>0</v>
      </c>
      <c r="F54" s="64" t="n">
        <v>26</v>
      </c>
    </row>
    <row r="55" customFormat="false" ht="15" hidden="false" customHeight="true" outlineLevel="0" collapsed="false">
      <c r="A55" s="63" t="s">
        <v>314</v>
      </c>
      <c r="B55" s="64" t="n">
        <v>-40</v>
      </c>
      <c r="C55" s="64" t="n">
        <v>-40</v>
      </c>
      <c r="D55" s="64" t="n">
        <v>-40</v>
      </c>
      <c r="E55" s="64" t="n">
        <v>-17</v>
      </c>
      <c r="F55" s="64" t="n">
        <v>0</v>
      </c>
    </row>
    <row r="56" customFormat="false" ht="15" hidden="false" customHeight="true" outlineLevel="0" collapsed="false">
      <c r="A56" s="63" t="s">
        <v>315</v>
      </c>
      <c r="B56" s="64" t="n">
        <v>0</v>
      </c>
      <c r="C56" s="64" t="n">
        <v>0</v>
      </c>
      <c r="D56" s="64" t="n">
        <v>0</v>
      </c>
      <c r="E56" s="64" t="n">
        <v>-323</v>
      </c>
      <c r="F56" s="64" t="n">
        <v>0</v>
      </c>
    </row>
    <row r="57" customFormat="false" ht="15" hidden="false" customHeight="true" outlineLevel="0" collapsed="false">
      <c r="A57" s="63" t="s">
        <v>316</v>
      </c>
      <c r="B57" s="64" t="n">
        <v>2057</v>
      </c>
      <c r="C57" s="64" t="n">
        <v>0</v>
      </c>
      <c r="D57" s="64" t="n">
        <v>-1</v>
      </c>
      <c r="E57" s="64" t="n">
        <v>-1</v>
      </c>
      <c r="F57" s="64" t="n">
        <v>-1</v>
      </c>
    </row>
    <row r="58" customFormat="false" ht="15" hidden="false" customHeight="true" outlineLevel="0" collapsed="false">
      <c r="A58" s="65" t="s">
        <v>317</v>
      </c>
      <c r="B58" s="66" t="n">
        <v>685</v>
      </c>
      <c r="C58" s="66" t="n">
        <v>8439</v>
      </c>
      <c r="D58" s="66" t="n">
        <v>10886</v>
      </c>
      <c r="E58" s="66" t="n">
        <v>5035</v>
      </c>
      <c r="F58" s="66" t="n">
        <v>13109</v>
      </c>
    </row>
    <row r="60" customFormat="false" ht="15" hidden="false" customHeight="true" outlineLevel="0" collapsed="false">
      <c r="A60" s="63" t="s">
        <v>318</v>
      </c>
      <c r="B60" s="64" t="n">
        <v>0</v>
      </c>
      <c r="C60" s="64" t="n">
        <v>1</v>
      </c>
      <c r="D60" s="64" t="n">
        <v>1</v>
      </c>
      <c r="E60" s="64" t="n">
        <v>0</v>
      </c>
      <c r="F60" s="64" t="n">
        <v>0</v>
      </c>
    </row>
    <row r="61" customFormat="false" ht="15" hidden="false" customHeight="true" outlineLevel="0" collapsed="false">
      <c r="A61" s="65" t="s">
        <v>319</v>
      </c>
      <c r="B61" s="66" t="n">
        <v>-555</v>
      </c>
      <c r="C61" s="66" t="n">
        <v>1078</v>
      </c>
      <c r="D61" s="66" t="n">
        <v>1769</v>
      </c>
      <c r="E61" s="66" t="n">
        <v>-906</v>
      </c>
      <c r="F61" s="66" t="n">
        <v>2647</v>
      </c>
    </row>
    <row r="62" customFormat="false" ht="15" hidden="false" customHeight="true" outlineLevel="0" collapsed="false">
      <c r="A62" s="63" t="s">
        <v>320</v>
      </c>
      <c r="B62" s="64" t="n">
        <v>1323</v>
      </c>
      <c r="C62" s="64" t="n">
        <v>768</v>
      </c>
      <c r="D62" s="64" t="n">
        <v>1846</v>
      </c>
      <c r="E62" s="64" t="n">
        <v>3616</v>
      </c>
      <c r="F62" s="64" t="n">
        <v>2709</v>
      </c>
    </row>
    <row r="63" customFormat="false" ht="15" hidden="false" customHeight="true" outlineLevel="0" collapsed="false">
      <c r="A63" s="65" t="s">
        <v>321</v>
      </c>
      <c r="B63" s="66" t="n">
        <v>768</v>
      </c>
      <c r="C63" s="66" t="n">
        <v>1846</v>
      </c>
      <c r="D63" s="66" t="n">
        <v>3616</v>
      </c>
      <c r="E63" s="66" t="n">
        <v>2709</v>
      </c>
      <c r="F63" s="66" t="n">
        <v>5357</v>
      </c>
    </row>
    <row r="65" customFormat="false" ht="15" hidden="false" customHeight="true" outlineLevel="0" collapsed="false">
      <c r="A65" s="62" t="s">
        <v>322</v>
      </c>
    </row>
    <row r="66" customFormat="false" ht="15" hidden="false" customHeight="true" outlineLevel="0" collapsed="false">
      <c r="A66" s="63" t="s">
        <v>323</v>
      </c>
      <c r="B66" s="64" t="n">
        <v>95</v>
      </c>
      <c r="C66" s="64" t="n">
        <v>151</v>
      </c>
      <c r="D66" s="64" t="n">
        <v>720</v>
      </c>
      <c r="E66" s="64" t="n">
        <v>1118</v>
      </c>
      <c r="F66" s="64" t="n">
        <v>1146</v>
      </c>
    </row>
    <row r="67" customFormat="false" ht="15" hidden="false" customHeight="true" outlineLevel="0" collapsed="false">
      <c r="A67" s="63" t="s">
        <v>324</v>
      </c>
      <c r="B67" s="64" t="n">
        <v>2</v>
      </c>
      <c r="C67" s="64" t="n">
        <v>3</v>
      </c>
      <c r="D67" s="64" t="n">
        <v>14</v>
      </c>
      <c r="E67" s="64" t="n">
        <v>27</v>
      </c>
      <c r="F67" s="64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6" min="2" style="1" width="14"/>
  </cols>
  <sheetData>
    <row r="1" customFormat="false" ht="15" hidden="false" customHeight="true" outlineLevel="0" collapsed="false">
      <c r="A1" s="59" t="s">
        <v>0</v>
      </c>
    </row>
    <row r="2" customFormat="false" ht="15" hidden="false" customHeight="true" outlineLevel="0" collapsed="false">
      <c r="A2" s="60" t="s">
        <v>325</v>
      </c>
      <c r="B2" s="61" t="s">
        <v>195</v>
      </c>
      <c r="C2" s="61" t="s">
        <v>196</v>
      </c>
      <c r="D2" s="61" t="s">
        <v>197</v>
      </c>
      <c r="E2" s="61" t="s">
        <v>198</v>
      </c>
      <c r="F2" s="61" t="s">
        <v>199</v>
      </c>
    </row>
    <row r="4" customFormat="false" ht="15" hidden="false" customHeight="true" outlineLevel="0" collapsed="false">
      <c r="A4" s="62" t="s">
        <v>326</v>
      </c>
    </row>
    <row r="5" customFormat="false" ht="15" hidden="false" customHeight="true" outlineLevel="0" collapsed="false">
      <c r="A5" s="63" t="s">
        <v>327</v>
      </c>
      <c r="B5" s="64" t="n">
        <v>0</v>
      </c>
      <c r="C5" s="64" t="n">
        <v>0</v>
      </c>
      <c r="D5" s="64" t="n">
        <v>1371</v>
      </c>
      <c r="E5" s="64" t="n">
        <v>1485</v>
      </c>
      <c r="F5" s="64" t="n">
        <v>1849</v>
      </c>
    </row>
    <row r="6" customFormat="false" ht="15" hidden="false" customHeight="true" outlineLevel="0" collapsed="false">
      <c r="A6" s="63" t="s">
        <v>328</v>
      </c>
      <c r="B6" s="64" t="n">
        <v>0</v>
      </c>
      <c r="C6" s="64" t="n">
        <v>0</v>
      </c>
      <c r="D6" s="64" t="n">
        <v>352</v>
      </c>
      <c r="E6" s="64" t="n">
        <v>395</v>
      </c>
      <c r="F6" s="64" t="n">
        <v>450</v>
      </c>
    </row>
    <row r="7" customFormat="false" ht="15" hidden="false" customHeight="true" outlineLevel="0" collapsed="false">
      <c r="A7" s="63" t="s">
        <v>329</v>
      </c>
      <c r="B7" s="64" t="n">
        <v>0</v>
      </c>
      <c r="C7" s="64" t="n">
        <v>0</v>
      </c>
      <c r="D7" s="64" t="n">
        <v>437</v>
      </c>
      <c r="E7" s="64" t="n">
        <v>822</v>
      </c>
      <c r="F7" s="64" t="n">
        <v>1542</v>
      </c>
    </row>
    <row r="9" customFormat="false" ht="15" hidden="false" customHeight="true" outlineLevel="0" collapsed="false">
      <c r="A9" s="62" t="s">
        <v>330</v>
      </c>
    </row>
    <row r="10" customFormat="false" ht="15" hidden="false" customHeight="true" outlineLevel="0" collapsed="false">
      <c r="A10" s="63" t="s">
        <v>327</v>
      </c>
      <c r="B10" s="64" t="n">
        <v>0</v>
      </c>
      <c r="C10" s="64" t="n">
        <v>0</v>
      </c>
      <c r="D10" s="64" t="n">
        <v>823</v>
      </c>
      <c r="E10" s="64" t="n">
        <v>891</v>
      </c>
      <c r="F10" s="64" t="n">
        <v>1017</v>
      </c>
    </row>
    <row r="11" customFormat="false" ht="15" hidden="false" customHeight="true" outlineLevel="0" collapsed="false">
      <c r="A11" s="63" t="s">
        <v>328</v>
      </c>
      <c r="B11" s="64" t="n">
        <v>0</v>
      </c>
      <c r="C11" s="64" t="n">
        <v>0</v>
      </c>
      <c r="D11" s="64" t="n">
        <v>95</v>
      </c>
      <c r="E11" s="64" t="n">
        <v>127</v>
      </c>
      <c r="F11" s="64" t="n">
        <v>144</v>
      </c>
    </row>
    <row r="12" customFormat="false" ht="15" hidden="false" customHeight="true" outlineLevel="0" collapsed="false">
      <c r="A12" s="63" t="s">
        <v>329</v>
      </c>
      <c r="B12" s="64" t="n">
        <v>0</v>
      </c>
      <c r="C12" s="64" t="n">
        <v>0</v>
      </c>
      <c r="D12" s="64" t="n">
        <v>0</v>
      </c>
      <c r="E12" s="64" t="n">
        <v>307</v>
      </c>
      <c r="F12" s="64" t="n">
        <v>793</v>
      </c>
    </row>
    <row r="14" customFormat="false" ht="15" hidden="false" customHeight="true" outlineLevel="0" collapsed="false">
      <c r="A14" s="62" t="s">
        <v>331</v>
      </c>
    </row>
    <row r="15" customFormat="false" ht="15" hidden="false" customHeight="true" outlineLevel="0" collapsed="false">
      <c r="A15" s="63" t="s">
        <v>327</v>
      </c>
      <c r="B15" s="69" t="n">
        <v>0</v>
      </c>
      <c r="C15" s="69" t="n">
        <v>0</v>
      </c>
      <c r="D15" s="69" t="n">
        <v>0.601</v>
      </c>
      <c r="E15" s="69" t="n">
        <v>0.6</v>
      </c>
      <c r="F15" s="69" t="n">
        <v>0.55</v>
      </c>
    </row>
    <row r="16" customFormat="false" ht="15" hidden="false" customHeight="true" outlineLevel="0" collapsed="false">
      <c r="A16" s="63" t="s">
        <v>328</v>
      </c>
      <c r="B16" s="69" t="n">
        <v>0</v>
      </c>
      <c r="C16" s="69" t="n">
        <v>0</v>
      </c>
      <c r="D16" s="69" t="n">
        <v>0.269</v>
      </c>
      <c r="E16" s="69" t="n">
        <v>0.321</v>
      </c>
      <c r="F16" s="69" t="n">
        <v>0.321</v>
      </c>
    </row>
    <row r="17" customFormat="false" ht="15" hidden="false" customHeight="true" outlineLevel="0" collapsed="false">
      <c r="A17" s="63" t="s">
        <v>329</v>
      </c>
      <c r="B17" s="69" t="n">
        <v>0</v>
      </c>
      <c r="C17" s="69" t="n">
        <v>0</v>
      </c>
      <c r="D17" s="69" t="n">
        <v>0</v>
      </c>
      <c r="E17" s="69" t="n">
        <v>0.374</v>
      </c>
      <c r="F17" s="69" t="n">
        <v>0.514</v>
      </c>
    </row>
    <row r="19" customFormat="false" ht="15" hidden="false" customHeight="true" outlineLevel="0" collapsed="false">
      <c r="A19" s="62" t="s">
        <v>332</v>
      </c>
    </row>
    <row r="20" customFormat="false" ht="15" hidden="false" customHeight="true" outlineLevel="0" collapsed="false">
      <c r="A20" s="63" t="s">
        <v>333</v>
      </c>
      <c r="B20" s="64" t="n">
        <v>0</v>
      </c>
      <c r="C20" s="64" t="n">
        <v>0</v>
      </c>
      <c r="D20" s="64" t="n">
        <v>2074</v>
      </c>
      <c r="E20" s="64" t="n">
        <v>2606</v>
      </c>
      <c r="F20" s="64" t="n">
        <v>3591</v>
      </c>
    </row>
    <row r="22" customFormat="false" ht="15" hidden="false" customHeight="true" outlineLevel="0" collapsed="false">
      <c r="A22" s="62" t="s">
        <v>334</v>
      </c>
    </row>
    <row r="23" customFormat="false" ht="15" hidden="false" customHeight="true" outlineLevel="0" collapsed="false">
      <c r="A23" s="63" t="s">
        <v>335</v>
      </c>
      <c r="B23" s="68" t="n">
        <v>0</v>
      </c>
      <c r="C23" s="68" t="n">
        <v>0</v>
      </c>
      <c r="D23" s="68" t="n">
        <v>0</v>
      </c>
      <c r="E23" s="68" t="n">
        <v>10.1</v>
      </c>
      <c r="F23" s="68" t="n">
        <v>13.6</v>
      </c>
    </row>
    <row r="24" customFormat="false" ht="15" hidden="false" customHeight="true" outlineLevel="0" collapsed="false">
      <c r="A24" s="63" t="s">
        <v>336</v>
      </c>
      <c r="B24" s="68" t="n">
        <v>0</v>
      </c>
      <c r="C24" s="68" t="n">
        <v>0</v>
      </c>
      <c r="D24" s="68" t="n">
        <v>0</v>
      </c>
      <c r="E24" s="68" t="n">
        <v>14.7</v>
      </c>
      <c r="F24" s="68" t="n">
        <v>20.2</v>
      </c>
    </row>
    <row r="26" customFormat="false" ht="15" hidden="false" customHeight="true" outlineLevel="0" collapsed="false">
      <c r="A26" s="62" t="s">
        <v>337</v>
      </c>
    </row>
    <row r="27" customFormat="false" ht="15" hidden="false" customHeight="true" outlineLevel="0" collapsed="false">
      <c r="A27" s="63" t="s">
        <v>338</v>
      </c>
      <c r="B27" s="70" t="n">
        <v>0</v>
      </c>
      <c r="C27" s="70" t="n">
        <v>0</v>
      </c>
      <c r="D27" s="70" t="n">
        <v>0</v>
      </c>
      <c r="E27" s="70" t="n">
        <v>168</v>
      </c>
      <c r="F27" s="70" t="n">
        <v>128</v>
      </c>
    </row>
    <row r="29" customFormat="false" ht="15" hidden="false" customHeight="true" outlineLevel="0" collapsed="false">
      <c r="A29" s="62" t="s">
        <v>339</v>
      </c>
    </row>
    <row r="30" customFormat="false" ht="15" hidden="false" customHeight="true" outlineLevel="0" collapsed="false">
      <c r="A30" s="63" t="s">
        <v>340</v>
      </c>
      <c r="B30" s="64" t="n">
        <v>0</v>
      </c>
      <c r="C30" s="64" t="n">
        <v>7342</v>
      </c>
      <c r="D30" s="64" t="n">
        <v>18621</v>
      </c>
      <c r="E30" s="64" t="n">
        <v>25978</v>
      </c>
      <c r="F30" s="64" t="n">
        <v>37505</v>
      </c>
    </row>
    <row r="31" customFormat="false" ht="15" hidden="false" customHeight="true" outlineLevel="0" collapsed="false">
      <c r="A31" s="63" t="s">
        <v>341</v>
      </c>
      <c r="B31" s="64" t="n">
        <v>0</v>
      </c>
      <c r="C31" s="64" t="n">
        <v>13865</v>
      </c>
      <c r="D31" s="64" t="n">
        <v>22958</v>
      </c>
      <c r="E31" s="64" t="n">
        <v>27529</v>
      </c>
      <c r="F31" s="64" t="n">
        <v>38037</v>
      </c>
    </row>
    <row r="33" customFormat="false" ht="15" hidden="false" customHeight="true" outlineLevel="0" collapsed="false">
      <c r="A33" s="62" t="s">
        <v>342</v>
      </c>
    </row>
    <row r="34" customFormat="false" ht="15" hidden="false" customHeight="true" outlineLevel="0" collapsed="false">
      <c r="A34" s="63" t="s">
        <v>343</v>
      </c>
      <c r="B34" s="69" t="n">
        <v>0</v>
      </c>
      <c r="C34" s="69" t="n">
        <v>0</v>
      </c>
      <c r="D34" s="69" t="n">
        <v>0.0588</v>
      </c>
      <c r="E34" s="69" t="n">
        <v>0.058</v>
      </c>
      <c r="F34" s="69" t="n">
        <v>0.0585</v>
      </c>
    </row>
    <row r="35" customFormat="false" ht="15" hidden="false" customHeight="true" outlineLevel="0" collapsed="false">
      <c r="A35" s="63" t="s">
        <v>344</v>
      </c>
      <c r="B35" s="69" t="n">
        <v>0</v>
      </c>
      <c r="C35" s="69" t="n">
        <v>0</v>
      </c>
      <c r="D35" s="69" t="n">
        <v>0</v>
      </c>
      <c r="E35" s="69" t="n">
        <v>0.162</v>
      </c>
      <c r="F35" s="69" t="n">
        <v>0.229</v>
      </c>
    </row>
    <row r="36" customFormat="false" ht="15" hidden="false" customHeight="true" outlineLevel="0" collapsed="false">
      <c r="A36" s="63" t="s">
        <v>345</v>
      </c>
      <c r="B36" s="69" t="n">
        <v>0</v>
      </c>
      <c r="C36" s="69" t="n">
        <v>0</v>
      </c>
      <c r="D36" s="69" t="n">
        <v>0</v>
      </c>
      <c r="E36" s="69" t="n">
        <v>0.175</v>
      </c>
      <c r="F36" s="69" t="n">
        <v>0.166</v>
      </c>
    </row>
    <row r="38" customFormat="false" ht="15" hidden="false" customHeight="true" outlineLevel="0" collapsed="false">
      <c r="A38" s="62" t="s">
        <v>346</v>
      </c>
    </row>
    <row r="39" customFormat="false" ht="15" hidden="false" customHeight="true" outlineLevel="0" collapsed="false">
      <c r="A39" s="63" t="s">
        <v>347</v>
      </c>
      <c r="B39" s="64" t="n">
        <v>0</v>
      </c>
      <c r="C39" s="64" t="n">
        <v>0</v>
      </c>
      <c r="D39" s="64" t="n">
        <v>0</v>
      </c>
      <c r="E39" s="64" t="n">
        <v>0</v>
      </c>
      <c r="F39" s="64" t="n">
        <v>0</v>
      </c>
    </row>
    <row r="40" customFormat="false" ht="15" hidden="false" customHeight="true" outlineLevel="0" collapsed="false">
      <c r="A40" s="63" t="s">
        <v>348</v>
      </c>
      <c r="B40" s="64" t="n">
        <v>0</v>
      </c>
      <c r="C40" s="64" t="n">
        <v>0</v>
      </c>
      <c r="D40" s="64" t="n">
        <v>0</v>
      </c>
      <c r="E40" s="64" t="n">
        <v>0</v>
      </c>
      <c r="F40" s="64" t="n">
        <v>0</v>
      </c>
    </row>
    <row r="41" customFormat="false" ht="15" hidden="false" customHeight="true" outlineLevel="0" collapsed="false">
      <c r="A41" s="63" t="s">
        <v>349</v>
      </c>
      <c r="B41" s="64" t="n">
        <v>0</v>
      </c>
      <c r="C41" s="64" t="n">
        <v>0</v>
      </c>
      <c r="D41" s="64" t="n">
        <v>0</v>
      </c>
      <c r="E41" s="64" t="n">
        <v>0</v>
      </c>
      <c r="F41" s="64" t="n">
        <v>0</v>
      </c>
    </row>
    <row r="43" customFormat="false" ht="15" hidden="false" customHeight="true" outlineLevel="0" collapsed="false">
      <c r="A43" s="62" t="s">
        <v>350</v>
      </c>
    </row>
    <row r="44" customFormat="false" ht="15" hidden="false" customHeight="true" outlineLevel="0" collapsed="false">
      <c r="A44" s="63" t="s">
        <v>351</v>
      </c>
      <c r="B44" s="69" t="n">
        <v>0</v>
      </c>
      <c r="C44" s="69" t="n">
        <v>0</v>
      </c>
      <c r="D44" s="69" t="n">
        <v>0.0342</v>
      </c>
      <c r="E44" s="69" t="n">
        <v>0.0354</v>
      </c>
      <c r="F44" s="69" t="n">
        <v>0.0286</v>
      </c>
    </row>
    <row r="45" customFormat="false" ht="15" hidden="false" customHeight="true" outlineLevel="0" collapsed="false">
      <c r="A45" s="63" t="s">
        <v>352</v>
      </c>
      <c r="B45" s="69" t="n">
        <v>0</v>
      </c>
      <c r="C45" s="69" t="n">
        <v>0</v>
      </c>
      <c r="D45" s="69" t="n">
        <v>0.0044</v>
      </c>
      <c r="E45" s="69" t="n">
        <v>0.0064</v>
      </c>
      <c r="F45" s="69" t="n">
        <v>0.0072</v>
      </c>
    </row>
    <row r="46" customFormat="false" ht="15" hidden="false" customHeight="true" outlineLevel="0" collapsed="false">
      <c r="A46" s="63" t="s">
        <v>353</v>
      </c>
      <c r="B46" s="69" t="n">
        <v>0</v>
      </c>
      <c r="C46" s="69" t="n">
        <v>0</v>
      </c>
      <c r="D46" s="69" t="n">
        <v>0.1716</v>
      </c>
      <c r="E46" s="69" t="n">
        <v>0.1446</v>
      </c>
      <c r="F46" s="69" t="n">
        <v>0.0715</v>
      </c>
    </row>
    <row r="47" customFormat="false" ht="15" hidden="false" customHeight="true" outlineLevel="0" collapsed="false">
      <c r="A47" s="63" t="s">
        <v>354</v>
      </c>
      <c r="B47" s="69" t="n">
        <v>0</v>
      </c>
      <c r="C47" s="69" t="n">
        <v>0</v>
      </c>
      <c r="D47" s="69" t="n">
        <v>0.0266</v>
      </c>
      <c r="E47" s="69" t="n">
        <v>0.0263</v>
      </c>
      <c r="F47" s="69" t="n">
        <v>0.0207</v>
      </c>
    </row>
    <row r="49" customFormat="false" ht="15" hidden="false" customHeight="true" outlineLevel="0" collapsed="false">
      <c r="A49" s="62" t="s">
        <v>355</v>
      </c>
    </row>
    <row r="50" customFormat="false" ht="15" hidden="false" customHeight="true" outlineLevel="0" collapsed="false">
      <c r="A50" s="63" t="s">
        <v>356</v>
      </c>
      <c r="B50" s="68" t="n">
        <v>0</v>
      </c>
      <c r="C50" s="68" t="n">
        <v>933.9</v>
      </c>
      <c r="D50" s="68" t="n">
        <v>975.9</v>
      </c>
      <c r="E50" s="68" t="n">
        <v>1095.4</v>
      </c>
      <c r="F50" s="68" t="n">
        <v>1270.6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2026-03-04T04:54:55Z</dcterms:created>
  <dc:creator>openpyxl</dc:creator>
  <dc:description/>
  <dc:language>en-US</dc:language>
  <cp:lastModifiedBy/>
  <dcterms:modified xsi:type="dcterms:W3CDTF">2026-03-04T17:29:39Z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