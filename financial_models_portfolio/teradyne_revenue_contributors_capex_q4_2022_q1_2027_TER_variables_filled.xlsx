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E44E0B91-9B31-4615-9D6E-70C4752C1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1" i="1" l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S16" i="1"/>
  <c r="R16" i="1"/>
  <c r="Q16" i="1"/>
  <c r="P16" i="1"/>
  <c r="O16" i="1"/>
  <c r="N16" i="1"/>
  <c r="M16" i="1"/>
  <c r="L16" i="1"/>
  <c r="L17" i="1" s="1"/>
  <c r="K16" i="1"/>
  <c r="K17" i="1" s="1"/>
  <c r="J16" i="1"/>
  <c r="I16" i="1"/>
  <c r="I17" i="1" s="1"/>
  <c r="H16" i="1"/>
  <c r="G16" i="1"/>
  <c r="F16" i="1"/>
  <c r="F17" i="1" s="1"/>
  <c r="E16" i="1"/>
  <c r="D16" i="1"/>
  <c r="C16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S47" i="1" l="1"/>
  <c r="J17" i="1"/>
  <c r="R47" i="1"/>
  <c r="I82" i="1"/>
  <c r="K66" i="1"/>
  <c r="L66" i="1"/>
  <c r="L47" i="1"/>
  <c r="E84" i="1"/>
  <c r="P66" i="1"/>
  <c r="S82" i="1"/>
  <c r="R82" i="1"/>
  <c r="P82" i="1"/>
  <c r="N82" i="1"/>
  <c r="L82" i="1"/>
  <c r="J82" i="1"/>
  <c r="G82" i="1"/>
  <c r="C84" i="1"/>
  <c r="F66" i="1"/>
  <c r="O47" i="1"/>
  <c r="F47" i="1"/>
  <c r="Q66" i="1"/>
  <c r="D84" i="1"/>
  <c r="H47" i="1"/>
  <c r="H66" i="1"/>
  <c r="I47" i="1"/>
  <c r="J47" i="1"/>
  <c r="S17" i="1"/>
  <c r="R17" i="1"/>
  <c r="Q17" i="1"/>
  <c r="P17" i="1"/>
  <c r="O17" i="1"/>
  <c r="N17" i="1"/>
  <c r="M17" i="1"/>
  <c r="I66" i="1"/>
  <c r="N47" i="1"/>
  <c r="H17" i="1"/>
  <c r="G17" i="1"/>
  <c r="R66" i="1"/>
  <c r="N66" i="1"/>
  <c r="J66" i="1"/>
  <c r="M47" i="1"/>
  <c r="Q82" i="1"/>
  <c r="O82" i="1"/>
  <c r="M82" i="1"/>
  <c r="K82" i="1"/>
  <c r="H82" i="1"/>
  <c r="F82" i="1"/>
  <c r="S66" i="1"/>
  <c r="M66" i="1"/>
  <c r="G66" i="1"/>
  <c r="P47" i="1"/>
  <c r="O66" i="1"/>
  <c r="Q47" i="1"/>
  <c r="G47" i="1"/>
  <c r="K47" i="1"/>
  <c r="S30" i="1"/>
  <c r="S84" i="1"/>
  <c r="R30" i="1"/>
  <c r="R84" i="1" s="1"/>
  <c r="Q30" i="1"/>
  <c r="P30" i="1"/>
  <c r="O30" i="1"/>
  <c r="N30" i="1"/>
  <c r="N84" i="1"/>
  <c r="M30" i="1"/>
  <c r="M84" i="1"/>
  <c r="L30" i="1"/>
  <c r="L84" i="1"/>
  <c r="K30" i="1"/>
  <c r="K84" i="1" s="1"/>
  <c r="J30" i="1"/>
  <c r="J84" i="1" s="1"/>
  <c r="I30" i="1"/>
  <c r="I84" i="1" s="1"/>
  <c r="I85" i="1" s="1"/>
  <c r="H30" i="1"/>
  <c r="G30" i="1"/>
  <c r="F30" i="1"/>
  <c r="F84" i="1" s="1"/>
  <c r="F85" i="1" s="1"/>
  <c r="P84" i="1" l="1"/>
  <c r="P85" i="1" s="1"/>
  <c r="H84" i="1"/>
  <c r="G84" i="1"/>
  <c r="O84" i="1"/>
  <c r="R85" i="1"/>
  <c r="Q84" i="1"/>
  <c r="Q85" i="1" s="1"/>
  <c r="N85" i="1"/>
  <c r="M85" i="1"/>
  <c r="J85" i="1"/>
  <c r="H85" i="1" l="1"/>
  <c r="L85" i="1"/>
  <c r="G85" i="1"/>
  <c r="K85" i="1"/>
  <c r="S85" i="1"/>
  <c r="O85" i="1"/>
</calcChain>
</file>

<file path=xl/sharedStrings.xml><?xml version="1.0" encoding="utf-8"?>
<sst xmlns="http://schemas.openxmlformats.org/spreadsheetml/2006/main" count="94" uniqueCount="80">
  <si>
    <t>TER Sales</t>
  </si>
  <si>
    <t>Growth %</t>
  </si>
  <si>
    <t>TER CapEx</t>
  </si>
  <si>
    <t>% of Sales</t>
  </si>
  <si>
    <t>Hard confirmed revenue contributors: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</si>
  <si>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</si>
  <si>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</si>
  <si>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</si>
  <si>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</si>
  <si>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</si>
  <si>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</si>
  <si>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</si>
  <si>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</si>
  <si>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</si>
  <si>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</si>
  <si>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</si>
  <si>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</si>
  <si>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</si>
  <si>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</si>
  <si>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2026E</t>
  </si>
  <si>
    <t>Q3 2026E</t>
  </si>
  <si>
    <t>Q4 2026E</t>
  </si>
  <si>
    <t>Q1 2027E</t>
  </si>
  <si>
    <t>Samsung Electronics</t>
  </si>
  <si>
    <t>Texas Instruments</t>
  </si>
  <si>
    <t>Infineon</t>
  </si>
  <si>
    <t>TSMC</t>
  </si>
  <si>
    <t>Analog Devices</t>
  </si>
  <si>
    <t>Core TER Contrib. CapEx</t>
  </si>
  <si>
    <t>Memory and high bandwidth memory:</t>
  </si>
  <si>
    <t>SK hynix</t>
  </si>
  <si>
    <t>Micron</t>
  </si>
  <si>
    <t>Kioxia</t>
  </si>
  <si>
    <t>SanDisk</t>
  </si>
  <si>
    <t>Winbond</t>
  </si>
  <si>
    <t>Nanya</t>
  </si>
  <si>
    <t>Macronix</t>
  </si>
  <si>
    <t>Powerchip</t>
  </si>
  <si>
    <t>Segment total</t>
  </si>
  <si>
    <t>Logic foundry and advanced packaging:</t>
  </si>
  <si>
    <t>Samsung Foundry</t>
  </si>
  <si>
    <t>Intel</t>
  </si>
  <si>
    <t>GlobalFoundries</t>
  </si>
  <si>
    <t>United Microelectronics</t>
  </si>
  <si>
    <t>Semiconductor Manufacturing International</t>
  </si>
  <si>
    <t>Hua Hong</t>
  </si>
  <si>
    <t>Tower Semiconductor</t>
  </si>
  <si>
    <t>Vanguard International Semiconductor</t>
  </si>
  <si>
    <t>Powerchip Semiconductor Manufacturing</t>
  </si>
  <si>
    <t>DB HiTek</t>
  </si>
  <si>
    <t>X-FAB</t>
  </si>
  <si>
    <t>SkyWater</t>
  </si>
  <si>
    <t>Analog, power, auto, industrial:</t>
  </si>
  <si>
    <t>STMicroelectronics</t>
  </si>
  <si>
    <t>NXP</t>
  </si>
  <si>
    <t>Renesas</t>
  </si>
  <si>
    <t>onsemi</t>
  </si>
  <si>
    <t>Microchip</t>
  </si>
  <si>
    <t>ROHM</t>
  </si>
  <si>
    <t>Wolfspeed</t>
  </si>
  <si>
    <t>Fuji Electric</t>
  </si>
  <si>
    <t>Mitsubishi Electric</t>
  </si>
  <si>
    <t>Vishay</t>
  </si>
  <si>
    <t>Diodes</t>
  </si>
  <si>
    <t>Alpha and Omega Semiconductor</t>
  </si>
  <si>
    <t>Radio frequency, silicon photonics, compound semi:</t>
  </si>
  <si>
    <t>Broadcom</t>
  </si>
  <si>
    <t>Skyworks</t>
  </si>
  <si>
    <t>Qorvo</t>
  </si>
  <si>
    <t>MACOM</t>
  </si>
  <si>
    <t>WIN Semiconductors</t>
  </si>
  <si>
    <t>Advanced Wireless Semiconductor</t>
  </si>
  <si>
    <t>Global Communication Semiconductors</t>
  </si>
  <si>
    <t>Sanan Optoelectronics</t>
  </si>
  <si>
    <t>Coherent</t>
  </si>
  <si>
    <t>Lumentum</t>
  </si>
  <si>
    <t>ams OSRAM</t>
  </si>
  <si>
    <t>nLIGHT</t>
  </si>
  <si>
    <t>Total Fab-Enabled CapEx</t>
  </si>
  <si>
    <t>TER Metrics: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</si>
</sst>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\-"/>
    <numFmt numFmtId="165" formatCode="0.0%"/>
    <numFmt numFmtId="166" formatCode="0.0%;[Red]\(0.0%\);\-"/>
  </numFmts>
  <fonts count="9">
    <font>
      <sz val="11"/>
      <name val="Carlito"/>
    </font>
    <font>
      <b/>
      <sz val="11"/>
      <name val="Carlito"/>
    </font>
    <font>
      <b/>
      <sz val="11"/>
      <color rgb="FF0000FF"/>
      <name val="Carlito"/>
    </font>
    <font>
      <sz val="11"/>
      <color rgb="FF0000FF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i/>
      <sz val="11"/>
      <color rgb="FF000000"/>
      <name val="Carlito"/>
    </font>
    <font>
      <i/>
      <sz val="11"/>
      <name val="Carlit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3" fontId="3" fillId="0" borderId="0" xfId="0" applyNumberFormat="1" applyFont="1"/>
    <xf numFmtId="3" fontId="5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3" fontId="1" fillId="0" borderId="0" xfId="0" applyNumberFormat="1" applyFont="1"/>
    <xf numFmtId="3" fontId="1" fillId="0" borderId="2" xfId="0" applyNumberFormat="1" applyFont="1" applyBorder="1"/>
    <xf numFmtId="0" fontId="7" fillId="0" borderId="0" xfId="0" applyFont="1"/>
    <xf numFmtId="3" fontId="8" fillId="0" borderId="0" xfId="0" applyNumberFormat="1" applyFont="1"/>
    <xf numFmtId="0" fontId="8" fillId="0" borderId="0" xfId="0" applyFont="1"/>
    <xf numFmtId="165" fontId="8" fillId="0" borderId="0" xfId="1" applyNumberFormat="1" applyFont="1"/>
    <xf numFmtId="165" fontId="8" fillId="0" borderId="2" xfId="1" applyNumberFormat="1" applyFont="1" applyBorder="1"/>
    <xf numFmtId="165" fontId="8" fillId="0" borderId="0" xfId="0" applyNumberFormat="1" applyFont="1"/>
    <xf numFmtId="165" fontId="8" fillId="0" borderId="2" xfId="0" applyNumberFormat="1" applyFont="1" applyBorder="1"/>
    <xf numFmtId="3" fontId="3" fillId="0" borderId="1" xfId="0" applyNumberFormat="1" applyFont="1" applyBorder="1"/>
    <xf numFmtId="3" fontId="1" fillId="0" borderId="1" xfId="0" applyNumberFormat="1" applyFont="1" applyBorder="1"/>
    <xf numFmtId="165" fontId="8" fillId="0" borderId="1" xfId="1" applyNumberFormat="1" applyFont="1" applyBorder="1"/>
    <xf numFmtId="3" fontId="2" fillId="0" borderId="1" xfId="0" applyNumberFormat="1" applyFont="1" applyBorder="1"/>
    <xf numFmtId="165" fontId="8" fillId="0" borderId="1" xfId="0" applyNumberFormat="1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8" fillId="0" borderId="1" xfId="0" applyFont="1" applyBorder="1"/>
    <xf numFmtId="0" fontId="8" fillId="0" borderId="2" xfId="0" applyFont="1" applyBorder="1"/>
    <xf numFmtId="0" fontId="0" fillId="0" borderId="3" xfId="0" applyBorder="1"/>
    <xf numFmtId="0" fontId="0" fillId="0" borderId="4" xfId="0" applyBorder="1"/>
    <xf numFmtId="164" fontId="3" fillId="0" borderId="0" xfId="0" applyNumberFormat="1" applyFont="1"/>
    <xf numFmtId="164" fontId="5" fillId="0" borderId="0" xfId="0" applyNumberFormat="1" applyFont="1"/>
    <xf numFmtId="166" fontId="7" fillId="0" borderId="0" xfId="0" applyNumberFormat="1" applyFont="1"/>
    <xf numFmtId="164" fontId="3" fillId="0" borderId="5" xfId="0" applyNumberFormat="1" applyFont="1" applyBorder="1"/>
    <xf numFmtId="0" fontId="0" fillId="0" borderId="5" xfId="0" applyBorder="1"/>
    <xf numFmtId="164" fontId="1" fillId="0" borderId="0" xfId="0" applyNumberFormat="1" applyFon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5" fontId="7" fillId="0" borderId="0" xfId="0" applyNumberFormat="1" applyFont="1"/>
    <xf numFmtId="165" fontId="7" fillId="0" borderId="5" xfId="0" applyNumberFormat="1" applyFont="1" applyBorder="1"/>
    <xf numFmtId="164" fontId="1" fillId="0" borderId="3" xfId="0" applyNumberFormat="1" applyFont="1" applyFill="1" applyBorder="1" applyAlignment="1">
      <alignment horizontal="right"/>
    </xf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1"/>
  <sheetViews>
    <sheetView tabSelected="1" workbookViewId="0"/>
  </sheetViews>
  <sheetFormatPr defaultRowHeight="14.25"/>
  <cols>
    <col min="1" max="1" width="29.375" customWidth="1"/>
    <col min="2" max="13" width="10" customWidth="1"/>
    <col min="14" max="14" width="10" style="2" customWidth="1"/>
    <col min="15" max="15" width="10" style="3" customWidth="1"/>
    <col min="16" max="19" width="10" customWidth="1"/>
  </cols>
  <sheetData>
    <row r="2" spans="1:21" ht="15">
      <c r="A2" s="1" t="s">
        <v>79</v>
      </c>
      <c r="N2" s="28"/>
      <c r="O2" s="29"/>
    </row>
    <row r="3" spans="1:21" ht="15">
      <c r="B3" s="35" t="s">
        <v>5</v>
      </c>
      <c r="C3" s="35" t="s">
        <v>6</v>
      </c>
      <c r="D3" s="35" t="s">
        <v>7</v>
      </c>
      <c r="E3" s="35" t="s">
        <v>8</v>
      </c>
      <c r="F3" s="35" t="s">
        <v>9</v>
      </c>
      <c r="G3" s="35" t="s">
        <v>10</v>
      </c>
      <c r="H3" s="35" t="s">
        <v>11</v>
      </c>
      <c r="I3" s="35" t="s">
        <v>12</v>
      </c>
      <c r="J3" s="35" t="s">
        <v>13</v>
      </c>
      <c r="K3" s="35" t="s">
        <v>14</v>
      </c>
      <c r="L3" s="35" t="s">
        <v>15</v>
      </c>
      <c r="M3" s="35" t="s">
        <v>16</v>
      </c>
      <c r="N3" s="36" t="s">
        <v>17</v>
      </c>
      <c r="O3" s="37" t="s">
        <v>18</v>
      </c>
      <c r="P3" s="35" t="s">
        <v>19</v>
      </c>
      <c r="Q3" s="35" t="s">
        <v>20</v>
      </c>
      <c r="R3" s="35" t="s">
        <v>21</v>
      </c>
      <c r="S3" s="35" t="s">
        <v>22</v>
      </c>
      <c r="U3" s="40"/>
    </row>
    <row r="4" spans="1:21">
      <c r="A4" t="s">
        <v>0</v>
      </c>
      <c r="B4" s="30">
        <v>732</v>
      </c>
      <c r="C4" s="30">
        <v>618</v>
      </c>
      <c r="D4" s="30">
        <v>684</v>
      </c>
      <c r="E4" s="30">
        <v>704</v>
      </c>
      <c r="F4" s="30">
        <v>671</v>
      </c>
      <c r="G4" s="30">
        <v>600</v>
      </c>
      <c r="H4" s="30">
        <v>730</v>
      </c>
      <c r="I4" s="30">
        <v>737</v>
      </c>
      <c r="J4" s="30">
        <v>753</v>
      </c>
      <c r="K4" s="30">
        <v>686</v>
      </c>
      <c r="L4" s="30">
        <v>652</v>
      </c>
      <c r="M4" s="30">
        <v>769</v>
      </c>
      <c r="N4" s="30">
        <v>1083</v>
      </c>
      <c r="O4" s="33">
        <v>1282</v>
      </c>
      <c r="P4" s="31">
        <v>1200</v>
      </c>
      <c r="Q4" s="31">
        <v>1020</v>
      </c>
      <c r="R4" s="31">
        <v>998</v>
      </c>
      <c r="S4" s="31">
        <v>1365</v>
      </c>
    </row>
    <row r="5" spans="1:21">
      <c r="A5" s="14" t="s">
        <v>1</v>
      </c>
      <c r="B5" s="32"/>
      <c r="C5" s="32"/>
      <c r="D5" s="32"/>
      <c r="E5" s="32"/>
      <c r="F5" s="38">
        <f t="shared" ref="F5:S5" si="0">F4/B4-1</f>
        <v>-8.333333333333337E-2</v>
      </c>
      <c r="G5" s="38">
        <f t="shared" si="0"/>
        <v>-2.9126213592232997E-2</v>
      </c>
      <c r="H5" s="38">
        <f t="shared" si="0"/>
        <v>6.7251461988304007E-2</v>
      </c>
      <c r="I5" s="38">
        <f t="shared" si="0"/>
        <v>4.6875E-2</v>
      </c>
      <c r="J5" s="38">
        <f t="shared" si="0"/>
        <v>0.12220566318926984</v>
      </c>
      <c r="K5" s="38">
        <f t="shared" si="0"/>
        <v>0.14333333333333331</v>
      </c>
      <c r="L5" s="38">
        <f t="shared" si="0"/>
        <v>-0.10684931506849316</v>
      </c>
      <c r="M5" s="38">
        <f t="shared" si="0"/>
        <v>4.3419267299864339E-2</v>
      </c>
      <c r="N5" s="38">
        <f t="shared" si="0"/>
        <v>0.43824701195219129</v>
      </c>
      <c r="O5" s="39">
        <f t="shared" si="0"/>
        <v>0.86880466472303208</v>
      </c>
      <c r="P5" s="38">
        <f t="shared" si="0"/>
        <v>0.8404907975460123</v>
      </c>
      <c r="Q5" s="38">
        <f t="shared" si="0"/>
        <v>0.32639791937581264</v>
      </c>
      <c r="R5" s="38">
        <f t="shared" si="0"/>
        <v>-7.848568790397048E-2</v>
      </c>
      <c r="S5" s="38">
        <f t="shared" si="0"/>
        <v>6.4742589703588038E-2</v>
      </c>
    </row>
    <row r="6" spans="1:21">
      <c r="A6" s="14"/>
      <c r="O6" s="34"/>
    </row>
    <row r="7" spans="1:21">
      <c r="A7" t="s">
        <v>2</v>
      </c>
      <c r="B7" s="30">
        <v>35</v>
      </c>
      <c r="C7" s="30">
        <v>41</v>
      </c>
      <c r="D7" s="30">
        <v>39</v>
      </c>
      <c r="E7" s="30">
        <v>35</v>
      </c>
      <c r="F7" s="30">
        <v>44</v>
      </c>
      <c r="G7" s="30">
        <v>44</v>
      </c>
      <c r="H7" s="30">
        <v>45</v>
      </c>
      <c r="I7" s="30">
        <v>52</v>
      </c>
      <c r="J7" s="30">
        <v>57</v>
      </c>
      <c r="K7" s="30">
        <v>64</v>
      </c>
      <c r="L7" s="30">
        <v>50</v>
      </c>
      <c r="M7" s="30">
        <v>47</v>
      </c>
      <c r="N7" s="30">
        <v>63</v>
      </c>
      <c r="O7" s="33">
        <v>65</v>
      </c>
      <c r="P7" s="31">
        <v>71</v>
      </c>
      <c r="Q7" s="31">
        <v>61</v>
      </c>
      <c r="R7" s="31">
        <v>59</v>
      </c>
      <c r="S7" s="31">
        <v>81</v>
      </c>
    </row>
    <row r="8" spans="1:21">
      <c r="A8" s="14" t="s">
        <v>3</v>
      </c>
      <c r="B8" s="38">
        <f t="shared" ref="B8:S8" si="1">B7/B4</f>
        <v>4.7814207650273222E-2</v>
      </c>
      <c r="C8" s="38">
        <f t="shared" si="1"/>
        <v>6.6343042071197414E-2</v>
      </c>
      <c r="D8" s="38">
        <f t="shared" si="1"/>
        <v>5.701754385964912E-2</v>
      </c>
      <c r="E8" s="38">
        <f t="shared" si="1"/>
        <v>4.9715909090909088E-2</v>
      </c>
      <c r="F8" s="38">
        <f t="shared" si="1"/>
        <v>6.5573770491803282E-2</v>
      </c>
      <c r="G8" s="38">
        <f t="shared" si="1"/>
        <v>7.3333333333333334E-2</v>
      </c>
      <c r="H8" s="38">
        <f t="shared" si="1"/>
        <v>6.1643835616438353E-2</v>
      </c>
      <c r="I8" s="38">
        <f t="shared" si="1"/>
        <v>7.055630936227951E-2</v>
      </c>
      <c r="J8" s="38">
        <f t="shared" si="1"/>
        <v>7.5697211155378488E-2</v>
      </c>
      <c r="K8" s="38">
        <f t="shared" si="1"/>
        <v>9.3294460641399415E-2</v>
      </c>
      <c r="L8" s="38">
        <f t="shared" si="1"/>
        <v>7.6687116564417179E-2</v>
      </c>
      <c r="M8" s="38">
        <f t="shared" si="1"/>
        <v>6.1118335500650198E-2</v>
      </c>
      <c r="N8" s="38">
        <f t="shared" si="1"/>
        <v>5.817174515235457E-2</v>
      </c>
      <c r="O8" s="39">
        <f t="shared" si="1"/>
        <v>5.0702028081123243E-2</v>
      </c>
      <c r="P8" s="38">
        <f t="shared" si="1"/>
        <v>5.9166666666666666E-2</v>
      </c>
      <c r="Q8" s="38">
        <f t="shared" si="1"/>
        <v>5.9803921568627454E-2</v>
      </c>
      <c r="R8" s="38">
        <f t="shared" si="1"/>
        <v>5.9118236472945888E-2</v>
      </c>
      <c r="S8" s="38">
        <f t="shared" si="1"/>
        <v>5.9340659340659338E-2</v>
      </c>
    </row>
    <row r="9" spans="1:21">
      <c r="A9" s="14"/>
    </row>
    <row r="10" spans="1:21" ht="15" customHeight="1">
      <c r="A10" s="4" t="s">
        <v>4</v>
      </c>
    </row>
    <row r="11" spans="1:21" ht="15" customHeight="1">
      <c r="A11" s="5" t="s">
        <v>23</v>
      </c>
      <c r="B11" s="6">
        <v>10920</v>
      </c>
      <c r="C11" s="6">
        <v>9020</v>
      </c>
      <c r="D11" s="6">
        <v>9840</v>
      </c>
      <c r="E11" s="6">
        <v>10250</v>
      </c>
      <c r="F11" s="6">
        <v>11890</v>
      </c>
      <c r="G11" s="6">
        <v>8250</v>
      </c>
      <c r="H11" s="6">
        <v>9000</v>
      </c>
      <c r="I11" s="6">
        <v>9375</v>
      </c>
      <c r="J11" s="6">
        <v>10875</v>
      </c>
      <c r="K11" s="6">
        <v>7852</v>
      </c>
      <c r="L11" s="6">
        <v>9240</v>
      </c>
      <c r="M11" s="6">
        <v>9625</v>
      </c>
      <c r="N11" s="19">
        <v>7477</v>
      </c>
      <c r="O11" s="24">
        <v>11090</v>
      </c>
      <c r="P11" s="7">
        <v>12000</v>
      </c>
      <c r="Q11" s="7">
        <v>14000</v>
      </c>
      <c r="R11" s="7">
        <v>15600</v>
      </c>
      <c r="S11" s="7">
        <v>12650</v>
      </c>
    </row>
    <row r="12" spans="1:21" ht="15" customHeight="1">
      <c r="A12" s="5" t="s">
        <v>24</v>
      </c>
      <c r="B12" s="6">
        <v>967</v>
      </c>
      <c r="C12" s="6">
        <v>982</v>
      </c>
      <c r="D12" s="6">
        <v>1446</v>
      </c>
      <c r="E12" s="6">
        <v>1495</v>
      </c>
      <c r="F12" s="6">
        <v>1148</v>
      </c>
      <c r="G12" s="6">
        <v>1248</v>
      </c>
      <c r="H12" s="6">
        <v>1064</v>
      </c>
      <c r="I12" s="6">
        <v>1316</v>
      </c>
      <c r="J12" s="6">
        <v>1192</v>
      </c>
      <c r="K12" s="6">
        <v>1123</v>
      </c>
      <c r="L12" s="6">
        <v>1305</v>
      </c>
      <c r="M12" s="6">
        <v>1197</v>
      </c>
      <c r="N12" s="19">
        <v>925</v>
      </c>
      <c r="O12" s="24">
        <v>676</v>
      </c>
      <c r="P12" s="7">
        <v>875</v>
      </c>
      <c r="Q12" s="7">
        <v>1000</v>
      </c>
      <c r="R12" s="7">
        <v>1449</v>
      </c>
      <c r="S12" s="7">
        <v>805</v>
      </c>
    </row>
    <row r="13" spans="1:21" ht="15" customHeight="1">
      <c r="A13" s="5" t="s">
        <v>25</v>
      </c>
      <c r="B13" s="6">
        <v>756</v>
      </c>
      <c r="C13" s="6">
        <v>704</v>
      </c>
      <c r="D13" s="6">
        <v>768</v>
      </c>
      <c r="E13" s="6">
        <v>800</v>
      </c>
      <c r="F13" s="6">
        <v>928</v>
      </c>
      <c r="G13" s="6">
        <v>792</v>
      </c>
      <c r="H13" s="6">
        <v>864</v>
      </c>
      <c r="I13" s="6">
        <v>900</v>
      </c>
      <c r="J13" s="6">
        <v>1044</v>
      </c>
      <c r="K13" s="6">
        <v>660</v>
      </c>
      <c r="L13" s="6">
        <v>720</v>
      </c>
      <c r="M13" s="6">
        <v>750</v>
      </c>
      <c r="N13" s="19">
        <v>870</v>
      </c>
      <c r="O13" s="24">
        <v>736</v>
      </c>
      <c r="P13" s="7">
        <v>768</v>
      </c>
      <c r="Q13" s="7">
        <v>800</v>
      </c>
      <c r="R13" s="7">
        <v>896</v>
      </c>
      <c r="S13" s="7">
        <v>782</v>
      </c>
    </row>
    <row r="14" spans="1:21" ht="15" customHeight="1">
      <c r="A14" s="5" t="s">
        <v>26</v>
      </c>
      <c r="B14" s="6">
        <v>10164</v>
      </c>
      <c r="C14" s="6">
        <v>6688</v>
      </c>
      <c r="D14" s="6">
        <v>7296</v>
      </c>
      <c r="E14" s="6">
        <v>7600</v>
      </c>
      <c r="F14" s="6">
        <v>8816</v>
      </c>
      <c r="G14" s="6">
        <v>6556</v>
      </c>
      <c r="H14" s="6">
        <v>7152</v>
      </c>
      <c r="I14" s="6">
        <v>7450</v>
      </c>
      <c r="J14" s="6">
        <v>8642</v>
      </c>
      <c r="K14" s="6">
        <v>8998</v>
      </c>
      <c r="L14" s="6">
        <v>9816</v>
      </c>
      <c r="M14" s="6">
        <v>10225</v>
      </c>
      <c r="N14" s="19">
        <v>11861</v>
      </c>
      <c r="O14" s="24">
        <v>11100</v>
      </c>
      <c r="P14" s="7">
        <v>12960</v>
      </c>
      <c r="Q14" s="7">
        <v>13500</v>
      </c>
      <c r="R14" s="7">
        <v>15120</v>
      </c>
      <c r="S14" s="7">
        <v>13340</v>
      </c>
    </row>
    <row r="15" spans="1:21" ht="15" customHeight="1">
      <c r="A15" s="5" t="s">
        <v>27</v>
      </c>
      <c r="B15" s="6">
        <v>196</v>
      </c>
      <c r="C15" s="6">
        <v>176</v>
      </c>
      <c r="D15" s="6">
        <v>192</v>
      </c>
      <c r="E15" s="6">
        <v>200</v>
      </c>
      <c r="F15" s="6">
        <v>232</v>
      </c>
      <c r="G15" s="6">
        <v>198</v>
      </c>
      <c r="H15" s="6">
        <v>216</v>
      </c>
      <c r="I15" s="6">
        <v>225</v>
      </c>
      <c r="J15" s="6">
        <v>261</v>
      </c>
      <c r="K15" s="6">
        <v>176</v>
      </c>
      <c r="L15" s="6">
        <v>192</v>
      </c>
      <c r="M15" s="6">
        <v>200</v>
      </c>
      <c r="N15" s="19">
        <v>232</v>
      </c>
      <c r="O15" s="24">
        <v>207</v>
      </c>
      <c r="P15" s="7">
        <v>216</v>
      </c>
      <c r="Q15" s="7">
        <v>225</v>
      </c>
      <c r="R15" s="7">
        <v>252</v>
      </c>
      <c r="S15" s="7">
        <v>230</v>
      </c>
    </row>
    <row r="16" spans="1:21" s="1" customFormat="1" ht="15" customHeight="1">
      <c r="A16" s="4" t="s">
        <v>28</v>
      </c>
      <c r="B16" s="10">
        <v>23003</v>
      </c>
      <c r="C16" s="10">
        <f t="shared" ref="C16:S16" si="2">SUM(C11:C15)</f>
        <v>17570</v>
      </c>
      <c r="D16" s="10">
        <f t="shared" si="2"/>
        <v>19542</v>
      </c>
      <c r="E16" s="10">
        <f t="shared" si="2"/>
        <v>20345</v>
      </c>
      <c r="F16" s="10">
        <f t="shared" si="2"/>
        <v>23014</v>
      </c>
      <c r="G16" s="10">
        <f t="shared" si="2"/>
        <v>17044</v>
      </c>
      <c r="H16" s="10">
        <f t="shared" si="2"/>
        <v>18296</v>
      </c>
      <c r="I16" s="10">
        <f t="shared" si="2"/>
        <v>19266</v>
      </c>
      <c r="J16" s="10">
        <f t="shared" si="2"/>
        <v>22014</v>
      </c>
      <c r="K16" s="10">
        <f t="shared" si="2"/>
        <v>18809</v>
      </c>
      <c r="L16" s="10">
        <f t="shared" si="2"/>
        <v>21273</v>
      </c>
      <c r="M16" s="10">
        <f t="shared" si="2"/>
        <v>21997</v>
      </c>
      <c r="N16" s="20">
        <f t="shared" si="2"/>
        <v>21365</v>
      </c>
      <c r="O16" s="11">
        <f t="shared" si="2"/>
        <v>23809</v>
      </c>
      <c r="P16" s="10">
        <f t="shared" si="2"/>
        <v>26819</v>
      </c>
      <c r="Q16" s="10">
        <f t="shared" si="2"/>
        <v>29525</v>
      </c>
      <c r="R16" s="10">
        <f t="shared" si="2"/>
        <v>33317</v>
      </c>
      <c r="S16" s="10">
        <f t="shared" si="2"/>
        <v>27807</v>
      </c>
    </row>
    <row r="17" spans="1:19" s="14" customFormat="1" ht="15" customHeight="1">
      <c r="A17" s="12" t="s">
        <v>1</v>
      </c>
      <c r="B17" s="13"/>
      <c r="C17" s="13"/>
      <c r="D17" s="13"/>
      <c r="E17" s="13"/>
      <c r="F17" s="15">
        <f>F16/B16-1</f>
        <v>4.7819849584840313E-4</v>
      </c>
      <c r="G17" s="15">
        <f t="shared" ref="G17:S17" si="3">G16/C16-1</f>
        <v>-2.9937393284006797E-2</v>
      </c>
      <c r="H17" s="15">
        <f t="shared" si="3"/>
        <v>-6.3760106437416808E-2</v>
      </c>
      <c r="I17" s="15">
        <f t="shared" si="3"/>
        <v>-5.3035143769968096E-2</v>
      </c>
      <c r="J17" s="15">
        <f t="shared" si="3"/>
        <v>-4.3451811940557916E-2</v>
      </c>
      <c r="K17" s="15">
        <f t="shared" si="3"/>
        <v>0.10355550340295716</v>
      </c>
      <c r="L17" s="15">
        <f t="shared" si="3"/>
        <v>0.16271316134674252</v>
      </c>
      <c r="M17" s="15">
        <f t="shared" si="3"/>
        <v>0.14175230976850406</v>
      </c>
      <c r="N17" s="21">
        <f t="shared" si="3"/>
        <v>-2.9481239211410881E-2</v>
      </c>
      <c r="O17" s="16">
        <f t="shared" si="3"/>
        <v>0.26583018767611244</v>
      </c>
      <c r="P17" s="15">
        <f t="shared" si="3"/>
        <v>0.2607060593240258</v>
      </c>
      <c r="Q17" s="15">
        <f t="shared" si="3"/>
        <v>0.3422284857025959</v>
      </c>
      <c r="R17" s="15">
        <f t="shared" si="3"/>
        <v>0.55941961151415875</v>
      </c>
      <c r="S17" s="15">
        <f t="shared" si="3"/>
        <v>0.16791969423327324</v>
      </c>
    </row>
    <row r="18" spans="1:19" ht="1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9"/>
      <c r="O18" s="24"/>
      <c r="P18" s="7"/>
      <c r="Q18" s="7"/>
      <c r="R18" s="7"/>
      <c r="S18" s="7"/>
    </row>
    <row r="19" spans="1:19" ht="15" customHeight="1">
      <c r="A19" s="4" t="s">
        <v>29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2"/>
      <c r="O19" s="25"/>
      <c r="P19" s="9"/>
      <c r="Q19" s="9"/>
      <c r="R19" s="9"/>
      <c r="S19" s="9"/>
    </row>
    <row r="20" spans="1:19" ht="15" customHeight="1">
      <c r="A20" s="5" t="s">
        <v>23</v>
      </c>
      <c r="B20" s="6">
        <v>10920</v>
      </c>
      <c r="C20" s="6">
        <v>9020</v>
      </c>
      <c r="D20" s="6">
        <v>9840</v>
      </c>
      <c r="E20" s="6">
        <v>10250</v>
      </c>
      <c r="F20" s="6">
        <v>11890</v>
      </c>
      <c r="G20" s="6">
        <v>8250</v>
      </c>
      <c r="H20" s="6">
        <v>9000</v>
      </c>
      <c r="I20" s="6">
        <v>9375</v>
      </c>
      <c r="J20" s="6">
        <v>10875</v>
      </c>
      <c r="K20" s="6">
        <v>7852</v>
      </c>
      <c r="L20" s="6">
        <v>9240</v>
      </c>
      <c r="M20" s="6">
        <v>9625</v>
      </c>
      <c r="N20" s="19">
        <v>7477</v>
      </c>
      <c r="O20" s="24">
        <v>11090</v>
      </c>
      <c r="P20" s="7">
        <v>12000</v>
      </c>
      <c r="Q20" s="7">
        <v>14000</v>
      </c>
      <c r="R20" s="7">
        <v>15600</v>
      </c>
      <c r="S20" s="7">
        <v>12650</v>
      </c>
    </row>
    <row r="21" spans="1:19" ht="15" customHeight="1">
      <c r="A21" s="5" t="s">
        <v>30</v>
      </c>
      <c r="B21" s="6">
        <v>4200</v>
      </c>
      <c r="C21" s="6">
        <v>1210</v>
      </c>
      <c r="D21" s="6">
        <v>1320</v>
      </c>
      <c r="E21" s="6">
        <v>1375</v>
      </c>
      <c r="F21" s="6">
        <v>1595</v>
      </c>
      <c r="G21" s="6">
        <v>2090</v>
      </c>
      <c r="H21" s="6">
        <v>2280</v>
      </c>
      <c r="I21" s="6">
        <v>2375</v>
      </c>
      <c r="J21" s="6">
        <v>2755</v>
      </c>
      <c r="K21" s="6">
        <v>3300</v>
      </c>
      <c r="L21" s="6">
        <v>3600</v>
      </c>
      <c r="M21" s="6">
        <v>3750</v>
      </c>
      <c r="N21" s="19">
        <v>4350</v>
      </c>
      <c r="O21" s="24">
        <v>5750</v>
      </c>
      <c r="P21" s="7">
        <v>6000</v>
      </c>
      <c r="Q21" s="7">
        <v>6250</v>
      </c>
      <c r="R21" s="7">
        <v>7000</v>
      </c>
      <c r="S21" s="7">
        <v>6900</v>
      </c>
    </row>
    <row r="22" spans="1:19" ht="15" customHeight="1">
      <c r="A22" s="5" t="s">
        <v>31</v>
      </c>
      <c r="B22" s="6">
        <v>2449</v>
      </c>
      <c r="C22" s="6">
        <v>2205</v>
      </c>
      <c r="D22" s="6">
        <v>1561</v>
      </c>
      <c r="E22" s="6">
        <v>1461</v>
      </c>
      <c r="F22" s="6">
        <v>1796</v>
      </c>
      <c r="G22" s="6">
        <v>1384</v>
      </c>
      <c r="H22" s="6">
        <v>2086</v>
      </c>
      <c r="I22" s="6">
        <v>3120</v>
      </c>
      <c r="J22" s="6">
        <v>3206</v>
      </c>
      <c r="K22" s="6">
        <v>4055</v>
      </c>
      <c r="L22" s="6">
        <v>2938</v>
      </c>
      <c r="M22" s="6">
        <v>5658</v>
      </c>
      <c r="N22" s="19">
        <v>5389</v>
      </c>
      <c r="O22" s="24">
        <v>6387</v>
      </c>
      <c r="P22" s="7">
        <v>7000</v>
      </c>
      <c r="Q22" s="7">
        <v>10000</v>
      </c>
      <c r="R22" s="7">
        <v>5500</v>
      </c>
      <c r="S22" s="7">
        <v>11000</v>
      </c>
    </row>
    <row r="23" spans="1:19" ht="15" customHeight="1">
      <c r="A23" s="5" t="s">
        <v>32</v>
      </c>
      <c r="B23" s="6">
        <v>1540</v>
      </c>
      <c r="C23" s="6">
        <v>660</v>
      </c>
      <c r="D23" s="6">
        <v>720</v>
      </c>
      <c r="E23" s="6">
        <v>750</v>
      </c>
      <c r="F23" s="6">
        <v>870</v>
      </c>
      <c r="G23" s="6">
        <v>550</v>
      </c>
      <c r="H23" s="6">
        <v>600</v>
      </c>
      <c r="I23" s="6">
        <v>625</v>
      </c>
      <c r="J23" s="6">
        <v>725</v>
      </c>
      <c r="K23" s="6">
        <v>770</v>
      </c>
      <c r="L23" s="6">
        <v>840</v>
      </c>
      <c r="M23" s="6">
        <v>875</v>
      </c>
      <c r="N23" s="19">
        <v>1015</v>
      </c>
      <c r="O23" s="24">
        <v>1265</v>
      </c>
      <c r="P23" s="7">
        <v>1320</v>
      </c>
      <c r="Q23" s="7">
        <v>1375</v>
      </c>
      <c r="R23" s="7">
        <v>1540</v>
      </c>
      <c r="S23" s="7">
        <v>1380</v>
      </c>
    </row>
    <row r="24" spans="1:19" ht="15" customHeight="1">
      <c r="A24" s="5" t="s">
        <v>33</v>
      </c>
      <c r="B24" s="6">
        <v>980</v>
      </c>
      <c r="C24" s="6">
        <v>440</v>
      </c>
      <c r="D24" s="6">
        <v>480</v>
      </c>
      <c r="E24" s="6">
        <v>500</v>
      </c>
      <c r="F24" s="6">
        <v>580</v>
      </c>
      <c r="G24" s="6">
        <v>484</v>
      </c>
      <c r="H24" s="6">
        <v>528</v>
      </c>
      <c r="I24" s="6">
        <v>550</v>
      </c>
      <c r="J24" s="6">
        <v>638</v>
      </c>
      <c r="K24" s="6">
        <v>616</v>
      </c>
      <c r="L24" s="6">
        <v>672</v>
      </c>
      <c r="M24" s="6">
        <v>700</v>
      </c>
      <c r="N24" s="19">
        <v>812</v>
      </c>
      <c r="O24" s="24">
        <v>920</v>
      </c>
      <c r="P24" s="7">
        <v>960</v>
      </c>
      <c r="Q24" s="7">
        <v>1000</v>
      </c>
      <c r="R24" s="7">
        <v>1120</v>
      </c>
      <c r="S24" s="7">
        <v>1035</v>
      </c>
    </row>
    <row r="25" spans="1:19" ht="15" customHeight="1">
      <c r="A25" s="5" t="s">
        <v>34</v>
      </c>
      <c r="B25" s="6">
        <v>504</v>
      </c>
      <c r="C25" s="6">
        <v>198</v>
      </c>
      <c r="D25" s="6">
        <v>216</v>
      </c>
      <c r="E25" s="6">
        <v>225</v>
      </c>
      <c r="F25" s="6">
        <v>261</v>
      </c>
      <c r="G25" s="6">
        <v>176</v>
      </c>
      <c r="H25" s="6">
        <v>192</v>
      </c>
      <c r="I25" s="6">
        <v>200</v>
      </c>
      <c r="J25" s="6">
        <v>232</v>
      </c>
      <c r="K25" s="6">
        <v>220</v>
      </c>
      <c r="L25" s="6">
        <v>240</v>
      </c>
      <c r="M25" s="6">
        <v>250</v>
      </c>
      <c r="N25" s="19">
        <v>290</v>
      </c>
      <c r="O25" s="24">
        <v>276</v>
      </c>
      <c r="P25" s="7">
        <v>288</v>
      </c>
      <c r="Q25" s="7">
        <v>300</v>
      </c>
      <c r="R25" s="7">
        <v>336</v>
      </c>
      <c r="S25" s="7">
        <v>299</v>
      </c>
    </row>
    <row r="26" spans="1:19" ht="15" customHeight="1">
      <c r="A26" s="5" t="s">
        <v>35</v>
      </c>
      <c r="B26" s="6">
        <v>700</v>
      </c>
      <c r="C26" s="6">
        <v>330</v>
      </c>
      <c r="D26" s="6">
        <v>360</v>
      </c>
      <c r="E26" s="6">
        <v>375</v>
      </c>
      <c r="F26" s="6">
        <v>435</v>
      </c>
      <c r="G26" s="6">
        <v>264</v>
      </c>
      <c r="H26" s="6">
        <v>288</v>
      </c>
      <c r="I26" s="6">
        <v>300</v>
      </c>
      <c r="J26" s="6">
        <v>348</v>
      </c>
      <c r="K26" s="6">
        <v>330</v>
      </c>
      <c r="L26" s="6">
        <v>360</v>
      </c>
      <c r="M26" s="6">
        <v>375</v>
      </c>
      <c r="N26" s="19">
        <v>435</v>
      </c>
      <c r="O26" s="24">
        <v>506</v>
      </c>
      <c r="P26" s="7">
        <v>528</v>
      </c>
      <c r="Q26" s="7">
        <v>550</v>
      </c>
      <c r="R26" s="7">
        <v>616</v>
      </c>
      <c r="S26" s="7">
        <v>575</v>
      </c>
    </row>
    <row r="27" spans="1:19" ht="15" customHeight="1">
      <c r="A27" s="5" t="s">
        <v>36</v>
      </c>
      <c r="B27" s="6">
        <v>196</v>
      </c>
      <c r="C27" s="6">
        <v>88</v>
      </c>
      <c r="D27" s="6">
        <v>96</v>
      </c>
      <c r="E27" s="6">
        <v>100</v>
      </c>
      <c r="F27" s="6">
        <v>116</v>
      </c>
      <c r="G27" s="6">
        <v>66</v>
      </c>
      <c r="H27" s="6">
        <v>72</v>
      </c>
      <c r="I27" s="6">
        <v>75</v>
      </c>
      <c r="J27" s="6">
        <v>87</v>
      </c>
      <c r="K27" s="6">
        <v>66</v>
      </c>
      <c r="L27" s="6">
        <v>72</v>
      </c>
      <c r="M27" s="6">
        <v>75</v>
      </c>
      <c r="N27" s="19">
        <v>87</v>
      </c>
      <c r="O27" s="24">
        <v>92</v>
      </c>
      <c r="P27" s="7">
        <v>96</v>
      </c>
      <c r="Q27" s="7">
        <v>100</v>
      </c>
      <c r="R27" s="7">
        <v>112</v>
      </c>
      <c r="S27" s="7">
        <v>92</v>
      </c>
    </row>
    <row r="28" spans="1:19" ht="15" customHeight="1">
      <c r="A28" s="5" t="s">
        <v>37</v>
      </c>
      <c r="B28" s="6">
        <v>784</v>
      </c>
      <c r="C28" s="6">
        <v>352</v>
      </c>
      <c r="D28" s="6">
        <v>384</v>
      </c>
      <c r="E28" s="6">
        <v>400</v>
      </c>
      <c r="F28" s="6">
        <v>464</v>
      </c>
      <c r="G28" s="6">
        <v>220</v>
      </c>
      <c r="H28" s="6">
        <v>240</v>
      </c>
      <c r="I28" s="6">
        <v>250</v>
      </c>
      <c r="J28" s="6">
        <v>290</v>
      </c>
      <c r="K28" s="6">
        <v>264</v>
      </c>
      <c r="L28" s="6">
        <v>288</v>
      </c>
      <c r="M28" s="6">
        <v>300</v>
      </c>
      <c r="N28" s="19">
        <v>348</v>
      </c>
      <c r="O28" s="24">
        <v>345</v>
      </c>
      <c r="P28" s="7">
        <v>360</v>
      </c>
      <c r="Q28" s="7">
        <v>375</v>
      </c>
      <c r="R28" s="7">
        <v>420</v>
      </c>
      <c r="S28" s="7">
        <v>368</v>
      </c>
    </row>
    <row r="29" spans="1:19" s="1" customFormat="1" ht="15" customHeight="1">
      <c r="A29" s="4" t="s">
        <v>38</v>
      </c>
      <c r="B29" s="10">
        <f>SUM(B20:B28)</f>
        <v>22273</v>
      </c>
      <c r="C29" s="10">
        <f t="shared" ref="C29:S29" si="4">SUM(C20:C28)</f>
        <v>14503</v>
      </c>
      <c r="D29" s="10">
        <f t="shared" si="4"/>
        <v>14977</v>
      </c>
      <c r="E29" s="10">
        <f t="shared" si="4"/>
        <v>15436</v>
      </c>
      <c r="F29" s="10">
        <f t="shared" si="4"/>
        <v>18007</v>
      </c>
      <c r="G29" s="10">
        <f t="shared" si="4"/>
        <v>13484</v>
      </c>
      <c r="H29" s="10">
        <f t="shared" si="4"/>
        <v>15286</v>
      </c>
      <c r="I29" s="10">
        <f t="shared" si="4"/>
        <v>16870</v>
      </c>
      <c r="J29" s="10">
        <f t="shared" si="4"/>
        <v>19156</v>
      </c>
      <c r="K29" s="10">
        <f t="shared" si="4"/>
        <v>17473</v>
      </c>
      <c r="L29" s="10">
        <f t="shared" si="4"/>
        <v>18250</v>
      </c>
      <c r="M29" s="10">
        <f t="shared" si="4"/>
        <v>21608</v>
      </c>
      <c r="N29" s="10">
        <f t="shared" si="4"/>
        <v>20203</v>
      </c>
      <c r="O29" s="10">
        <f t="shared" si="4"/>
        <v>26631</v>
      </c>
      <c r="P29" s="10">
        <f t="shared" si="4"/>
        <v>28552</v>
      </c>
      <c r="Q29" s="10">
        <f t="shared" si="4"/>
        <v>33950</v>
      </c>
      <c r="R29" s="10">
        <f t="shared" si="4"/>
        <v>32244</v>
      </c>
      <c r="S29" s="10">
        <f t="shared" si="4"/>
        <v>34299</v>
      </c>
    </row>
    <row r="30" spans="1:19" ht="15" customHeight="1">
      <c r="A30" s="12" t="s">
        <v>1</v>
      </c>
      <c r="B30" s="13"/>
      <c r="C30" s="13"/>
      <c r="D30" s="13"/>
      <c r="E30" s="13"/>
      <c r="F30" s="15">
        <f>F29/B29-1</f>
        <v>-0.19153234858348678</v>
      </c>
      <c r="G30" s="15">
        <f t="shared" ref="G30" si="5">G29/C29-1</f>
        <v>-7.0261325243053174E-2</v>
      </c>
      <c r="H30" s="15">
        <f t="shared" ref="H30" si="6">H29/D29-1</f>
        <v>2.0631635173933294E-2</v>
      </c>
      <c r="I30" s="15">
        <f t="shared" ref="I30" si="7">I29/E29-1</f>
        <v>9.2899714952060064E-2</v>
      </c>
      <c r="J30" s="15">
        <f t="shared" ref="J30" si="8">J29/F29-1</f>
        <v>6.3808518909312939E-2</v>
      </c>
      <c r="K30" s="15">
        <f t="shared" ref="K30" si="9">K29/G29-1</f>
        <v>0.29583209730050419</v>
      </c>
      <c r="L30" s="15">
        <f t="shared" ref="L30" si="10">L29/H29-1</f>
        <v>0.19390291770247292</v>
      </c>
      <c r="M30" s="15">
        <f t="shared" ref="M30" si="11">M29/I29-1</f>
        <v>0.28085358624777701</v>
      </c>
      <c r="N30" s="21">
        <f t="shared" ref="N30" si="12">N29/J29-1</f>
        <v>5.4656504489454916E-2</v>
      </c>
      <c r="O30" s="16">
        <f t="shared" ref="O30" si="13">O29/K29-1</f>
        <v>0.52412293252446629</v>
      </c>
      <c r="P30" s="15">
        <f t="shared" ref="P30" si="14">P29/L29-1</f>
        <v>0.56449315068493156</v>
      </c>
      <c r="Q30" s="15">
        <f t="shared" ref="Q30" si="15">Q29/M29-1</f>
        <v>0.571177341725287</v>
      </c>
      <c r="R30" s="15">
        <f t="shared" ref="R30" si="16">R29/N29-1</f>
        <v>0.59600059397119232</v>
      </c>
      <c r="S30" s="15">
        <f t="shared" ref="S30" si="17">S29/O29-1</f>
        <v>0.28793511321392362</v>
      </c>
    </row>
    <row r="31" spans="1:19" ht="1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9"/>
      <c r="O31" s="24"/>
      <c r="P31" s="7"/>
      <c r="Q31" s="7"/>
      <c r="R31" s="7"/>
      <c r="S31" s="7"/>
    </row>
    <row r="32" spans="1:19" ht="15" customHeight="1">
      <c r="A32" s="4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22"/>
      <c r="O32" s="25"/>
      <c r="P32" s="9"/>
      <c r="Q32" s="9"/>
      <c r="R32" s="9"/>
      <c r="S32" s="9"/>
    </row>
    <row r="33" spans="1:19" ht="15" customHeight="1">
      <c r="A33" s="5" t="s">
        <v>26</v>
      </c>
      <c r="B33" s="6">
        <v>10164</v>
      </c>
      <c r="C33" s="6">
        <v>6688</v>
      </c>
      <c r="D33" s="6">
        <v>7296</v>
      </c>
      <c r="E33" s="6">
        <v>7600</v>
      </c>
      <c r="F33" s="6">
        <v>8816</v>
      </c>
      <c r="G33" s="6">
        <v>6556</v>
      </c>
      <c r="H33" s="6">
        <v>7152</v>
      </c>
      <c r="I33" s="6">
        <v>7450</v>
      </c>
      <c r="J33" s="6">
        <v>8642</v>
      </c>
      <c r="K33" s="6">
        <v>8998</v>
      </c>
      <c r="L33" s="6">
        <v>9816</v>
      </c>
      <c r="M33" s="6">
        <v>10225</v>
      </c>
      <c r="N33" s="19">
        <v>11861</v>
      </c>
      <c r="O33" s="24">
        <v>11100</v>
      </c>
      <c r="P33" s="7">
        <v>12960</v>
      </c>
      <c r="Q33" s="7">
        <v>13500</v>
      </c>
      <c r="R33" s="7">
        <v>15120</v>
      </c>
      <c r="S33" s="7">
        <v>13340</v>
      </c>
    </row>
    <row r="34" spans="1:19" ht="15" customHeight="1">
      <c r="A34" s="5" t="s">
        <v>40</v>
      </c>
      <c r="B34" s="6">
        <v>10920</v>
      </c>
      <c r="C34" s="6">
        <v>9020</v>
      </c>
      <c r="D34" s="6">
        <v>9840</v>
      </c>
      <c r="E34" s="6">
        <v>10250</v>
      </c>
      <c r="F34" s="6">
        <v>11890</v>
      </c>
      <c r="G34" s="6">
        <v>8250</v>
      </c>
      <c r="H34" s="6">
        <v>9000</v>
      </c>
      <c r="I34" s="6">
        <v>9375</v>
      </c>
      <c r="J34" s="6">
        <v>10875</v>
      </c>
      <c r="K34" s="6">
        <v>7852</v>
      </c>
      <c r="L34" s="6">
        <v>9240</v>
      </c>
      <c r="M34" s="6">
        <v>9625</v>
      </c>
      <c r="N34" s="19">
        <v>7477</v>
      </c>
      <c r="O34" s="24">
        <v>11090</v>
      </c>
      <c r="P34" s="7">
        <v>12000</v>
      </c>
      <c r="Q34" s="7">
        <v>14000</v>
      </c>
      <c r="R34" s="7">
        <v>15600</v>
      </c>
      <c r="S34" s="7">
        <v>12650</v>
      </c>
    </row>
    <row r="35" spans="1:19" ht="15" customHeight="1">
      <c r="A35" s="5" t="s">
        <v>41</v>
      </c>
      <c r="B35" s="6">
        <v>5699</v>
      </c>
      <c r="C35" s="6">
        <v>7413</v>
      </c>
      <c r="D35" s="6">
        <v>5888</v>
      </c>
      <c r="E35" s="6">
        <v>5753</v>
      </c>
      <c r="F35" s="6">
        <v>6696</v>
      </c>
      <c r="G35" s="6">
        <v>5970</v>
      </c>
      <c r="H35" s="6">
        <v>5682</v>
      </c>
      <c r="I35" s="6">
        <v>6458</v>
      </c>
      <c r="J35" s="6">
        <v>5834</v>
      </c>
      <c r="K35" s="6">
        <v>5183</v>
      </c>
      <c r="L35" s="6">
        <v>3550</v>
      </c>
      <c r="M35" s="6">
        <v>2425</v>
      </c>
      <c r="N35" s="19">
        <v>3488</v>
      </c>
      <c r="O35" s="24">
        <v>3636</v>
      </c>
      <c r="P35" s="7">
        <v>4320</v>
      </c>
      <c r="Q35" s="7">
        <v>4500</v>
      </c>
      <c r="R35" s="7">
        <v>5040</v>
      </c>
      <c r="S35" s="7">
        <v>4600</v>
      </c>
    </row>
    <row r="36" spans="1:19" ht="15" customHeight="1">
      <c r="A36" s="5" t="s">
        <v>42</v>
      </c>
      <c r="B36" s="6">
        <v>1036</v>
      </c>
      <c r="C36" s="6">
        <v>638</v>
      </c>
      <c r="D36" s="6">
        <v>696</v>
      </c>
      <c r="E36" s="6">
        <v>725</v>
      </c>
      <c r="F36" s="6">
        <v>841</v>
      </c>
      <c r="G36" s="6">
        <v>462</v>
      </c>
      <c r="H36" s="6">
        <v>504</v>
      </c>
      <c r="I36" s="6">
        <v>525</v>
      </c>
      <c r="J36" s="6">
        <v>609</v>
      </c>
      <c r="K36" s="6">
        <v>264</v>
      </c>
      <c r="L36" s="6">
        <v>288</v>
      </c>
      <c r="M36" s="6">
        <v>300</v>
      </c>
      <c r="N36" s="19">
        <v>348</v>
      </c>
      <c r="O36" s="24">
        <v>322</v>
      </c>
      <c r="P36" s="7">
        <v>336</v>
      </c>
      <c r="Q36" s="7">
        <v>350</v>
      </c>
      <c r="R36" s="7">
        <v>392</v>
      </c>
      <c r="S36" s="7">
        <v>368</v>
      </c>
    </row>
    <row r="37" spans="1:19" ht="15" customHeight="1">
      <c r="A37" s="5" t="s">
        <v>43</v>
      </c>
      <c r="B37" s="6">
        <v>840</v>
      </c>
      <c r="C37" s="6">
        <v>660</v>
      </c>
      <c r="D37" s="6">
        <v>720</v>
      </c>
      <c r="E37" s="6">
        <v>750</v>
      </c>
      <c r="F37" s="6">
        <v>870</v>
      </c>
      <c r="G37" s="6">
        <v>616</v>
      </c>
      <c r="H37" s="6">
        <v>672</v>
      </c>
      <c r="I37" s="6">
        <v>700</v>
      </c>
      <c r="J37" s="6">
        <v>812</v>
      </c>
      <c r="K37" s="6">
        <v>726</v>
      </c>
      <c r="L37" s="6">
        <v>792</v>
      </c>
      <c r="M37" s="6">
        <v>825</v>
      </c>
      <c r="N37" s="19">
        <v>957</v>
      </c>
      <c r="O37" s="24">
        <v>805</v>
      </c>
      <c r="P37" s="7">
        <v>840</v>
      </c>
      <c r="Q37" s="7">
        <v>875</v>
      </c>
      <c r="R37" s="7">
        <v>980</v>
      </c>
      <c r="S37" s="7">
        <v>874</v>
      </c>
    </row>
    <row r="38" spans="1:19" ht="15" customHeight="1">
      <c r="A38" s="5" t="s">
        <v>44</v>
      </c>
      <c r="B38" s="6">
        <v>1778</v>
      </c>
      <c r="C38" s="6">
        <v>1650</v>
      </c>
      <c r="D38" s="6">
        <v>1800</v>
      </c>
      <c r="E38" s="6">
        <v>1875</v>
      </c>
      <c r="F38" s="6">
        <v>2175</v>
      </c>
      <c r="G38" s="6">
        <v>1606</v>
      </c>
      <c r="H38" s="6">
        <v>1752</v>
      </c>
      <c r="I38" s="6">
        <v>1825</v>
      </c>
      <c r="J38" s="6">
        <v>2117</v>
      </c>
      <c r="K38" s="6">
        <v>1650</v>
      </c>
      <c r="L38" s="6">
        <v>1800</v>
      </c>
      <c r="M38" s="6">
        <v>1875</v>
      </c>
      <c r="N38" s="19">
        <v>2175</v>
      </c>
      <c r="O38" s="24">
        <v>1794</v>
      </c>
      <c r="P38" s="7">
        <v>1872</v>
      </c>
      <c r="Q38" s="7">
        <v>1950</v>
      </c>
      <c r="R38" s="7">
        <v>2184</v>
      </c>
      <c r="S38" s="7">
        <v>1840</v>
      </c>
    </row>
    <row r="39" spans="1:19" ht="15" customHeight="1">
      <c r="A39" s="5" t="s">
        <v>45</v>
      </c>
      <c r="B39" s="6">
        <v>280</v>
      </c>
      <c r="C39" s="6">
        <v>308</v>
      </c>
      <c r="D39" s="6">
        <v>336</v>
      </c>
      <c r="E39" s="6">
        <v>350</v>
      </c>
      <c r="F39" s="6">
        <v>406</v>
      </c>
      <c r="G39" s="6">
        <v>572</v>
      </c>
      <c r="H39" s="6">
        <v>624</v>
      </c>
      <c r="I39" s="6">
        <v>650</v>
      </c>
      <c r="J39" s="6">
        <v>754</v>
      </c>
      <c r="K39" s="6">
        <v>484</v>
      </c>
      <c r="L39" s="6">
        <v>528</v>
      </c>
      <c r="M39" s="6">
        <v>550</v>
      </c>
      <c r="N39" s="19">
        <v>638</v>
      </c>
      <c r="O39" s="24">
        <v>575</v>
      </c>
      <c r="P39" s="7">
        <v>600</v>
      </c>
      <c r="Q39" s="7">
        <v>625</v>
      </c>
      <c r="R39" s="7">
        <v>700</v>
      </c>
      <c r="S39" s="7">
        <v>644</v>
      </c>
    </row>
    <row r="40" spans="1:19" ht="15" customHeight="1">
      <c r="A40" s="5" t="s">
        <v>46</v>
      </c>
      <c r="B40" s="6">
        <v>112</v>
      </c>
      <c r="C40" s="6">
        <v>77</v>
      </c>
      <c r="D40" s="6">
        <v>84</v>
      </c>
      <c r="E40" s="6">
        <v>88</v>
      </c>
      <c r="F40" s="6">
        <v>102</v>
      </c>
      <c r="G40" s="6">
        <v>99</v>
      </c>
      <c r="H40" s="6">
        <v>108</v>
      </c>
      <c r="I40" s="6">
        <v>112</v>
      </c>
      <c r="J40" s="6">
        <v>130</v>
      </c>
      <c r="K40" s="6">
        <v>121</v>
      </c>
      <c r="L40" s="6">
        <v>132</v>
      </c>
      <c r="M40" s="6">
        <v>138</v>
      </c>
      <c r="N40" s="19">
        <v>160</v>
      </c>
      <c r="O40" s="24">
        <v>138</v>
      </c>
      <c r="P40" s="7">
        <v>144</v>
      </c>
      <c r="Q40" s="7">
        <v>150</v>
      </c>
      <c r="R40" s="7">
        <v>168</v>
      </c>
      <c r="S40" s="7">
        <v>150</v>
      </c>
    </row>
    <row r="41" spans="1:19" ht="15" customHeight="1">
      <c r="A41" s="5" t="s">
        <v>47</v>
      </c>
      <c r="B41" s="6">
        <v>224</v>
      </c>
      <c r="C41" s="6">
        <v>143</v>
      </c>
      <c r="D41" s="6">
        <v>156</v>
      </c>
      <c r="E41" s="6">
        <v>162</v>
      </c>
      <c r="F41" s="6">
        <v>188</v>
      </c>
      <c r="G41" s="6">
        <v>132</v>
      </c>
      <c r="H41" s="6">
        <v>144</v>
      </c>
      <c r="I41" s="6">
        <v>150</v>
      </c>
      <c r="J41" s="6">
        <v>174</v>
      </c>
      <c r="K41" s="6">
        <v>198</v>
      </c>
      <c r="L41" s="6">
        <v>216</v>
      </c>
      <c r="M41" s="6">
        <v>225</v>
      </c>
      <c r="N41" s="19">
        <v>261</v>
      </c>
      <c r="O41" s="24">
        <v>276</v>
      </c>
      <c r="P41" s="7">
        <v>288</v>
      </c>
      <c r="Q41" s="7">
        <v>300</v>
      </c>
      <c r="R41" s="7">
        <v>336</v>
      </c>
      <c r="S41" s="7">
        <v>299</v>
      </c>
    </row>
    <row r="42" spans="1:19" ht="15" customHeight="1">
      <c r="A42" s="5" t="s">
        <v>48</v>
      </c>
      <c r="B42" s="6">
        <v>784</v>
      </c>
      <c r="C42" s="6">
        <v>352</v>
      </c>
      <c r="D42" s="6">
        <v>384</v>
      </c>
      <c r="E42" s="6">
        <v>400</v>
      </c>
      <c r="F42" s="6">
        <v>464</v>
      </c>
      <c r="G42" s="6">
        <v>220</v>
      </c>
      <c r="H42" s="6">
        <v>240</v>
      </c>
      <c r="I42" s="6">
        <v>250</v>
      </c>
      <c r="J42" s="6">
        <v>290</v>
      </c>
      <c r="K42" s="6">
        <v>264</v>
      </c>
      <c r="L42" s="6">
        <v>288</v>
      </c>
      <c r="M42" s="6">
        <v>300</v>
      </c>
      <c r="N42" s="19">
        <v>348</v>
      </c>
      <c r="O42" s="24">
        <v>345</v>
      </c>
      <c r="P42" s="7">
        <v>360</v>
      </c>
      <c r="Q42" s="7">
        <v>375</v>
      </c>
      <c r="R42" s="7">
        <v>420</v>
      </c>
      <c r="S42" s="7">
        <v>368</v>
      </c>
    </row>
    <row r="43" spans="1:19" ht="15" customHeight="1">
      <c r="A43" s="5" t="s">
        <v>49</v>
      </c>
      <c r="B43" s="6">
        <v>140</v>
      </c>
      <c r="C43" s="6">
        <v>88</v>
      </c>
      <c r="D43" s="6">
        <v>96</v>
      </c>
      <c r="E43" s="6">
        <v>100</v>
      </c>
      <c r="F43" s="6">
        <v>116</v>
      </c>
      <c r="G43" s="6">
        <v>88</v>
      </c>
      <c r="H43" s="6">
        <v>96</v>
      </c>
      <c r="I43" s="6">
        <v>100</v>
      </c>
      <c r="J43" s="6">
        <v>116</v>
      </c>
      <c r="K43" s="6">
        <v>110</v>
      </c>
      <c r="L43" s="6">
        <v>120</v>
      </c>
      <c r="M43" s="6">
        <v>125</v>
      </c>
      <c r="N43" s="19">
        <v>145</v>
      </c>
      <c r="O43" s="24">
        <v>126</v>
      </c>
      <c r="P43" s="7">
        <v>132</v>
      </c>
      <c r="Q43" s="7">
        <v>138</v>
      </c>
      <c r="R43" s="7">
        <v>154</v>
      </c>
      <c r="S43" s="7">
        <v>138</v>
      </c>
    </row>
    <row r="44" spans="1:19" ht="15" customHeight="1">
      <c r="A44" s="5" t="s">
        <v>50</v>
      </c>
      <c r="B44" s="6">
        <v>70</v>
      </c>
      <c r="C44" s="6">
        <v>66</v>
      </c>
      <c r="D44" s="6">
        <v>72</v>
      </c>
      <c r="E44" s="6">
        <v>75</v>
      </c>
      <c r="F44" s="6">
        <v>87</v>
      </c>
      <c r="G44" s="6">
        <v>77</v>
      </c>
      <c r="H44" s="6">
        <v>84</v>
      </c>
      <c r="I44" s="6">
        <v>88</v>
      </c>
      <c r="J44" s="6">
        <v>102</v>
      </c>
      <c r="K44" s="6">
        <v>88</v>
      </c>
      <c r="L44" s="6">
        <v>96</v>
      </c>
      <c r="M44" s="6">
        <v>100</v>
      </c>
      <c r="N44" s="19">
        <v>116</v>
      </c>
      <c r="O44" s="24">
        <v>104</v>
      </c>
      <c r="P44" s="7">
        <v>108</v>
      </c>
      <c r="Q44" s="7">
        <v>112</v>
      </c>
      <c r="R44" s="7">
        <v>126</v>
      </c>
      <c r="S44" s="7">
        <v>115</v>
      </c>
    </row>
    <row r="45" spans="1:19" ht="15" customHeight="1">
      <c r="A45" s="5" t="s">
        <v>51</v>
      </c>
      <c r="B45" s="6">
        <v>56</v>
      </c>
      <c r="C45" s="6">
        <v>26</v>
      </c>
      <c r="D45" s="6">
        <v>29</v>
      </c>
      <c r="E45" s="6">
        <v>30</v>
      </c>
      <c r="F45" s="6">
        <v>35</v>
      </c>
      <c r="G45" s="6">
        <v>18</v>
      </c>
      <c r="H45" s="6">
        <v>19</v>
      </c>
      <c r="I45" s="6">
        <v>20</v>
      </c>
      <c r="J45" s="6">
        <v>23</v>
      </c>
      <c r="K45" s="6">
        <v>26</v>
      </c>
      <c r="L45" s="6">
        <v>29</v>
      </c>
      <c r="M45" s="6">
        <v>30</v>
      </c>
      <c r="N45" s="19">
        <v>35</v>
      </c>
      <c r="O45" s="24">
        <v>34</v>
      </c>
      <c r="P45" s="7">
        <v>36</v>
      </c>
      <c r="Q45" s="7">
        <v>38</v>
      </c>
      <c r="R45" s="7">
        <v>42</v>
      </c>
      <c r="S45" s="7">
        <v>41</v>
      </c>
    </row>
    <row r="46" spans="1:19" ht="15" customHeight="1">
      <c r="A46" s="4" t="s">
        <v>38</v>
      </c>
      <c r="B46" s="10">
        <f>SUM(B33:B45)</f>
        <v>32103</v>
      </c>
      <c r="C46" s="10">
        <f t="shared" ref="C46:S46" si="18">SUM(C33:C45)</f>
        <v>27129</v>
      </c>
      <c r="D46" s="10">
        <f t="shared" si="18"/>
        <v>27397</v>
      </c>
      <c r="E46" s="10">
        <f t="shared" si="18"/>
        <v>28158</v>
      </c>
      <c r="F46" s="10">
        <f t="shared" si="18"/>
        <v>32686</v>
      </c>
      <c r="G46" s="10">
        <f t="shared" si="18"/>
        <v>24666</v>
      </c>
      <c r="H46" s="10">
        <f t="shared" si="18"/>
        <v>26077</v>
      </c>
      <c r="I46" s="10">
        <f t="shared" si="18"/>
        <v>27703</v>
      </c>
      <c r="J46" s="10">
        <f t="shared" si="18"/>
        <v>30478</v>
      </c>
      <c r="K46" s="10">
        <f t="shared" si="18"/>
        <v>25964</v>
      </c>
      <c r="L46" s="10">
        <f t="shared" si="18"/>
        <v>26895</v>
      </c>
      <c r="M46" s="10">
        <f t="shared" si="18"/>
        <v>26743</v>
      </c>
      <c r="N46" s="10">
        <f t="shared" si="18"/>
        <v>28009</v>
      </c>
      <c r="O46" s="10">
        <f t="shared" si="18"/>
        <v>30345</v>
      </c>
      <c r="P46" s="10">
        <f t="shared" si="18"/>
        <v>33996</v>
      </c>
      <c r="Q46" s="10">
        <f t="shared" si="18"/>
        <v>36913</v>
      </c>
      <c r="R46" s="10">
        <f t="shared" si="18"/>
        <v>41262</v>
      </c>
      <c r="S46" s="10">
        <f t="shared" si="18"/>
        <v>35427</v>
      </c>
    </row>
    <row r="47" spans="1:19" ht="15" customHeight="1">
      <c r="A47" s="12" t="s">
        <v>1</v>
      </c>
      <c r="B47" s="13"/>
      <c r="C47" s="13"/>
      <c r="D47" s="13"/>
      <c r="E47" s="13"/>
      <c r="F47" s="15">
        <f>F46/B46-1</f>
        <v>1.8160296545494115E-2</v>
      </c>
      <c r="G47" s="15">
        <f t="shared" ref="G47:S47" si="19">G46/C46-1</f>
        <v>-9.0788455158686276E-2</v>
      </c>
      <c r="H47" s="15">
        <f t="shared" si="19"/>
        <v>-4.8180457714348313E-2</v>
      </c>
      <c r="I47" s="15">
        <f t="shared" si="19"/>
        <v>-1.6158818097876226E-2</v>
      </c>
      <c r="J47" s="15">
        <f t="shared" si="19"/>
        <v>-6.7551857064186538E-2</v>
      </c>
      <c r="K47" s="15">
        <f t="shared" si="19"/>
        <v>5.2623043866050434E-2</v>
      </c>
      <c r="L47" s="15">
        <f t="shared" si="19"/>
        <v>3.1368639030563417E-2</v>
      </c>
      <c r="M47" s="15">
        <f t="shared" si="19"/>
        <v>-3.4653286647655435E-2</v>
      </c>
      <c r="N47" s="15">
        <f t="shared" si="19"/>
        <v>-8.1009252575628299E-2</v>
      </c>
      <c r="O47" s="15">
        <f t="shared" si="19"/>
        <v>0.16873363118163609</v>
      </c>
      <c r="P47" s="15">
        <f t="shared" si="19"/>
        <v>0.26402677077523706</v>
      </c>
      <c r="Q47" s="15">
        <f t="shared" si="19"/>
        <v>0.38028643009385643</v>
      </c>
      <c r="R47" s="15">
        <f t="shared" si="19"/>
        <v>0.47316933842693421</v>
      </c>
      <c r="S47" s="15">
        <f t="shared" si="19"/>
        <v>0.16747404844290648</v>
      </c>
    </row>
    <row r="48" spans="1:19" ht="1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9"/>
      <c r="O48" s="24"/>
      <c r="P48" s="7"/>
      <c r="Q48" s="7"/>
      <c r="R48" s="7"/>
      <c r="S48" s="7"/>
    </row>
    <row r="49" spans="1:19" ht="15" customHeight="1">
      <c r="A49" s="4" t="s">
        <v>52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22"/>
      <c r="O49" s="25"/>
      <c r="P49" s="9"/>
      <c r="Q49" s="9"/>
      <c r="R49" s="9"/>
      <c r="S49" s="9"/>
    </row>
    <row r="50" spans="1:19" ht="15" customHeight="1">
      <c r="A50" s="5" t="s">
        <v>24</v>
      </c>
      <c r="B50" s="6">
        <v>967</v>
      </c>
      <c r="C50" s="6">
        <v>982</v>
      </c>
      <c r="D50" s="6">
        <v>1446</v>
      </c>
      <c r="E50" s="6">
        <v>1495</v>
      </c>
      <c r="F50" s="6">
        <v>1148</v>
      </c>
      <c r="G50" s="6">
        <v>1248</v>
      </c>
      <c r="H50" s="6">
        <v>1064</v>
      </c>
      <c r="I50" s="6">
        <v>1316</v>
      </c>
      <c r="J50" s="6">
        <v>1192</v>
      </c>
      <c r="K50" s="6">
        <v>1123</v>
      </c>
      <c r="L50" s="6">
        <v>1305</v>
      </c>
      <c r="M50" s="6">
        <v>1197</v>
      </c>
      <c r="N50" s="19">
        <v>925</v>
      </c>
      <c r="O50" s="24">
        <v>676</v>
      </c>
      <c r="P50" s="7">
        <v>875</v>
      </c>
      <c r="Q50" s="7">
        <v>1000</v>
      </c>
      <c r="R50" s="7">
        <v>1449</v>
      </c>
      <c r="S50" s="7">
        <v>805</v>
      </c>
    </row>
    <row r="51" spans="1:19" ht="15" customHeight="1">
      <c r="A51" s="5" t="s">
        <v>25</v>
      </c>
      <c r="B51" s="6">
        <v>756</v>
      </c>
      <c r="C51" s="6">
        <v>704</v>
      </c>
      <c r="D51" s="6">
        <v>768</v>
      </c>
      <c r="E51" s="6">
        <v>800</v>
      </c>
      <c r="F51" s="6">
        <v>928</v>
      </c>
      <c r="G51" s="6">
        <v>792</v>
      </c>
      <c r="H51" s="6">
        <v>864</v>
      </c>
      <c r="I51" s="6">
        <v>900</v>
      </c>
      <c r="J51" s="6">
        <v>1044</v>
      </c>
      <c r="K51" s="6">
        <v>660</v>
      </c>
      <c r="L51" s="6">
        <v>720</v>
      </c>
      <c r="M51" s="6">
        <v>750</v>
      </c>
      <c r="N51" s="19">
        <v>870</v>
      </c>
      <c r="O51" s="24">
        <v>736</v>
      </c>
      <c r="P51" s="7">
        <v>768</v>
      </c>
      <c r="Q51" s="7">
        <v>800</v>
      </c>
      <c r="R51" s="7">
        <v>896</v>
      </c>
      <c r="S51" s="7">
        <v>782</v>
      </c>
    </row>
    <row r="52" spans="1:19" ht="15" customHeight="1">
      <c r="A52" s="5" t="s">
        <v>27</v>
      </c>
      <c r="B52" s="6">
        <v>196</v>
      </c>
      <c r="C52" s="6">
        <v>176</v>
      </c>
      <c r="D52" s="6">
        <v>192</v>
      </c>
      <c r="E52" s="6">
        <v>200</v>
      </c>
      <c r="F52" s="6">
        <v>232</v>
      </c>
      <c r="G52" s="6">
        <v>198</v>
      </c>
      <c r="H52" s="6">
        <v>216</v>
      </c>
      <c r="I52" s="6">
        <v>225</v>
      </c>
      <c r="J52" s="6">
        <v>261</v>
      </c>
      <c r="K52" s="6">
        <v>176</v>
      </c>
      <c r="L52" s="6">
        <v>192</v>
      </c>
      <c r="M52" s="6">
        <v>200</v>
      </c>
      <c r="N52" s="19">
        <v>232</v>
      </c>
      <c r="O52" s="24">
        <v>207</v>
      </c>
      <c r="P52" s="7">
        <v>216</v>
      </c>
      <c r="Q52" s="7">
        <v>225</v>
      </c>
      <c r="R52" s="7">
        <v>252</v>
      </c>
      <c r="S52" s="7">
        <v>230</v>
      </c>
    </row>
    <row r="53" spans="1:19" ht="15" customHeight="1">
      <c r="A53" s="5" t="s">
        <v>53</v>
      </c>
      <c r="B53" s="6">
        <v>980</v>
      </c>
      <c r="C53" s="6">
        <v>902</v>
      </c>
      <c r="D53" s="6">
        <v>984</v>
      </c>
      <c r="E53" s="6">
        <v>1025</v>
      </c>
      <c r="F53" s="6">
        <v>1189</v>
      </c>
      <c r="G53" s="6">
        <v>1012</v>
      </c>
      <c r="H53" s="6">
        <v>1104</v>
      </c>
      <c r="I53" s="6">
        <v>1150</v>
      </c>
      <c r="J53" s="6">
        <v>1334</v>
      </c>
      <c r="K53" s="6">
        <v>616</v>
      </c>
      <c r="L53" s="6">
        <v>672</v>
      </c>
      <c r="M53" s="6">
        <v>700</v>
      </c>
      <c r="N53" s="19">
        <v>812</v>
      </c>
      <c r="O53" s="24">
        <v>690</v>
      </c>
      <c r="P53" s="7">
        <v>720</v>
      </c>
      <c r="Q53" s="7">
        <v>750</v>
      </c>
      <c r="R53" s="7">
        <v>840</v>
      </c>
      <c r="S53" s="7">
        <v>736</v>
      </c>
    </row>
    <row r="54" spans="1:19" ht="15" customHeight="1">
      <c r="A54" s="5" t="s">
        <v>54</v>
      </c>
      <c r="B54" s="6">
        <v>224</v>
      </c>
      <c r="C54" s="6">
        <v>154</v>
      </c>
      <c r="D54" s="6">
        <v>168</v>
      </c>
      <c r="E54" s="6">
        <v>175</v>
      </c>
      <c r="F54" s="6">
        <v>203</v>
      </c>
      <c r="G54" s="6">
        <v>176</v>
      </c>
      <c r="H54" s="6">
        <v>192</v>
      </c>
      <c r="I54" s="6">
        <v>200</v>
      </c>
      <c r="J54" s="6">
        <v>232</v>
      </c>
      <c r="K54" s="6">
        <v>198</v>
      </c>
      <c r="L54" s="6">
        <v>216</v>
      </c>
      <c r="M54" s="6">
        <v>225</v>
      </c>
      <c r="N54" s="19">
        <v>261</v>
      </c>
      <c r="O54" s="24">
        <v>230</v>
      </c>
      <c r="P54" s="7">
        <v>240</v>
      </c>
      <c r="Q54" s="7">
        <v>250</v>
      </c>
      <c r="R54" s="7">
        <v>280</v>
      </c>
      <c r="S54" s="7">
        <v>253</v>
      </c>
    </row>
    <row r="55" spans="1:19" ht="15" customHeight="1">
      <c r="A55" s="5" t="s">
        <v>55</v>
      </c>
      <c r="B55" s="6">
        <v>168</v>
      </c>
      <c r="C55" s="6">
        <v>110</v>
      </c>
      <c r="D55" s="6">
        <v>120</v>
      </c>
      <c r="E55" s="6">
        <v>125</v>
      </c>
      <c r="F55" s="6">
        <v>145</v>
      </c>
      <c r="G55" s="6">
        <v>110</v>
      </c>
      <c r="H55" s="6">
        <v>120</v>
      </c>
      <c r="I55" s="6">
        <v>125</v>
      </c>
      <c r="J55" s="6">
        <v>145</v>
      </c>
      <c r="K55" s="6">
        <v>132</v>
      </c>
      <c r="L55" s="6">
        <v>144</v>
      </c>
      <c r="M55" s="6">
        <v>150</v>
      </c>
      <c r="N55" s="19">
        <v>174</v>
      </c>
      <c r="O55" s="24">
        <v>161</v>
      </c>
      <c r="P55" s="7">
        <v>168</v>
      </c>
      <c r="Q55" s="7">
        <v>175</v>
      </c>
      <c r="R55" s="7">
        <v>196</v>
      </c>
      <c r="S55" s="7">
        <v>184</v>
      </c>
    </row>
    <row r="56" spans="1:19" ht="15" customHeight="1">
      <c r="A56" s="5" t="s">
        <v>56</v>
      </c>
      <c r="B56" s="6">
        <v>373</v>
      </c>
      <c r="C56" s="6">
        <v>338</v>
      </c>
      <c r="D56" s="6">
        <v>431</v>
      </c>
      <c r="E56" s="6">
        <v>433</v>
      </c>
      <c r="F56" s="6">
        <v>354</v>
      </c>
      <c r="G56" s="6">
        <v>234</v>
      </c>
      <c r="H56" s="6">
        <v>141</v>
      </c>
      <c r="I56" s="6">
        <v>162</v>
      </c>
      <c r="J56" s="6">
        <v>157</v>
      </c>
      <c r="K56" s="6">
        <v>148</v>
      </c>
      <c r="L56" s="6">
        <v>78</v>
      </c>
      <c r="M56" s="6">
        <v>46</v>
      </c>
      <c r="N56" s="19">
        <v>69</v>
      </c>
      <c r="O56" s="24">
        <v>22</v>
      </c>
      <c r="P56" s="7">
        <v>192</v>
      </c>
      <c r="Q56" s="7">
        <v>200</v>
      </c>
      <c r="R56" s="7">
        <v>224</v>
      </c>
      <c r="S56" s="7">
        <v>184</v>
      </c>
    </row>
    <row r="57" spans="1:19" ht="15" customHeight="1">
      <c r="A57" s="5" t="s">
        <v>57</v>
      </c>
      <c r="B57" s="6">
        <v>168</v>
      </c>
      <c r="C57" s="6">
        <v>110</v>
      </c>
      <c r="D57" s="6">
        <v>120</v>
      </c>
      <c r="E57" s="6">
        <v>125</v>
      </c>
      <c r="F57" s="6">
        <v>145</v>
      </c>
      <c r="G57" s="6">
        <v>66</v>
      </c>
      <c r="H57" s="6">
        <v>72</v>
      </c>
      <c r="I57" s="6">
        <v>75</v>
      </c>
      <c r="J57" s="6">
        <v>87</v>
      </c>
      <c r="K57" s="6">
        <v>55</v>
      </c>
      <c r="L57" s="6">
        <v>60</v>
      </c>
      <c r="M57" s="6">
        <v>62</v>
      </c>
      <c r="N57" s="19">
        <v>72</v>
      </c>
      <c r="O57" s="24">
        <v>69</v>
      </c>
      <c r="P57" s="7">
        <v>72</v>
      </c>
      <c r="Q57" s="7">
        <v>75</v>
      </c>
      <c r="R57" s="7">
        <v>84</v>
      </c>
      <c r="S57" s="7">
        <v>80</v>
      </c>
    </row>
    <row r="58" spans="1:19" ht="15" customHeight="1">
      <c r="A58" s="5" t="s">
        <v>58</v>
      </c>
      <c r="B58" s="6">
        <v>224</v>
      </c>
      <c r="C58" s="6">
        <v>220</v>
      </c>
      <c r="D58" s="6">
        <v>240</v>
      </c>
      <c r="E58" s="6">
        <v>250</v>
      </c>
      <c r="F58" s="6">
        <v>290</v>
      </c>
      <c r="G58" s="6">
        <v>242</v>
      </c>
      <c r="H58" s="6">
        <v>264</v>
      </c>
      <c r="I58" s="6">
        <v>275</v>
      </c>
      <c r="J58" s="6">
        <v>319</v>
      </c>
      <c r="K58" s="6">
        <v>220</v>
      </c>
      <c r="L58" s="6">
        <v>240</v>
      </c>
      <c r="M58" s="6">
        <v>250</v>
      </c>
      <c r="N58" s="19">
        <v>290</v>
      </c>
      <c r="O58" s="24">
        <v>253</v>
      </c>
      <c r="P58" s="7">
        <v>264</v>
      </c>
      <c r="Q58" s="7">
        <v>275</v>
      </c>
      <c r="R58" s="7">
        <v>308</v>
      </c>
      <c r="S58" s="7">
        <v>276</v>
      </c>
    </row>
    <row r="59" spans="1:19" ht="15" customHeight="1">
      <c r="A59" s="5" t="s">
        <v>59</v>
      </c>
      <c r="B59" s="6">
        <v>252</v>
      </c>
      <c r="C59" s="6">
        <v>242</v>
      </c>
      <c r="D59" s="6">
        <v>264</v>
      </c>
      <c r="E59" s="6">
        <v>275</v>
      </c>
      <c r="F59" s="6">
        <v>319</v>
      </c>
      <c r="G59" s="6">
        <v>286</v>
      </c>
      <c r="H59" s="6">
        <v>312</v>
      </c>
      <c r="I59" s="6">
        <v>325</v>
      </c>
      <c r="J59" s="6">
        <v>377</v>
      </c>
      <c r="K59" s="6">
        <v>264</v>
      </c>
      <c r="L59" s="6">
        <v>288</v>
      </c>
      <c r="M59" s="6">
        <v>300</v>
      </c>
      <c r="N59" s="19">
        <v>348</v>
      </c>
      <c r="O59" s="24">
        <v>161</v>
      </c>
      <c r="P59" s="7">
        <v>168</v>
      </c>
      <c r="Q59" s="7">
        <v>175</v>
      </c>
      <c r="R59" s="7">
        <v>196</v>
      </c>
      <c r="S59" s="7">
        <v>138</v>
      </c>
    </row>
    <row r="60" spans="1:19" ht="15" customHeight="1">
      <c r="A60" s="5" t="s">
        <v>60</v>
      </c>
      <c r="B60" s="6">
        <v>168</v>
      </c>
      <c r="C60" s="6">
        <v>154</v>
      </c>
      <c r="D60" s="6">
        <v>168</v>
      </c>
      <c r="E60" s="6">
        <v>175</v>
      </c>
      <c r="F60" s="6">
        <v>203</v>
      </c>
      <c r="G60" s="6">
        <v>154</v>
      </c>
      <c r="H60" s="6">
        <v>168</v>
      </c>
      <c r="I60" s="6">
        <v>175</v>
      </c>
      <c r="J60" s="6">
        <v>203</v>
      </c>
      <c r="K60" s="6">
        <v>176</v>
      </c>
      <c r="L60" s="6">
        <v>192</v>
      </c>
      <c r="M60" s="6">
        <v>200</v>
      </c>
      <c r="N60" s="19">
        <v>232</v>
      </c>
      <c r="O60" s="24">
        <v>196</v>
      </c>
      <c r="P60" s="7">
        <v>204</v>
      </c>
      <c r="Q60" s="7">
        <v>212</v>
      </c>
      <c r="R60" s="7">
        <v>238</v>
      </c>
      <c r="S60" s="7">
        <v>207</v>
      </c>
    </row>
    <row r="61" spans="1:19" ht="15" customHeight="1">
      <c r="A61" s="5" t="s">
        <v>61</v>
      </c>
      <c r="B61" s="6">
        <v>420</v>
      </c>
      <c r="C61" s="6">
        <v>352</v>
      </c>
      <c r="D61" s="6">
        <v>384</v>
      </c>
      <c r="E61" s="6">
        <v>400</v>
      </c>
      <c r="F61" s="6">
        <v>464</v>
      </c>
      <c r="G61" s="6">
        <v>374</v>
      </c>
      <c r="H61" s="6">
        <v>408</v>
      </c>
      <c r="I61" s="6">
        <v>425</v>
      </c>
      <c r="J61" s="6">
        <v>493</v>
      </c>
      <c r="K61" s="6">
        <v>396</v>
      </c>
      <c r="L61" s="6">
        <v>432</v>
      </c>
      <c r="M61" s="6">
        <v>450</v>
      </c>
      <c r="N61" s="19">
        <v>522</v>
      </c>
      <c r="O61" s="24">
        <v>437</v>
      </c>
      <c r="P61" s="7">
        <v>456</v>
      </c>
      <c r="Q61" s="7">
        <v>475</v>
      </c>
      <c r="R61" s="7">
        <v>532</v>
      </c>
      <c r="S61" s="7">
        <v>460</v>
      </c>
    </row>
    <row r="62" spans="1:19" ht="15" customHeight="1">
      <c r="A62" s="5" t="s">
        <v>62</v>
      </c>
      <c r="B62" s="6">
        <v>98</v>
      </c>
      <c r="C62" s="6">
        <v>88</v>
      </c>
      <c r="D62" s="6">
        <v>96</v>
      </c>
      <c r="E62" s="6">
        <v>100</v>
      </c>
      <c r="F62" s="6">
        <v>116</v>
      </c>
      <c r="G62" s="6">
        <v>99</v>
      </c>
      <c r="H62" s="6">
        <v>108</v>
      </c>
      <c r="I62" s="6">
        <v>112</v>
      </c>
      <c r="J62" s="6">
        <v>130</v>
      </c>
      <c r="K62" s="6">
        <v>110</v>
      </c>
      <c r="L62" s="6">
        <v>120</v>
      </c>
      <c r="M62" s="6">
        <v>125</v>
      </c>
      <c r="N62" s="19">
        <v>145</v>
      </c>
      <c r="O62" s="24">
        <v>126</v>
      </c>
      <c r="P62" s="7">
        <v>132</v>
      </c>
      <c r="Q62" s="7">
        <v>138</v>
      </c>
      <c r="R62" s="7">
        <v>154</v>
      </c>
      <c r="S62" s="7">
        <v>138</v>
      </c>
    </row>
    <row r="63" spans="1:19" ht="15" customHeight="1">
      <c r="A63" s="5" t="s">
        <v>63</v>
      </c>
      <c r="B63" s="6">
        <v>70</v>
      </c>
      <c r="C63" s="6">
        <v>44</v>
      </c>
      <c r="D63" s="6">
        <v>48</v>
      </c>
      <c r="E63" s="6">
        <v>50</v>
      </c>
      <c r="F63" s="6">
        <v>58</v>
      </c>
      <c r="G63" s="6">
        <v>40</v>
      </c>
      <c r="H63" s="6">
        <v>43</v>
      </c>
      <c r="I63" s="6">
        <v>45</v>
      </c>
      <c r="J63" s="6">
        <v>52</v>
      </c>
      <c r="K63" s="6">
        <v>44</v>
      </c>
      <c r="L63" s="6">
        <v>48</v>
      </c>
      <c r="M63" s="6">
        <v>50</v>
      </c>
      <c r="N63" s="19">
        <v>58</v>
      </c>
      <c r="O63" s="24">
        <v>51</v>
      </c>
      <c r="P63" s="7">
        <v>53</v>
      </c>
      <c r="Q63" s="7">
        <v>55</v>
      </c>
      <c r="R63" s="7">
        <v>62</v>
      </c>
      <c r="S63" s="7">
        <v>58</v>
      </c>
    </row>
    <row r="64" spans="1:19" ht="15" customHeight="1">
      <c r="A64" s="5" t="s">
        <v>64</v>
      </c>
      <c r="B64" s="6">
        <v>28</v>
      </c>
      <c r="C64" s="6">
        <v>26</v>
      </c>
      <c r="D64" s="6">
        <v>29</v>
      </c>
      <c r="E64" s="6">
        <v>30</v>
      </c>
      <c r="F64" s="6">
        <v>35</v>
      </c>
      <c r="G64" s="6">
        <v>31</v>
      </c>
      <c r="H64" s="6">
        <v>34</v>
      </c>
      <c r="I64" s="6">
        <v>35</v>
      </c>
      <c r="J64" s="6">
        <v>41</v>
      </c>
      <c r="K64" s="6">
        <v>33</v>
      </c>
      <c r="L64" s="6">
        <v>36</v>
      </c>
      <c r="M64" s="6">
        <v>38</v>
      </c>
      <c r="N64" s="19">
        <v>44</v>
      </c>
      <c r="O64" s="24">
        <v>37</v>
      </c>
      <c r="P64" s="7">
        <v>38</v>
      </c>
      <c r="Q64" s="7">
        <v>40</v>
      </c>
      <c r="R64" s="7">
        <v>45</v>
      </c>
      <c r="S64" s="7">
        <v>39</v>
      </c>
    </row>
    <row r="65" spans="1:19" ht="15" customHeight="1">
      <c r="A65" s="4" t="s">
        <v>38</v>
      </c>
      <c r="B65" s="10">
        <f>SUM(B50:B64)</f>
        <v>5092</v>
      </c>
      <c r="C65" s="10">
        <f t="shared" ref="C65:S65" si="20">SUM(C50:C64)</f>
        <v>4602</v>
      </c>
      <c r="D65" s="10">
        <f t="shared" si="20"/>
        <v>5458</v>
      </c>
      <c r="E65" s="10">
        <f t="shared" si="20"/>
        <v>5658</v>
      </c>
      <c r="F65" s="10">
        <f t="shared" si="20"/>
        <v>5829</v>
      </c>
      <c r="G65" s="10">
        <f t="shared" si="20"/>
        <v>5062</v>
      </c>
      <c r="H65" s="10">
        <f t="shared" si="20"/>
        <v>5110</v>
      </c>
      <c r="I65" s="10">
        <f t="shared" si="20"/>
        <v>5545</v>
      </c>
      <c r="J65" s="10">
        <f t="shared" si="20"/>
        <v>6067</v>
      </c>
      <c r="K65" s="10">
        <f t="shared" si="20"/>
        <v>4351</v>
      </c>
      <c r="L65" s="10">
        <f t="shared" si="20"/>
        <v>4743</v>
      </c>
      <c r="M65" s="10">
        <f t="shared" si="20"/>
        <v>4743</v>
      </c>
      <c r="N65" s="10">
        <f t="shared" si="20"/>
        <v>5054</v>
      </c>
      <c r="O65" s="10">
        <f t="shared" si="20"/>
        <v>4052</v>
      </c>
      <c r="P65" s="10">
        <f t="shared" si="20"/>
        <v>4566</v>
      </c>
      <c r="Q65" s="10">
        <f t="shared" si="20"/>
        <v>4845</v>
      </c>
      <c r="R65" s="10">
        <f t="shared" si="20"/>
        <v>5756</v>
      </c>
      <c r="S65" s="10">
        <f t="shared" si="20"/>
        <v>4570</v>
      </c>
    </row>
    <row r="66" spans="1:19" ht="15" customHeight="1">
      <c r="A66" s="12" t="s">
        <v>1</v>
      </c>
      <c r="B66" s="13"/>
      <c r="C66" s="13"/>
      <c r="D66" s="13"/>
      <c r="E66" s="13"/>
      <c r="F66" s="15">
        <f>F65/B65-1</f>
        <v>0.14473684210526305</v>
      </c>
      <c r="G66" s="15">
        <f t="shared" ref="G66" si="21">G65/C65-1</f>
        <v>9.9956540634506652E-2</v>
      </c>
      <c r="H66" s="15">
        <f t="shared" ref="H66" si="22">H65/D65-1</f>
        <v>-6.3759618908024951E-2</v>
      </c>
      <c r="I66" s="15">
        <f t="shared" ref="I66" si="23">I65/E65-1</f>
        <v>-1.997172145634496E-2</v>
      </c>
      <c r="J66" s="15">
        <f t="shared" ref="J66" si="24">J65/F65-1</f>
        <v>4.0830331103105078E-2</v>
      </c>
      <c r="K66" s="15">
        <f t="shared" ref="K66" si="25">K65/G65-1</f>
        <v>-0.14045831687080201</v>
      </c>
      <c r="L66" s="15">
        <f t="shared" ref="L66" si="26">L65/H65-1</f>
        <v>-7.1819960861056797E-2</v>
      </c>
      <c r="M66" s="15">
        <f t="shared" ref="M66" si="27">M65/I65-1</f>
        <v>-0.14463480613165014</v>
      </c>
      <c r="N66" s="15">
        <f t="shared" ref="N66" si="28">N65/J65-1</f>
        <v>-0.16696884786550192</v>
      </c>
      <c r="O66" s="15">
        <f t="shared" ref="O66" si="29">O65/K65-1</f>
        <v>-6.8719834520799772E-2</v>
      </c>
      <c r="P66" s="15">
        <f t="shared" ref="P66" si="30">P65/L65-1</f>
        <v>-3.7318153067678717E-2</v>
      </c>
      <c r="Q66" s="15">
        <f t="shared" ref="Q66" si="31">Q65/M65-1</f>
        <v>2.1505376344086002E-2</v>
      </c>
      <c r="R66" s="15">
        <f t="shared" ref="R66" si="32">R65/N65-1</f>
        <v>0.13889988128215269</v>
      </c>
      <c r="S66" s="15">
        <f t="shared" ref="S66" si="33">S65/O65-1</f>
        <v>0.12783810463968415</v>
      </c>
    </row>
    <row r="67" spans="1:19" ht="1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19"/>
      <c r="O67" s="24"/>
      <c r="P67" s="7"/>
      <c r="Q67" s="7"/>
      <c r="R67" s="7"/>
      <c r="S67" s="7"/>
    </row>
    <row r="68" spans="1:19" ht="15" customHeight="1">
      <c r="A68" s="4" t="s">
        <v>65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22"/>
      <c r="O68" s="25"/>
      <c r="P68" s="9"/>
      <c r="Q68" s="9"/>
      <c r="R68" s="9"/>
      <c r="S68" s="9"/>
    </row>
    <row r="69" spans="1:19" ht="15" customHeight="1">
      <c r="A69" s="5" t="s">
        <v>66</v>
      </c>
      <c r="B69" s="6">
        <v>140</v>
      </c>
      <c r="C69" s="6">
        <v>132</v>
      </c>
      <c r="D69" s="6">
        <v>144</v>
      </c>
      <c r="E69" s="6">
        <v>150</v>
      </c>
      <c r="F69" s="6">
        <v>174</v>
      </c>
      <c r="G69" s="6">
        <v>154</v>
      </c>
      <c r="H69" s="6">
        <v>168</v>
      </c>
      <c r="I69" s="6">
        <v>175</v>
      </c>
      <c r="J69" s="6">
        <v>203</v>
      </c>
      <c r="K69" s="6">
        <v>176</v>
      </c>
      <c r="L69" s="6">
        <v>192</v>
      </c>
      <c r="M69" s="6">
        <v>200</v>
      </c>
      <c r="N69" s="19">
        <v>232</v>
      </c>
      <c r="O69" s="24">
        <v>207</v>
      </c>
      <c r="P69" s="7">
        <v>216</v>
      </c>
      <c r="Q69" s="7">
        <v>225</v>
      </c>
      <c r="R69" s="7">
        <v>252</v>
      </c>
      <c r="S69" s="7">
        <v>230</v>
      </c>
    </row>
    <row r="70" spans="1:19" ht="15" customHeight="1">
      <c r="A70" s="5" t="s">
        <v>67</v>
      </c>
      <c r="B70" s="6">
        <v>70</v>
      </c>
      <c r="C70" s="6">
        <v>66</v>
      </c>
      <c r="D70" s="6">
        <v>72</v>
      </c>
      <c r="E70" s="6">
        <v>75</v>
      </c>
      <c r="F70" s="6">
        <v>87</v>
      </c>
      <c r="G70" s="6">
        <v>55</v>
      </c>
      <c r="H70" s="6">
        <v>60</v>
      </c>
      <c r="I70" s="6">
        <v>62</v>
      </c>
      <c r="J70" s="6">
        <v>72</v>
      </c>
      <c r="K70" s="6">
        <v>48</v>
      </c>
      <c r="L70" s="6">
        <v>53</v>
      </c>
      <c r="M70" s="6">
        <v>55</v>
      </c>
      <c r="N70" s="19">
        <v>64</v>
      </c>
      <c r="O70" s="24">
        <v>58</v>
      </c>
      <c r="P70" s="7">
        <v>60</v>
      </c>
      <c r="Q70" s="7">
        <v>62</v>
      </c>
      <c r="R70" s="7">
        <v>70</v>
      </c>
      <c r="S70" s="7">
        <v>64</v>
      </c>
    </row>
    <row r="71" spans="1:19" ht="15" customHeight="1">
      <c r="A71" s="5" t="s">
        <v>68</v>
      </c>
      <c r="B71" s="6">
        <v>42</v>
      </c>
      <c r="C71" s="6">
        <v>55</v>
      </c>
      <c r="D71" s="6">
        <v>60</v>
      </c>
      <c r="E71" s="6">
        <v>62</v>
      </c>
      <c r="F71" s="6">
        <v>72</v>
      </c>
      <c r="G71" s="6">
        <v>66</v>
      </c>
      <c r="H71" s="6">
        <v>72</v>
      </c>
      <c r="I71" s="6">
        <v>75</v>
      </c>
      <c r="J71" s="6">
        <v>87</v>
      </c>
      <c r="K71" s="6">
        <v>55</v>
      </c>
      <c r="L71" s="6">
        <v>60</v>
      </c>
      <c r="M71" s="6">
        <v>62</v>
      </c>
      <c r="N71" s="19">
        <v>72</v>
      </c>
      <c r="O71" s="24">
        <v>64</v>
      </c>
      <c r="P71" s="7">
        <v>67</v>
      </c>
      <c r="Q71" s="7">
        <v>70</v>
      </c>
      <c r="R71" s="7">
        <v>78</v>
      </c>
      <c r="S71" s="7">
        <v>69</v>
      </c>
    </row>
    <row r="72" spans="1:19" ht="15" customHeight="1">
      <c r="A72" s="5" t="s">
        <v>69</v>
      </c>
      <c r="B72" s="6">
        <v>22</v>
      </c>
      <c r="C72" s="6">
        <v>22</v>
      </c>
      <c r="D72" s="6">
        <v>24</v>
      </c>
      <c r="E72" s="6">
        <v>25</v>
      </c>
      <c r="F72" s="6">
        <v>29</v>
      </c>
      <c r="G72" s="6">
        <v>26</v>
      </c>
      <c r="H72" s="6">
        <v>29</v>
      </c>
      <c r="I72" s="6">
        <v>30</v>
      </c>
      <c r="J72" s="6">
        <v>35</v>
      </c>
      <c r="K72" s="6">
        <v>33</v>
      </c>
      <c r="L72" s="6">
        <v>36</v>
      </c>
      <c r="M72" s="6">
        <v>38</v>
      </c>
      <c r="N72" s="19">
        <v>44</v>
      </c>
      <c r="O72" s="24">
        <v>46</v>
      </c>
      <c r="P72" s="7">
        <v>48</v>
      </c>
      <c r="Q72" s="7">
        <v>50</v>
      </c>
      <c r="R72" s="7">
        <v>56</v>
      </c>
      <c r="S72" s="7">
        <v>51</v>
      </c>
    </row>
    <row r="73" spans="1:19" ht="15" customHeight="1">
      <c r="A73" s="5" t="s">
        <v>70</v>
      </c>
      <c r="B73" s="6">
        <v>112</v>
      </c>
      <c r="C73" s="6">
        <v>99</v>
      </c>
      <c r="D73" s="6">
        <v>108</v>
      </c>
      <c r="E73" s="6">
        <v>112</v>
      </c>
      <c r="F73" s="6">
        <v>130</v>
      </c>
      <c r="G73" s="6">
        <v>88</v>
      </c>
      <c r="H73" s="6">
        <v>96</v>
      </c>
      <c r="I73" s="6">
        <v>100</v>
      </c>
      <c r="J73" s="6">
        <v>116</v>
      </c>
      <c r="K73" s="6">
        <v>99</v>
      </c>
      <c r="L73" s="6">
        <v>108</v>
      </c>
      <c r="M73" s="6">
        <v>112</v>
      </c>
      <c r="N73" s="19">
        <v>130</v>
      </c>
      <c r="O73" s="24">
        <v>115</v>
      </c>
      <c r="P73" s="7">
        <v>120</v>
      </c>
      <c r="Q73" s="7">
        <v>125</v>
      </c>
      <c r="R73" s="7">
        <v>140</v>
      </c>
      <c r="S73" s="7">
        <v>126</v>
      </c>
    </row>
    <row r="74" spans="1:19" ht="15" customHeight="1">
      <c r="A74" s="5" t="s">
        <v>71</v>
      </c>
      <c r="B74" s="6">
        <v>56</v>
      </c>
      <c r="C74" s="6">
        <v>55</v>
      </c>
      <c r="D74" s="6">
        <v>60</v>
      </c>
      <c r="E74" s="6">
        <v>62</v>
      </c>
      <c r="F74" s="6">
        <v>72</v>
      </c>
      <c r="G74" s="6">
        <v>48</v>
      </c>
      <c r="H74" s="6">
        <v>53</v>
      </c>
      <c r="I74" s="6">
        <v>55</v>
      </c>
      <c r="J74" s="6">
        <v>64</v>
      </c>
      <c r="K74" s="6">
        <v>55</v>
      </c>
      <c r="L74" s="6">
        <v>60</v>
      </c>
      <c r="M74" s="6">
        <v>62</v>
      </c>
      <c r="N74" s="19">
        <v>72</v>
      </c>
      <c r="O74" s="24">
        <v>64</v>
      </c>
      <c r="P74" s="7">
        <v>67</v>
      </c>
      <c r="Q74" s="7">
        <v>70</v>
      </c>
      <c r="R74" s="7">
        <v>78</v>
      </c>
      <c r="S74" s="7">
        <v>69</v>
      </c>
    </row>
    <row r="75" spans="1:19" ht="15" customHeight="1">
      <c r="A75" s="5" t="s">
        <v>72</v>
      </c>
      <c r="B75" s="6">
        <v>14</v>
      </c>
      <c r="C75" s="6">
        <v>13</v>
      </c>
      <c r="D75" s="6">
        <v>14</v>
      </c>
      <c r="E75" s="6">
        <v>15</v>
      </c>
      <c r="F75" s="6">
        <v>17</v>
      </c>
      <c r="G75" s="6">
        <v>15</v>
      </c>
      <c r="H75" s="6">
        <v>17</v>
      </c>
      <c r="I75" s="6">
        <v>18</v>
      </c>
      <c r="J75" s="6">
        <v>20</v>
      </c>
      <c r="K75" s="6">
        <v>18</v>
      </c>
      <c r="L75" s="6">
        <v>19</v>
      </c>
      <c r="M75" s="6">
        <v>20</v>
      </c>
      <c r="N75" s="19">
        <v>23</v>
      </c>
      <c r="O75" s="24">
        <v>21</v>
      </c>
      <c r="P75" s="7">
        <v>22</v>
      </c>
      <c r="Q75" s="7">
        <v>22</v>
      </c>
      <c r="R75" s="7">
        <v>25</v>
      </c>
      <c r="S75" s="7">
        <v>23</v>
      </c>
    </row>
    <row r="76" spans="1:19" ht="15" customHeight="1">
      <c r="A76" s="5" t="s">
        <v>73</v>
      </c>
      <c r="B76" s="6">
        <v>280</v>
      </c>
      <c r="C76" s="6">
        <v>264</v>
      </c>
      <c r="D76" s="6">
        <v>288</v>
      </c>
      <c r="E76" s="6">
        <v>300</v>
      </c>
      <c r="F76" s="6">
        <v>348</v>
      </c>
      <c r="G76" s="6">
        <v>220</v>
      </c>
      <c r="H76" s="6">
        <v>240</v>
      </c>
      <c r="I76" s="6">
        <v>250</v>
      </c>
      <c r="J76" s="6">
        <v>290</v>
      </c>
      <c r="K76" s="6">
        <v>242</v>
      </c>
      <c r="L76" s="6">
        <v>264</v>
      </c>
      <c r="M76" s="6">
        <v>275</v>
      </c>
      <c r="N76" s="19">
        <v>319</v>
      </c>
      <c r="O76" s="24">
        <v>299</v>
      </c>
      <c r="P76" s="7">
        <v>312</v>
      </c>
      <c r="Q76" s="7">
        <v>325</v>
      </c>
      <c r="R76" s="7">
        <v>364</v>
      </c>
      <c r="S76" s="7">
        <v>322</v>
      </c>
    </row>
    <row r="77" spans="1:19" ht="15" customHeight="1">
      <c r="A77" s="5" t="s">
        <v>74</v>
      </c>
      <c r="B77" s="6">
        <v>224</v>
      </c>
      <c r="C77" s="6">
        <v>154</v>
      </c>
      <c r="D77" s="6">
        <v>168</v>
      </c>
      <c r="E77" s="6">
        <v>175</v>
      </c>
      <c r="F77" s="6">
        <v>203</v>
      </c>
      <c r="G77" s="6">
        <v>132</v>
      </c>
      <c r="H77" s="6">
        <v>144</v>
      </c>
      <c r="I77" s="6">
        <v>150</v>
      </c>
      <c r="J77" s="6">
        <v>174</v>
      </c>
      <c r="K77" s="6">
        <v>110</v>
      </c>
      <c r="L77" s="6">
        <v>120</v>
      </c>
      <c r="M77" s="6">
        <v>125</v>
      </c>
      <c r="N77" s="19">
        <v>145</v>
      </c>
      <c r="O77" s="24">
        <v>138</v>
      </c>
      <c r="P77" s="7">
        <v>144</v>
      </c>
      <c r="Q77" s="7">
        <v>150</v>
      </c>
      <c r="R77" s="7">
        <v>168</v>
      </c>
      <c r="S77" s="7">
        <v>150</v>
      </c>
    </row>
    <row r="78" spans="1:19" ht="15" customHeight="1">
      <c r="A78" s="5" t="s">
        <v>75</v>
      </c>
      <c r="B78" s="6">
        <v>56</v>
      </c>
      <c r="C78" s="6">
        <v>44</v>
      </c>
      <c r="D78" s="6">
        <v>48</v>
      </c>
      <c r="E78" s="6">
        <v>50</v>
      </c>
      <c r="F78" s="6">
        <v>58</v>
      </c>
      <c r="G78" s="6">
        <v>40</v>
      </c>
      <c r="H78" s="6">
        <v>43</v>
      </c>
      <c r="I78" s="6">
        <v>45</v>
      </c>
      <c r="J78" s="6">
        <v>52</v>
      </c>
      <c r="K78" s="6">
        <v>44</v>
      </c>
      <c r="L78" s="6">
        <v>48</v>
      </c>
      <c r="M78" s="6">
        <v>50</v>
      </c>
      <c r="N78" s="19">
        <v>58</v>
      </c>
      <c r="O78" s="24">
        <v>58</v>
      </c>
      <c r="P78" s="7">
        <v>60</v>
      </c>
      <c r="Q78" s="7">
        <v>62</v>
      </c>
      <c r="R78" s="7">
        <v>70</v>
      </c>
      <c r="S78" s="7">
        <v>69</v>
      </c>
    </row>
    <row r="79" spans="1:19" ht="15" customHeight="1">
      <c r="A79" s="5" t="s">
        <v>76</v>
      </c>
      <c r="B79" s="6">
        <v>224</v>
      </c>
      <c r="C79" s="6">
        <v>154</v>
      </c>
      <c r="D79" s="6">
        <v>168</v>
      </c>
      <c r="E79" s="6">
        <v>175</v>
      </c>
      <c r="F79" s="6">
        <v>203</v>
      </c>
      <c r="G79" s="6">
        <v>132</v>
      </c>
      <c r="H79" s="6">
        <v>144</v>
      </c>
      <c r="I79" s="6">
        <v>150</v>
      </c>
      <c r="J79" s="6">
        <v>174</v>
      </c>
      <c r="K79" s="6">
        <v>110</v>
      </c>
      <c r="L79" s="6">
        <v>120</v>
      </c>
      <c r="M79" s="6">
        <v>125</v>
      </c>
      <c r="N79" s="19">
        <v>145</v>
      </c>
      <c r="O79" s="24">
        <v>126</v>
      </c>
      <c r="P79" s="7">
        <v>132</v>
      </c>
      <c r="Q79" s="7">
        <v>138</v>
      </c>
      <c r="R79" s="7">
        <v>154</v>
      </c>
      <c r="S79" s="7">
        <v>138</v>
      </c>
    </row>
    <row r="80" spans="1:19" ht="15" customHeight="1">
      <c r="A80" s="5" t="s">
        <v>77</v>
      </c>
      <c r="B80" s="6">
        <v>11</v>
      </c>
      <c r="C80" s="6">
        <v>11</v>
      </c>
      <c r="D80" s="6">
        <v>12</v>
      </c>
      <c r="E80" s="6">
        <v>12</v>
      </c>
      <c r="F80" s="6">
        <v>14</v>
      </c>
      <c r="G80" s="6">
        <v>11</v>
      </c>
      <c r="H80" s="6">
        <v>12</v>
      </c>
      <c r="I80" s="6">
        <v>12</v>
      </c>
      <c r="J80" s="6">
        <v>14</v>
      </c>
      <c r="K80" s="6">
        <v>13</v>
      </c>
      <c r="L80" s="6">
        <v>14</v>
      </c>
      <c r="M80" s="6">
        <v>15</v>
      </c>
      <c r="N80" s="19">
        <v>17</v>
      </c>
      <c r="O80" s="24">
        <v>16</v>
      </c>
      <c r="P80" s="7">
        <v>17</v>
      </c>
      <c r="Q80" s="7">
        <v>18</v>
      </c>
      <c r="R80" s="7">
        <v>20</v>
      </c>
      <c r="S80" s="7">
        <v>18</v>
      </c>
    </row>
    <row r="81" spans="1:19" ht="15" customHeight="1">
      <c r="A81" s="4" t="s">
        <v>38</v>
      </c>
      <c r="B81" s="10">
        <f>SUM(B69:B80)</f>
        <v>1251</v>
      </c>
      <c r="C81" s="10">
        <f t="shared" ref="C81:S81" si="34">SUM(C69:C80)</f>
        <v>1069</v>
      </c>
      <c r="D81" s="10">
        <f t="shared" si="34"/>
        <v>1166</v>
      </c>
      <c r="E81" s="10">
        <f t="shared" si="34"/>
        <v>1213</v>
      </c>
      <c r="F81" s="10">
        <f t="shared" si="34"/>
        <v>1407</v>
      </c>
      <c r="G81" s="10">
        <f t="shared" si="34"/>
        <v>987</v>
      </c>
      <c r="H81" s="10">
        <f t="shared" si="34"/>
        <v>1078</v>
      </c>
      <c r="I81" s="10">
        <f t="shared" si="34"/>
        <v>1122</v>
      </c>
      <c r="J81" s="10">
        <f t="shared" si="34"/>
        <v>1301</v>
      </c>
      <c r="K81" s="10">
        <f t="shared" si="34"/>
        <v>1003</v>
      </c>
      <c r="L81" s="10">
        <f t="shared" si="34"/>
        <v>1094</v>
      </c>
      <c r="M81" s="10">
        <f t="shared" si="34"/>
        <v>1139</v>
      </c>
      <c r="N81" s="10">
        <f t="shared" si="34"/>
        <v>1321</v>
      </c>
      <c r="O81" s="10">
        <f t="shared" si="34"/>
        <v>1212</v>
      </c>
      <c r="P81" s="10">
        <f t="shared" si="34"/>
        <v>1265</v>
      </c>
      <c r="Q81" s="10">
        <f t="shared" si="34"/>
        <v>1317</v>
      </c>
      <c r="R81" s="10">
        <f t="shared" si="34"/>
        <v>1475</v>
      </c>
      <c r="S81" s="10">
        <f t="shared" si="34"/>
        <v>1329</v>
      </c>
    </row>
    <row r="82" spans="1:19" ht="15" customHeight="1">
      <c r="A82" s="12" t="s">
        <v>1</v>
      </c>
      <c r="B82" s="13"/>
      <c r="C82" s="13"/>
      <c r="D82" s="13"/>
      <c r="E82" s="13"/>
      <c r="F82" s="15">
        <f>F81/B81-1</f>
        <v>0.12470023980815337</v>
      </c>
      <c r="G82" s="15">
        <f t="shared" ref="G82" si="35">G81/C81-1</f>
        <v>-7.6707202993451795E-2</v>
      </c>
      <c r="H82" s="15">
        <f t="shared" ref="H82" si="36">H81/D81-1</f>
        <v>-7.547169811320753E-2</v>
      </c>
      <c r="I82" s="15">
        <f t="shared" ref="I82" si="37">I81/E81-1</f>
        <v>-7.5020610057708215E-2</v>
      </c>
      <c r="J82" s="15">
        <f t="shared" ref="J82" si="38">J81/F81-1</f>
        <v>-7.5337597725657401E-2</v>
      </c>
      <c r="K82" s="15">
        <f t="shared" ref="K82" si="39">K81/G81-1</f>
        <v>1.6210739614994862E-2</v>
      </c>
      <c r="L82" s="15">
        <f t="shared" ref="L82" si="40">L81/H81-1</f>
        <v>1.4842300556586308E-2</v>
      </c>
      <c r="M82" s="15">
        <f t="shared" ref="M82" si="41">M81/I81-1</f>
        <v>1.5151515151515138E-2</v>
      </c>
      <c r="N82" s="15">
        <f t="shared" ref="N82" si="42">N81/J81-1</f>
        <v>1.537279016141424E-2</v>
      </c>
      <c r="O82" s="15">
        <f t="shared" ref="O82" si="43">O81/K81-1</f>
        <v>0.20837487537387833</v>
      </c>
      <c r="P82" s="15">
        <f t="shared" ref="P82" si="44">P81/L81-1</f>
        <v>0.15630712979890315</v>
      </c>
      <c r="Q82" s="15">
        <f t="shared" ref="Q82" si="45">Q81/M81-1</f>
        <v>0.15627743634767333</v>
      </c>
      <c r="R82" s="15">
        <f t="shared" ref="R82" si="46">R81/N81-1</f>
        <v>0.11657834973504921</v>
      </c>
      <c r="S82" s="15">
        <f t="shared" ref="S82" si="47">S81/O81-1</f>
        <v>9.653465346534662E-2</v>
      </c>
    </row>
    <row r="83" spans="1:19" ht="1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19"/>
      <c r="O83" s="24"/>
      <c r="P83" s="7"/>
      <c r="Q83" s="7"/>
      <c r="R83" s="7"/>
      <c r="S83" s="7"/>
    </row>
    <row r="84" spans="1:19" ht="15" customHeight="1">
      <c r="A84" s="4" t="s">
        <v>78</v>
      </c>
      <c r="B84" s="10">
        <v>68032</v>
      </c>
      <c r="C84" s="10">
        <f t="shared" ref="C84:S84" si="48">SUM(C20:C81)</f>
        <v>94606</v>
      </c>
      <c r="D84" s="10">
        <f t="shared" si="48"/>
        <v>97996</v>
      </c>
      <c r="E84" s="10">
        <f t="shared" si="48"/>
        <v>100930</v>
      </c>
      <c r="F84" s="10">
        <f t="shared" si="48"/>
        <v>115857.97136479008</v>
      </c>
      <c r="G84" s="10">
        <f t="shared" si="48"/>
        <v>88397.938906760231</v>
      </c>
      <c r="H84" s="10">
        <f t="shared" si="48"/>
        <v>95101.90869155855</v>
      </c>
      <c r="I84" s="10">
        <f t="shared" si="48"/>
        <v>102480.0567691754</v>
      </c>
      <c r="J84" s="10">
        <f t="shared" si="48"/>
        <v>114004.03708699293</v>
      </c>
      <c r="K84" s="10">
        <f t="shared" si="48"/>
        <v>97582.207996824291</v>
      </c>
      <c r="L84" s="10">
        <f t="shared" si="48"/>
        <v>101964.15345159586</v>
      </c>
      <c r="M84" s="10">
        <f t="shared" si="48"/>
        <v>108466.10156549346</v>
      </c>
      <c r="N84" s="20">
        <f t="shared" si="48"/>
        <v>109173.80667840403</v>
      </c>
      <c r="O84" s="11">
        <f t="shared" si="48"/>
        <v>124480.62413672918</v>
      </c>
      <c r="P84" s="10">
        <f t="shared" si="48"/>
        <v>136758.79120176838</v>
      </c>
      <c r="Q84" s="10">
        <f t="shared" si="48"/>
        <v>154050.97296914819</v>
      </c>
      <c r="R84" s="10">
        <f t="shared" si="48"/>
        <v>161475.20806981367</v>
      </c>
      <c r="S84" s="10">
        <f t="shared" si="48"/>
        <v>151250.5832472663</v>
      </c>
    </row>
    <row r="85" spans="1:19" s="14" customFormat="1">
      <c r="A85" s="12" t="s">
        <v>1</v>
      </c>
      <c r="F85" s="17">
        <f>F84/B84-1</f>
        <v>0.70299228840531036</v>
      </c>
      <c r="G85" s="17">
        <f t="shared" ref="G85:S85" si="49">G84/C84-1</f>
        <v>-6.5620162497513568E-2</v>
      </c>
      <c r="H85" s="17">
        <f t="shared" si="49"/>
        <v>-2.9532749382030432E-2</v>
      </c>
      <c r="I85" s="17">
        <f t="shared" si="49"/>
        <v>1.5357740703214162E-2</v>
      </c>
      <c r="J85" s="17">
        <f t="shared" si="49"/>
        <v>-1.6001784391337703E-2</v>
      </c>
      <c r="K85" s="17">
        <f t="shared" si="49"/>
        <v>0.10389686913120655</v>
      </c>
      <c r="L85" s="17">
        <f t="shared" si="49"/>
        <v>7.2156751157260723E-2</v>
      </c>
      <c r="M85" s="17">
        <f t="shared" si="49"/>
        <v>5.8411802110931221E-2</v>
      </c>
      <c r="N85" s="23">
        <f t="shared" si="49"/>
        <v>-4.2368941767413903E-2</v>
      </c>
      <c r="O85" s="18">
        <f t="shared" si="49"/>
        <v>0.27564877544869937</v>
      </c>
      <c r="P85" s="17">
        <f t="shared" si="49"/>
        <v>0.34124382513203666</v>
      </c>
      <c r="Q85" s="17">
        <f t="shared" si="49"/>
        <v>0.42026836722005623</v>
      </c>
      <c r="R85" s="17">
        <f t="shared" si="49"/>
        <v>0.47906547351119833</v>
      </c>
      <c r="S85" s="17">
        <f t="shared" si="49"/>
        <v>0.21505322050067055</v>
      </c>
    </row>
    <row r="88" spans="1:19" s="14" customFormat="1">
      <c r="N88" s="26"/>
      <c r="O88" s="27"/>
    </row>
    <row r="89" spans="1:19" s="14" customFormat="1">
      <c r="N89" s="26"/>
      <c r="O89" s="27"/>
    </row>
    <row r="91" spans="1:19" s="14" customFormat="1">
      <c r="N91" s="26"/>
      <c r="O9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2026-06-30T18:18:34Z</dcterms:modified>
</cp:coreProperties>
</file>