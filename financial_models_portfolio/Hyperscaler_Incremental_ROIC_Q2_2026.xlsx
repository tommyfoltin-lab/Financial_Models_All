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8_{9BD29B7C-190C-4FCE-84B9-609F182D0615}" xr6:coauthVersionLast="47" xr6:coauthVersionMax="47" xr10:uidLastSave="{00000000-0000-0000-0000-000000000000}"/>
  <bookViews>
    <workbookView xWindow="-30" yWindow="300" windowWidth="28725" windowHeight="15015" xr2:uid="{00000000-000D-0000-FFFF-FFFF00000000}"/>
  </bookViews>
  <sheets>
    <sheet name="Incremental RO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7" i="1" l="1"/>
  <c r="R170" i="1" s="1"/>
  <c r="Q167" i="1"/>
  <c r="Q170" i="1" s="1"/>
  <c r="P167" i="1"/>
  <c r="P170" i="1" s="1"/>
  <c r="O167" i="1"/>
  <c r="O170" i="1" s="1"/>
  <c r="N167" i="1"/>
  <c r="N170" i="1" s="1"/>
  <c r="M167" i="1"/>
  <c r="M170" i="1" s="1"/>
  <c r="L167" i="1"/>
  <c r="L170" i="1" s="1"/>
  <c r="K167" i="1"/>
  <c r="K170" i="1" s="1"/>
  <c r="J167" i="1"/>
  <c r="J170" i="1" s="1"/>
  <c r="I167" i="1"/>
  <c r="I170" i="1" s="1"/>
  <c r="I171" i="1" s="1"/>
  <c r="B9" i="1" s="1"/>
  <c r="H167" i="1"/>
  <c r="G167" i="1"/>
  <c r="F167" i="1"/>
  <c r="E167" i="1"/>
  <c r="D167" i="1"/>
  <c r="C167" i="1"/>
  <c r="B167" i="1"/>
  <c r="R153" i="1"/>
  <c r="R154" i="1" s="1"/>
  <c r="R158" i="1" s="1"/>
  <c r="Q153" i="1"/>
  <c r="Q154" i="1" s="1"/>
  <c r="Q158" i="1" s="1"/>
  <c r="P153" i="1"/>
  <c r="P154" i="1" s="1"/>
  <c r="P158" i="1" s="1"/>
  <c r="O153" i="1"/>
  <c r="O154" i="1" s="1"/>
  <c r="O158" i="1" s="1"/>
  <c r="R159" i="1" s="1"/>
  <c r="N153" i="1"/>
  <c r="N154" i="1" s="1"/>
  <c r="N158" i="1" s="1"/>
  <c r="Q159" i="1" s="1"/>
  <c r="M153" i="1"/>
  <c r="M154" i="1" s="1"/>
  <c r="M158" i="1" s="1"/>
  <c r="P159" i="1" s="1"/>
  <c r="L153" i="1"/>
  <c r="L154" i="1" s="1"/>
  <c r="L158" i="1" s="1"/>
  <c r="K153" i="1"/>
  <c r="K154" i="1" s="1"/>
  <c r="K158" i="1" s="1"/>
  <c r="J153" i="1"/>
  <c r="J154" i="1" s="1"/>
  <c r="J158" i="1" s="1"/>
  <c r="I153" i="1"/>
  <c r="I154" i="1" s="1"/>
  <c r="I158" i="1" s="1"/>
  <c r="L159" i="1" s="1"/>
  <c r="H153" i="1"/>
  <c r="H154" i="1" s="1"/>
  <c r="H158" i="1" s="1"/>
  <c r="K159" i="1" s="1"/>
  <c r="G153" i="1"/>
  <c r="G154" i="1" s="1"/>
  <c r="G158" i="1" s="1"/>
  <c r="J159" i="1" s="1"/>
  <c r="F153" i="1"/>
  <c r="F154" i="1" s="1"/>
  <c r="F158" i="1" s="1"/>
  <c r="I159" i="1" s="1"/>
  <c r="E153" i="1"/>
  <c r="E154" i="1" s="1"/>
  <c r="E158" i="1" s="1"/>
  <c r="H159" i="1" s="1"/>
  <c r="D153" i="1"/>
  <c r="D154" i="1" s="1"/>
  <c r="D158" i="1" s="1"/>
  <c r="G159" i="1" s="1"/>
  <c r="C153" i="1"/>
  <c r="C154" i="1" s="1"/>
  <c r="C158" i="1" s="1"/>
  <c r="F159" i="1" s="1"/>
  <c r="B153" i="1"/>
  <c r="B154" i="1" s="1"/>
  <c r="B158" i="1" s="1"/>
  <c r="E159" i="1" s="1"/>
  <c r="E150" i="1"/>
  <c r="E160" i="1" s="1"/>
  <c r="R149" i="1"/>
  <c r="Q149" i="1"/>
  <c r="P149" i="1"/>
  <c r="O149" i="1"/>
  <c r="R150" i="1" s="1"/>
  <c r="N149" i="1"/>
  <c r="Q150" i="1" s="1"/>
  <c r="M149" i="1"/>
  <c r="P150" i="1" s="1"/>
  <c r="L149" i="1"/>
  <c r="O150" i="1" s="1"/>
  <c r="K149" i="1"/>
  <c r="N150" i="1" s="1"/>
  <c r="J149" i="1"/>
  <c r="M150" i="1" s="1"/>
  <c r="I149" i="1"/>
  <c r="L150" i="1" s="1"/>
  <c r="L160" i="1" s="1"/>
  <c r="H149" i="1"/>
  <c r="K150" i="1" s="1"/>
  <c r="K160" i="1" s="1"/>
  <c r="G149" i="1"/>
  <c r="J150" i="1" s="1"/>
  <c r="J160" i="1" s="1"/>
  <c r="F149" i="1"/>
  <c r="I150" i="1" s="1"/>
  <c r="I160" i="1" s="1"/>
  <c r="I169" i="1" s="1"/>
  <c r="E149" i="1"/>
  <c r="H150" i="1" s="1"/>
  <c r="H160" i="1" s="1"/>
  <c r="D149" i="1"/>
  <c r="G150" i="1" s="1"/>
  <c r="G160" i="1" s="1"/>
  <c r="C149" i="1"/>
  <c r="F150" i="1" s="1"/>
  <c r="F160" i="1" s="1"/>
  <c r="B149" i="1"/>
  <c r="R136" i="1"/>
  <c r="R139" i="1" s="1"/>
  <c r="Q136" i="1"/>
  <c r="Q139" i="1" s="1"/>
  <c r="P136" i="1"/>
  <c r="P139" i="1" s="1"/>
  <c r="O136" i="1"/>
  <c r="O139" i="1" s="1"/>
  <c r="N136" i="1"/>
  <c r="N139" i="1" s="1"/>
  <c r="M136" i="1"/>
  <c r="M139" i="1" s="1"/>
  <c r="L136" i="1"/>
  <c r="L139" i="1" s="1"/>
  <c r="K136" i="1"/>
  <c r="K139" i="1" s="1"/>
  <c r="J136" i="1"/>
  <c r="J139" i="1" s="1"/>
  <c r="I136" i="1"/>
  <c r="I139" i="1" s="1"/>
  <c r="H136" i="1"/>
  <c r="G136" i="1"/>
  <c r="F136" i="1"/>
  <c r="E136" i="1"/>
  <c r="D136" i="1"/>
  <c r="C136" i="1"/>
  <c r="B136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F128" i="1" s="1"/>
  <c r="B127" i="1"/>
  <c r="E128" i="1" s="1"/>
  <c r="F123" i="1"/>
  <c r="E123" i="1"/>
  <c r="D123" i="1"/>
  <c r="C123" i="1"/>
  <c r="B123" i="1"/>
  <c r="R122" i="1"/>
  <c r="R123" i="1" s="1"/>
  <c r="Q122" i="1"/>
  <c r="Q123" i="1" s="1"/>
  <c r="P122" i="1"/>
  <c r="P123" i="1" s="1"/>
  <c r="O122" i="1"/>
  <c r="O123" i="1" s="1"/>
  <c r="R128" i="1" s="1"/>
  <c r="N122" i="1"/>
  <c r="N123" i="1" s="1"/>
  <c r="M122" i="1"/>
  <c r="M123" i="1" s="1"/>
  <c r="L122" i="1"/>
  <c r="L123" i="1" s="1"/>
  <c r="K122" i="1"/>
  <c r="K123" i="1" s="1"/>
  <c r="J122" i="1"/>
  <c r="J123" i="1" s="1"/>
  <c r="I122" i="1"/>
  <c r="I123" i="1" s="1"/>
  <c r="H122" i="1"/>
  <c r="H123" i="1" s="1"/>
  <c r="G122" i="1"/>
  <c r="G123" i="1" s="1"/>
  <c r="F122" i="1"/>
  <c r="E122" i="1"/>
  <c r="D122" i="1"/>
  <c r="C122" i="1"/>
  <c r="B122" i="1"/>
  <c r="R119" i="1"/>
  <c r="R129" i="1" s="1"/>
  <c r="R118" i="1"/>
  <c r="Q118" i="1"/>
  <c r="P118" i="1"/>
  <c r="O118" i="1"/>
  <c r="N118" i="1"/>
  <c r="Q119" i="1" s="1"/>
  <c r="M118" i="1"/>
  <c r="P119" i="1" s="1"/>
  <c r="L118" i="1"/>
  <c r="O119" i="1" s="1"/>
  <c r="K118" i="1"/>
  <c r="N119" i="1" s="1"/>
  <c r="J118" i="1"/>
  <c r="M119" i="1" s="1"/>
  <c r="I118" i="1"/>
  <c r="L119" i="1" s="1"/>
  <c r="H118" i="1"/>
  <c r="K119" i="1" s="1"/>
  <c r="G118" i="1"/>
  <c r="J119" i="1" s="1"/>
  <c r="F118" i="1"/>
  <c r="I119" i="1" s="1"/>
  <c r="E118" i="1"/>
  <c r="H119" i="1" s="1"/>
  <c r="D118" i="1"/>
  <c r="G119" i="1" s="1"/>
  <c r="C118" i="1"/>
  <c r="F119" i="1" s="1"/>
  <c r="F129" i="1" s="1"/>
  <c r="B118" i="1"/>
  <c r="E119" i="1" s="1"/>
  <c r="E129" i="1" s="1"/>
  <c r="R105" i="1"/>
  <c r="R108" i="1" s="1"/>
  <c r="Q105" i="1"/>
  <c r="Q108" i="1" s="1"/>
  <c r="P105" i="1"/>
  <c r="P108" i="1" s="1"/>
  <c r="O105" i="1"/>
  <c r="O108" i="1" s="1"/>
  <c r="N105" i="1"/>
  <c r="N108" i="1" s="1"/>
  <c r="M105" i="1"/>
  <c r="M108" i="1" s="1"/>
  <c r="L105" i="1"/>
  <c r="L108" i="1" s="1"/>
  <c r="K105" i="1"/>
  <c r="K108" i="1" s="1"/>
  <c r="J105" i="1"/>
  <c r="J108" i="1" s="1"/>
  <c r="I105" i="1"/>
  <c r="I108" i="1" s="1"/>
  <c r="H105" i="1"/>
  <c r="G105" i="1"/>
  <c r="F105" i="1"/>
  <c r="E105" i="1"/>
  <c r="D105" i="1"/>
  <c r="C105" i="1"/>
  <c r="B105" i="1"/>
  <c r="R96" i="1"/>
  <c r="Q96" i="1"/>
  <c r="P96" i="1"/>
  <c r="O96" i="1"/>
  <c r="R97" i="1" s="1"/>
  <c r="N96" i="1"/>
  <c r="Q97" i="1" s="1"/>
  <c r="M96" i="1"/>
  <c r="P97" i="1" s="1"/>
  <c r="L96" i="1"/>
  <c r="O97" i="1" s="1"/>
  <c r="K96" i="1"/>
  <c r="N97" i="1" s="1"/>
  <c r="J96" i="1"/>
  <c r="M97" i="1" s="1"/>
  <c r="I96" i="1"/>
  <c r="L97" i="1" s="1"/>
  <c r="H96" i="1"/>
  <c r="K97" i="1" s="1"/>
  <c r="G96" i="1"/>
  <c r="F96" i="1"/>
  <c r="E96" i="1"/>
  <c r="D96" i="1"/>
  <c r="C96" i="1"/>
  <c r="B96" i="1"/>
  <c r="R92" i="1"/>
  <c r="Q92" i="1"/>
  <c r="P92" i="1"/>
  <c r="O92" i="1"/>
  <c r="N92" i="1"/>
  <c r="M92" i="1"/>
  <c r="L92" i="1"/>
  <c r="K92" i="1"/>
  <c r="J92" i="1"/>
  <c r="I92" i="1"/>
  <c r="H92" i="1"/>
  <c r="R91" i="1"/>
  <c r="Q91" i="1"/>
  <c r="P91" i="1"/>
  <c r="O91" i="1"/>
  <c r="N91" i="1"/>
  <c r="M91" i="1"/>
  <c r="L91" i="1"/>
  <c r="K91" i="1"/>
  <c r="J91" i="1"/>
  <c r="I91" i="1"/>
  <c r="H91" i="1"/>
  <c r="G91" i="1"/>
  <c r="G92" i="1" s="1"/>
  <c r="F91" i="1"/>
  <c r="F92" i="1" s="1"/>
  <c r="E91" i="1"/>
  <c r="E92" i="1" s="1"/>
  <c r="D91" i="1"/>
  <c r="D92" i="1" s="1"/>
  <c r="C91" i="1"/>
  <c r="C92" i="1" s="1"/>
  <c r="B91" i="1"/>
  <c r="B92" i="1" s="1"/>
  <c r="R88" i="1"/>
  <c r="R98" i="1" s="1"/>
  <c r="R87" i="1"/>
  <c r="Q87" i="1"/>
  <c r="P87" i="1"/>
  <c r="O87" i="1"/>
  <c r="N87" i="1"/>
  <c r="Q88" i="1" s="1"/>
  <c r="Q98" i="1" s="1"/>
  <c r="M87" i="1"/>
  <c r="P88" i="1" s="1"/>
  <c r="P98" i="1" s="1"/>
  <c r="L87" i="1"/>
  <c r="O88" i="1" s="1"/>
  <c r="O98" i="1" s="1"/>
  <c r="O107" i="1" s="1"/>
  <c r="K87" i="1"/>
  <c r="N88" i="1" s="1"/>
  <c r="N98" i="1" s="1"/>
  <c r="J87" i="1"/>
  <c r="M88" i="1" s="1"/>
  <c r="M98" i="1" s="1"/>
  <c r="I87" i="1"/>
  <c r="L88" i="1" s="1"/>
  <c r="L98" i="1" s="1"/>
  <c r="H87" i="1"/>
  <c r="K88" i="1" s="1"/>
  <c r="K98" i="1" s="1"/>
  <c r="G87" i="1"/>
  <c r="J88" i="1" s="1"/>
  <c r="F87" i="1"/>
  <c r="I88" i="1" s="1"/>
  <c r="E87" i="1"/>
  <c r="H88" i="1" s="1"/>
  <c r="D87" i="1"/>
  <c r="G88" i="1" s="1"/>
  <c r="C87" i="1"/>
  <c r="F88" i="1" s="1"/>
  <c r="B87" i="1"/>
  <c r="E88" i="1" s="1"/>
  <c r="R74" i="1"/>
  <c r="R77" i="1" s="1"/>
  <c r="Q74" i="1"/>
  <c r="Q77" i="1" s="1"/>
  <c r="P74" i="1"/>
  <c r="P77" i="1" s="1"/>
  <c r="O74" i="1"/>
  <c r="O77" i="1" s="1"/>
  <c r="N74" i="1"/>
  <c r="N77" i="1" s="1"/>
  <c r="M74" i="1"/>
  <c r="M77" i="1" s="1"/>
  <c r="L74" i="1"/>
  <c r="L77" i="1" s="1"/>
  <c r="K74" i="1"/>
  <c r="K77" i="1" s="1"/>
  <c r="J74" i="1"/>
  <c r="J77" i="1" s="1"/>
  <c r="I74" i="1"/>
  <c r="I77" i="1" s="1"/>
  <c r="H74" i="1"/>
  <c r="G74" i="1"/>
  <c r="F74" i="1"/>
  <c r="E74" i="1"/>
  <c r="D74" i="1"/>
  <c r="C74" i="1"/>
  <c r="B74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R60" i="1"/>
  <c r="R61" i="1" s="1"/>
  <c r="Q60" i="1"/>
  <c r="Q61" i="1" s="1"/>
  <c r="P60" i="1"/>
  <c r="P61" i="1" s="1"/>
  <c r="O60" i="1"/>
  <c r="O61" i="1" s="1"/>
  <c r="N60" i="1"/>
  <c r="N61" i="1" s="1"/>
  <c r="M60" i="1"/>
  <c r="M61" i="1" s="1"/>
  <c r="L60" i="1"/>
  <c r="L61" i="1" s="1"/>
  <c r="K60" i="1"/>
  <c r="K61" i="1" s="1"/>
  <c r="J60" i="1"/>
  <c r="J61" i="1" s="1"/>
  <c r="I60" i="1"/>
  <c r="I61" i="1" s="1"/>
  <c r="H60" i="1"/>
  <c r="H61" i="1" s="1"/>
  <c r="G60" i="1"/>
  <c r="G61" i="1" s="1"/>
  <c r="F60" i="1"/>
  <c r="F61" i="1" s="1"/>
  <c r="E60" i="1"/>
  <c r="E61" i="1" s="1"/>
  <c r="H66" i="1" s="1"/>
  <c r="D60" i="1"/>
  <c r="D61" i="1" s="1"/>
  <c r="G66" i="1" s="1"/>
  <c r="C60" i="1"/>
  <c r="C61" i="1" s="1"/>
  <c r="F66" i="1" s="1"/>
  <c r="B60" i="1"/>
  <c r="B61" i="1" s="1"/>
  <c r="E66" i="1" s="1"/>
  <c r="R57" i="1"/>
  <c r="R56" i="1"/>
  <c r="Q56" i="1"/>
  <c r="P56" i="1"/>
  <c r="O56" i="1"/>
  <c r="N56" i="1"/>
  <c r="Q57" i="1" s="1"/>
  <c r="M56" i="1"/>
  <c r="P57" i="1" s="1"/>
  <c r="L56" i="1"/>
  <c r="O57" i="1" s="1"/>
  <c r="K56" i="1"/>
  <c r="N57" i="1" s="1"/>
  <c r="J56" i="1"/>
  <c r="M57" i="1" s="1"/>
  <c r="I56" i="1"/>
  <c r="L57" i="1" s="1"/>
  <c r="H56" i="1"/>
  <c r="K57" i="1" s="1"/>
  <c r="G56" i="1"/>
  <c r="J57" i="1" s="1"/>
  <c r="F56" i="1"/>
  <c r="I57" i="1" s="1"/>
  <c r="E56" i="1"/>
  <c r="H57" i="1" s="1"/>
  <c r="D56" i="1"/>
  <c r="C56" i="1"/>
  <c r="B56" i="1"/>
  <c r="R43" i="1"/>
  <c r="R46" i="1" s="1"/>
  <c r="Q43" i="1"/>
  <c r="Q46" i="1" s="1"/>
  <c r="P43" i="1"/>
  <c r="P46" i="1" s="1"/>
  <c r="O43" i="1"/>
  <c r="O46" i="1" s="1"/>
  <c r="N43" i="1"/>
  <c r="N46" i="1" s="1"/>
  <c r="M43" i="1"/>
  <c r="M46" i="1" s="1"/>
  <c r="L43" i="1"/>
  <c r="L46" i="1" s="1"/>
  <c r="K43" i="1"/>
  <c r="K46" i="1" s="1"/>
  <c r="J43" i="1"/>
  <c r="J46" i="1" s="1"/>
  <c r="I43" i="1"/>
  <c r="I46" i="1" s="1"/>
  <c r="H43" i="1"/>
  <c r="G43" i="1"/>
  <c r="F43" i="1"/>
  <c r="E43" i="1"/>
  <c r="D43" i="1"/>
  <c r="C43" i="1"/>
  <c r="B43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H35" i="1" s="1"/>
  <c r="D34" i="1"/>
  <c r="G35" i="1" s="1"/>
  <c r="C34" i="1"/>
  <c r="F35" i="1" s="1"/>
  <c r="B34" i="1"/>
  <c r="E35" i="1" s="1"/>
  <c r="R29" i="1"/>
  <c r="R30" i="1" s="1"/>
  <c r="Q29" i="1"/>
  <c r="Q30" i="1" s="1"/>
  <c r="P29" i="1"/>
  <c r="P30" i="1" s="1"/>
  <c r="O29" i="1"/>
  <c r="O30" i="1" s="1"/>
  <c r="N29" i="1"/>
  <c r="N30" i="1" s="1"/>
  <c r="M29" i="1"/>
  <c r="M30" i="1" s="1"/>
  <c r="L29" i="1"/>
  <c r="L30" i="1" s="1"/>
  <c r="K29" i="1"/>
  <c r="K30" i="1" s="1"/>
  <c r="J29" i="1"/>
  <c r="J30" i="1" s="1"/>
  <c r="I29" i="1"/>
  <c r="I30" i="1" s="1"/>
  <c r="L35" i="1" s="1"/>
  <c r="H29" i="1"/>
  <c r="H30" i="1" s="1"/>
  <c r="G29" i="1"/>
  <c r="G30" i="1" s="1"/>
  <c r="F29" i="1"/>
  <c r="F30" i="1" s="1"/>
  <c r="E29" i="1"/>
  <c r="E30" i="1" s="1"/>
  <c r="D29" i="1"/>
  <c r="D30" i="1" s="1"/>
  <c r="C29" i="1"/>
  <c r="C30" i="1" s="1"/>
  <c r="B29" i="1"/>
  <c r="B30" i="1" s="1"/>
  <c r="R26" i="1"/>
  <c r="Q26" i="1"/>
  <c r="P26" i="1"/>
  <c r="O26" i="1"/>
  <c r="N26" i="1"/>
  <c r="M26" i="1"/>
  <c r="L26" i="1"/>
  <c r="K26" i="1"/>
  <c r="J26" i="1"/>
  <c r="I26" i="1"/>
  <c r="H26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G26" i="1" s="1"/>
  <c r="C25" i="1"/>
  <c r="F26" i="1" s="1"/>
  <c r="B25" i="1"/>
  <c r="E26" i="1" s="1"/>
  <c r="J66" i="1" l="1"/>
  <c r="J67" i="1" s="1"/>
  <c r="L66" i="1"/>
  <c r="L67" i="1" s="1"/>
  <c r="K66" i="1"/>
  <c r="K67" i="1" s="1"/>
  <c r="I66" i="1"/>
  <c r="I67" i="1" s="1"/>
  <c r="F57" i="1"/>
  <c r="F67" i="1" s="1"/>
  <c r="G57" i="1"/>
  <c r="G67" i="1" s="1"/>
  <c r="E57" i="1"/>
  <c r="E67" i="1" s="1"/>
  <c r="O159" i="1"/>
  <c r="O160" i="1" s="1"/>
  <c r="O169" i="1" s="1"/>
  <c r="O171" i="1" s="1"/>
  <c r="H9" i="1" s="1"/>
  <c r="N159" i="1"/>
  <c r="N160" i="1" s="1"/>
  <c r="N169" i="1" s="1"/>
  <c r="N171" i="1" s="1"/>
  <c r="G9" i="1" s="1"/>
  <c r="M159" i="1"/>
  <c r="M160" i="1" s="1"/>
  <c r="M169" i="1" s="1"/>
  <c r="M171" i="1" s="1"/>
  <c r="F9" i="1" s="1"/>
  <c r="R160" i="1"/>
  <c r="R169" i="1" s="1"/>
  <c r="R171" i="1" s="1"/>
  <c r="K9" i="1" s="1"/>
  <c r="Q160" i="1"/>
  <c r="Q169" i="1" s="1"/>
  <c r="Q171" i="1" s="1"/>
  <c r="J9" i="1" s="1"/>
  <c r="P160" i="1"/>
  <c r="P169" i="1" s="1"/>
  <c r="P171" i="1" s="1"/>
  <c r="I9" i="1" s="1"/>
  <c r="L169" i="1"/>
  <c r="L171" i="1" s="1"/>
  <c r="E9" i="1" s="1"/>
  <c r="K169" i="1"/>
  <c r="K171" i="1" s="1"/>
  <c r="D9" i="1" s="1"/>
  <c r="J169" i="1"/>
  <c r="J171" i="1" s="1"/>
  <c r="C9" i="1" s="1"/>
  <c r="G97" i="1"/>
  <c r="G98" i="1" s="1"/>
  <c r="K107" i="1" s="1"/>
  <c r="K109" i="1" s="1"/>
  <c r="D7" i="1" s="1"/>
  <c r="Q128" i="1"/>
  <c r="Q129" i="1" s="1"/>
  <c r="Q138" i="1" s="1"/>
  <c r="Q140" i="1" s="1"/>
  <c r="J8" i="1" s="1"/>
  <c r="P128" i="1"/>
  <c r="P129" i="1" s="1"/>
  <c r="P138" i="1" s="1"/>
  <c r="P140" i="1" s="1"/>
  <c r="I8" i="1" s="1"/>
  <c r="O128" i="1"/>
  <c r="O129" i="1" s="1"/>
  <c r="O138" i="1" s="1"/>
  <c r="O140" i="1" s="1"/>
  <c r="H8" i="1" s="1"/>
  <c r="N128" i="1"/>
  <c r="N129" i="1" s="1"/>
  <c r="M128" i="1"/>
  <c r="M129" i="1" s="1"/>
  <c r="L128" i="1"/>
  <c r="L129" i="1" s="1"/>
  <c r="K128" i="1"/>
  <c r="K129" i="1" s="1"/>
  <c r="J128" i="1"/>
  <c r="J129" i="1" s="1"/>
  <c r="J138" i="1" s="1"/>
  <c r="J140" i="1" s="1"/>
  <c r="C8" i="1" s="1"/>
  <c r="I128" i="1"/>
  <c r="I129" i="1" s="1"/>
  <c r="I138" i="1" s="1"/>
  <c r="I140" i="1" s="1"/>
  <c r="B8" i="1" s="1"/>
  <c r="H128" i="1"/>
  <c r="H129" i="1" s="1"/>
  <c r="G128" i="1"/>
  <c r="G129" i="1" s="1"/>
  <c r="J97" i="1"/>
  <c r="J98" i="1" s="1"/>
  <c r="E97" i="1"/>
  <c r="E98" i="1" s="1"/>
  <c r="P107" i="1"/>
  <c r="P109" i="1" s="1"/>
  <c r="I7" i="1" s="1"/>
  <c r="R66" i="1"/>
  <c r="R67" i="1" s="1"/>
  <c r="Q66" i="1"/>
  <c r="Q67" i="1" s="1"/>
  <c r="P66" i="1"/>
  <c r="P67" i="1" s="1"/>
  <c r="O66" i="1"/>
  <c r="O67" i="1" s="1"/>
  <c r="N66" i="1"/>
  <c r="N67" i="1" s="1"/>
  <c r="N76" i="1" s="1"/>
  <c r="N78" i="1" s="1"/>
  <c r="G6" i="1" s="1"/>
  <c r="M66" i="1"/>
  <c r="M67" i="1" s="1"/>
  <c r="M76" i="1" s="1"/>
  <c r="M78" i="1" s="1"/>
  <c r="F6" i="1" s="1"/>
  <c r="R107" i="1"/>
  <c r="R109" i="1" s="1"/>
  <c r="K7" i="1" s="1"/>
  <c r="F97" i="1"/>
  <c r="F98" i="1" s="1"/>
  <c r="Q107" i="1"/>
  <c r="Q109" i="1" s="1"/>
  <c r="J7" i="1" s="1"/>
  <c r="H67" i="1"/>
  <c r="R35" i="1"/>
  <c r="R36" i="1" s="1"/>
  <c r="R45" i="1" s="1"/>
  <c r="R47" i="1" s="1"/>
  <c r="K5" i="1" s="1"/>
  <c r="Q35" i="1"/>
  <c r="Q36" i="1" s="1"/>
  <c r="Q45" i="1" s="1"/>
  <c r="Q47" i="1" s="1"/>
  <c r="J5" i="1" s="1"/>
  <c r="P35" i="1"/>
  <c r="P36" i="1" s="1"/>
  <c r="O35" i="1"/>
  <c r="O36" i="1" s="1"/>
  <c r="N35" i="1"/>
  <c r="N36" i="1" s="1"/>
  <c r="M35" i="1"/>
  <c r="M36" i="1" s="1"/>
  <c r="K35" i="1"/>
  <c r="K36" i="1" s="1"/>
  <c r="J35" i="1"/>
  <c r="J36" i="1" s="1"/>
  <c r="I35" i="1"/>
  <c r="I36" i="1" s="1"/>
  <c r="I97" i="1"/>
  <c r="I98" i="1" s="1"/>
  <c r="L36" i="1"/>
  <c r="L45" i="1" s="1"/>
  <c r="L47" i="1" s="1"/>
  <c r="E5" i="1" s="1"/>
  <c r="H36" i="1"/>
  <c r="G36" i="1"/>
  <c r="F36" i="1"/>
  <c r="E36" i="1"/>
  <c r="O109" i="1"/>
  <c r="H7" i="1" s="1"/>
  <c r="H97" i="1"/>
  <c r="H98" i="1" s="1"/>
  <c r="L107" i="1" s="1"/>
  <c r="L109" i="1" s="1"/>
  <c r="E7" i="1" s="1"/>
  <c r="R138" i="1" l="1"/>
  <c r="R140" i="1" s="1"/>
  <c r="K8" i="1" s="1"/>
  <c r="N138" i="1"/>
  <c r="N140" i="1" s="1"/>
  <c r="G8" i="1" s="1"/>
  <c r="N107" i="1"/>
  <c r="N109" i="1" s="1"/>
  <c r="G7" i="1" s="1"/>
  <c r="J107" i="1"/>
  <c r="J109" i="1" s="1"/>
  <c r="C7" i="1" s="1"/>
  <c r="M107" i="1"/>
  <c r="M109" i="1" s="1"/>
  <c r="F7" i="1" s="1"/>
  <c r="I107" i="1"/>
  <c r="I109" i="1" s="1"/>
  <c r="B7" i="1" s="1"/>
  <c r="J76" i="1"/>
  <c r="J78" i="1" s="1"/>
  <c r="C6" i="1" s="1"/>
  <c r="K76" i="1"/>
  <c r="K78" i="1" s="1"/>
  <c r="D6" i="1" s="1"/>
  <c r="M138" i="1"/>
  <c r="M140" i="1" s="1"/>
  <c r="F8" i="1" s="1"/>
  <c r="L138" i="1"/>
  <c r="L140" i="1" s="1"/>
  <c r="E8" i="1" s="1"/>
  <c r="K138" i="1"/>
  <c r="K140" i="1" s="1"/>
  <c r="D8" i="1" s="1"/>
  <c r="R76" i="1"/>
  <c r="R78" i="1" s="1"/>
  <c r="K6" i="1" s="1"/>
  <c r="Q76" i="1"/>
  <c r="Q78" i="1" s="1"/>
  <c r="J6" i="1" s="1"/>
  <c r="P76" i="1"/>
  <c r="P78" i="1" s="1"/>
  <c r="I6" i="1" s="1"/>
  <c r="O76" i="1"/>
  <c r="O78" i="1" s="1"/>
  <c r="H6" i="1" s="1"/>
  <c r="P45" i="1"/>
  <c r="P47" i="1" s="1"/>
  <c r="I5" i="1" s="1"/>
  <c r="O45" i="1"/>
  <c r="O47" i="1" s="1"/>
  <c r="H5" i="1" s="1"/>
  <c r="N45" i="1"/>
  <c r="N47" i="1" s="1"/>
  <c r="G5" i="1" s="1"/>
  <c r="J45" i="1"/>
  <c r="J47" i="1" s="1"/>
  <c r="C5" i="1" s="1"/>
  <c r="L76" i="1"/>
  <c r="L78" i="1" s="1"/>
  <c r="E6" i="1" s="1"/>
  <c r="I76" i="1"/>
  <c r="I78" i="1" s="1"/>
  <c r="B6" i="1" s="1"/>
  <c r="M45" i="1"/>
  <c r="M47" i="1" s="1"/>
  <c r="F5" i="1" s="1"/>
  <c r="K45" i="1"/>
  <c r="K47" i="1" s="1"/>
  <c r="D5" i="1" s="1"/>
  <c r="I45" i="1"/>
  <c r="I47" i="1" s="1"/>
  <c r="B5" i="1" s="1"/>
</calcChain>
</file>

<file path=xl/sharedStrings.xml><?xml version="1.0" encoding="utf-8"?>
<sst xmlns="http://schemas.openxmlformats.org/spreadsheetml/2006/main" count="322" uniqueCount="90">
  <si>
    <t>Hyperscaler Return on Incremental Invested Capital</t>
  </si>
  <si>
    <t>USD in millions, except percentages</t>
  </si>
  <si>
    <t>Quarter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</si>
  <si>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</si>
  <si>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</si>
  <si>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</si>
  <si>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</si>
  <si>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</si>
  <si>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</si>
  <si>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</si>
  <si>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</si>
  <si>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</si>
  <si>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</si>
  <si>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Amazon</t>
  </si>
  <si>
    <t>Microsoft</t>
  </si>
  <si>
    <t>Alphabet</t>
  </si>
  <si>
    <t>Meta Platforms</t>
  </si>
  <si>
    <t>Oracle</t>
  </si>
  <si>
    <t>Core methodology</t>
  </si>
  <si>
    <t>Incremental ROIC</t>
  </si>
  <si>
    <t>Year-over-year change in TTM adjusted NOPAT divided by year-over-year change in quarter-end financial invested capital</t>
  </si>
  <si>
    <t>Financial invested capital</t>
  </si>
  <si>
    <t>Common equity + debt + operating lease liabilities + finance lease liabilities - cash and financial investments</t>
  </si>
  <si>
    <t>Adjusted NOPAT</t>
  </si>
  <si>
    <t>TTM adjusted operating income multiplied by one minus the normalized TTM tax rate</t>
  </si>
  <si>
    <t>Output quarters</t>
  </si>
  <si>
    <t>Q1 2024 through Q2 2026, supported by seven earlier quarters for TTM and year-over-year calculations</t>
  </si>
  <si>
    <t>Q222</t>
  </si>
  <si>
    <t>Q322</t>
  </si>
  <si>
    <t>Q422</t>
  </si>
  <si>
    <t>Q123</t>
  </si>
  <si>
    <t>Q223</t>
  </si>
  <si>
    <t>Q323</t>
  </si>
  <si>
    <t>Q423</t>
  </si>
  <si>
    <t>Quarter end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</si>
  <si>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</si>
  <si>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</si>
  <si>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</si>
  <si>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</si>
  <si>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</si>
  <si>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</si>
  <si>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</si>
  <si>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</si>
  <si>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</si>
  <si>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</si>
  <si>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</si>
  <si>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</si>
  <si>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</si>
  <si>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</si>
  <si>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</si>
  <si>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</si>
  <si>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</si>
  <si>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Reported operating income</t>
  </si>
  <si>
    <t>One-time operating adjustment</t>
  </si>
  <si>
    <t>Adjusted operating income</t>
  </si>
  <si>
    <t>TTM adjusted operating income</t>
  </si>
  <si>
    <t>Reported pretax income</t>
  </si>
  <si>
    <t>Operating one-time adjustment</t>
  </si>
  <si>
    <t>Adjusted pretax income</t>
  </si>
  <si>
    <t>Reported tax provision</t>
  </si>
  <si>
    <t>Discrete tax adjustment</t>
  </si>
  <si>
    <t>Normalized tax rate override</t>
  </si>
  <si>
    <t>Normalized tax expense</t>
  </si>
  <si>
    <t>TTM normalized tax rate</t>
  </si>
  <si>
    <t>TTM adjusted NOPAT</t>
  </si>
  <si>
    <t>Common equity</t>
  </si>
  <si>
    <t>Debt</t>
  </si>
  <si>
    <t>Operating lease liabilities</t>
  </si>
  <si>
    <t>Finance lease liabilities</t>
  </si>
  <si>
    <t>Cash and financial investments</t>
  </si>
  <si>
    <t>Δ TTM adjusted NOPAT</t>
  </si>
  <si>
    <t>Δ financial invested capital</t>
  </si>
  <si>
    <t>Return on incremental invested capital</t>
  </si>
  <si>
    <t>2022-05-31</t>
  </si>
  <si>
    <t>2022-08-31</t>
  </si>
  <si>
    <t>2022-11-30</t>
  </si>
  <si>
    <t>2023-02-28</t>
  </si>
  <si>
    <t>2023-05-31</t>
  </si>
  <si>
    <t>2023-08-31</t>
  </si>
  <si>
    <t>2023-11-30</t>
  </si>
  <si>
    <t>2024-02-29</t>
  </si>
  <si>
    <t>2024-05-31</t>
  </si>
  <si>
    <t>2024-08-31</t>
  </si>
  <si>
    <t>2024-11-30</t>
  </si>
  <si>
    <t>2025-02-28</t>
  </si>
  <si>
    <t>2025-05-31</t>
  </si>
  <si>
    <t>2025-08-31</t>
  </si>
  <si>
    <t>2025-11-30</t>
  </si>
  <si>
    <t>2026-02-28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</si>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</sst>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(0.0%\);\-"/>
    <numFmt numFmtId="165" formatCode="#,##0;\(#,##0\);\-"/>
  </numFmts>
  <fonts count="5">
    <font>
      <sz val="11"/>
      <name val="Carlito"/>
    </font>
    <font>
      <sz val="11"/>
      <color rgb="FF000000"/>
      <name val="Calibri"/>
    </font>
    <font>
      <b/>
      <sz val="14"/>
      <color rgb="FF000000"/>
      <name val="Calibri"/>
    </font>
    <font>
      <i/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1"/>
  <sheetViews>
    <sheetView showGridLines="0" tabSelected="1" workbookViewId="0">
      <selection activeCell="K14" sqref="K14"/>
    </sheetView>
  </sheetViews>
  <sheetFormatPr defaultRowHeight="14.25"/>
  <cols>
    <col min="1" max="1" width="41" customWidth="1"/>
    <col min="2" max="18" width="14.5" customWidth="1"/>
  </cols>
  <sheetData>
    <row r="1" spans="1:18" ht="21.95" customHeight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8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2"/>
      <c r="M4" s="2"/>
      <c r="N4" s="2"/>
      <c r="O4" s="2"/>
      <c r="P4" s="2"/>
      <c r="Q4" s="2"/>
      <c r="R4" s="2"/>
    </row>
    <row r="5" spans="1:18" ht="15" customHeight="1">
      <c r="A5" s="5" t="s">
        <v>13</v>
      </c>
      <c r="B5" s="12">
        <f t="shared" ref="B5:K5" si="0">I47</f>
        <v>0.54198372854775678</v>
      </c>
      <c r="C5" s="12">
        <f t="shared" si="0"/>
        <v>0.66968457751303523</v>
      </c>
      <c r="D5" s="12">
        <f t="shared" si="0"/>
        <v>0.50442413221039295</v>
      </c>
      <c r="E5" s="12">
        <f t="shared" si="0"/>
        <v>0.45968207241129705</v>
      </c>
      <c r="F5" s="12">
        <f t="shared" si="0"/>
        <v>0.31608088233325976</v>
      </c>
      <c r="G5" s="12">
        <f t="shared" si="0"/>
        <v>0.22922013625023269</v>
      </c>
      <c r="H5" s="12">
        <f t="shared" si="0"/>
        <v>0.1836184301993499</v>
      </c>
      <c r="I5" s="12">
        <f t="shared" si="0"/>
        <v>0.10479809014857162</v>
      </c>
      <c r="J5" s="12">
        <f t="shared" si="0"/>
        <v>0.10874842838913074</v>
      </c>
      <c r="K5" s="12">
        <f t="shared" si="0"/>
        <v>8.400868678039404E-2</v>
      </c>
      <c r="L5" s="2"/>
      <c r="M5" s="2"/>
      <c r="N5" s="2"/>
      <c r="O5" s="2"/>
      <c r="P5" s="2"/>
      <c r="Q5" s="2"/>
      <c r="R5" s="2"/>
    </row>
    <row r="6" spans="1:18" ht="15" customHeight="1">
      <c r="A6" s="5" t="s">
        <v>14</v>
      </c>
      <c r="B6" s="12">
        <f t="shared" ref="B6:K6" si="1">I78</f>
        <v>0.19778044211569165</v>
      </c>
      <c r="C6" s="12">
        <f t="shared" si="1"/>
        <v>0.15777215928749125</v>
      </c>
      <c r="D6" s="12">
        <f t="shared" si="1"/>
        <v>0.1035111781187862</v>
      </c>
      <c r="E6" s="12">
        <f t="shared" si="1"/>
        <v>0.15629509103840428</v>
      </c>
      <c r="F6" s="12">
        <f t="shared" si="1"/>
        <v>0.15139753607306478</v>
      </c>
      <c r="G6" s="12">
        <f t="shared" si="1"/>
        <v>0.21505326486718862</v>
      </c>
      <c r="H6" s="12">
        <f t="shared" si="1"/>
        <v>0.24251670269673647</v>
      </c>
      <c r="I6" s="12">
        <f t="shared" si="1"/>
        <v>0.2343525084996522</v>
      </c>
      <c r="J6" s="12">
        <f t="shared" si="1"/>
        <v>0.2166418869016353</v>
      </c>
      <c r="K6" s="12">
        <f t="shared" si="1"/>
        <v>0.1714613004858162</v>
      </c>
      <c r="L6" s="2"/>
      <c r="M6" s="2"/>
      <c r="N6" s="2"/>
      <c r="O6" s="2"/>
      <c r="P6" s="2"/>
      <c r="Q6" s="2"/>
      <c r="R6" s="2"/>
    </row>
    <row r="7" spans="1:18" ht="15" customHeight="1">
      <c r="A7" s="5" t="s">
        <v>15</v>
      </c>
      <c r="B7" s="12">
        <f t="shared" ref="B7:K7" si="2">I109</f>
        <v>0.56821730080942179</v>
      </c>
      <c r="C7" s="12">
        <f t="shared" si="2"/>
        <v>0.47455226856331262</v>
      </c>
      <c r="D7" s="12">
        <f t="shared" si="2"/>
        <v>0.33518024806020741</v>
      </c>
      <c r="E7" s="12">
        <f t="shared" si="2"/>
        <v>0.39590042123177971</v>
      </c>
      <c r="F7" s="12">
        <f t="shared" si="2"/>
        <v>0.3582632657659629</v>
      </c>
      <c r="G7" s="12">
        <f t="shared" si="2"/>
        <v>0.25822957502353239</v>
      </c>
      <c r="H7" s="12">
        <f t="shared" si="2"/>
        <v>0.32924698899490101</v>
      </c>
      <c r="I7" s="12">
        <f t="shared" si="2"/>
        <v>0.25496565629372586</v>
      </c>
      <c r="J7" s="12">
        <f t="shared" si="2"/>
        <v>0.17600553214396303</v>
      </c>
      <c r="K7" s="12">
        <f t="shared" si="2"/>
        <v>0.1757496670472497</v>
      </c>
      <c r="L7" s="2"/>
      <c r="M7" s="2"/>
      <c r="N7" s="2"/>
      <c r="O7" s="2"/>
      <c r="P7" s="2"/>
      <c r="Q7" s="2"/>
      <c r="R7" s="2"/>
    </row>
    <row r="8" spans="1:18" ht="15" customHeight="1">
      <c r="A8" s="5" t="s">
        <v>16</v>
      </c>
      <c r="B8" s="12">
        <f t="shared" ref="B8:K8" si="3">I140</f>
        <v>1.5506040010005442</v>
      </c>
      <c r="C8" s="12">
        <f t="shared" si="3"/>
        <v>1.0537417918475191</v>
      </c>
      <c r="D8" s="12">
        <f t="shared" si="3"/>
        <v>0.70755961817711233</v>
      </c>
      <c r="E8" s="12">
        <f t="shared" si="3"/>
        <v>0.55978461540058</v>
      </c>
      <c r="F8" s="12">
        <f t="shared" si="3"/>
        <v>0.40508438144970044</v>
      </c>
      <c r="G8" s="12">
        <f t="shared" si="3"/>
        <v>0.36655594022073434</v>
      </c>
      <c r="H8" s="12">
        <f t="shared" si="3"/>
        <v>0.39391776585252797</v>
      </c>
      <c r="I8" s="12">
        <f t="shared" si="3"/>
        <v>0.31762978725430857</v>
      </c>
      <c r="J8" s="12">
        <f t="shared" si="3"/>
        <v>0.22825372515162839</v>
      </c>
      <c r="K8" s="12">
        <f t="shared" si="3"/>
        <v>0.13633216128568074</v>
      </c>
      <c r="L8" s="2"/>
      <c r="M8" s="2"/>
      <c r="N8" s="2"/>
      <c r="O8" s="2"/>
      <c r="P8" s="2"/>
      <c r="Q8" s="2"/>
      <c r="R8" s="2"/>
    </row>
    <row r="9" spans="1:18" ht="15" customHeight="1">
      <c r="A9" s="5" t="s">
        <v>17</v>
      </c>
      <c r="B9" s="12">
        <f t="shared" ref="B9:K9" si="4">I171</f>
        <v>0.295521667767983</v>
      </c>
      <c r="C9" s="12">
        <f t="shared" si="4"/>
        <v>0.2785842108122219</v>
      </c>
      <c r="D9" s="12">
        <f t="shared" si="4"/>
        <v>0.24200864702787336</v>
      </c>
      <c r="E9" s="12">
        <f t="shared" si="4"/>
        <v>0.17947956196404358</v>
      </c>
      <c r="F9" s="12">
        <f t="shared" si="4"/>
        <v>8.1210068993915391E-2</v>
      </c>
      <c r="G9" s="12">
        <f t="shared" si="4"/>
        <v>5.7596057615843126E-2</v>
      </c>
      <c r="H9" s="12">
        <f t="shared" si="4"/>
        <v>4.2043214848893104E-2</v>
      </c>
      <c r="I9" s="12">
        <f t="shared" si="4"/>
        <v>3.5238905845677834E-2</v>
      </c>
      <c r="J9" s="12">
        <f t="shared" si="4"/>
        <v>4.3609047294879015E-2</v>
      </c>
      <c r="K9" s="12">
        <f t="shared" si="4"/>
        <v>5.8690206327906197E-2</v>
      </c>
      <c r="L9" s="2"/>
      <c r="M9" s="2"/>
      <c r="N9" s="2"/>
      <c r="O9" s="2"/>
      <c r="P9" s="2"/>
      <c r="Q9" s="2"/>
      <c r="R9" s="2"/>
    </row>
    <row r="10" spans="1:18" ht="1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" customHeight="1">
      <c r="A11" s="5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8" customHeight="1">
      <c r="A12" s="5" t="s">
        <v>19</v>
      </c>
      <c r="B12" s="1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" customHeight="1">
      <c r="A13" s="5" t="s">
        <v>21</v>
      </c>
      <c r="B13" s="1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8" customHeight="1">
      <c r="A14" s="5" t="s">
        <v>23</v>
      </c>
      <c r="B14" s="1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" customHeight="1">
      <c r="A15" s="5" t="s">
        <v>25</v>
      </c>
      <c r="B15" s="1" t="s">
        <v>26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" customHeight="1">
      <c r="A19" s="5" t="s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" customHeight="1">
      <c r="A20" s="5" t="s">
        <v>2</v>
      </c>
      <c r="B20" s="7" t="s">
        <v>27</v>
      </c>
      <c r="C20" s="7" t="s">
        <v>28</v>
      </c>
      <c r="D20" s="7" t="s">
        <v>29</v>
      </c>
      <c r="E20" s="7" t="s">
        <v>30</v>
      </c>
      <c r="F20" s="7" t="s">
        <v>31</v>
      </c>
      <c r="G20" s="7" t="s">
        <v>32</v>
      </c>
      <c r="H20" s="7" t="s">
        <v>33</v>
      </c>
      <c r="I20" s="7" t="s">
        <v>3</v>
      </c>
      <c r="J20" s="7" t="s">
        <v>4</v>
      </c>
      <c r="K20" s="7" t="s">
        <v>5</v>
      </c>
      <c r="L20" s="7" t="s">
        <v>6</v>
      </c>
      <c r="M20" s="7" t="s">
        <v>7</v>
      </c>
      <c r="N20" s="7" t="s">
        <v>8</v>
      </c>
      <c r="O20" s="7" t="s">
        <v>9</v>
      </c>
      <c r="P20" s="7" t="s">
        <v>10</v>
      </c>
      <c r="Q20" s="7" t="s">
        <v>11</v>
      </c>
      <c r="R20" s="7" t="s">
        <v>12</v>
      </c>
    </row>
    <row r="21" spans="1:18" ht="15" customHeight="1">
      <c r="A21" s="5" t="s">
        <v>34</v>
      </c>
      <c r="B21" s="7" t="s">
        <v>35</v>
      </c>
      <c r="C21" s="7" t="s">
        <v>36</v>
      </c>
      <c r="D21" s="7" t="s">
        <v>37</v>
      </c>
      <c r="E21" s="7" t="s">
        <v>38</v>
      </c>
      <c r="F21" s="7" t="s">
        <v>39</v>
      </c>
      <c r="G21" s="7" t="s">
        <v>40</v>
      </c>
      <c r="H21" s="7" t="s">
        <v>41</v>
      </c>
      <c r="I21" s="7" t="s">
        <v>42</v>
      </c>
      <c r="J21" s="7" t="s">
        <v>43</v>
      </c>
      <c r="K21" s="7" t="s">
        <v>44</v>
      </c>
      <c r="L21" s="7" t="s">
        <v>45</v>
      </c>
      <c r="M21" s="7" t="s">
        <v>46</v>
      </c>
      <c r="N21" s="7" t="s">
        <v>47</v>
      </c>
      <c r="O21" s="7" t="s">
        <v>48</v>
      </c>
      <c r="P21" s="7" t="s">
        <v>49</v>
      </c>
      <c r="Q21" s="7" t="s">
        <v>50</v>
      </c>
      <c r="R21" s="7" t="s">
        <v>51</v>
      </c>
    </row>
    <row r="22" spans="1:18" ht="1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" customHeight="1">
      <c r="A23" s="1" t="s">
        <v>52</v>
      </c>
      <c r="B23" s="9">
        <v>3317</v>
      </c>
      <c r="C23" s="9">
        <v>2525</v>
      </c>
      <c r="D23" s="9">
        <v>2737</v>
      </c>
      <c r="E23" s="9">
        <v>4774</v>
      </c>
      <c r="F23" s="9">
        <v>7681</v>
      </c>
      <c r="G23" s="9">
        <v>11188</v>
      </c>
      <c r="H23" s="9">
        <v>13209</v>
      </c>
      <c r="I23" s="9">
        <v>15307</v>
      </c>
      <c r="J23" s="9">
        <v>14672</v>
      </c>
      <c r="K23" s="9">
        <v>17411</v>
      </c>
      <c r="L23" s="9">
        <v>21203</v>
      </c>
      <c r="M23" s="9">
        <v>18405</v>
      </c>
      <c r="N23" s="9">
        <v>19171</v>
      </c>
      <c r="O23" s="9">
        <v>17422</v>
      </c>
      <c r="P23" s="9">
        <v>24977</v>
      </c>
      <c r="Q23" s="9">
        <v>23852</v>
      </c>
      <c r="R23" s="9">
        <v>27461</v>
      </c>
    </row>
    <row r="24" spans="1:18" ht="15" customHeight="1">
      <c r="A24" s="1" t="s">
        <v>53</v>
      </c>
      <c r="B24" s="9">
        <v>0</v>
      </c>
      <c r="C24" s="9">
        <v>0</v>
      </c>
      <c r="D24" s="9">
        <v>1360</v>
      </c>
      <c r="E24" s="9">
        <v>650</v>
      </c>
      <c r="F24" s="9">
        <v>290</v>
      </c>
      <c r="G24" s="9">
        <v>180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200</v>
      </c>
      <c r="O24" s="9">
        <v>4300</v>
      </c>
      <c r="P24" s="9">
        <v>2400</v>
      </c>
      <c r="Q24" s="9">
        <v>0</v>
      </c>
      <c r="R24" s="9">
        <v>0</v>
      </c>
    </row>
    <row r="25" spans="1:18" ht="15" customHeight="1">
      <c r="A25" s="5" t="s">
        <v>54</v>
      </c>
      <c r="B25" s="10">
        <f t="shared" ref="B25:R25" si="5">B23+B24</f>
        <v>3317</v>
      </c>
      <c r="C25" s="10">
        <f t="shared" si="5"/>
        <v>2525</v>
      </c>
      <c r="D25" s="10">
        <f t="shared" si="5"/>
        <v>4097</v>
      </c>
      <c r="E25" s="10">
        <f t="shared" si="5"/>
        <v>5424</v>
      </c>
      <c r="F25" s="10">
        <f t="shared" si="5"/>
        <v>7971</v>
      </c>
      <c r="G25" s="10">
        <f t="shared" si="5"/>
        <v>11368</v>
      </c>
      <c r="H25" s="10">
        <f t="shared" si="5"/>
        <v>13209</v>
      </c>
      <c r="I25" s="10">
        <f t="shared" si="5"/>
        <v>15307</v>
      </c>
      <c r="J25" s="10">
        <f t="shared" si="5"/>
        <v>14672</v>
      </c>
      <c r="K25" s="10">
        <f t="shared" si="5"/>
        <v>17411</v>
      </c>
      <c r="L25" s="10">
        <f t="shared" si="5"/>
        <v>21203</v>
      </c>
      <c r="M25" s="10">
        <f t="shared" si="5"/>
        <v>18405</v>
      </c>
      <c r="N25" s="10">
        <f t="shared" si="5"/>
        <v>19371</v>
      </c>
      <c r="O25" s="10">
        <f t="shared" si="5"/>
        <v>21722</v>
      </c>
      <c r="P25" s="10">
        <f t="shared" si="5"/>
        <v>27377</v>
      </c>
      <c r="Q25" s="10">
        <f t="shared" si="5"/>
        <v>23852</v>
      </c>
      <c r="R25" s="10">
        <f t="shared" si="5"/>
        <v>27461</v>
      </c>
    </row>
    <row r="26" spans="1:18" ht="15" customHeight="1">
      <c r="A26" s="5" t="s">
        <v>55</v>
      </c>
      <c r="B26" s="10"/>
      <c r="C26" s="10"/>
      <c r="D26" s="10"/>
      <c r="E26" s="10">
        <f t="shared" ref="E26:R26" si="6">SUM(B25:E25)</f>
        <v>15363</v>
      </c>
      <c r="F26" s="10">
        <f t="shared" si="6"/>
        <v>20017</v>
      </c>
      <c r="G26" s="10">
        <f t="shared" si="6"/>
        <v>28860</v>
      </c>
      <c r="H26" s="10">
        <f t="shared" si="6"/>
        <v>37972</v>
      </c>
      <c r="I26" s="10">
        <f t="shared" si="6"/>
        <v>47855</v>
      </c>
      <c r="J26" s="10">
        <f t="shared" si="6"/>
        <v>54556</v>
      </c>
      <c r="K26" s="10">
        <f t="shared" si="6"/>
        <v>60599</v>
      </c>
      <c r="L26" s="10">
        <f t="shared" si="6"/>
        <v>68593</v>
      </c>
      <c r="M26" s="10">
        <f t="shared" si="6"/>
        <v>71691</v>
      </c>
      <c r="N26" s="10">
        <f t="shared" si="6"/>
        <v>76390</v>
      </c>
      <c r="O26" s="10">
        <f t="shared" si="6"/>
        <v>80701</v>
      </c>
      <c r="P26" s="10">
        <f t="shared" si="6"/>
        <v>86875</v>
      </c>
      <c r="Q26" s="10">
        <f t="shared" si="6"/>
        <v>92322</v>
      </c>
      <c r="R26" s="10">
        <f t="shared" si="6"/>
        <v>100412</v>
      </c>
    </row>
    <row r="27" spans="1:18" ht="1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5" customHeight="1">
      <c r="A28" s="1" t="s">
        <v>56</v>
      </c>
      <c r="B28" s="9">
        <v>-2653</v>
      </c>
      <c r="C28" s="9">
        <v>2944</v>
      </c>
      <c r="D28" s="9">
        <v>-962</v>
      </c>
      <c r="E28" s="9">
        <v>4119</v>
      </c>
      <c r="F28" s="9">
        <v>7563</v>
      </c>
      <c r="G28" s="9">
        <v>12189</v>
      </c>
      <c r="H28" s="9">
        <v>13686</v>
      </c>
      <c r="I28" s="9">
        <v>12983</v>
      </c>
      <c r="J28" s="9">
        <v>15245</v>
      </c>
      <c r="K28" s="9">
        <v>18037</v>
      </c>
      <c r="L28" s="9">
        <v>22349</v>
      </c>
      <c r="M28" s="9">
        <v>21679</v>
      </c>
      <c r="N28" s="9">
        <v>20857</v>
      </c>
      <c r="O28" s="9">
        <v>28170</v>
      </c>
      <c r="P28" s="9">
        <v>26605</v>
      </c>
      <c r="Q28" s="9">
        <v>39834</v>
      </c>
      <c r="R28" s="9">
        <v>80857</v>
      </c>
    </row>
    <row r="29" spans="1:18" ht="15" customHeight="1">
      <c r="A29" s="1" t="s">
        <v>57</v>
      </c>
      <c r="B29" s="9">
        <f t="shared" ref="B29:R29" si="7">B24</f>
        <v>0</v>
      </c>
      <c r="C29" s="9">
        <f t="shared" si="7"/>
        <v>0</v>
      </c>
      <c r="D29" s="9">
        <f t="shared" si="7"/>
        <v>1360</v>
      </c>
      <c r="E29" s="9">
        <f t="shared" si="7"/>
        <v>650</v>
      </c>
      <c r="F29" s="9">
        <f t="shared" si="7"/>
        <v>290</v>
      </c>
      <c r="G29" s="9">
        <f t="shared" si="7"/>
        <v>180</v>
      </c>
      <c r="H29" s="9">
        <f t="shared" si="7"/>
        <v>0</v>
      </c>
      <c r="I29" s="9">
        <f t="shared" si="7"/>
        <v>0</v>
      </c>
      <c r="J29" s="9">
        <f t="shared" si="7"/>
        <v>0</v>
      </c>
      <c r="K29" s="9">
        <f t="shared" si="7"/>
        <v>0</v>
      </c>
      <c r="L29" s="9">
        <f t="shared" si="7"/>
        <v>0</v>
      </c>
      <c r="M29" s="9">
        <f t="shared" si="7"/>
        <v>0</v>
      </c>
      <c r="N29" s="9">
        <f t="shared" si="7"/>
        <v>200</v>
      </c>
      <c r="O29" s="9">
        <f t="shared" si="7"/>
        <v>4300</v>
      </c>
      <c r="P29" s="9">
        <f t="shared" si="7"/>
        <v>2400</v>
      </c>
      <c r="Q29" s="9">
        <f t="shared" si="7"/>
        <v>0</v>
      </c>
      <c r="R29" s="9">
        <f t="shared" si="7"/>
        <v>0</v>
      </c>
    </row>
    <row r="30" spans="1:18" ht="15" customHeight="1">
      <c r="A30" s="5" t="s">
        <v>58</v>
      </c>
      <c r="B30" s="10">
        <f t="shared" ref="B30:R30" si="8">B28+B29</f>
        <v>-2653</v>
      </c>
      <c r="C30" s="10">
        <f t="shared" si="8"/>
        <v>2944</v>
      </c>
      <c r="D30" s="10">
        <f t="shared" si="8"/>
        <v>398</v>
      </c>
      <c r="E30" s="10">
        <f t="shared" si="8"/>
        <v>4769</v>
      </c>
      <c r="F30" s="10">
        <f t="shared" si="8"/>
        <v>7853</v>
      </c>
      <c r="G30" s="10">
        <f t="shared" si="8"/>
        <v>12369</v>
      </c>
      <c r="H30" s="10">
        <f t="shared" si="8"/>
        <v>13686</v>
      </c>
      <c r="I30" s="10">
        <f t="shared" si="8"/>
        <v>12983</v>
      </c>
      <c r="J30" s="10">
        <f t="shared" si="8"/>
        <v>15245</v>
      </c>
      <c r="K30" s="10">
        <f t="shared" si="8"/>
        <v>18037</v>
      </c>
      <c r="L30" s="10">
        <f t="shared" si="8"/>
        <v>22349</v>
      </c>
      <c r="M30" s="10">
        <f t="shared" si="8"/>
        <v>21679</v>
      </c>
      <c r="N30" s="10">
        <f t="shared" si="8"/>
        <v>21057</v>
      </c>
      <c r="O30" s="10">
        <f t="shared" si="8"/>
        <v>32470</v>
      </c>
      <c r="P30" s="10">
        <f t="shared" si="8"/>
        <v>29005</v>
      </c>
      <c r="Q30" s="10">
        <f t="shared" si="8"/>
        <v>39834</v>
      </c>
      <c r="R30" s="10">
        <f t="shared" si="8"/>
        <v>80857</v>
      </c>
    </row>
    <row r="31" spans="1:18" ht="15" customHeight="1">
      <c r="A31" s="1" t="s">
        <v>59</v>
      </c>
      <c r="B31" s="9">
        <v>-637</v>
      </c>
      <c r="C31" s="9">
        <v>69</v>
      </c>
      <c r="D31" s="9">
        <v>-1227</v>
      </c>
      <c r="E31" s="9">
        <v>948</v>
      </c>
      <c r="F31" s="9">
        <v>804</v>
      </c>
      <c r="G31" s="9">
        <v>2306</v>
      </c>
      <c r="H31" s="9">
        <v>3062</v>
      </c>
      <c r="I31" s="9">
        <v>2467</v>
      </c>
      <c r="J31" s="9">
        <v>1767</v>
      </c>
      <c r="K31" s="9">
        <v>2706</v>
      </c>
      <c r="L31" s="9">
        <v>2325</v>
      </c>
      <c r="M31" s="9">
        <v>4553</v>
      </c>
      <c r="N31" s="9">
        <v>2678</v>
      </c>
      <c r="O31" s="9">
        <v>6910</v>
      </c>
      <c r="P31" s="9">
        <v>4946</v>
      </c>
      <c r="Q31" s="9">
        <v>9560</v>
      </c>
      <c r="R31" s="9">
        <v>18199</v>
      </c>
    </row>
    <row r="32" spans="1:18" ht="15" customHeight="1">
      <c r="A32" s="1" t="s">
        <v>60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 ht="15" customHeight="1">
      <c r="A33" s="1" t="s">
        <v>61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5" customHeight="1">
      <c r="A34" s="5" t="s">
        <v>62</v>
      </c>
      <c r="B34" s="10">
        <f t="shared" ref="B34:R34" si="9">IF(B33="",B31-B32,B30*B33)</f>
        <v>-637</v>
      </c>
      <c r="C34" s="10">
        <f t="shared" si="9"/>
        <v>69</v>
      </c>
      <c r="D34" s="10">
        <f t="shared" si="9"/>
        <v>-1227</v>
      </c>
      <c r="E34" s="10">
        <f t="shared" si="9"/>
        <v>948</v>
      </c>
      <c r="F34" s="10">
        <f t="shared" si="9"/>
        <v>804</v>
      </c>
      <c r="G34" s="10">
        <f t="shared" si="9"/>
        <v>2306</v>
      </c>
      <c r="H34" s="10">
        <f t="shared" si="9"/>
        <v>3062</v>
      </c>
      <c r="I34" s="10">
        <f t="shared" si="9"/>
        <v>2467</v>
      </c>
      <c r="J34" s="10">
        <f t="shared" si="9"/>
        <v>1767</v>
      </c>
      <c r="K34" s="10">
        <f t="shared" si="9"/>
        <v>2706</v>
      </c>
      <c r="L34" s="10">
        <f t="shared" si="9"/>
        <v>2325</v>
      </c>
      <c r="M34" s="10">
        <f t="shared" si="9"/>
        <v>4553</v>
      </c>
      <c r="N34" s="10">
        <f t="shared" si="9"/>
        <v>2678</v>
      </c>
      <c r="O34" s="10">
        <f t="shared" si="9"/>
        <v>6910</v>
      </c>
      <c r="P34" s="10">
        <f t="shared" si="9"/>
        <v>4946</v>
      </c>
      <c r="Q34" s="10">
        <f t="shared" si="9"/>
        <v>9560</v>
      </c>
      <c r="R34" s="10">
        <f t="shared" si="9"/>
        <v>18199</v>
      </c>
    </row>
    <row r="35" spans="1:18" ht="15" customHeight="1">
      <c r="A35" s="5" t="s">
        <v>63</v>
      </c>
      <c r="B35" s="11"/>
      <c r="C35" s="11"/>
      <c r="D35" s="11"/>
      <c r="E35" s="11">
        <f t="shared" ref="E35:R35" si="10">SUM(B34:E34)/SUM(B30:E30)</f>
        <v>-0.15518504946866984</v>
      </c>
      <c r="F35" s="11">
        <f t="shared" si="10"/>
        <v>3.7208719619143071E-2</v>
      </c>
      <c r="G35" s="11">
        <f t="shared" si="10"/>
        <v>0.1115049824727244</v>
      </c>
      <c r="H35" s="11">
        <f t="shared" si="10"/>
        <v>0.18408873490705069</v>
      </c>
      <c r="I35" s="11">
        <f t="shared" si="10"/>
        <v>0.18423578085346867</v>
      </c>
      <c r="J35" s="11">
        <f t="shared" si="10"/>
        <v>0.17688779175800895</v>
      </c>
      <c r="K35" s="11">
        <f t="shared" si="10"/>
        <v>0.16683624960384313</v>
      </c>
      <c r="L35" s="11">
        <f t="shared" si="10"/>
        <v>0.13503075174162707</v>
      </c>
      <c r="M35" s="11">
        <f t="shared" si="10"/>
        <v>0.14682447290130643</v>
      </c>
      <c r="N35" s="11">
        <f t="shared" si="10"/>
        <v>0.1475181059166045</v>
      </c>
      <c r="O35" s="11">
        <f t="shared" si="10"/>
        <v>0.16878683819383938</v>
      </c>
      <c r="P35" s="11">
        <f t="shared" si="10"/>
        <v>0.1831572482751341</v>
      </c>
      <c r="Q35" s="11">
        <f t="shared" si="10"/>
        <v>0.19690109997875227</v>
      </c>
      <c r="R35" s="11">
        <f t="shared" si="10"/>
        <v>0.21746648661111295</v>
      </c>
    </row>
    <row r="36" spans="1:18" ht="15" customHeight="1">
      <c r="A36" s="5" t="s">
        <v>64</v>
      </c>
      <c r="B36" s="10"/>
      <c r="C36" s="10"/>
      <c r="D36" s="10"/>
      <c r="E36" s="10">
        <f t="shared" ref="E36:R36" si="11">E26*(1-E35)</f>
        <v>17747.107914987177</v>
      </c>
      <c r="F36" s="10">
        <f t="shared" si="11"/>
        <v>19272.193059383611</v>
      </c>
      <c r="G36" s="10">
        <f t="shared" si="11"/>
        <v>25641.966205837172</v>
      </c>
      <c r="H36" s="10">
        <f t="shared" si="11"/>
        <v>30981.782558109473</v>
      </c>
      <c r="I36" s="10">
        <f t="shared" si="11"/>
        <v>39038.396707257256</v>
      </c>
      <c r="J36" s="10">
        <f t="shared" si="11"/>
        <v>44905.709632850063</v>
      </c>
      <c r="K36" s="10">
        <f t="shared" si="11"/>
        <v>50488.890110256711</v>
      </c>
      <c r="L36" s="10">
        <f t="shared" si="11"/>
        <v>59330.835645786574</v>
      </c>
      <c r="M36" s="10">
        <f t="shared" si="11"/>
        <v>61165.00671323244</v>
      </c>
      <c r="N36" s="10">
        <f t="shared" si="11"/>
        <v>65121.091889030584</v>
      </c>
      <c r="O36" s="10">
        <f t="shared" si="11"/>
        <v>67079.73337091897</v>
      </c>
      <c r="P36" s="10">
        <f t="shared" si="11"/>
        <v>70963.214056097728</v>
      </c>
      <c r="Q36" s="10">
        <f t="shared" si="11"/>
        <v>74143.696647761637</v>
      </c>
      <c r="R36" s="10">
        <f t="shared" si="11"/>
        <v>78575.755146404932</v>
      </c>
    </row>
    <row r="37" spans="1:18" ht="1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5" customHeight="1">
      <c r="A38" s="1" t="s">
        <v>65</v>
      </c>
      <c r="B38" s="9">
        <v>131402</v>
      </c>
      <c r="C38" s="9">
        <v>137489</v>
      </c>
      <c r="D38" s="9">
        <v>146043</v>
      </c>
      <c r="E38" s="9">
        <v>154526</v>
      </c>
      <c r="F38" s="9">
        <v>168602</v>
      </c>
      <c r="G38" s="9">
        <v>182973</v>
      </c>
      <c r="H38" s="9">
        <v>201875</v>
      </c>
      <c r="I38" s="9">
        <v>216661</v>
      </c>
      <c r="J38" s="9">
        <v>236447</v>
      </c>
      <c r="K38" s="9">
        <v>259151</v>
      </c>
      <c r="L38" s="9">
        <v>285970</v>
      </c>
      <c r="M38" s="9">
        <v>305867</v>
      </c>
      <c r="N38" s="9">
        <v>333775</v>
      </c>
      <c r="O38" s="9">
        <v>369631</v>
      </c>
      <c r="P38" s="9">
        <v>411065</v>
      </c>
      <c r="Q38" s="9">
        <v>441914</v>
      </c>
      <c r="R38" s="9">
        <v>551620</v>
      </c>
    </row>
    <row r="39" spans="1:18" ht="15" customHeight="1">
      <c r="A39" s="1" t="s">
        <v>66</v>
      </c>
      <c r="B39" s="9">
        <v>63286</v>
      </c>
      <c r="C39" s="9">
        <v>64266</v>
      </c>
      <c r="D39" s="9">
        <v>70149</v>
      </c>
      <c r="E39" s="9">
        <v>70184</v>
      </c>
      <c r="F39" s="9">
        <v>68189</v>
      </c>
      <c r="G39" s="9">
        <v>67259</v>
      </c>
      <c r="H39" s="9">
        <v>66808</v>
      </c>
      <c r="I39" s="9">
        <v>66532</v>
      </c>
      <c r="J39" s="9">
        <v>62394</v>
      </c>
      <c r="K39" s="9">
        <v>60226</v>
      </c>
      <c r="L39" s="9">
        <v>57791</v>
      </c>
      <c r="M39" s="9">
        <v>58464</v>
      </c>
      <c r="N39" s="9">
        <v>55896</v>
      </c>
      <c r="O39" s="9">
        <v>54959</v>
      </c>
      <c r="P39" s="9">
        <v>68851</v>
      </c>
      <c r="Q39" s="9">
        <v>122058</v>
      </c>
      <c r="R39" s="9">
        <v>132549</v>
      </c>
    </row>
    <row r="40" spans="1:18" ht="15" customHeight="1">
      <c r="A40" s="1" t="s">
        <v>67</v>
      </c>
      <c r="B40" s="9">
        <v>60606</v>
      </c>
      <c r="C40" s="9">
        <v>64783</v>
      </c>
      <c r="D40" s="9">
        <v>69040</v>
      </c>
      <c r="E40" s="9">
        <v>71248</v>
      </c>
      <c r="F40" s="9">
        <v>73370</v>
      </c>
      <c r="G40" s="9">
        <v>73902</v>
      </c>
      <c r="H40" s="9">
        <v>75639</v>
      </c>
      <c r="I40" s="9">
        <v>76019</v>
      </c>
      <c r="J40" s="9">
        <v>77432</v>
      </c>
      <c r="K40" s="9">
        <v>79677</v>
      </c>
      <c r="L40" s="9">
        <v>79596</v>
      </c>
      <c r="M40" s="9">
        <v>81731</v>
      </c>
      <c r="N40" s="9">
        <v>84991</v>
      </c>
      <c r="O40" s="9">
        <v>86233</v>
      </c>
      <c r="P40" s="9">
        <v>89252</v>
      </c>
      <c r="Q40" s="9">
        <v>91617</v>
      </c>
      <c r="R40" s="9">
        <v>96320</v>
      </c>
    </row>
    <row r="41" spans="1:18" ht="15" customHeight="1">
      <c r="A41" s="1" t="s">
        <v>68</v>
      </c>
      <c r="B41" s="9">
        <v>18417</v>
      </c>
      <c r="C41" s="9">
        <v>16631</v>
      </c>
      <c r="D41" s="9">
        <v>15783</v>
      </c>
      <c r="E41" s="9">
        <v>14447</v>
      </c>
      <c r="F41" s="9">
        <v>13458</v>
      </c>
      <c r="G41" s="9">
        <v>12466</v>
      </c>
      <c r="H41" s="9">
        <v>12109</v>
      </c>
      <c r="I41" s="9">
        <v>11240</v>
      </c>
      <c r="J41" s="9">
        <v>10827</v>
      </c>
      <c r="K41" s="9">
        <v>10819</v>
      </c>
      <c r="L41" s="9">
        <v>10602</v>
      </c>
      <c r="M41" s="9">
        <v>10383</v>
      </c>
      <c r="N41" s="9">
        <v>11203</v>
      </c>
      <c r="O41" s="9">
        <v>11765</v>
      </c>
      <c r="P41" s="9">
        <v>12286</v>
      </c>
      <c r="Q41" s="9">
        <v>13325</v>
      </c>
      <c r="R41" s="9">
        <v>13451</v>
      </c>
    </row>
    <row r="42" spans="1:18" ht="15" customHeight="1">
      <c r="A42" s="1" t="s">
        <v>69</v>
      </c>
      <c r="B42" s="9">
        <v>61478</v>
      </c>
      <c r="C42" s="9">
        <v>59493</v>
      </c>
      <c r="D42" s="9">
        <v>70741</v>
      </c>
      <c r="E42" s="9">
        <v>65112</v>
      </c>
      <c r="F42" s="9">
        <v>64703</v>
      </c>
      <c r="G42" s="9">
        <v>64922</v>
      </c>
      <c r="H42" s="9">
        <v>87534</v>
      </c>
      <c r="I42" s="9">
        <v>85875</v>
      </c>
      <c r="J42" s="9">
        <v>89907</v>
      </c>
      <c r="K42" s="9">
        <v>88937</v>
      </c>
      <c r="L42" s="9">
        <v>103391</v>
      </c>
      <c r="M42" s="9">
        <v>101865</v>
      </c>
      <c r="N42" s="9">
        <v>100480</v>
      </c>
      <c r="O42" s="9">
        <v>111297</v>
      </c>
      <c r="P42" s="9">
        <v>139888</v>
      </c>
      <c r="Q42" s="9">
        <v>194988</v>
      </c>
      <c r="R42" s="9">
        <v>248397</v>
      </c>
    </row>
    <row r="43" spans="1:18" ht="15" customHeight="1">
      <c r="A43" s="5" t="s">
        <v>21</v>
      </c>
      <c r="B43" s="10">
        <f t="shared" ref="B43:R43" si="12">SUM(B38:B41)-B42</f>
        <v>212233</v>
      </c>
      <c r="C43" s="10">
        <f t="shared" si="12"/>
        <v>223676</v>
      </c>
      <c r="D43" s="10">
        <f t="shared" si="12"/>
        <v>230274</v>
      </c>
      <c r="E43" s="10">
        <f t="shared" si="12"/>
        <v>245293</v>
      </c>
      <c r="F43" s="10">
        <f t="shared" si="12"/>
        <v>258916</v>
      </c>
      <c r="G43" s="10">
        <f t="shared" si="12"/>
        <v>271678</v>
      </c>
      <c r="H43" s="10">
        <f t="shared" si="12"/>
        <v>268897</v>
      </c>
      <c r="I43" s="10">
        <f t="shared" si="12"/>
        <v>284577</v>
      </c>
      <c r="J43" s="10">
        <f t="shared" si="12"/>
        <v>297193</v>
      </c>
      <c r="K43" s="10">
        <f t="shared" si="12"/>
        <v>320936</v>
      </c>
      <c r="L43" s="10">
        <f t="shared" si="12"/>
        <v>330568</v>
      </c>
      <c r="M43" s="10">
        <f t="shared" si="12"/>
        <v>354580</v>
      </c>
      <c r="N43" s="10">
        <f t="shared" si="12"/>
        <v>385385</v>
      </c>
      <c r="O43" s="10">
        <f t="shared" si="12"/>
        <v>411291</v>
      </c>
      <c r="P43" s="10">
        <f t="shared" si="12"/>
        <v>441566</v>
      </c>
      <c r="Q43" s="10">
        <f t="shared" si="12"/>
        <v>473926</v>
      </c>
      <c r="R43" s="10">
        <f t="shared" si="12"/>
        <v>545543</v>
      </c>
    </row>
    <row r="44" spans="1:18" ht="1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5" customHeight="1">
      <c r="A45" s="5" t="s">
        <v>70</v>
      </c>
      <c r="B45" s="10"/>
      <c r="C45" s="10"/>
      <c r="D45" s="10"/>
      <c r="E45" s="10"/>
      <c r="F45" s="10"/>
      <c r="G45" s="10"/>
      <c r="H45" s="10"/>
      <c r="I45" s="10">
        <f t="shared" ref="I45:R45" si="13">I36-E36</f>
        <v>21291.288792270079</v>
      </c>
      <c r="J45" s="10">
        <f t="shared" si="13"/>
        <v>25633.516573466452</v>
      </c>
      <c r="K45" s="10">
        <f t="shared" si="13"/>
        <v>24846.923904419538</v>
      </c>
      <c r="L45" s="10">
        <f t="shared" si="13"/>
        <v>28349.053087677101</v>
      </c>
      <c r="M45" s="10">
        <f t="shared" si="13"/>
        <v>22126.610005975184</v>
      </c>
      <c r="N45" s="10">
        <f t="shared" si="13"/>
        <v>20215.382256180521</v>
      </c>
      <c r="O45" s="10">
        <f t="shared" si="13"/>
        <v>16590.843260662259</v>
      </c>
      <c r="P45" s="10">
        <f t="shared" si="13"/>
        <v>11632.378410311154</v>
      </c>
      <c r="Q45" s="10">
        <f t="shared" si="13"/>
        <v>12978.689934529197</v>
      </c>
      <c r="R45" s="10">
        <f t="shared" si="13"/>
        <v>13454.663257374348</v>
      </c>
    </row>
    <row r="46" spans="1:18" ht="15" customHeight="1">
      <c r="A46" s="5" t="s">
        <v>71</v>
      </c>
      <c r="B46" s="10"/>
      <c r="C46" s="10"/>
      <c r="D46" s="10"/>
      <c r="E46" s="10"/>
      <c r="F46" s="10"/>
      <c r="G46" s="10"/>
      <c r="H46" s="10"/>
      <c r="I46" s="10">
        <f t="shared" ref="I46:R46" si="14">I43-E43</f>
        <v>39284</v>
      </c>
      <c r="J46" s="10">
        <f t="shared" si="14"/>
        <v>38277</v>
      </c>
      <c r="K46" s="10">
        <f t="shared" si="14"/>
        <v>49258</v>
      </c>
      <c r="L46" s="10">
        <f t="shared" si="14"/>
        <v>61671</v>
      </c>
      <c r="M46" s="10">
        <f t="shared" si="14"/>
        <v>70003</v>
      </c>
      <c r="N46" s="10">
        <f t="shared" si="14"/>
        <v>88192</v>
      </c>
      <c r="O46" s="10">
        <f t="shared" si="14"/>
        <v>90355</v>
      </c>
      <c r="P46" s="10">
        <f t="shared" si="14"/>
        <v>110998</v>
      </c>
      <c r="Q46" s="10">
        <f t="shared" si="14"/>
        <v>119346</v>
      </c>
      <c r="R46" s="10">
        <f t="shared" si="14"/>
        <v>160158</v>
      </c>
    </row>
    <row r="47" spans="1:18" ht="15" customHeight="1">
      <c r="A47" s="5" t="s">
        <v>72</v>
      </c>
      <c r="B47" s="11"/>
      <c r="C47" s="11"/>
      <c r="D47" s="11"/>
      <c r="E47" s="11"/>
      <c r="F47" s="11"/>
      <c r="G47" s="11"/>
      <c r="H47" s="11"/>
      <c r="I47" s="11">
        <f t="shared" ref="I47:R47" si="15">IF(I46&gt;0,I45/I46,"N/M")</f>
        <v>0.54198372854775678</v>
      </c>
      <c r="J47" s="11">
        <f t="shared" si="15"/>
        <v>0.66968457751303523</v>
      </c>
      <c r="K47" s="11">
        <f t="shared" si="15"/>
        <v>0.50442413221039295</v>
      </c>
      <c r="L47" s="11">
        <f t="shared" si="15"/>
        <v>0.45968207241129705</v>
      </c>
      <c r="M47" s="11">
        <f t="shared" si="15"/>
        <v>0.31608088233325976</v>
      </c>
      <c r="N47" s="11">
        <f t="shared" si="15"/>
        <v>0.22922013625023269</v>
      </c>
      <c r="O47" s="11">
        <f t="shared" si="15"/>
        <v>0.1836184301993499</v>
      </c>
      <c r="P47" s="11">
        <f t="shared" si="15"/>
        <v>0.10479809014857162</v>
      </c>
      <c r="Q47" s="11">
        <f t="shared" si="15"/>
        <v>0.10874842838913074</v>
      </c>
      <c r="R47" s="11">
        <f t="shared" si="15"/>
        <v>8.400868678039404E-2</v>
      </c>
    </row>
    <row r="48" spans="1:18" ht="1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5" customHeight="1">
      <c r="A50" s="5" t="s">
        <v>14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5" customHeight="1">
      <c r="A51" s="5" t="s">
        <v>2</v>
      </c>
      <c r="B51" s="7" t="s">
        <v>27</v>
      </c>
      <c r="C51" s="7" t="s">
        <v>28</v>
      </c>
      <c r="D51" s="7" t="s">
        <v>29</v>
      </c>
      <c r="E51" s="7" t="s">
        <v>30</v>
      </c>
      <c r="F51" s="7" t="s">
        <v>31</v>
      </c>
      <c r="G51" s="7" t="s">
        <v>32</v>
      </c>
      <c r="H51" s="7" t="s">
        <v>33</v>
      </c>
      <c r="I51" s="7" t="s">
        <v>3</v>
      </c>
      <c r="J51" s="7" t="s">
        <v>4</v>
      </c>
      <c r="K51" s="7" t="s">
        <v>5</v>
      </c>
      <c r="L51" s="7" t="s">
        <v>6</v>
      </c>
      <c r="M51" s="7" t="s">
        <v>7</v>
      </c>
      <c r="N51" s="7" t="s">
        <v>8</v>
      </c>
      <c r="O51" s="7" t="s">
        <v>9</v>
      </c>
      <c r="P51" s="7" t="s">
        <v>10</v>
      </c>
      <c r="Q51" s="7" t="s">
        <v>11</v>
      </c>
      <c r="R51" s="7" t="s">
        <v>12</v>
      </c>
    </row>
    <row r="52" spans="1:18" ht="15" customHeight="1">
      <c r="A52" s="5" t="s">
        <v>34</v>
      </c>
      <c r="B52" s="7" t="s">
        <v>35</v>
      </c>
      <c r="C52" s="7" t="s">
        <v>36</v>
      </c>
      <c r="D52" s="7" t="s">
        <v>37</v>
      </c>
      <c r="E52" s="7" t="s">
        <v>38</v>
      </c>
      <c r="F52" s="7" t="s">
        <v>39</v>
      </c>
      <c r="G52" s="7" t="s">
        <v>40</v>
      </c>
      <c r="H52" s="7" t="s">
        <v>41</v>
      </c>
      <c r="I52" s="7" t="s">
        <v>42</v>
      </c>
      <c r="J52" s="7" t="s">
        <v>43</v>
      </c>
      <c r="K52" s="7" t="s">
        <v>44</v>
      </c>
      <c r="L52" s="7" t="s">
        <v>45</v>
      </c>
      <c r="M52" s="7" t="s">
        <v>46</v>
      </c>
      <c r="N52" s="7" t="s">
        <v>47</v>
      </c>
      <c r="O52" s="7" t="s">
        <v>48</v>
      </c>
      <c r="P52" s="7" t="s">
        <v>49</v>
      </c>
      <c r="Q52" s="7" t="s">
        <v>50</v>
      </c>
      <c r="R52" s="7" t="s">
        <v>51</v>
      </c>
    </row>
    <row r="53" spans="1:18" ht="1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5" customHeight="1">
      <c r="A54" s="1" t="s">
        <v>52</v>
      </c>
      <c r="B54" s="9">
        <v>20534</v>
      </c>
      <c r="C54" s="9">
        <v>21518</v>
      </c>
      <c r="D54" s="9">
        <v>20399</v>
      </c>
      <c r="E54" s="9">
        <v>22352</v>
      </c>
      <c r="F54" s="9">
        <v>24254</v>
      </c>
      <c r="G54" s="9">
        <v>26895</v>
      </c>
      <c r="H54" s="9">
        <v>27032</v>
      </c>
      <c r="I54" s="9">
        <v>27581</v>
      </c>
      <c r="J54" s="9">
        <v>27925</v>
      </c>
      <c r="K54" s="9">
        <v>30552</v>
      </c>
      <c r="L54" s="9">
        <v>31653</v>
      </c>
      <c r="M54" s="9">
        <v>32000</v>
      </c>
      <c r="N54" s="9">
        <v>34323</v>
      </c>
      <c r="O54" s="9">
        <v>37961</v>
      </c>
      <c r="P54" s="9">
        <v>38275</v>
      </c>
      <c r="Q54" s="9">
        <v>38398</v>
      </c>
      <c r="R54" s="9">
        <v>40603</v>
      </c>
    </row>
    <row r="55" spans="1:18" ht="15" customHeight="1">
      <c r="A55" s="1" t="s">
        <v>53</v>
      </c>
      <c r="B55" s="9">
        <v>0</v>
      </c>
      <c r="C55" s="9">
        <v>0</v>
      </c>
      <c r="D55" s="9">
        <v>1200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</row>
    <row r="56" spans="1:18" ht="15" customHeight="1">
      <c r="A56" s="5" t="s">
        <v>54</v>
      </c>
      <c r="B56" s="10">
        <f t="shared" ref="B56:R56" si="16">B54+B55</f>
        <v>20534</v>
      </c>
      <c r="C56" s="10">
        <f t="shared" si="16"/>
        <v>21518</v>
      </c>
      <c r="D56" s="10">
        <f t="shared" si="16"/>
        <v>21599</v>
      </c>
      <c r="E56" s="10">
        <f t="shared" si="16"/>
        <v>22352</v>
      </c>
      <c r="F56" s="10">
        <f t="shared" si="16"/>
        <v>24254</v>
      </c>
      <c r="G56" s="10">
        <f t="shared" si="16"/>
        <v>26895</v>
      </c>
      <c r="H56" s="10">
        <f t="shared" si="16"/>
        <v>27032</v>
      </c>
      <c r="I56" s="10">
        <f t="shared" si="16"/>
        <v>27581</v>
      </c>
      <c r="J56" s="10">
        <f t="shared" si="16"/>
        <v>27925</v>
      </c>
      <c r="K56" s="10">
        <f t="shared" si="16"/>
        <v>30552</v>
      </c>
      <c r="L56" s="10">
        <f t="shared" si="16"/>
        <v>31653</v>
      </c>
      <c r="M56" s="10">
        <f t="shared" si="16"/>
        <v>32000</v>
      </c>
      <c r="N56" s="10">
        <f t="shared" si="16"/>
        <v>34323</v>
      </c>
      <c r="O56" s="10">
        <f t="shared" si="16"/>
        <v>37961</v>
      </c>
      <c r="P56" s="10">
        <f t="shared" si="16"/>
        <v>38275</v>
      </c>
      <c r="Q56" s="10">
        <f t="shared" si="16"/>
        <v>38398</v>
      </c>
      <c r="R56" s="10">
        <f t="shared" si="16"/>
        <v>40603</v>
      </c>
    </row>
    <row r="57" spans="1:18" ht="15" customHeight="1">
      <c r="A57" s="5" t="s">
        <v>55</v>
      </c>
      <c r="B57" s="10"/>
      <c r="C57" s="10"/>
      <c r="D57" s="10"/>
      <c r="E57" s="10">
        <f t="shared" ref="E57:R57" si="17">SUM(B56:E56)</f>
        <v>86003</v>
      </c>
      <c r="F57" s="10">
        <f t="shared" si="17"/>
        <v>89723</v>
      </c>
      <c r="G57" s="10">
        <f t="shared" si="17"/>
        <v>95100</v>
      </c>
      <c r="H57" s="10">
        <f t="shared" si="17"/>
        <v>100533</v>
      </c>
      <c r="I57" s="10">
        <f t="shared" si="17"/>
        <v>105762</v>
      </c>
      <c r="J57" s="10">
        <f t="shared" si="17"/>
        <v>109433</v>
      </c>
      <c r="K57" s="10">
        <f t="shared" si="17"/>
        <v>113090</v>
      </c>
      <c r="L57" s="10">
        <f t="shared" si="17"/>
        <v>117711</v>
      </c>
      <c r="M57" s="10">
        <f t="shared" si="17"/>
        <v>122130</v>
      </c>
      <c r="N57" s="10">
        <f t="shared" si="17"/>
        <v>128528</v>
      </c>
      <c r="O57" s="10">
        <f t="shared" si="17"/>
        <v>135937</v>
      </c>
      <c r="P57" s="10">
        <f t="shared" si="17"/>
        <v>142559</v>
      </c>
      <c r="Q57" s="10">
        <f t="shared" si="17"/>
        <v>148957</v>
      </c>
      <c r="R57" s="10">
        <f t="shared" si="17"/>
        <v>155237</v>
      </c>
    </row>
    <row r="58" spans="1:18" ht="1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5" customHeight="1">
      <c r="A59" s="1" t="s">
        <v>56</v>
      </c>
      <c r="B59" s="9">
        <v>20487</v>
      </c>
      <c r="C59" s="9">
        <v>21572</v>
      </c>
      <c r="D59" s="9">
        <v>20339</v>
      </c>
      <c r="E59" s="9">
        <v>22673</v>
      </c>
      <c r="F59" s="9">
        <v>24727</v>
      </c>
      <c r="G59" s="9">
        <v>27284</v>
      </c>
      <c r="H59" s="9">
        <v>26526</v>
      </c>
      <c r="I59" s="9">
        <v>26727</v>
      </c>
      <c r="J59" s="9">
        <v>27250</v>
      </c>
      <c r="K59" s="9">
        <v>30269</v>
      </c>
      <c r="L59" s="9">
        <v>29365</v>
      </c>
      <c r="M59" s="9">
        <v>31377</v>
      </c>
      <c r="N59" s="9">
        <v>32616</v>
      </c>
      <c r="O59" s="9">
        <v>34301</v>
      </c>
      <c r="P59" s="9">
        <v>48246</v>
      </c>
      <c r="Q59" s="9">
        <v>39340</v>
      </c>
      <c r="R59" s="9">
        <v>44047</v>
      </c>
    </row>
    <row r="60" spans="1:18" ht="15" customHeight="1">
      <c r="A60" s="1" t="s">
        <v>57</v>
      </c>
      <c r="B60" s="9">
        <f t="shared" ref="B60:R60" si="18">B55</f>
        <v>0</v>
      </c>
      <c r="C60" s="9">
        <f t="shared" si="18"/>
        <v>0</v>
      </c>
      <c r="D60" s="9">
        <f t="shared" si="18"/>
        <v>1200</v>
      </c>
      <c r="E60" s="9">
        <f t="shared" si="18"/>
        <v>0</v>
      </c>
      <c r="F60" s="9">
        <f t="shared" si="18"/>
        <v>0</v>
      </c>
      <c r="G60" s="9">
        <f t="shared" si="18"/>
        <v>0</v>
      </c>
      <c r="H60" s="9">
        <f t="shared" si="18"/>
        <v>0</v>
      </c>
      <c r="I60" s="9">
        <f t="shared" si="18"/>
        <v>0</v>
      </c>
      <c r="J60" s="9">
        <f t="shared" si="18"/>
        <v>0</v>
      </c>
      <c r="K60" s="9">
        <f t="shared" si="18"/>
        <v>0</v>
      </c>
      <c r="L60" s="9">
        <f t="shared" si="18"/>
        <v>0</v>
      </c>
      <c r="M60" s="9">
        <f t="shared" si="18"/>
        <v>0</v>
      </c>
      <c r="N60" s="9">
        <f t="shared" si="18"/>
        <v>0</v>
      </c>
      <c r="O60" s="9">
        <f t="shared" si="18"/>
        <v>0</v>
      </c>
      <c r="P60" s="9">
        <f t="shared" si="18"/>
        <v>0</v>
      </c>
      <c r="Q60" s="9">
        <f t="shared" si="18"/>
        <v>0</v>
      </c>
      <c r="R60" s="9">
        <f t="shared" si="18"/>
        <v>0</v>
      </c>
    </row>
    <row r="61" spans="1:18" ht="15" customHeight="1">
      <c r="A61" s="5" t="s">
        <v>58</v>
      </c>
      <c r="B61" s="10">
        <f t="shared" ref="B61:R61" si="19">B59+B60</f>
        <v>20487</v>
      </c>
      <c r="C61" s="10">
        <f t="shared" si="19"/>
        <v>21572</v>
      </c>
      <c r="D61" s="10">
        <f t="shared" si="19"/>
        <v>21539</v>
      </c>
      <c r="E61" s="10">
        <f t="shared" si="19"/>
        <v>22673</v>
      </c>
      <c r="F61" s="10">
        <f t="shared" si="19"/>
        <v>24727</v>
      </c>
      <c r="G61" s="10">
        <f t="shared" si="19"/>
        <v>27284</v>
      </c>
      <c r="H61" s="10">
        <f t="shared" si="19"/>
        <v>26526</v>
      </c>
      <c r="I61" s="10">
        <f t="shared" si="19"/>
        <v>26727</v>
      </c>
      <c r="J61" s="10">
        <f t="shared" si="19"/>
        <v>27250</v>
      </c>
      <c r="K61" s="10">
        <f t="shared" si="19"/>
        <v>30269</v>
      </c>
      <c r="L61" s="10">
        <f t="shared" si="19"/>
        <v>29365</v>
      </c>
      <c r="M61" s="10">
        <f t="shared" si="19"/>
        <v>31377</v>
      </c>
      <c r="N61" s="10">
        <f t="shared" si="19"/>
        <v>32616</v>
      </c>
      <c r="O61" s="10">
        <f t="shared" si="19"/>
        <v>34301</v>
      </c>
      <c r="P61" s="10">
        <f t="shared" si="19"/>
        <v>48246</v>
      </c>
      <c r="Q61" s="10">
        <f t="shared" si="19"/>
        <v>39340</v>
      </c>
      <c r="R61" s="10">
        <f t="shared" si="19"/>
        <v>44047</v>
      </c>
    </row>
    <row r="62" spans="1:18" ht="15" customHeight="1">
      <c r="A62" s="1" t="s">
        <v>59</v>
      </c>
      <c r="B62" s="9">
        <v>3747</v>
      </c>
      <c r="C62" s="9">
        <v>4016</v>
      </c>
      <c r="D62" s="9">
        <v>3914</v>
      </c>
      <c r="E62" s="9">
        <v>4374</v>
      </c>
      <c r="F62" s="9">
        <v>4646</v>
      </c>
      <c r="G62" s="9">
        <v>4993</v>
      </c>
      <c r="H62" s="9">
        <v>4656</v>
      </c>
      <c r="I62" s="9">
        <v>4788</v>
      </c>
      <c r="J62" s="9">
        <v>5214</v>
      </c>
      <c r="K62" s="9">
        <v>5602</v>
      </c>
      <c r="L62" s="9">
        <v>5257</v>
      </c>
      <c r="M62" s="9">
        <v>5553</v>
      </c>
      <c r="N62" s="9">
        <v>5383</v>
      </c>
      <c r="O62" s="9">
        <v>6554</v>
      </c>
      <c r="P62" s="9">
        <v>9788</v>
      </c>
      <c r="Q62" s="9">
        <v>7562</v>
      </c>
      <c r="R62" s="9">
        <v>8281</v>
      </c>
    </row>
    <row r="63" spans="1:18" ht="15" customHeight="1">
      <c r="A63" s="1" t="s">
        <v>60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</row>
    <row r="64" spans="1:18" ht="15" customHeight="1">
      <c r="A64" s="1" t="s">
        <v>61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5" customHeight="1">
      <c r="A65" s="5" t="s">
        <v>62</v>
      </c>
      <c r="B65" s="10">
        <f t="shared" ref="B65:R65" si="20">IF(B64="",B62-B63,B61*B64)</f>
        <v>3747</v>
      </c>
      <c r="C65" s="10">
        <f t="shared" si="20"/>
        <v>4016</v>
      </c>
      <c r="D65" s="10">
        <f t="shared" si="20"/>
        <v>3914</v>
      </c>
      <c r="E65" s="10">
        <f t="shared" si="20"/>
        <v>4374</v>
      </c>
      <c r="F65" s="10">
        <f t="shared" si="20"/>
        <v>4646</v>
      </c>
      <c r="G65" s="10">
        <f t="shared" si="20"/>
        <v>4993</v>
      </c>
      <c r="H65" s="10">
        <f t="shared" si="20"/>
        <v>4656</v>
      </c>
      <c r="I65" s="10">
        <f t="shared" si="20"/>
        <v>4788</v>
      </c>
      <c r="J65" s="10">
        <f t="shared" si="20"/>
        <v>5214</v>
      </c>
      <c r="K65" s="10">
        <f t="shared" si="20"/>
        <v>5602</v>
      </c>
      <c r="L65" s="10">
        <f t="shared" si="20"/>
        <v>5257</v>
      </c>
      <c r="M65" s="10">
        <f t="shared" si="20"/>
        <v>5553</v>
      </c>
      <c r="N65" s="10">
        <f t="shared" si="20"/>
        <v>5383</v>
      </c>
      <c r="O65" s="10">
        <f t="shared" si="20"/>
        <v>6554</v>
      </c>
      <c r="P65" s="10">
        <f t="shared" si="20"/>
        <v>9788</v>
      </c>
      <c r="Q65" s="10">
        <f t="shared" si="20"/>
        <v>7562</v>
      </c>
      <c r="R65" s="10">
        <f t="shared" si="20"/>
        <v>8281</v>
      </c>
    </row>
    <row r="66" spans="1:18" ht="15" customHeight="1">
      <c r="A66" s="5" t="s">
        <v>63</v>
      </c>
      <c r="B66" s="11"/>
      <c r="C66" s="11"/>
      <c r="D66" s="11"/>
      <c r="E66" s="11">
        <f t="shared" ref="E66:R66" si="21">SUM(B65:E65)/SUM(B61:E61)</f>
        <v>0.1860532508027031</v>
      </c>
      <c r="F66" s="11">
        <f t="shared" si="21"/>
        <v>0.18727005557335571</v>
      </c>
      <c r="G66" s="11">
        <f t="shared" si="21"/>
        <v>0.18630680814358314</v>
      </c>
      <c r="H66" s="11">
        <f t="shared" si="21"/>
        <v>0.18445805750419919</v>
      </c>
      <c r="I66" s="11">
        <f t="shared" si="21"/>
        <v>0.18128704970360238</v>
      </c>
      <c r="J66" s="11">
        <f t="shared" si="21"/>
        <v>0.18231326597827197</v>
      </c>
      <c r="K66" s="11">
        <f t="shared" si="21"/>
        <v>0.18289820532264472</v>
      </c>
      <c r="L66" s="11">
        <f t="shared" si="21"/>
        <v>0.18361778348927479</v>
      </c>
      <c r="M66" s="11">
        <f t="shared" si="21"/>
        <v>0.18286671007348154</v>
      </c>
      <c r="N66" s="11">
        <f t="shared" si="21"/>
        <v>0.17629644009803683</v>
      </c>
      <c r="O66" s="11">
        <f t="shared" si="21"/>
        <v>0.1781856351686916</v>
      </c>
      <c r="P66" s="11">
        <f t="shared" si="21"/>
        <v>0.1861471270642828</v>
      </c>
      <c r="Q66" s="11">
        <f t="shared" si="21"/>
        <v>0.18955618984744632</v>
      </c>
      <c r="R66" s="11">
        <f t="shared" si="21"/>
        <v>0.19396265985271252</v>
      </c>
    </row>
    <row r="67" spans="1:18" ht="15" customHeight="1">
      <c r="A67" s="5" t="s">
        <v>64</v>
      </c>
      <c r="B67" s="10"/>
      <c r="C67" s="10"/>
      <c r="D67" s="10"/>
      <c r="E67" s="10">
        <f t="shared" ref="E67:R67" si="22">E57*(1-E66)</f>
        <v>70001.862271215126</v>
      </c>
      <c r="F67" s="10">
        <f t="shared" si="22"/>
        <v>72920.568803791801</v>
      </c>
      <c r="G67" s="10">
        <f t="shared" si="22"/>
        <v>77382.222545545243</v>
      </c>
      <c r="H67" s="10">
        <f t="shared" si="22"/>
        <v>81988.878104930336</v>
      </c>
      <c r="I67" s="10">
        <f t="shared" si="22"/>
        <v>86588.719049247607</v>
      </c>
      <c r="J67" s="10">
        <f t="shared" si="22"/>
        <v>89481.912364199758</v>
      </c>
      <c r="K67" s="10">
        <f t="shared" si="22"/>
        <v>92406.04196006211</v>
      </c>
      <c r="L67" s="10">
        <f t="shared" si="22"/>
        <v>96097.167087693975</v>
      </c>
      <c r="M67" s="10">
        <f t="shared" si="22"/>
        <v>99796.488698725705</v>
      </c>
      <c r="N67" s="10">
        <f t="shared" si="22"/>
        <v>105868.97114707953</v>
      </c>
      <c r="O67" s="10">
        <f t="shared" si="22"/>
        <v>111714.97931207357</v>
      </c>
      <c r="P67" s="10">
        <f t="shared" si="22"/>
        <v>116022.05171284291</v>
      </c>
      <c r="Q67" s="10">
        <f t="shared" si="22"/>
        <v>120721.27862889395</v>
      </c>
      <c r="R67" s="10">
        <f t="shared" si="22"/>
        <v>125126.81857244446</v>
      </c>
    </row>
    <row r="68" spans="1:18" ht="1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5" customHeight="1">
      <c r="A69" s="1" t="s">
        <v>65</v>
      </c>
      <c r="B69" s="9">
        <v>166542</v>
      </c>
      <c r="C69" s="9">
        <v>173566</v>
      </c>
      <c r="D69" s="9">
        <v>183136</v>
      </c>
      <c r="E69" s="9">
        <v>194683</v>
      </c>
      <c r="F69" s="9">
        <v>206223</v>
      </c>
      <c r="G69" s="9">
        <v>220714</v>
      </c>
      <c r="H69" s="9">
        <v>238268</v>
      </c>
      <c r="I69" s="9">
        <v>253152</v>
      </c>
      <c r="J69" s="9">
        <v>268477</v>
      </c>
      <c r="K69" s="9">
        <v>287723</v>
      </c>
      <c r="L69" s="9">
        <v>302695</v>
      </c>
      <c r="M69" s="9">
        <v>321891</v>
      </c>
      <c r="N69" s="9">
        <v>343479</v>
      </c>
      <c r="O69" s="9">
        <v>363076</v>
      </c>
      <c r="P69" s="9">
        <v>390875</v>
      </c>
      <c r="Q69" s="9">
        <v>414367</v>
      </c>
      <c r="R69" s="9">
        <v>442387</v>
      </c>
    </row>
    <row r="70" spans="1:18" ht="15" customHeight="1">
      <c r="A70" s="1" t="s">
        <v>66</v>
      </c>
      <c r="B70" s="9">
        <v>49781</v>
      </c>
      <c r="C70" s="9">
        <v>48622</v>
      </c>
      <c r="D70" s="9">
        <v>48116</v>
      </c>
      <c r="E70" s="9">
        <v>48210</v>
      </c>
      <c r="F70" s="9">
        <v>47237</v>
      </c>
      <c r="G70" s="9">
        <v>45694</v>
      </c>
      <c r="H70" s="9">
        <v>47178</v>
      </c>
      <c r="I70" s="9">
        <v>44907</v>
      </c>
      <c r="J70" s="9">
        <v>44937</v>
      </c>
      <c r="K70" s="9">
        <v>45117</v>
      </c>
      <c r="L70" s="9">
        <v>44970</v>
      </c>
      <c r="M70" s="9">
        <v>42881</v>
      </c>
      <c r="N70" s="9">
        <v>43151</v>
      </c>
      <c r="O70" s="9">
        <v>43208</v>
      </c>
      <c r="P70" s="9">
        <v>40262</v>
      </c>
      <c r="Q70" s="9">
        <v>40262</v>
      </c>
      <c r="R70" s="9">
        <v>40294</v>
      </c>
    </row>
    <row r="71" spans="1:18" ht="15" customHeight="1">
      <c r="A71" s="1" t="s">
        <v>67</v>
      </c>
      <c r="B71" s="9">
        <v>13717</v>
      </c>
      <c r="C71" s="9">
        <v>13884</v>
      </c>
      <c r="D71" s="9">
        <v>14285</v>
      </c>
      <c r="E71" s="9">
        <v>14639</v>
      </c>
      <c r="F71" s="9">
        <v>15137</v>
      </c>
      <c r="G71" s="9">
        <v>16025</v>
      </c>
      <c r="H71" s="9">
        <v>16942</v>
      </c>
      <c r="I71" s="9">
        <v>17882</v>
      </c>
      <c r="J71" s="9">
        <v>19077</v>
      </c>
      <c r="K71" s="9">
        <v>20370</v>
      </c>
      <c r="L71" s="9">
        <v>21862</v>
      </c>
      <c r="M71" s="9">
        <v>22924</v>
      </c>
      <c r="N71" s="9">
        <v>22861</v>
      </c>
      <c r="O71" s="9">
        <v>22733</v>
      </c>
      <c r="P71" s="9">
        <v>22865</v>
      </c>
      <c r="Q71" s="9">
        <v>22238</v>
      </c>
      <c r="R71" s="9">
        <v>21925</v>
      </c>
    </row>
    <row r="72" spans="1:18" ht="15" customHeight="1">
      <c r="A72" s="1" t="s">
        <v>68</v>
      </c>
      <c r="B72" s="9">
        <v>14902</v>
      </c>
      <c r="C72" s="9">
        <v>14630</v>
      </c>
      <c r="D72" s="9">
        <v>15584</v>
      </c>
      <c r="E72" s="9">
        <v>16463</v>
      </c>
      <c r="F72" s="9">
        <v>17067</v>
      </c>
      <c r="G72" s="9">
        <v>18154</v>
      </c>
      <c r="H72" s="9">
        <v>20197</v>
      </c>
      <c r="I72" s="9">
        <v>22905</v>
      </c>
      <c r="J72" s="9">
        <v>27145</v>
      </c>
      <c r="K72" s="9">
        <v>31351</v>
      </c>
      <c r="L72" s="9">
        <v>36077</v>
      </c>
      <c r="M72" s="9">
        <v>39214</v>
      </c>
      <c r="N72" s="9">
        <v>46172</v>
      </c>
      <c r="O72" s="9">
        <v>54434</v>
      </c>
      <c r="P72" s="9">
        <v>60151</v>
      </c>
      <c r="Q72" s="9">
        <v>62932</v>
      </c>
      <c r="R72" s="9">
        <v>66594</v>
      </c>
    </row>
    <row r="73" spans="1:18" ht="15" customHeight="1">
      <c r="A73" s="1" t="s">
        <v>69</v>
      </c>
      <c r="B73" s="9">
        <v>111648</v>
      </c>
      <c r="C73" s="9">
        <v>114101</v>
      </c>
      <c r="D73" s="9">
        <v>106605</v>
      </c>
      <c r="E73" s="9">
        <v>113842</v>
      </c>
      <c r="F73" s="9">
        <v>121141</v>
      </c>
      <c r="G73" s="9">
        <v>155374</v>
      </c>
      <c r="H73" s="9">
        <v>94384</v>
      </c>
      <c r="I73" s="9">
        <v>94828</v>
      </c>
      <c r="J73" s="9">
        <v>90143</v>
      </c>
      <c r="K73" s="9">
        <v>94206</v>
      </c>
      <c r="L73" s="9">
        <v>87136</v>
      </c>
      <c r="M73" s="9">
        <v>95653</v>
      </c>
      <c r="N73" s="9">
        <v>109970</v>
      </c>
      <c r="O73" s="9">
        <v>113477</v>
      </c>
      <c r="P73" s="9">
        <v>110664</v>
      </c>
      <c r="Q73" s="9">
        <v>111955</v>
      </c>
      <c r="R73" s="9">
        <v>113191</v>
      </c>
    </row>
    <row r="74" spans="1:18" ht="15" customHeight="1">
      <c r="A74" s="5" t="s">
        <v>21</v>
      </c>
      <c r="B74" s="10">
        <f t="shared" ref="B74:R74" si="23">SUM(B69:B72)-B73</f>
        <v>133294</v>
      </c>
      <c r="C74" s="10">
        <f t="shared" si="23"/>
        <v>136601</v>
      </c>
      <c r="D74" s="10">
        <f t="shared" si="23"/>
        <v>154516</v>
      </c>
      <c r="E74" s="10">
        <f t="shared" si="23"/>
        <v>160153</v>
      </c>
      <c r="F74" s="10">
        <f t="shared" si="23"/>
        <v>164523</v>
      </c>
      <c r="G74" s="10">
        <f t="shared" si="23"/>
        <v>145213</v>
      </c>
      <c r="H74" s="10">
        <f t="shared" si="23"/>
        <v>228201</v>
      </c>
      <c r="I74" s="10">
        <f t="shared" si="23"/>
        <v>244018</v>
      </c>
      <c r="J74" s="10">
        <f t="shared" si="23"/>
        <v>269493</v>
      </c>
      <c r="K74" s="10">
        <f t="shared" si="23"/>
        <v>290355</v>
      </c>
      <c r="L74" s="10">
        <f t="shared" si="23"/>
        <v>318468</v>
      </c>
      <c r="M74" s="10">
        <f t="shared" si="23"/>
        <v>331257</v>
      </c>
      <c r="N74" s="10">
        <f t="shared" si="23"/>
        <v>345693</v>
      </c>
      <c r="O74" s="10">
        <f t="shared" si="23"/>
        <v>369974</v>
      </c>
      <c r="P74" s="10">
        <f t="shared" si="23"/>
        <v>403489</v>
      </c>
      <c r="Q74" s="10">
        <f t="shared" si="23"/>
        <v>427844</v>
      </c>
      <c r="R74" s="10">
        <f t="shared" si="23"/>
        <v>458009</v>
      </c>
    </row>
    <row r="75" spans="1:18" ht="1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5" customHeight="1">
      <c r="A76" s="5" t="s">
        <v>70</v>
      </c>
      <c r="B76" s="10"/>
      <c r="C76" s="10"/>
      <c r="D76" s="10"/>
      <c r="E76" s="10"/>
      <c r="F76" s="10"/>
      <c r="G76" s="10"/>
      <c r="H76" s="10"/>
      <c r="I76" s="10">
        <f t="shared" ref="I76:R76" si="24">I67-E67</f>
        <v>16586.856778032481</v>
      </c>
      <c r="J76" s="10">
        <f t="shared" si="24"/>
        <v>16561.343560407957</v>
      </c>
      <c r="K76" s="10">
        <f t="shared" si="24"/>
        <v>15023.819414516867</v>
      </c>
      <c r="L76" s="10">
        <f t="shared" si="24"/>
        <v>14108.288982763639</v>
      </c>
      <c r="M76" s="10">
        <f t="shared" si="24"/>
        <v>13207.769649478098</v>
      </c>
      <c r="N76" s="10">
        <f t="shared" si="24"/>
        <v>16387.058782879772</v>
      </c>
      <c r="O76" s="10">
        <f t="shared" si="24"/>
        <v>19308.93735201146</v>
      </c>
      <c r="P76" s="10">
        <f t="shared" si="24"/>
        <v>19924.88462514893</v>
      </c>
      <c r="Q76" s="10">
        <f t="shared" si="24"/>
        <v>20924.789930168248</v>
      </c>
      <c r="R76" s="10">
        <f t="shared" si="24"/>
        <v>19257.847425364933</v>
      </c>
    </row>
    <row r="77" spans="1:18" ht="15" customHeight="1">
      <c r="A77" s="5" t="s">
        <v>71</v>
      </c>
      <c r="B77" s="10"/>
      <c r="C77" s="10"/>
      <c r="D77" s="10"/>
      <c r="E77" s="10"/>
      <c r="F77" s="10"/>
      <c r="G77" s="10"/>
      <c r="H77" s="10"/>
      <c r="I77" s="10">
        <f t="shared" ref="I77:R77" si="25">I74-E74</f>
        <v>83865</v>
      </c>
      <c r="J77" s="10">
        <f t="shared" si="25"/>
        <v>104970</v>
      </c>
      <c r="K77" s="10">
        <f t="shared" si="25"/>
        <v>145142</v>
      </c>
      <c r="L77" s="10">
        <f t="shared" si="25"/>
        <v>90267</v>
      </c>
      <c r="M77" s="10">
        <f t="shared" si="25"/>
        <v>87239</v>
      </c>
      <c r="N77" s="10">
        <f t="shared" si="25"/>
        <v>76200</v>
      </c>
      <c r="O77" s="10">
        <f t="shared" si="25"/>
        <v>79619</v>
      </c>
      <c r="P77" s="10">
        <f t="shared" si="25"/>
        <v>85021</v>
      </c>
      <c r="Q77" s="10">
        <f t="shared" si="25"/>
        <v>96587</v>
      </c>
      <c r="R77" s="10">
        <f t="shared" si="25"/>
        <v>112316</v>
      </c>
    </row>
    <row r="78" spans="1:18" ht="15" customHeight="1">
      <c r="A78" s="5" t="s">
        <v>72</v>
      </c>
      <c r="B78" s="11"/>
      <c r="C78" s="11"/>
      <c r="D78" s="11"/>
      <c r="E78" s="11"/>
      <c r="F78" s="11"/>
      <c r="G78" s="11"/>
      <c r="H78" s="11"/>
      <c r="I78" s="11">
        <f t="shared" ref="I78:R78" si="26">IF(I77&gt;0,I76/I77,"N/M")</f>
        <v>0.19778044211569165</v>
      </c>
      <c r="J78" s="11">
        <f t="shared" si="26"/>
        <v>0.15777215928749125</v>
      </c>
      <c r="K78" s="11">
        <f t="shared" si="26"/>
        <v>0.1035111781187862</v>
      </c>
      <c r="L78" s="11">
        <f t="shared" si="26"/>
        <v>0.15629509103840428</v>
      </c>
      <c r="M78" s="11">
        <f t="shared" si="26"/>
        <v>0.15139753607306478</v>
      </c>
      <c r="N78" s="11">
        <f t="shared" si="26"/>
        <v>0.21505326486718862</v>
      </c>
      <c r="O78" s="11">
        <f t="shared" si="26"/>
        <v>0.24251670269673647</v>
      </c>
      <c r="P78" s="11">
        <f t="shared" si="26"/>
        <v>0.2343525084996522</v>
      </c>
      <c r="Q78" s="11">
        <f t="shared" si="26"/>
        <v>0.2166418869016353</v>
      </c>
      <c r="R78" s="11">
        <f t="shared" si="26"/>
        <v>0.1714613004858162</v>
      </c>
    </row>
    <row r="79" spans="1:18" ht="1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5" customHeight="1">
      <c r="A81" s="5" t="s">
        <v>15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5" customHeight="1">
      <c r="A82" s="5" t="s">
        <v>2</v>
      </c>
      <c r="B82" s="7" t="s">
        <v>27</v>
      </c>
      <c r="C82" s="7" t="s">
        <v>28</v>
      </c>
      <c r="D82" s="7" t="s">
        <v>29</v>
      </c>
      <c r="E82" s="7" t="s">
        <v>30</v>
      </c>
      <c r="F82" s="7" t="s">
        <v>31</v>
      </c>
      <c r="G82" s="7" t="s">
        <v>32</v>
      </c>
      <c r="H82" s="7" t="s">
        <v>33</v>
      </c>
      <c r="I82" s="7" t="s">
        <v>3</v>
      </c>
      <c r="J82" s="7" t="s">
        <v>4</v>
      </c>
      <c r="K82" s="7" t="s">
        <v>5</v>
      </c>
      <c r="L82" s="7" t="s">
        <v>6</v>
      </c>
      <c r="M82" s="7" t="s">
        <v>7</v>
      </c>
      <c r="N82" s="7" t="s">
        <v>8</v>
      </c>
      <c r="O82" s="7" t="s">
        <v>9</v>
      </c>
      <c r="P82" s="7" t="s">
        <v>10</v>
      </c>
      <c r="Q82" s="7" t="s">
        <v>11</v>
      </c>
      <c r="R82" s="7" t="s">
        <v>12</v>
      </c>
    </row>
    <row r="83" spans="1:18" ht="15" customHeight="1">
      <c r="A83" s="5" t="s">
        <v>34</v>
      </c>
      <c r="B83" s="7" t="s">
        <v>35</v>
      </c>
      <c r="C83" s="7" t="s">
        <v>36</v>
      </c>
      <c r="D83" s="7" t="s">
        <v>37</v>
      </c>
      <c r="E83" s="7" t="s">
        <v>38</v>
      </c>
      <c r="F83" s="7" t="s">
        <v>39</v>
      </c>
      <c r="G83" s="7" t="s">
        <v>40</v>
      </c>
      <c r="H83" s="7" t="s">
        <v>41</v>
      </c>
      <c r="I83" s="7" t="s">
        <v>42</v>
      </c>
      <c r="J83" s="7" t="s">
        <v>43</v>
      </c>
      <c r="K83" s="7" t="s">
        <v>44</v>
      </c>
      <c r="L83" s="7" t="s">
        <v>45</v>
      </c>
      <c r="M83" s="7" t="s">
        <v>46</v>
      </c>
      <c r="N83" s="7" t="s">
        <v>47</v>
      </c>
      <c r="O83" s="7" t="s">
        <v>48</v>
      </c>
      <c r="P83" s="7" t="s">
        <v>49</v>
      </c>
      <c r="Q83" s="7" t="s">
        <v>50</v>
      </c>
      <c r="R83" s="7" t="s">
        <v>51</v>
      </c>
    </row>
    <row r="84" spans="1:18" ht="1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5" customHeight="1">
      <c r="A85" s="1" t="s">
        <v>52</v>
      </c>
      <c r="B85" s="9">
        <v>19453</v>
      </c>
      <c r="C85" s="9">
        <v>17135</v>
      </c>
      <c r="D85" s="9">
        <v>18160</v>
      </c>
      <c r="E85" s="9">
        <v>17415</v>
      </c>
      <c r="F85" s="9">
        <v>21838</v>
      </c>
      <c r="G85" s="9">
        <v>21343</v>
      </c>
      <c r="H85" s="9">
        <v>23697</v>
      </c>
      <c r="I85" s="9">
        <v>25472</v>
      </c>
      <c r="J85" s="9">
        <v>27425</v>
      </c>
      <c r="K85" s="9">
        <v>28521</v>
      </c>
      <c r="L85" s="9">
        <v>30972</v>
      </c>
      <c r="M85" s="9">
        <v>30606</v>
      </c>
      <c r="N85" s="9">
        <v>31271</v>
      </c>
      <c r="O85" s="9">
        <v>31228</v>
      </c>
      <c r="P85" s="9">
        <v>35934</v>
      </c>
      <c r="Q85" s="9">
        <v>39696</v>
      </c>
      <c r="R85" s="9">
        <v>40770</v>
      </c>
    </row>
    <row r="86" spans="1:18" ht="15" customHeight="1">
      <c r="A86" s="1" t="s">
        <v>53</v>
      </c>
      <c r="B86" s="9">
        <v>0</v>
      </c>
      <c r="C86" s="9">
        <v>0</v>
      </c>
      <c r="D86" s="9">
        <v>0</v>
      </c>
      <c r="E86" s="9">
        <v>2558</v>
      </c>
      <c r="F86" s="9">
        <v>70</v>
      </c>
      <c r="G86" s="9">
        <v>102</v>
      </c>
      <c r="H86" s="9">
        <v>1203</v>
      </c>
      <c r="I86" s="9">
        <v>716</v>
      </c>
      <c r="J86" s="9">
        <v>0</v>
      </c>
      <c r="K86" s="9">
        <v>0</v>
      </c>
      <c r="L86" s="9">
        <v>284</v>
      </c>
      <c r="M86" s="9">
        <v>0</v>
      </c>
      <c r="N86" s="9">
        <v>1400</v>
      </c>
      <c r="O86" s="9">
        <v>3500</v>
      </c>
      <c r="P86" s="9">
        <v>0</v>
      </c>
      <c r="Q86" s="9">
        <v>0</v>
      </c>
      <c r="R86" s="9">
        <v>1500</v>
      </c>
    </row>
    <row r="87" spans="1:18" ht="15" customHeight="1">
      <c r="A87" s="5" t="s">
        <v>54</v>
      </c>
      <c r="B87" s="10">
        <f t="shared" ref="B87:R87" si="27">B85+B86</f>
        <v>19453</v>
      </c>
      <c r="C87" s="10">
        <f t="shared" si="27"/>
        <v>17135</v>
      </c>
      <c r="D87" s="10">
        <f t="shared" si="27"/>
        <v>18160</v>
      </c>
      <c r="E87" s="10">
        <f t="shared" si="27"/>
        <v>19973</v>
      </c>
      <c r="F87" s="10">
        <f t="shared" si="27"/>
        <v>21908</v>
      </c>
      <c r="G87" s="10">
        <f t="shared" si="27"/>
        <v>21445</v>
      </c>
      <c r="H87" s="10">
        <f t="shared" si="27"/>
        <v>24900</v>
      </c>
      <c r="I87" s="10">
        <f t="shared" si="27"/>
        <v>26188</v>
      </c>
      <c r="J87" s="10">
        <f t="shared" si="27"/>
        <v>27425</v>
      </c>
      <c r="K87" s="10">
        <f t="shared" si="27"/>
        <v>28521</v>
      </c>
      <c r="L87" s="10">
        <f t="shared" si="27"/>
        <v>31256</v>
      </c>
      <c r="M87" s="10">
        <f t="shared" si="27"/>
        <v>30606</v>
      </c>
      <c r="N87" s="10">
        <f t="shared" si="27"/>
        <v>32671</v>
      </c>
      <c r="O87" s="10">
        <f t="shared" si="27"/>
        <v>34728</v>
      </c>
      <c r="P87" s="10">
        <f t="shared" si="27"/>
        <v>35934</v>
      </c>
      <c r="Q87" s="10">
        <f t="shared" si="27"/>
        <v>39696</v>
      </c>
      <c r="R87" s="10">
        <f t="shared" si="27"/>
        <v>42270</v>
      </c>
    </row>
    <row r="88" spans="1:18" ht="15" customHeight="1">
      <c r="A88" s="5" t="s">
        <v>55</v>
      </c>
      <c r="B88" s="10"/>
      <c r="C88" s="10"/>
      <c r="D88" s="10"/>
      <c r="E88" s="10">
        <f t="shared" ref="E88:R88" si="28">SUM(B87:E87)</f>
        <v>74721</v>
      </c>
      <c r="F88" s="10">
        <f t="shared" si="28"/>
        <v>77176</v>
      </c>
      <c r="G88" s="10">
        <f t="shared" si="28"/>
        <v>81486</v>
      </c>
      <c r="H88" s="10">
        <f t="shared" si="28"/>
        <v>88226</v>
      </c>
      <c r="I88" s="10">
        <f t="shared" si="28"/>
        <v>94441</v>
      </c>
      <c r="J88" s="10">
        <f t="shared" si="28"/>
        <v>99958</v>
      </c>
      <c r="K88" s="10">
        <f t="shared" si="28"/>
        <v>107034</v>
      </c>
      <c r="L88" s="10">
        <f t="shared" si="28"/>
        <v>113390</v>
      </c>
      <c r="M88" s="10">
        <f t="shared" si="28"/>
        <v>117808</v>
      </c>
      <c r="N88" s="10">
        <f t="shared" si="28"/>
        <v>123054</v>
      </c>
      <c r="O88" s="10">
        <f t="shared" si="28"/>
        <v>129261</v>
      </c>
      <c r="P88" s="10">
        <f t="shared" si="28"/>
        <v>133939</v>
      </c>
      <c r="Q88" s="10">
        <f t="shared" si="28"/>
        <v>143029</v>
      </c>
      <c r="R88" s="10">
        <f t="shared" si="28"/>
        <v>152628</v>
      </c>
    </row>
    <row r="89" spans="1:18" ht="1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5" customHeight="1">
      <c r="A90" s="1" t="s">
        <v>56</v>
      </c>
      <c r="B90" s="9">
        <v>19014</v>
      </c>
      <c r="C90" s="9">
        <v>16233</v>
      </c>
      <c r="D90" s="9">
        <v>17147</v>
      </c>
      <c r="E90" s="9">
        <v>18205</v>
      </c>
      <c r="F90" s="9">
        <v>21903</v>
      </c>
      <c r="G90" s="9">
        <v>21197</v>
      </c>
      <c r="H90" s="9">
        <v>24412</v>
      </c>
      <c r="I90" s="9">
        <v>28315</v>
      </c>
      <c r="J90" s="9">
        <v>27551</v>
      </c>
      <c r="K90" s="9">
        <v>31706</v>
      </c>
      <c r="L90" s="9">
        <v>32243</v>
      </c>
      <c r="M90" s="9">
        <v>41789</v>
      </c>
      <c r="N90" s="9">
        <v>33933</v>
      </c>
      <c r="O90" s="9">
        <v>43987</v>
      </c>
      <c r="P90" s="9">
        <v>39117</v>
      </c>
      <c r="Q90" s="9">
        <v>77412</v>
      </c>
      <c r="R90" s="9">
        <v>138753</v>
      </c>
    </row>
    <row r="91" spans="1:18" ht="15" customHeight="1">
      <c r="A91" s="1" t="s">
        <v>57</v>
      </c>
      <c r="B91" s="9">
        <f t="shared" ref="B91:R91" si="29">B86</f>
        <v>0</v>
      </c>
      <c r="C91" s="9">
        <f t="shared" si="29"/>
        <v>0</v>
      </c>
      <c r="D91" s="9">
        <f t="shared" si="29"/>
        <v>0</v>
      </c>
      <c r="E91" s="9">
        <f t="shared" si="29"/>
        <v>2558</v>
      </c>
      <c r="F91" s="9">
        <f t="shared" si="29"/>
        <v>70</v>
      </c>
      <c r="G91" s="9">
        <f t="shared" si="29"/>
        <v>102</v>
      </c>
      <c r="H91" s="9">
        <f t="shared" si="29"/>
        <v>1203</v>
      </c>
      <c r="I91" s="9">
        <f t="shared" si="29"/>
        <v>716</v>
      </c>
      <c r="J91" s="9">
        <f t="shared" si="29"/>
        <v>0</v>
      </c>
      <c r="K91" s="9">
        <f t="shared" si="29"/>
        <v>0</v>
      </c>
      <c r="L91" s="9">
        <f t="shared" si="29"/>
        <v>284</v>
      </c>
      <c r="M91" s="9">
        <f t="shared" si="29"/>
        <v>0</v>
      </c>
      <c r="N91" s="9">
        <f t="shared" si="29"/>
        <v>1400</v>
      </c>
      <c r="O91" s="9">
        <f t="shared" si="29"/>
        <v>3500</v>
      </c>
      <c r="P91" s="9">
        <f t="shared" si="29"/>
        <v>0</v>
      </c>
      <c r="Q91" s="9">
        <f t="shared" si="29"/>
        <v>0</v>
      </c>
      <c r="R91" s="9">
        <f t="shared" si="29"/>
        <v>1500</v>
      </c>
    </row>
    <row r="92" spans="1:18" ht="15" customHeight="1">
      <c r="A92" s="5" t="s">
        <v>58</v>
      </c>
      <c r="B92" s="10">
        <f t="shared" ref="B92:R92" si="30">B90+B91</f>
        <v>19014</v>
      </c>
      <c r="C92" s="10">
        <f t="shared" si="30"/>
        <v>16233</v>
      </c>
      <c r="D92" s="10">
        <f t="shared" si="30"/>
        <v>17147</v>
      </c>
      <c r="E92" s="10">
        <f t="shared" si="30"/>
        <v>20763</v>
      </c>
      <c r="F92" s="10">
        <f t="shared" si="30"/>
        <v>21973</v>
      </c>
      <c r="G92" s="10">
        <f t="shared" si="30"/>
        <v>21299</v>
      </c>
      <c r="H92" s="10">
        <f t="shared" si="30"/>
        <v>25615</v>
      </c>
      <c r="I92" s="10">
        <f t="shared" si="30"/>
        <v>29031</v>
      </c>
      <c r="J92" s="10">
        <f t="shared" si="30"/>
        <v>27551</v>
      </c>
      <c r="K92" s="10">
        <f t="shared" si="30"/>
        <v>31706</v>
      </c>
      <c r="L92" s="10">
        <f t="shared" si="30"/>
        <v>32527</v>
      </c>
      <c r="M92" s="10">
        <f t="shared" si="30"/>
        <v>41789</v>
      </c>
      <c r="N92" s="10">
        <f t="shared" si="30"/>
        <v>35333</v>
      </c>
      <c r="O92" s="10">
        <f t="shared" si="30"/>
        <v>47487</v>
      </c>
      <c r="P92" s="10">
        <f t="shared" si="30"/>
        <v>39117</v>
      </c>
      <c r="Q92" s="10">
        <f t="shared" si="30"/>
        <v>77412</v>
      </c>
      <c r="R92" s="10">
        <f t="shared" si="30"/>
        <v>140253</v>
      </c>
    </row>
    <row r="93" spans="1:18" ht="15" customHeight="1">
      <c r="A93" s="1" t="s">
        <v>59</v>
      </c>
      <c r="B93" s="9">
        <v>3012</v>
      </c>
      <c r="C93" s="9">
        <v>2323</v>
      </c>
      <c r="D93" s="9">
        <v>3523</v>
      </c>
      <c r="E93" s="9">
        <v>3154</v>
      </c>
      <c r="F93" s="9">
        <v>3535</v>
      </c>
      <c r="G93" s="9">
        <v>1508</v>
      </c>
      <c r="H93" s="9">
        <v>3725</v>
      </c>
      <c r="I93" s="9">
        <v>4653</v>
      </c>
      <c r="J93" s="9">
        <v>3932</v>
      </c>
      <c r="K93" s="9">
        <v>5405</v>
      </c>
      <c r="L93" s="9">
        <v>5707</v>
      </c>
      <c r="M93" s="9">
        <v>7249</v>
      </c>
      <c r="N93" s="9">
        <v>5737</v>
      </c>
      <c r="O93" s="9">
        <v>9008</v>
      </c>
      <c r="P93" s="9">
        <v>4662</v>
      </c>
      <c r="Q93" s="9">
        <v>14834</v>
      </c>
      <c r="R93" s="9">
        <v>26560</v>
      </c>
    </row>
    <row r="94" spans="1:18" ht="15" customHeight="1">
      <c r="A94" s="1" t="s">
        <v>60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</row>
    <row r="95" spans="1:18" ht="15" customHeight="1">
      <c r="A95" s="1" t="s">
        <v>61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" customHeight="1">
      <c r="A96" s="5" t="s">
        <v>62</v>
      </c>
      <c r="B96" s="10">
        <f t="shared" ref="B96:R96" si="31">IF(B95="",B93-B94,B92*B95)</f>
        <v>3012</v>
      </c>
      <c r="C96" s="10">
        <f t="shared" si="31"/>
        <v>2323</v>
      </c>
      <c r="D96" s="10">
        <f t="shared" si="31"/>
        <v>3523</v>
      </c>
      <c r="E96" s="10">
        <f t="shared" si="31"/>
        <v>3154</v>
      </c>
      <c r="F96" s="10">
        <f t="shared" si="31"/>
        <v>3535</v>
      </c>
      <c r="G96" s="10">
        <f t="shared" si="31"/>
        <v>1508</v>
      </c>
      <c r="H96" s="10">
        <f t="shared" si="31"/>
        <v>3725</v>
      </c>
      <c r="I96" s="10">
        <f t="shared" si="31"/>
        <v>4653</v>
      </c>
      <c r="J96" s="10">
        <f t="shared" si="31"/>
        <v>3932</v>
      </c>
      <c r="K96" s="10">
        <f t="shared" si="31"/>
        <v>5405</v>
      </c>
      <c r="L96" s="10">
        <f t="shared" si="31"/>
        <v>5707</v>
      </c>
      <c r="M96" s="10">
        <f t="shared" si="31"/>
        <v>7249</v>
      </c>
      <c r="N96" s="10">
        <f t="shared" si="31"/>
        <v>5737</v>
      </c>
      <c r="O96" s="10">
        <f t="shared" si="31"/>
        <v>9008</v>
      </c>
      <c r="P96" s="10">
        <f t="shared" si="31"/>
        <v>4662</v>
      </c>
      <c r="Q96" s="10">
        <f t="shared" si="31"/>
        <v>14834</v>
      </c>
      <c r="R96" s="10">
        <f t="shared" si="31"/>
        <v>26560</v>
      </c>
    </row>
    <row r="97" spans="1:18" ht="15" customHeight="1">
      <c r="A97" s="5" t="s">
        <v>63</v>
      </c>
      <c r="B97" s="11"/>
      <c r="C97" s="11"/>
      <c r="D97" s="11"/>
      <c r="E97" s="11">
        <f t="shared" ref="E97:R97" si="32">SUM(B96:E96)/SUM(B92:E92)</f>
        <v>0.16419481389340734</v>
      </c>
      <c r="F97" s="11">
        <f t="shared" si="32"/>
        <v>0.16468285248830733</v>
      </c>
      <c r="G97" s="11">
        <f t="shared" si="32"/>
        <v>0.14436697790150527</v>
      </c>
      <c r="H97" s="11">
        <f t="shared" si="32"/>
        <v>0.13298382598996095</v>
      </c>
      <c r="I97" s="11">
        <f t="shared" si="32"/>
        <v>0.13706366551604404</v>
      </c>
      <c r="J97" s="11">
        <f t="shared" si="32"/>
        <v>0.13351240627657107</v>
      </c>
      <c r="K97" s="11">
        <f t="shared" si="32"/>
        <v>0.15552707127994872</v>
      </c>
      <c r="L97" s="11">
        <f t="shared" si="32"/>
        <v>0.16303439142490586</v>
      </c>
      <c r="M97" s="11">
        <f t="shared" si="32"/>
        <v>0.16689750174062123</v>
      </c>
      <c r="N97" s="11">
        <f t="shared" si="32"/>
        <v>0.17047858229280888</v>
      </c>
      <c r="O97" s="11">
        <f t="shared" si="32"/>
        <v>0.17628678342327664</v>
      </c>
      <c r="P97" s="11">
        <f t="shared" si="32"/>
        <v>0.16280859484748911</v>
      </c>
      <c r="Q97" s="11">
        <f t="shared" si="32"/>
        <v>0.17176409211985011</v>
      </c>
      <c r="R97" s="11">
        <f t="shared" si="32"/>
        <v>0.1809714430323168</v>
      </c>
    </row>
    <row r="98" spans="1:18" ht="15" customHeight="1">
      <c r="A98" s="5" t="s">
        <v>64</v>
      </c>
      <c r="B98" s="10"/>
      <c r="C98" s="10"/>
      <c r="D98" s="10"/>
      <c r="E98" s="10">
        <f t="shared" ref="E98:R98" si="33">E88*(1-E97)</f>
        <v>62452.199311070712</v>
      </c>
      <c r="F98" s="10">
        <f t="shared" si="33"/>
        <v>64466.436176362397</v>
      </c>
      <c r="G98" s="10">
        <f t="shared" si="33"/>
        <v>69722.112438717944</v>
      </c>
      <c r="H98" s="10">
        <f t="shared" si="33"/>
        <v>76493.368968209703</v>
      </c>
      <c r="I98" s="10">
        <f t="shared" si="33"/>
        <v>81496.570364999294</v>
      </c>
      <c r="J98" s="10">
        <f t="shared" si="33"/>
        <v>86612.366893406506</v>
      </c>
      <c r="K98" s="10">
        <f t="shared" si="33"/>
        <v>90387.315452621973</v>
      </c>
      <c r="L98" s="10">
        <f t="shared" si="33"/>
        <v>94903.530356329924</v>
      </c>
      <c r="M98" s="10">
        <f t="shared" si="33"/>
        <v>98146.139114940888</v>
      </c>
      <c r="N98" s="10">
        <f t="shared" si="33"/>
        <v>102075.9285345407</v>
      </c>
      <c r="O98" s="10">
        <f t="shared" si="33"/>
        <v>106473.99408792384</v>
      </c>
      <c r="P98" s="10">
        <f t="shared" si="33"/>
        <v>112132.57961472216</v>
      </c>
      <c r="Q98" s="10">
        <f t="shared" si="33"/>
        <v>118461.75366818997</v>
      </c>
      <c r="R98" s="10">
        <f t="shared" si="33"/>
        <v>125006.69059286355</v>
      </c>
    </row>
    <row r="99" spans="1:18" ht="1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5" customHeight="1">
      <c r="A100" s="1" t="s">
        <v>65</v>
      </c>
      <c r="B100" s="9">
        <v>255419</v>
      </c>
      <c r="C100" s="9">
        <v>253626</v>
      </c>
      <c r="D100" s="9">
        <v>256144</v>
      </c>
      <c r="E100" s="9">
        <v>260894</v>
      </c>
      <c r="F100" s="9">
        <v>267141</v>
      </c>
      <c r="G100" s="9">
        <v>273202</v>
      </c>
      <c r="H100" s="9">
        <v>283379</v>
      </c>
      <c r="I100" s="9">
        <v>292844</v>
      </c>
      <c r="J100" s="9">
        <v>300753</v>
      </c>
      <c r="K100" s="9">
        <v>314119</v>
      </c>
      <c r="L100" s="9">
        <v>325084</v>
      </c>
      <c r="M100" s="9">
        <v>345267</v>
      </c>
      <c r="N100" s="9">
        <v>362916</v>
      </c>
      <c r="O100" s="9">
        <v>386867</v>
      </c>
      <c r="P100" s="9">
        <v>415265</v>
      </c>
      <c r="Q100" s="9">
        <v>478746</v>
      </c>
      <c r="R100" s="9">
        <v>640480</v>
      </c>
    </row>
    <row r="101" spans="1:18" ht="15" customHeight="1">
      <c r="A101" s="1" t="s">
        <v>66</v>
      </c>
      <c r="B101" s="9">
        <v>14966</v>
      </c>
      <c r="C101" s="9">
        <v>15213</v>
      </c>
      <c r="D101" s="9">
        <v>15142</v>
      </c>
      <c r="E101" s="9">
        <v>15208</v>
      </c>
      <c r="F101" s="9">
        <v>15159</v>
      </c>
      <c r="G101" s="9">
        <v>15314</v>
      </c>
      <c r="H101" s="9">
        <v>14746</v>
      </c>
      <c r="I101" s="9">
        <v>13672</v>
      </c>
      <c r="J101" s="9">
        <v>14280</v>
      </c>
      <c r="K101" s="9">
        <v>14785</v>
      </c>
      <c r="L101" s="9">
        <v>12000</v>
      </c>
      <c r="M101" s="9">
        <v>11886</v>
      </c>
      <c r="N101" s="9">
        <v>24607</v>
      </c>
      <c r="O101" s="9">
        <v>23602</v>
      </c>
      <c r="P101" s="9">
        <v>49085</v>
      </c>
      <c r="Q101" s="9">
        <v>79499</v>
      </c>
      <c r="R101" s="9">
        <v>100164</v>
      </c>
    </row>
    <row r="102" spans="1:18" ht="15" customHeight="1">
      <c r="A102" s="1" t="s">
        <v>67</v>
      </c>
      <c r="B102" s="9">
        <v>13994</v>
      </c>
      <c r="C102" s="9">
        <v>14269</v>
      </c>
      <c r="D102" s="9">
        <v>14978</v>
      </c>
      <c r="E102" s="9">
        <v>15424</v>
      </c>
      <c r="F102" s="9">
        <v>15409</v>
      </c>
      <c r="G102" s="9">
        <v>15265</v>
      </c>
      <c r="H102" s="9">
        <v>15251</v>
      </c>
      <c r="I102" s="9">
        <v>14831</v>
      </c>
      <c r="J102" s="9">
        <v>14563</v>
      </c>
      <c r="K102" s="9">
        <v>14625</v>
      </c>
      <c r="L102" s="9">
        <v>14578</v>
      </c>
      <c r="M102" s="9">
        <v>14551</v>
      </c>
      <c r="N102" s="9">
        <v>14959</v>
      </c>
      <c r="O102" s="9">
        <v>15205</v>
      </c>
      <c r="P102" s="9">
        <v>15954</v>
      </c>
      <c r="Q102" s="9">
        <v>16161</v>
      </c>
      <c r="R102" s="9">
        <v>18037</v>
      </c>
    </row>
    <row r="103" spans="1:18" ht="15" customHeight="1">
      <c r="A103" s="1" t="s">
        <v>68</v>
      </c>
      <c r="B103" s="9">
        <v>1966</v>
      </c>
      <c r="C103" s="9">
        <v>2213</v>
      </c>
      <c r="D103" s="9">
        <v>2142</v>
      </c>
      <c r="E103" s="9">
        <v>2208</v>
      </c>
      <c r="F103" s="9">
        <v>2159</v>
      </c>
      <c r="G103" s="9">
        <v>2314</v>
      </c>
      <c r="H103" s="9">
        <v>1746</v>
      </c>
      <c r="I103" s="9">
        <v>1672</v>
      </c>
      <c r="J103" s="9">
        <v>2280</v>
      </c>
      <c r="K103" s="9">
        <v>2785</v>
      </c>
      <c r="L103" s="9">
        <v>1677</v>
      </c>
      <c r="M103" s="9">
        <v>2061</v>
      </c>
      <c r="N103" s="9">
        <v>2102</v>
      </c>
      <c r="O103" s="9">
        <v>2388</v>
      </c>
      <c r="P103" s="9">
        <v>2500</v>
      </c>
      <c r="Q103" s="9">
        <v>2214</v>
      </c>
      <c r="R103" s="9">
        <v>2590</v>
      </c>
    </row>
    <row r="104" spans="1:18" ht="15" customHeight="1">
      <c r="A104" s="1" t="s">
        <v>69</v>
      </c>
      <c r="B104" s="9">
        <v>155662</v>
      </c>
      <c r="C104" s="9">
        <v>146678</v>
      </c>
      <c r="D104" s="9">
        <v>144254</v>
      </c>
      <c r="E104" s="9">
        <v>146315</v>
      </c>
      <c r="F104" s="9">
        <v>149556</v>
      </c>
      <c r="G104" s="9">
        <v>150842</v>
      </c>
      <c r="H104" s="9">
        <v>141924</v>
      </c>
      <c r="I104" s="9">
        <v>142084</v>
      </c>
      <c r="J104" s="9">
        <v>134897</v>
      </c>
      <c r="K104" s="9">
        <v>129407</v>
      </c>
      <c r="L104" s="9">
        <v>133639</v>
      </c>
      <c r="M104" s="9">
        <v>146357</v>
      </c>
      <c r="N104" s="9">
        <v>147722</v>
      </c>
      <c r="O104" s="9">
        <v>162296</v>
      </c>
      <c r="P104" s="9">
        <v>195530</v>
      </c>
      <c r="Q104" s="9">
        <v>233786</v>
      </c>
      <c r="R104" s="9">
        <v>373935</v>
      </c>
    </row>
    <row r="105" spans="1:18" ht="15" customHeight="1">
      <c r="A105" s="5" t="s">
        <v>21</v>
      </c>
      <c r="B105" s="10">
        <f t="shared" ref="B105:R105" si="34">SUM(B100:B103)-B104</f>
        <v>130683</v>
      </c>
      <c r="C105" s="10">
        <f t="shared" si="34"/>
        <v>138643</v>
      </c>
      <c r="D105" s="10">
        <f t="shared" si="34"/>
        <v>144152</v>
      </c>
      <c r="E105" s="10">
        <f t="shared" si="34"/>
        <v>147419</v>
      </c>
      <c r="F105" s="10">
        <f t="shared" si="34"/>
        <v>150312</v>
      </c>
      <c r="G105" s="10">
        <f t="shared" si="34"/>
        <v>155253</v>
      </c>
      <c r="H105" s="10">
        <f t="shared" si="34"/>
        <v>173198</v>
      </c>
      <c r="I105" s="10">
        <f t="shared" si="34"/>
        <v>180935</v>
      </c>
      <c r="J105" s="10">
        <f t="shared" si="34"/>
        <v>196979</v>
      </c>
      <c r="K105" s="10">
        <f t="shared" si="34"/>
        <v>216907</v>
      </c>
      <c r="L105" s="10">
        <f t="shared" si="34"/>
        <v>219700</v>
      </c>
      <c r="M105" s="10">
        <f t="shared" si="34"/>
        <v>227408</v>
      </c>
      <c r="N105" s="10">
        <f t="shared" si="34"/>
        <v>256862</v>
      </c>
      <c r="O105" s="10">
        <f t="shared" si="34"/>
        <v>265766</v>
      </c>
      <c r="P105" s="10">
        <f t="shared" si="34"/>
        <v>287274</v>
      </c>
      <c r="Q105" s="10">
        <f t="shared" si="34"/>
        <v>342834</v>
      </c>
      <c r="R105" s="10">
        <f t="shared" si="34"/>
        <v>387336</v>
      </c>
    </row>
    <row r="106" spans="1:18" ht="1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5" customHeight="1">
      <c r="A107" s="5" t="s">
        <v>70</v>
      </c>
      <c r="B107" s="10"/>
      <c r="C107" s="10"/>
      <c r="D107" s="10"/>
      <c r="E107" s="10"/>
      <c r="F107" s="10"/>
      <c r="G107" s="10"/>
      <c r="H107" s="10"/>
      <c r="I107" s="10">
        <f t="shared" ref="I107:R107" si="35">I98-E98</f>
        <v>19044.371053928582</v>
      </c>
      <c r="J107" s="10">
        <f t="shared" si="35"/>
        <v>22145.93071704411</v>
      </c>
      <c r="K107" s="10">
        <f t="shared" si="35"/>
        <v>20665.203013904029</v>
      </c>
      <c r="L107" s="10">
        <f t="shared" si="35"/>
        <v>18410.161388120221</v>
      </c>
      <c r="M107" s="10">
        <f t="shared" si="35"/>
        <v>16649.568749941594</v>
      </c>
      <c r="N107" s="10">
        <f t="shared" si="35"/>
        <v>15463.561641134191</v>
      </c>
      <c r="O107" s="10">
        <f t="shared" si="35"/>
        <v>16086.678635301869</v>
      </c>
      <c r="P107" s="10">
        <f t="shared" si="35"/>
        <v>17229.049258392231</v>
      </c>
      <c r="Q107" s="10">
        <f t="shared" si="35"/>
        <v>20315.614553249077</v>
      </c>
      <c r="R107" s="10">
        <f t="shared" si="35"/>
        <v>22930.762058322856</v>
      </c>
    </row>
    <row r="108" spans="1:18" ht="15" customHeight="1">
      <c r="A108" s="5" t="s">
        <v>71</v>
      </c>
      <c r="B108" s="10"/>
      <c r="C108" s="10"/>
      <c r="D108" s="10"/>
      <c r="E108" s="10"/>
      <c r="F108" s="10"/>
      <c r="G108" s="10"/>
      <c r="H108" s="10"/>
      <c r="I108" s="10">
        <f t="shared" ref="I108:R108" si="36">I105-E105</f>
        <v>33516</v>
      </c>
      <c r="J108" s="10">
        <f t="shared" si="36"/>
        <v>46667</v>
      </c>
      <c r="K108" s="10">
        <f t="shared" si="36"/>
        <v>61654</v>
      </c>
      <c r="L108" s="10">
        <f t="shared" si="36"/>
        <v>46502</v>
      </c>
      <c r="M108" s="10">
        <f t="shared" si="36"/>
        <v>46473</v>
      </c>
      <c r="N108" s="10">
        <f t="shared" si="36"/>
        <v>59883</v>
      </c>
      <c r="O108" s="10">
        <f t="shared" si="36"/>
        <v>48859</v>
      </c>
      <c r="P108" s="10">
        <f t="shared" si="36"/>
        <v>67574</v>
      </c>
      <c r="Q108" s="10">
        <f t="shared" si="36"/>
        <v>115426</v>
      </c>
      <c r="R108" s="10">
        <f t="shared" si="36"/>
        <v>130474</v>
      </c>
    </row>
    <row r="109" spans="1:18" ht="15" customHeight="1">
      <c r="A109" s="5" t="s">
        <v>72</v>
      </c>
      <c r="B109" s="11"/>
      <c r="C109" s="11"/>
      <c r="D109" s="11"/>
      <c r="E109" s="11"/>
      <c r="F109" s="11"/>
      <c r="G109" s="11"/>
      <c r="H109" s="11"/>
      <c r="I109" s="11">
        <f t="shared" ref="I109:R109" si="37">IF(I108&gt;0,I107/I108,"N/M")</f>
        <v>0.56821730080942179</v>
      </c>
      <c r="J109" s="11">
        <f t="shared" si="37"/>
        <v>0.47455226856331262</v>
      </c>
      <c r="K109" s="11">
        <f t="shared" si="37"/>
        <v>0.33518024806020741</v>
      </c>
      <c r="L109" s="11">
        <f t="shared" si="37"/>
        <v>0.39590042123177971</v>
      </c>
      <c r="M109" s="11">
        <f t="shared" si="37"/>
        <v>0.3582632657659629</v>
      </c>
      <c r="N109" s="11">
        <f t="shared" si="37"/>
        <v>0.25822957502353239</v>
      </c>
      <c r="O109" s="11">
        <f t="shared" si="37"/>
        <v>0.32924698899490101</v>
      </c>
      <c r="P109" s="11">
        <f t="shared" si="37"/>
        <v>0.25496565629372586</v>
      </c>
      <c r="Q109" s="11">
        <f t="shared" si="37"/>
        <v>0.17600553214396303</v>
      </c>
      <c r="R109" s="11">
        <f t="shared" si="37"/>
        <v>0.1757496670472497</v>
      </c>
    </row>
    <row r="110" spans="1:18" ht="1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5" customHeight="1">
      <c r="A112" s="5" t="s">
        <v>16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5" customHeight="1">
      <c r="A113" s="5" t="s">
        <v>2</v>
      </c>
      <c r="B113" s="7" t="s">
        <v>27</v>
      </c>
      <c r="C113" s="7" t="s">
        <v>28</v>
      </c>
      <c r="D113" s="7" t="s">
        <v>29</v>
      </c>
      <c r="E113" s="7" t="s">
        <v>30</v>
      </c>
      <c r="F113" s="7" t="s">
        <v>31</v>
      </c>
      <c r="G113" s="7" t="s">
        <v>32</v>
      </c>
      <c r="H113" s="7" t="s">
        <v>33</v>
      </c>
      <c r="I113" s="7" t="s">
        <v>3</v>
      </c>
      <c r="J113" s="7" t="s">
        <v>4</v>
      </c>
      <c r="K113" s="7" t="s">
        <v>5</v>
      </c>
      <c r="L113" s="7" t="s">
        <v>6</v>
      </c>
      <c r="M113" s="7" t="s">
        <v>7</v>
      </c>
      <c r="N113" s="7" t="s">
        <v>8</v>
      </c>
      <c r="O113" s="7" t="s">
        <v>9</v>
      </c>
      <c r="P113" s="7" t="s">
        <v>10</v>
      </c>
      <c r="Q113" s="7" t="s">
        <v>11</v>
      </c>
      <c r="R113" s="7" t="s">
        <v>12</v>
      </c>
    </row>
    <row r="114" spans="1:18" ht="15" customHeight="1">
      <c r="A114" s="5" t="s">
        <v>34</v>
      </c>
      <c r="B114" s="7" t="s">
        <v>35</v>
      </c>
      <c r="C114" s="7" t="s">
        <v>36</v>
      </c>
      <c r="D114" s="7" t="s">
        <v>37</v>
      </c>
      <c r="E114" s="7" t="s">
        <v>38</v>
      </c>
      <c r="F114" s="7" t="s">
        <v>39</v>
      </c>
      <c r="G114" s="7" t="s">
        <v>40</v>
      </c>
      <c r="H114" s="7" t="s">
        <v>41</v>
      </c>
      <c r="I114" s="7" t="s">
        <v>42</v>
      </c>
      <c r="J114" s="7" t="s">
        <v>43</v>
      </c>
      <c r="K114" s="7" t="s">
        <v>44</v>
      </c>
      <c r="L114" s="7" t="s">
        <v>45</v>
      </c>
      <c r="M114" s="7" t="s">
        <v>46</v>
      </c>
      <c r="N114" s="7" t="s">
        <v>47</v>
      </c>
      <c r="O114" s="7" t="s">
        <v>48</v>
      </c>
      <c r="P114" s="7" t="s">
        <v>49</v>
      </c>
      <c r="Q114" s="7" t="s">
        <v>50</v>
      </c>
      <c r="R114" s="7" t="s">
        <v>51</v>
      </c>
    </row>
    <row r="115" spans="1:18" ht="1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5" customHeight="1">
      <c r="A116" s="1" t="s">
        <v>52</v>
      </c>
      <c r="B116" s="9">
        <v>8358</v>
      </c>
      <c r="C116" s="9">
        <v>5664</v>
      </c>
      <c r="D116" s="9">
        <v>6399</v>
      </c>
      <c r="E116" s="9">
        <v>7227</v>
      </c>
      <c r="F116" s="9">
        <v>9392</v>
      </c>
      <c r="G116" s="9">
        <v>13748</v>
      </c>
      <c r="H116" s="9">
        <v>16384</v>
      </c>
      <c r="I116" s="9">
        <v>13818</v>
      </c>
      <c r="J116" s="9">
        <v>14847</v>
      </c>
      <c r="K116" s="9">
        <v>17350</v>
      </c>
      <c r="L116" s="9">
        <v>23364</v>
      </c>
      <c r="M116" s="9">
        <v>17555</v>
      </c>
      <c r="N116" s="9">
        <v>20441</v>
      </c>
      <c r="O116" s="9">
        <v>20535</v>
      </c>
      <c r="P116" s="9">
        <v>24745</v>
      </c>
      <c r="Q116" s="9">
        <v>22872</v>
      </c>
      <c r="R116" s="9">
        <v>18775</v>
      </c>
    </row>
    <row r="117" spans="1:18" ht="15" customHeight="1">
      <c r="A117" s="1" t="s">
        <v>53</v>
      </c>
      <c r="B117" s="9">
        <v>0</v>
      </c>
      <c r="C117" s="9">
        <v>413</v>
      </c>
      <c r="D117" s="9">
        <v>4198</v>
      </c>
      <c r="E117" s="9">
        <v>1144</v>
      </c>
      <c r="F117" s="9">
        <v>2650</v>
      </c>
      <c r="G117" s="9">
        <v>380</v>
      </c>
      <c r="H117" s="9">
        <v>1148</v>
      </c>
      <c r="I117" s="9">
        <v>246</v>
      </c>
      <c r="J117" s="9">
        <v>41</v>
      </c>
      <c r="K117" s="9">
        <v>8</v>
      </c>
      <c r="L117" s="9">
        <v>-1456</v>
      </c>
      <c r="M117" s="9">
        <v>0</v>
      </c>
      <c r="N117" s="9">
        <v>0</v>
      </c>
      <c r="O117" s="9">
        <v>0</v>
      </c>
      <c r="P117" s="9">
        <v>237</v>
      </c>
      <c r="Q117" s="9">
        <v>0</v>
      </c>
      <c r="R117" s="9">
        <v>3580</v>
      </c>
    </row>
    <row r="118" spans="1:18" ht="15" customHeight="1">
      <c r="A118" s="5" t="s">
        <v>54</v>
      </c>
      <c r="B118" s="10">
        <f t="shared" ref="B118:R118" si="38">B116+B117</f>
        <v>8358</v>
      </c>
      <c r="C118" s="10">
        <f t="shared" si="38"/>
        <v>6077</v>
      </c>
      <c r="D118" s="10">
        <f t="shared" si="38"/>
        <v>10597</v>
      </c>
      <c r="E118" s="10">
        <f t="shared" si="38"/>
        <v>8371</v>
      </c>
      <c r="F118" s="10">
        <f t="shared" si="38"/>
        <v>12042</v>
      </c>
      <c r="G118" s="10">
        <f t="shared" si="38"/>
        <v>14128</v>
      </c>
      <c r="H118" s="10">
        <f t="shared" si="38"/>
        <v>17532</v>
      </c>
      <c r="I118" s="10">
        <f t="shared" si="38"/>
        <v>14064</v>
      </c>
      <c r="J118" s="10">
        <f t="shared" si="38"/>
        <v>14888</v>
      </c>
      <c r="K118" s="10">
        <f t="shared" si="38"/>
        <v>17358</v>
      </c>
      <c r="L118" s="10">
        <f t="shared" si="38"/>
        <v>21908</v>
      </c>
      <c r="M118" s="10">
        <f t="shared" si="38"/>
        <v>17555</v>
      </c>
      <c r="N118" s="10">
        <f t="shared" si="38"/>
        <v>20441</v>
      </c>
      <c r="O118" s="10">
        <f t="shared" si="38"/>
        <v>20535</v>
      </c>
      <c r="P118" s="10">
        <f t="shared" si="38"/>
        <v>24982</v>
      </c>
      <c r="Q118" s="10">
        <f t="shared" si="38"/>
        <v>22872</v>
      </c>
      <c r="R118" s="10">
        <f t="shared" si="38"/>
        <v>22355</v>
      </c>
    </row>
    <row r="119" spans="1:18" ht="15" customHeight="1">
      <c r="A119" s="5" t="s">
        <v>55</v>
      </c>
      <c r="B119" s="10"/>
      <c r="C119" s="10"/>
      <c r="D119" s="10"/>
      <c r="E119" s="10">
        <f t="shared" ref="E119:R119" si="39">SUM(B118:E118)</f>
        <v>33403</v>
      </c>
      <c r="F119" s="10">
        <f t="shared" si="39"/>
        <v>37087</v>
      </c>
      <c r="G119" s="10">
        <f t="shared" si="39"/>
        <v>45138</v>
      </c>
      <c r="H119" s="10">
        <f t="shared" si="39"/>
        <v>52073</v>
      </c>
      <c r="I119" s="10">
        <f t="shared" si="39"/>
        <v>57766</v>
      </c>
      <c r="J119" s="10">
        <f t="shared" si="39"/>
        <v>60612</v>
      </c>
      <c r="K119" s="10">
        <f t="shared" si="39"/>
        <v>63842</v>
      </c>
      <c r="L119" s="10">
        <f t="shared" si="39"/>
        <v>68218</v>
      </c>
      <c r="M119" s="10">
        <f t="shared" si="39"/>
        <v>71709</v>
      </c>
      <c r="N119" s="10">
        <f t="shared" si="39"/>
        <v>77262</v>
      </c>
      <c r="O119" s="10">
        <f t="shared" si="39"/>
        <v>80439</v>
      </c>
      <c r="P119" s="10">
        <f t="shared" si="39"/>
        <v>83513</v>
      </c>
      <c r="Q119" s="10">
        <f t="shared" si="39"/>
        <v>88830</v>
      </c>
      <c r="R119" s="10">
        <f t="shared" si="39"/>
        <v>90744</v>
      </c>
    </row>
    <row r="120" spans="1:18" ht="1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5" customHeight="1">
      <c r="A121" s="1" t="s">
        <v>56</v>
      </c>
      <c r="B121" s="9">
        <v>8186</v>
      </c>
      <c r="C121" s="9">
        <v>5576</v>
      </c>
      <c r="D121" s="9">
        <v>6149</v>
      </c>
      <c r="E121" s="9">
        <v>7307</v>
      </c>
      <c r="F121" s="9">
        <v>9293</v>
      </c>
      <c r="G121" s="9">
        <v>14020</v>
      </c>
      <c r="H121" s="9">
        <v>16807</v>
      </c>
      <c r="I121" s="9">
        <v>14183</v>
      </c>
      <c r="J121" s="9">
        <v>15106</v>
      </c>
      <c r="K121" s="9">
        <v>17822</v>
      </c>
      <c r="L121" s="9">
        <v>23552</v>
      </c>
      <c r="M121" s="9">
        <v>18382</v>
      </c>
      <c r="N121" s="9">
        <v>20534</v>
      </c>
      <c r="O121" s="9">
        <v>21663</v>
      </c>
      <c r="P121" s="9">
        <v>25354</v>
      </c>
      <c r="Q121" s="9">
        <v>21752</v>
      </c>
      <c r="R121" s="9">
        <v>18756</v>
      </c>
    </row>
    <row r="122" spans="1:18" ht="15" customHeight="1">
      <c r="A122" s="1" t="s">
        <v>57</v>
      </c>
      <c r="B122" s="9">
        <f t="shared" ref="B122:R122" si="40">B117</f>
        <v>0</v>
      </c>
      <c r="C122" s="9">
        <f t="shared" si="40"/>
        <v>413</v>
      </c>
      <c r="D122" s="9">
        <f t="shared" si="40"/>
        <v>4198</v>
      </c>
      <c r="E122" s="9">
        <f t="shared" si="40"/>
        <v>1144</v>
      </c>
      <c r="F122" s="9">
        <f t="shared" si="40"/>
        <v>2650</v>
      </c>
      <c r="G122" s="9">
        <f t="shared" si="40"/>
        <v>380</v>
      </c>
      <c r="H122" s="9">
        <f t="shared" si="40"/>
        <v>1148</v>
      </c>
      <c r="I122" s="9">
        <f t="shared" si="40"/>
        <v>246</v>
      </c>
      <c r="J122" s="9">
        <f t="shared" si="40"/>
        <v>41</v>
      </c>
      <c r="K122" s="9">
        <f t="shared" si="40"/>
        <v>8</v>
      </c>
      <c r="L122" s="9">
        <f t="shared" si="40"/>
        <v>-1456</v>
      </c>
      <c r="M122" s="9">
        <f t="shared" si="40"/>
        <v>0</v>
      </c>
      <c r="N122" s="9">
        <f t="shared" si="40"/>
        <v>0</v>
      </c>
      <c r="O122" s="9">
        <f t="shared" si="40"/>
        <v>0</v>
      </c>
      <c r="P122" s="9">
        <f t="shared" si="40"/>
        <v>237</v>
      </c>
      <c r="Q122" s="9">
        <f t="shared" si="40"/>
        <v>0</v>
      </c>
      <c r="R122" s="9">
        <f t="shared" si="40"/>
        <v>3580</v>
      </c>
    </row>
    <row r="123" spans="1:18" ht="15" customHeight="1">
      <c r="A123" s="5" t="s">
        <v>58</v>
      </c>
      <c r="B123" s="10">
        <f t="shared" ref="B123:R123" si="41">B121+B122</f>
        <v>8186</v>
      </c>
      <c r="C123" s="10">
        <f t="shared" si="41"/>
        <v>5989</v>
      </c>
      <c r="D123" s="10">
        <f t="shared" si="41"/>
        <v>10347</v>
      </c>
      <c r="E123" s="10">
        <f t="shared" si="41"/>
        <v>8451</v>
      </c>
      <c r="F123" s="10">
        <f t="shared" si="41"/>
        <v>11943</v>
      </c>
      <c r="G123" s="10">
        <f t="shared" si="41"/>
        <v>14400</v>
      </c>
      <c r="H123" s="10">
        <f t="shared" si="41"/>
        <v>17955</v>
      </c>
      <c r="I123" s="10">
        <f t="shared" si="41"/>
        <v>14429</v>
      </c>
      <c r="J123" s="10">
        <f t="shared" si="41"/>
        <v>15147</v>
      </c>
      <c r="K123" s="10">
        <f t="shared" si="41"/>
        <v>17830</v>
      </c>
      <c r="L123" s="10">
        <f t="shared" si="41"/>
        <v>22096</v>
      </c>
      <c r="M123" s="10">
        <f t="shared" si="41"/>
        <v>18382</v>
      </c>
      <c r="N123" s="10">
        <f t="shared" si="41"/>
        <v>20534</v>
      </c>
      <c r="O123" s="10">
        <f t="shared" si="41"/>
        <v>21663</v>
      </c>
      <c r="P123" s="10">
        <f t="shared" si="41"/>
        <v>25591</v>
      </c>
      <c r="Q123" s="10">
        <f t="shared" si="41"/>
        <v>21752</v>
      </c>
      <c r="R123" s="10">
        <f t="shared" si="41"/>
        <v>22336</v>
      </c>
    </row>
    <row r="124" spans="1:18" ht="15" customHeight="1">
      <c r="A124" s="1" t="s">
        <v>59</v>
      </c>
      <c r="B124" s="9">
        <v>1499</v>
      </c>
      <c r="C124" s="9">
        <v>1181</v>
      </c>
      <c r="D124" s="9">
        <v>1496</v>
      </c>
      <c r="E124" s="9">
        <v>1598</v>
      </c>
      <c r="F124" s="9">
        <v>1505</v>
      </c>
      <c r="G124" s="9">
        <v>2437</v>
      </c>
      <c r="H124" s="9">
        <v>2790</v>
      </c>
      <c r="I124" s="9">
        <v>1814</v>
      </c>
      <c r="J124" s="9">
        <v>1641</v>
      </c>
      <c r="K124" s="9">
        <v>2134</v>
      </c>
      <c r="L124" s="9">
        <v>2714</v>
      </c>
      <c r="M124" s="9">
        <v>1738</v>
      </c>
      <c r="N124" s="9">
        <v>2197</v>
      </c>
      <c r="O124" s="9">
        <v>18954</v>
      </c>
      <c r="P124" s="9">
        <v>2586</v>
      </c>
      <c r="Q124" s="9">
        <v>-5021</v>
      </c>
      <c r="R124" s="9">
        <v>2908</v>
      </c>
    </row>
    <row r="125" spans="1:18" ht="15" customHeight="1">
      <c r="A125" s="1" t="s">
        <v>60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15930</v>
      </c>
      <c r="P125" s="9">
        <v>0</v>
      </c>
      <c r="Q125" s="9">
        <v>-8030</v>
      </c>
      <c r="R125" s="9">
        <v>0</v>
      </c>
    </row>
    <row r="126" spans="1:18" ht="15" customHeight="1">
      <c r="A126" s="1" t="s">
        <v>61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" customHeight="1">
      <c r="A127" s="5" t="s">
        <v>62</v>
      </c>
      <c r="B127" s="10">
        <f t="shared" ref="B127:R127" si="42">IF(B126="",B124-B125,B123*B126)</f>
        <v>1499</v>
      </c>
      <c r="C127" s="10">
        <f t="shared" si="42"/>
        <v>1181</v>
      </c>
      <c r="D127" s="10">
        <f t="shared" si="42"/>
        <v>1496</v>
      </c>
      <c r="E127" s="10">
        <f t="shared" si="42"/>
        <v>1598</v>
      </c>
      <c r="F127" s="10">
        <f t="shared" si="42"/>
        <v>1505</v>
      </c>
      <c r="G127" s="10">
        <f t="shared" si="42"/>
        <v>2437</v>
      </c>
      <c r="H127" s="10">
        <f t="shared" si="42"/>
        <v>2790</v>
      </c>
      <c r="I127" s="10">
        <f t="shared" si="42"/>
        <v>1814</v>
      </c>
      <c r="J127" s="10">
        <f t="shared" si="42"/>
        <v>1641</v>
      </c>
      <c r="K127" s="10">
        <f t="shared" si="42"/>
        <v>2134</v>
      </c>
      <c r="L127" s="10">
        <f t="shared" si="42"/>
        <v>2714</v>
      </c>
      <c r="M127" s="10">
        <f t="shared" si="42"/>
        <v>1738</v>
      </c>
      <c r="N127" s="10">
        <f t="shared" si="42"/>
        <v>2197</v>
      </c>
      <c r="O127" s="10">
        <f t="shared" si="42"/>
        <v>3024</v>
      </c>
      <c r="P127" s="10">
        <f t="shared" si="42"/>
        <v>2586</v>
      </c>
      <c r="Q127" s="10">
        <f t="shared" si="42"/>
        <v>3009</v>
      </c>
      <c r="R127" s="10">
        <f t="shared" si="42"/>
        <v>2908</v>
      </c>
    </row>
    <row r="128" spans="1:18" ht="15" customHeight="1">
      <c r="A128" s="5" t="s">
        <v>63</v>
      </c>
      <c r="B128" s="11"/>
      <c r="C128" s="11"/>
      <c r="D128" s="11"/>
      <c r="E128" s="11">
        <f t="shared" ref="E128:R128" si="43">SUM(B127:E127)/SUM(B123:E123)</f>
        <v>0.17511297121887606</v>
      </c>
      <c r="F128" s="11">
        <f t="shared" si="43"/>
        <v>0.15736455213721753</v>
      </c>
      <c r="G128" s="11">
        <f t="shared" si="43"/>
        <v>0.15586717175073658</v>
      </c>
      <c r="H128" s="11">
        <f t="shared" si="43"/>
        <v>0.15791768564332972</v>
      </c>
      <c r="I128" s="11">
        <f t="shared" si="43"/>
        <v>0.14552079963219644</v>
      </c>
      <c r="J128" s="11">
        <f t="shared" si="43"/>
        <v>0.14018827404692319</v>
      </c>
      <c r="K128" s="11">
        <f t="shared" si="43"/>
        <v>0.12819571303988617</v>
      </c>
      <c r="L128" s="11">
        <f t="shared" si="43"/>
        <v>0.11946418808091853</v>
      </c>
      <c r="M128" s="11">
        <f t="shared" si="43"/>
        <v>0.1120005445510857</v>
      </c>
      <c r="N128" s="11">
        <f t="shared" si="43"/>
        <v>0.11140001522031405</v>
      </c>
      <c r="O128" s="11">
        <f t="shared" si="43"/>
        <v>0.11700030238887209</v>
      </c>
      <c r="P128" s="11">
        <f t="shared" si="43"/>
        <v>0.11076940930718347</v>
      </c>
      <c r="Q128" s="11">
        <f t="shared" si="43"/>
        <v>0.12079517534062989</v>
      </c>
      <c r="R128" s="11">
        <f t="shared" si="43"/>
        <v>0.12619605438899958</v>
      </c>
    </row>
    <row r="129" spans="1:18" ht="15" customHeight="1">
      <c r="A129" s="5" t="s">
        <v>64</v>
      </c>
      <c r="B129" s="10"/>
      <c r="C129" s="10"/>
      <c r="D129" s="10"/>
      <c r="E129" s="10">
        <f t="shared" ref="E129:R129" si="44">E119*(1-E128)</f>
        <v>27553.701422375885</v>
      </c>
      <c r="F129" s="10">
        <f t="shared" si="44"/>
        <v>31250.820854887013</v>
      </c>
      <c r="G129" s="10">
        <f t="shared" si="44"/>
        <v>38102.467601515251</v>
      </c>
      <c r="H129" s="10">
        <f t="shared" si="44"/>
        <v>43849.752355494893</v>
      </c>
      <c r="I129" s="10">
        <f t="shared" si="44"/>
        <v>49359.845488446539</v>
      </c>
      <c r="J129" s="10">
        <f t="shared" si="44"/>
        <v>52114.908333467894</v>
      </c>
      <c r="K129" s="10">
        <f t="shared" si="44"/>
        <v>55657.729288107585</v>
      </c>
      <c r="L129" s="10">
        <f t="shared" si="44"/>
        <v>60068.392017495898</v>
      </c>
      <c r="M129" s="10">
        <f t="shared" si="44"/>
        <v>63677.552950786201</v>
      </c>
      <c r="N129" s="10">
        <f t="shared" si="44"/>
        <v>68655.01202404809</v>
      </c>
      <c r="O129" s="10">
        <f t="shared" si="44"/>
        <v>71027.612676141522</v>
      </c>
      <c r="P129" s="10">
        <f t="shared" si="44"/>
        <v>74262.314320529185</v>
      </c>
      <c r="Q129" s="10">
        <f t="shared" si="44"/>
        <v>78099.764574491841</v>
      </c>
      <c r="R129" s="10">
        <f t="shared" si="44"/>
        <v>79292.465240524616</v>
      </c>
    </row>
    <row r="130" spans="1:18" ht="1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5" customHeight="1">
      <c r="A131" s="1" t="s">
        <v>65</v>
      </c>
      <c r="B131" s="9">
        <v>125767</v>
      </c>
      <c r="C131" s="9">
        <v>124094</v>
      </c>
      <c r="D131" s="9">
        <v>125713</v>
      </c>
      <c r="E131" s="9">
        <v>124795</v>
      </c>
      <c r="F131" s="9">
        <v>134033</v>
      </c>
      <c r="G131" s="9">
        <v>142873</v>
      </c>
      <c r="H131" s="9">
        <v>153168</v>
      </c>
      <c r="I131" s="9">
        <v>149529</v>
      </c>
      <c r="J131" s="9">
        <v>156763</v>
      </c>
      <c r="K131" s="9">
        <v>164529</v>
      </c>
      <c r="L131" s="9">
        <v>182637</v>
      </c>
      <c r="M131" s="9">
        <v>185029</v>
      </c>
      <c r="N131" s="9">
        <v>195070</v>
      </c>
      <c r="O131" s="9">
        <v>194066</v>
      </c>
      <c r="P131" s="9">
        <v>217243</v>
      </c>
      <c r="Q131" s="9">
        <v>243681</v>
      </c>
      <c r="R131" s="9">
        <v>261221</v>
      </c>
    </row>
    <row r="132" spans="1:18" ht="15" customHeight="1">
      <c r="A132" s="1" t="s">
        <v>66</v>
      </c>
      <c r="B132" s="9">
        <v>0</v>
      </c>
      <c r="C132" s="9">
        <v>9922</v>
      </c>
      <c r="D132" s="9">
        <v>9923</v>
      </c>
      <c r="E132" s="9">
        <v>9925</v>
      </c>
      <c r="F132" s="9">
        <v>18382</v>
      </c>
      <c r="G132" s="9">
        <v>18383</v>
      </c>
      <c r="H132" s="9">
        <v>18385</v>
      </c>
      <c r="I132" s="9">
        <v>18387</v>
      </c>
      <c r="J132" s="9">
        <v>18389</v>
      </c>
      <c r="K132" s="9">
        <v>28823</v>
      </c>
      <c r="L132" s="9">
        <v>28826</v>
      </c>
      <c r="M132" s="9">
        <v>28829</v>
      </c>
      <c r="N132" s="9">
        <v>28832</v>
      </c>
      <c r="O132" s="9">
        <v>28834</v>
      </c>
      <c r="P132" s="9">
        <v>58744</v>
      </c>
      <c r="Q132" s="9">
        <v>58748</v>
      </c>
      <c r="R132" s="9">
        <v>83664</v>
      </c>
    </row>
    <row r="133" spans="1:18" ht="15" customHeight="1">
      <c r="A133" s="1" t="s">
        <v>67</v>
      </c>
      <c r="B133" s="9">
        <v>16067</v>
      </c>
      <c r="C133" s="9">
        <v>15978</v>
      </c>
      <c r="D133" s="9">
        <v>16668</v>
      </c>
      <c r="E133" s="9">
        <v>17650</v>
      </c>
      <c r="F133" s="9">
        <v>17836</v>
      </c>
      <c r="G133" s="9">
        <v>17834</v>
      </c>
      <c r="H133" s="9">
        <v>18849</v>
      </c>
      <c r="I133" s="9">
        <v>19246</v>
      </c>
      <c r="J133" s="9">
        <v>19602</v>
      </c>
      <c r="K133" s="9">
        <v>20224</v>
      </c>
      <c r="L133" s="9">
        <v>20234</v>
      </c>
      <c r="M133" s="9">
        <v>20690</v>
      </c>
      <c r="N133" s="9">
        <v>20728</v>
      </c>
      <c r="O133" s="9">
        <v>22226</v>
      </c>
      <c r="P133" s="9">
        <v>25153</v>
      </c>
      <c r="Q133" s="9">
        <v>28021</v>
      </c>
      <c r="R133" s="9">
        <v>28654</v>
      </c>
    </row>
    <row r="134" spans="1:18" ht="15" customHeight="1">
      <c r="A134" s="1" t="s">
        <v>68</v>
      </c>
      <c r="B134" s="9">
        <v>612</v>
      </c>
      <c r="C134" s="9">
        <v>581</v>
      </c>
      <c r="D134" s="9">
        <v>687</v>
      </c>
      <c r="E134" s="9">
        <v>687</v>
      </c>
      <c r="F134" s="9">
        <v>760</v>
      </c>
      <c r="G134" s="9">
        <v>659</v>
      </c>
      <c r="H134" s="9">
        <v>690</v>
      </c>
      <c r="I134" s="9">
        <v>690</v>
      </c>
      <c r="J134" s="9">
        <v>690</v>
      </c>
      <c r="K134" s="9">
        <v>690</v>
      </c>
      <c r="L134" s="9">
        <v>709</v>
      </c>
      <c r="M134" s="9">
        <v>709</v>
      </c>
      <c r="N134" s="9">
        <v>709</v>
      </c>
      <c r="O134" s="9">
        <v>709</v>
      </c>
      <c r="P134" s="9">
        <v>1184</v>
      </c>
      <c r="Q134" s="9">
        <v>1184</v>
      </c>
      <c r="R134" s="9">
        <v>1184</v>
      </c>
    </row>
    <row r="135" spans="1:18" ht="15" customHeight="1">
      <c r="A135" s="1" t="s">
        <v>69</v>
      </c>
      <c r="B135" s="9">
        <v>47025</v>
      </c>
      <c r="C135" s="9">
        <v>48304</v>
      </c>
      <c r="D135" s="9">
        <v>46939</v>
      </c>
      <c r="E135" s="9">
        <v>43606</v>
      </c>
      <c r="F135" s="9">
        <v>59654</v>
      </c>
      <c r="G135" s="9">
        <v>67265</v>
      </c>
      <c r="H135" s="9">
        <v>71544</v>
      </c>
      <c r="I135" s="9">
        <v>64338</v>
      </c>
      <c r="J135" s="9">
        <v>64287</v>
      </c>
      <c r="K135" s="9">
        <v>76971</v>
      </c>
      <c r="L135" s="9">
        <v>83885</v>
      </c>
      <c r="M135" s="9">
        <v>76398</v>
      </c>
      <c r="N135" s="9">
        <v>69059</v>
      </c>
      <c r="O135" s="9">
        <v>69522</v>
      </c>
      <c r="P135" s="9">
        <v>109116</v>
      </c>
      <c r="Q135" s="9">
        <v>109590</v>
      </c>
      <c r="R135" s="9">
        <v>120417</v>
      </c>
    </row>
    <row r="136" spans="1:18" ht="15" customHeight="1">
      <c r="A136" s="5" t="s">
        <v>21</v>
      </c>
      <c r="B136" s="10">
        <f t="shared" ref="B136:R136" si="45">SUM(B131:B134)-B135</f>
        <v>95421</v>
      </c>
      <c r="C136" s="10">
        <f t="shared" si="45"/>
        <v>102271</v>
      </c>
      <c r="D136" s="10">
        <f t="shared" si="45"/>
        <v>106052</v>
      </c>
      <c r="E136" s="10">
        <f t="shared" si="45"/>
        <v>109451</v>
      </c>
      <c r="F136" s="10">
        <f t="shared" si="45"/>
        <v>111357</v>
      </c>
      <c r="G136" s="10">
        <f t="shared" si="45"/>
        <v>112484</v>
      </c>
      <c r="H136" s="10">
        <f t="shared" si="45"/>
        <v>119548</v>
      </c>
      <c r="I136" s="10">
        <f t="shared" si="45"/>
        <v>123514</v>
      </c>
      <c r="J136" s="10">
        <f t="shared" si="45"/>
        <v>131157</v>
      </c>
      <c r="K136" s="10">
        <f t="shared" si="45"/>
        <v>137295</v>
      </c>
      <c r="L136" s="10">
        <f t="shared" si="45"/>
        <v>148521</v>
      </c>
      <c r="M136" s="10">
        <f t="shared" si="45"/>
        <v>158859</v>
      </c>
      <c r="N136" s="10">
        <f t="shared" si="45"/>
        <v>176280</v>
      </c>
      <c r="O136" s="10">
        <f t="shared" si="45"/>
        <v>176313</v>
      </c>
      <c r="P136" s="10">
        <f t="shared" si="45"/>
        <v>193208</v>
      </c>
      <c r="Q136" s="10">
        <f t="shared" si="45"/>
        <v>222044</v>
      </c>
      <c r="R136" s="10">
        <f t="shared" si="45"/>
        <v>254306</v>
      </c>
    </row>
    <row r="137" spans="1:18" ht="1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5" customHeight="1">
      <c r="A138" s="5" t="s">
        <v>70</v>
      </c>
      <c r="B138" s="10"/>
      <c r="C138" s="10"/>
      <c r="D138" s="10"/>
      <c r="E138" s="10"/>
      <c r="F138" s="10"/>
      <c r="G138" s="10"/>
      <c r="H138" s="10"/>
      <c r="I138" s="10">
        <f t="shared" ref="I138:R138" si="46">I129-E129</f>
        <v>21806.144066070654</v>
      </c>
      <c r="J138" s="10">
        <f t="shared" si="46"/>
        <v>20864.087478580881</v>
      </c>
      <c r="K138" s="10">
        <f t="shared" si="46"/>
        <v>17555.261686592334</v>
      </c>
      <c r="L138" s="10">
        <f t="shared" si="46"/>
        <v>16218.639662001005</v>
      </c>
      <c r="M138" s="10">
        <f t="shared" si="46"/>
        <v>14317.707462339662</v>
      </c>
      <c r="N138" s="10">
        <f t="shared" si="46"/>
        <v>16540.103690580196</v>
      </c>
      <c r="O138" s="10">
        <f t="shared" si="46"/>
        <v>15369.883388033937</v>
      </c>
      <c r="P138" s="10">
        <f t="shared" si="46"/>
        <v>14193.922303033287</v>
      </c>
      <c r="Q138" s="10">
        <f t="shared" si="46"/>
        <v>14422.21162370564</v>
      </c>
      <c r="R138" s="10">
        <f t="shared" si="46"/>
        <v>10637.453216476526</v>
      </c>
    </row>
    <row r="139" spans="1:18" ht="15" customHeight="1">
      <c r="A139" s="5" t="s">
        <v>71</v>
      </c>
      <c r="B139" s="10"/>
      <c r="C139" s="10"/>
      <c r="D139" s="10"/>
      <c r="E139" s="10"/>
      <c r="F139" s="10"/>
      <c r="G139" s="10"/>
      <c r="H139" s="10"/>
      <c r="I139" s="10">
        <f t="shared" ref="I139:R139" si="47">I136-E136</f>
        <v>14063</v>
      </c>
      <c r="J139" s="10">
        <f t="shared" si="47"/>
        <v>19800</v>
      </c>
      <c r="K139" s="10">
        <f t="shared" si="47"/>
        <v>24811</v>
      </c>
      <c r="L139" s="10">
        <f t="shared" si="47"/>
        <v>28973</v>
      </c>
      <c r="M139" s="10">
        <f t="shared" si="47"/>
        <v>35345</v>
      </c>
      <c r="N139" s="10">
        <f t="shared" si="47"/>
        <v>45123</v>
      </c>
      <c r="O139" s="10">
        <f t="shared" si="47"/>
        <v>39018</v>
      </c>
      <c r="P139" s="10">
        <f t="shared" si="47"/>
        <v>44687</v>
      </c>
      <c r="Q139" s="10">
        <f t="shared" si="47"/>
        <v>63185</v>
      </c>
      <c r="R139" s="10">
        <f t="shared" si="47"/>
        <v>78026</v>
      </c>
    </row>
    <row r="140" spans="1:18" ht="15" customHeight="1">
      <c r="A140" s="5" t="s">
        <v>72</v>
      </c>
      <c r="B140" s="11"/>
      <c r="C140" s="11"/>
      <c r="D140" s="11"/>
      <c r="E140" s="11"/>
      <c r="F140" s="11"/>
      <c r="G140" s="11"/>
      <c r="H140" s="11"/>
      <c r="I140" s="11">
        <f t="shared" ref="I140:R140" si="48">IF(I139&gt;0,I138/I139,"N/M")</f>
        <v>1.5506040010005442</v>
      </c>
      <c r="J140" s="11">
        <f t="shared" si="48"/>
        <v>1.0537417918475191</v>
      </c>
      <c r="K140" s="11">
        <f t="shared" si="48"/>
        <v>0.70755961817711233</v>
      </c>
      <c r="L140" s="11">
        <f t="shared" si="48"/>
        <v>0.55978461540058</v>
      </c>
      <c r="M140" s="11">
        <f t="shared" si="48"/>
        <v>0.40508438144970044</v>
      </c>
      <c r="N140" s="11">
        <f t="shared" si="48"/>
        <v>0.36655594022073434</v>
      </c>
      <c r="O140" s="11">
        <f t="shared" si="48"/>
        <v>0.39391776585252797</v>
      </c>
      <c r="P140" s="11">
        <f t="shared" si="48"/>
        <v>0.31762978725430857</v>
      </c>
      <c r="Q140" s="11">
        <f t="shared" si="48"/>
        <v>0.22825372515162839</v>
      </c>
      <c r="R140" s="11">
        <f t="shared" si="48"/>
        <v>0.13633216128568074</v>
      </c>
    </row>
    <row r="141" spans="1:18" ht="1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5" customHeight="1">
      <c r="A143" s="5" t="s">
        <v>17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5" customHeight="1">
      <c r="A144" s="5" t="s">
        <v>2</v>
      </c>
      <c r="B144" s="7" t="s">
        <v>27</v>
      </c>
      <c r="C144" s="7" t="s">
        <v>28</v>
      </c>
      <c r="D144" s="7" t="s">
        <v>29</v>
      </c>
      <c r="E144" s="7" t="s">
        <v>30</v>
      </c>
      <c r="F144" s="7" t="s">
        <v>31</v>
      </c>
      <c r="G144" s="7" t="s">
        <v>32</v>
      </c>
      <c r="H144" s="7" t="s">
        <v>33</v>
      </c>
      <c r="I144" s="7" t="s">
        <v>3</v>
      </c>
      <c r="J144" s="7" t="s">
        <v>4</v>
      </c>
      <c r="K144" s="7" t="s">
        <v>5</v>
      </c>
      <c r="L144" s="7" t="s">
        <v>6</v>
      </c>
      <c r="M144" s="7" t="s">
        <v>7</v>
      </c>
      <c r="N144" s="7" t="s">
        <v>8</v>
      </c>
      <c r="O144" s="7" t="s">
        <v>9</v>
      </c>
      <c r="P144" s="7" t="s">
        <v>10</v>
      </c>
      <c r="Q144" s="7" t="s">
        <v>11</v>
      </c>
      <c r="R144" s="7" t="s">
        <v>12</v>
      </c>
    </row>
    <row r="145" spans="1:18" ht="15" customHeight="1">
      <c r="A145" s="5" t="s">
        <v>34</v>
      </c>
      <c r="B145" s="7" t="s">
        <v>73</v>
      </c>
      <c r="C145" s="7" t="s">
        <v>74</v>
      </c>
      <c r="D145" s="7" t="s">
        <v>75</v>
      </c>
      <c r="E145" s="7" t="s">
        <v>76</v>
      </c>
      <c r="F145" s="7" t="s">
        <v>77</v>
      </c>
      <c r="G145" s="7" t="s">
        <v>78</v>
      </c>
      <c r="H145" s="7" t="s">
        <v>79</v>
      </c>
      <c r="I145" s="7" t="s">
        <v>80</v>
      </c>
      <c r="J145" s="7" t="s">
        <v>81</v>
      </c>
      <c r="K145" s="7" t="s">
        <v>82</v>
      </c>
      <c r="L145" s="7" t="s">
        <v>83</v>
      </c>
      <c r="M145" s="7" t="s">
        <v>84</v>
      </c>
      <c r="N145" s="7" t="s">
        <v>85</v>
      </c>
      <c r="O145" s="7" t="s">
        <v>86</v>
      </c>
      <c r="P145" s="7" t="s">
        <v>87</v>
      </c>
      <c r="Q145" s="7" t="s">
        <v>88</v>
      </c>
      <c r="R145" s="7" t="s">
        <v>89</v>
      </c>
    </row>
    <row r="146" spans="1:18" ht="1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5" customHeight="1">
      <c r="A147" s="1" t="s">
        <v>52</v>
      </c>
      <c r="B147" s="9">
        <v>4502</v>
      </c>
      <c r="C147" s="9">
        <v>2623</v>
      </c>
      <c r="D147" s="9">
        <v>3071</v>
      </c>
      <c r="E147" s="9">
        <v>3260</v>
      </c>
      <c r="F147" s="9">
        <v>4140</v>
      </c>
      <c r="G147" s="9">
        <v>3296</v>
      </c>
      <c r="H147" s="9">
        <v>3622</v>
      </c>
      <c r="I147" s="9">
        <v>3750</v>
      </c>
      <c r="J147" s="9">
        <v>4686</v>
      </c>
      <c r="K147" s="9">
        <v>3991</v>
      </c>
      <c r="L147" s="9">
        <v>4220</v>
      </c>
      <c r="M147" s="9">
        <v>4358</v>
      </c>
      <c r="N147" s="9">
        <v>5109</v>
      </c>
      <c r="O147" s="9">
        <v>4277</v>
      </c>
      <c r="P147" s="9">
        <v>4731</v>
      </c>
      <c r="Q147" s="9">
        <v>5464</v>
      </c>
      <c r="R147" s="9">
        <v>6133</v>
      </c>
    </row>
    <row r="148" spans="1:18" ht="15" customHeight="1">
      <c r="A148" s="1" t="s">
        <v>53</v>
      </c>
      <c r="B148" s="9">
        <v>108</v>
      </c>
      <c r="C148" s="9">
        <v>185</v>
      </c>
      <c r="D148" s="9">
        <v>199</v>
      </c>
      <c r="E148" s="9">
        <v>115</v>
      </c>
      <c r="F148" s="9">
        <v>181</v>
      </c>
      <c r="G148" s="9">
        <v>149</v>
      </c>
      <c r="H148" s="9">
        <v>130</v>
      </c>
      <c r="I148" s="9">
        <v>245</v>
      </c>
      <c r="J148" s="9">
        <v>194</v>
      </c>
      <c r="K148" s="9">
        <v>86</v>
      </c>
      <c r="L148" s="9">
        <v>115</v>
      </c>
      <c r="M148" s="9">
        <v>91</v>
      </c>
      <c r="N148" s="9">
        <v>82</v>
      </c>
      <c r="O148" s="9">
        <v>415</v>
      </c>
      <c r="P148" s="9">
        <v>427</v>
      </c>
      <c r="Q148" s="9">
        <v>173</v>
      </c>
      <c r="R148" s="9">
        <v>823</v>
      </c>
    </row>
    <row r="149" spans="1:18" ht="15" customHeight="1">
      <c r="A149" s="5" t="s">
        <v>54</v>
      </c>
      <c r="B149" s="10">
        <f t="shared" ref="B149:R149" si="49">B147+B148</f>
        <v>4610</v>
      </c>
      <c r="C149" s="10">
        <f t="shared" si="49"/>
        <v>2808</v>
      </c>
      <c r="D149" s="10">
        <f t="shared" si="49"/>
        <v>3270</v>
      </c>
      <c r="E149" s="10">
        <f t="shared" si="49"/>
        <v>3375</v>
      </c>
      <c r="F149" s="10">
        <f t="shared" si="49"/>
        <v>4321</v>
      </c>
      <c r="G149" s="10">
        <f t="shared" si="49"/>
        <v>3445</v>
      </c>
      <c r="H149" s="10">
        <f t="shared" si="49"/>
        <v>3752</v>
      </c>
      <c r="I149" s="10">
        <f t="shared" si="49"/>
        <v>3995</v>
      </c>
      <c r="J149" s="10">
        <f t="shared" si="49"/>
        <v>4880</v>
      </c>
      <c r="K149" s="10">
        <f t="shared" si="49"/>
        <v>4077</v>
      </c>
      <c r="L149" s="10">
        <f t="shared" si="49"/>
        <v>4335</v>
      </c>
      <c r="M149" s="10">
        <f t="shared" si="49"/>
        <v>4449</v>
      </c>
      <c r="N149" s="10">
        <f t="shared" si="49"/>
        <v>5191</v>
      </c>
      <c r="O149" s="10">
        <f t="shared" si="49"/>
        <v>4692</v>
      </c>
      <c r="P149" s="10">
        <f t="shared" si="49"/>
        <v>5158</v>
      </c>
      <c r="Q149" s="10">
        <f t="shared" si="49"/>
        <v>5637</v>
      </c>
      <c r="R149" s="10">
        <f t="shared" si="49"/>
        <v>6956</v>
      </c>
    </row>
    <row r="150" spans="1:18" ht="15" customHeight="1">
      <c r="A150" s="5" t="s">
        <v>55</v>
      </c>
      <c r="B150" s="10"/>
      <c r="C150" s="10"/>
      <c r="D150" s="10"/>
      <c r="E150" s="10">
        <f t="shared" ref="E150:R150" si="50">SUM(B149:E149)</f>
        <v>14063</v>
      </c>
      <c r="F150" s="10">
        <f t="shared" si="50"/>
        <v>13774</v>
      </c>
      <c r="G150" s="10">
        <f t="shared" si="50"/>
        <v>14411</v>
      </c>
      <c r="H150" s="10">
        <f t="shared" si="50"/>
        <v>14893</v>
      </c>
      <c r="I150" s="10">
        <f t="shared" si="50"/>
        <v>15513</v>
      </c>
      <c r="J150" s="10">
        <f t="shared" si="50"/>
        <v>16072</v>
      </c>
      <c r="K150" s="10">
        <f t="shared" si="50"/>
        <v>16704</v>
      </c>
      <c r="L150" s="10">
        <f t="shared" si="50"/>
        <v>17287</v>
      </c>
      <c r="M150" s="10">
        <f t="shared" si="50"/>
        <v>17741</v>
      </c>
      <c r="N150" s="10">
        <f t="shared" si="50"/>
        <v>18052</v>
      </c>
      <c r="O150" s="10">
        <f t="shared" si="50"/>
        <v>18667</v>
      </c>
      <c r="P150" s="10">
        <f t="shared" si="50"/>
        <v>19490</v>
      </c>
      <c r="Q150" s="10">
        <f t="shared" si="50"/>
        <v>20678</v>
      </c>
      <c r="R150" s="10">
        <f t="shared" si="50"/>
        <v>22443</v>
      </c>
    </row>
    <row r="151" spans="1:18" ht="1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5" customHeight="1">
      <c r="A152" s="1" t="s">
        <v>56</v>
      </c>
      <c r="B152" s="9">
        <v>3624</v>
      </c>
      <c r="C152" s="9">
        <v>1656</v>
      </c>
      <c r="D152" s="9">
        <v>2144</v>
      </c>
      <c r="E152" s="9">
        <v>2218</v>
      </c>
      <c r="F152" s="9">
        <v>3109</v>
      </c>
      <c r="G152" s="9">
        <v>2375</v>
      </c>
      <c r="H152" s="9">
        <v>2720</v>
      </c>
      <c r="I152" s="9">
        <v>2865</v>
      </c>
      <c r="J152" s="9">
        <v>3782</v>
      </c>
      <c r="K152" s="9">
        <v>3169</v>
      </c>
      <c r="L152" s="9">
        <v>3390</v>
      </c>
      <c r="M152" s="9">
        <v>3448</v>
      </c>
      <c r="N152" s="9">
        <v>4152</v>
      </c>
      <c r="O152" s="9">
        <v>3427</v>
      </c>
      <c r="P152" s="9">
        <v>6342</v>
      </c>
      <c r="Q152" s="9">
        <v>4416</v>
      </c>
      <c r="R152" s="9">
        <v>5369</v>
      </c>
    </row>
    <row r="153" spans="1:18" ht="15" customHeight="1">
      <c r="A153" s="1" t="s">
        <v>57</v>
      </c>
      <c r="B153" s="9">
        <f t="shared" ref="B153:R153" si="51">B148</f>
        <v>108</v>
      </c>
      <c r="C153" s="9">
        <f t="shared" si="51"/>
        <v>185</v>
      </c>
      <c r="D153" s="9">
        <f t="shared" si="51"/>
        <v>199</v>
      </c>
      <c r="E153" s="9">
        <f t="shared" si="51"/>
        <v>115</v>
      </c>
      <c r="F153" s="9">
        <f t="shared" si="51"/>
        <v>181</v>
      </c>
      <c r="G153" s="9">
        <f t="shared" si="51"/>
        <v>149</v>
      </c>
      <c r="H153" s="9">
        <f t="shared" si="51"/>
        <v>130</v>
      </c>
      <c r="I153" s="9">
        <f t="shared" si="51"/>
        <v>245</v>
      </c>
      <c r="J153" s="9">
        <f t="shared" si="51"/>
        <v>194</v>
      </c>
      <c r="K153" s="9">
        <f t="shared" si="51"/>
        <v>86</v>
      </c>
      <c r="L153" s="9">
        <f t="shared" si="51"/>
        <v>115</v>
      </c>
      <c r="M153" s="9">
        <f t="shared" si="51"/>
        <v>91</v>
      </c>
      <c r="N153" s="9">
        <f t="shared" si="51"/>
        <v>82</v>
      </c>
      <c r="O153" s="9">
        <f t="shared" si="51"/>
        <v>415</v>
      </c>
      <c r="P153" s="9">
        <f t="shared" si="51"/>
        <v>427</v>
      </c>
      <c r="Q153" s="9">
        <f t="shared" si="51"/>
        <v>173</v>
      </c>
      <c r="R153" s="9">
        <f t="shared" si="51"/>
        <v>823</v>
      </c>
    </row>
    <row r="154" spans="1:18" ht="15" customHeight="1">
      <c r="A154" s="5" t="s">
        <v>58</v>
      </c>
      <c r="B154" s="10">
        <f t="shared" ref="B154:R154" si="52">B152+B153</f>
        <v>3732</v>
      </c>
      <c r="C154" s="10">
        <f t="shared" si="52"/>
        <v>1841</v>
      </c>
      <c r="D154" s="10">
        <f t="shared" si="52"/>
        <v>2343</v>
      </c>
      <c r="E154" s="10">
        <f t="shared" si="52"/>
        <v>2333</v>
      </c>
      <c r="F154" s="10">
        <f t="shared" si="52"/>
        <v>3290</v>
      </c>
      <c r="G154" s="10">
        <f t="shared" si="52"/>
        <v>2524</v>
      </c>
      <c r="H154" s="10">
        <f t="shared" si="52"/>
        <v>2850</v>
      </c>
      <c r="I154" s="10">
        <f t="shared" si="52"/>
        <v>3110</v>
      </c>
      <c r="J154" s="10">
        <f t="shared" si="52"/>
        <v>3976</v>
      </c>
      <c r="K154" s="10">
        <f t="shared" si="52"/>
        <v>3255</v>
      </c>
      <c r="L154" s="10">
        <f t="shared" si="52"/>
        <v>3505</v>
      </c>
      <c r="M154" s="10">
        <f t="shared" si="52"/>
        <v>3539</v>
      </c>
      <c r="N154" s="10">
        <f t="shared" si="52"/>
        <v>4234</v>
      </c>
      <c r="O154" s="10">
        <f t="shared" si="52"/>
        <v>3842</v>
      </c>
      <c r="P154" s="10">
        <f t="shared" si="52"/>
        <v>6769</v>
      </c>
      <c r="Q154" s="10">
        <f t="shared" si="52"/>
        <v>4589</v>
      </c>
      <c r="R154" s="10">
        <f t="shared" si="52"/>
        <v>6192</v>
      </c>
    </row>
    <row r="155" spans="1:18" ht="15" customHeight="1">
      <c r="A155" s="1" t="s">
        <v>59</v>
      </c>
      <c r="B155" s="9">
        <v>435</v>
      </c>
      <c r="C155" s="9">
        <v>108</v>
      </c>
      <c r="D155" s="9">
        <v>403</v>
      </c>
      <c r="E155" s="9">
        <v>322</v>
      </c>
      <c r="F155" s="9">
        <v>-210</v>
      </c>
      <c r="G155" s="9">
        <v>-45</v>
      </c>
      <c r="H155" s="9">
        <v>217</v>
      </c>
      <c r="I155" s="9">
        <v>464</v>
      </c>
      <c r="J155" s="9">
        <v>638</v>
      </c>
      <c r="K155" s="9">
        <v>240</v>
      </c>
      <c r="L155" s="9">
        <v>239</v>
      </c>
      <c r="M155" s="9">
        <v>512</v>
      </c>
      <c r="N155" s="9">
        <v>725</v>
      </c>
      <c r="O155" s="9">
        <v>500</v>
      </c>
      <c r="P155" s="9">
        <v>207</v>
      </c>
      <c r="Q155" s="9">
        <v>695</v>
      </c>
      <c r="R155" s="9">
        <v>1065</v>
      </c>
    </row>
    <row r="156" spans="1:18" ht="15" customHeight="1">
      <c r="A156" s="1" t="s">
        <v>60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</row>
    <row r="157" spans="1:18" ht="15" customHeight="1">
      <c r="A157" s="1" t="s">
        <v>61</v>
      </c>
      <c r="B157" s="8">
        <v>0.188</v>
      </c>
      <c r="C157" s="8">
        <v>0.19400000000000001</v>
      </c>
      <c r="D157" s="8">
        <v>0.20399999999999999</v>
      </c>
      <c r="E157" s="8">
        <v>0.184</v>
      </c>
      <c r="F157" s="8">
        <v>0.16300000000000001</v>
      </c>
      <c r="G157" s="8">
        <v>0.188</v>
      </c>
      <c r="H157" s="8">
        <v>0.188</v>
      </c>
      <c r="I157" s="8">
        <v>0.189</v>
      </c>
      <c r="J157" s="8">
        <v>0.192</v>
      </c>
      <c r="K157" s="8">
        <v>0.189</v>
      </c>
      <c r="L157" s="8">
        <v>0.20100000000000001</v>
      </c>
      <c r="M157" s="8">
        <v>0.19900000000000001</v>
      </c>
      <c r="N157" s="8">
        <v>0.19700000000000001</v>
      </c>
      <c r="O157" s="8">
        <v>0.20499999999999999</v>
      </c>
      <c r="P157" s="8">
        <v>0.20799999999999999</v>
      </c>
      <c r="Q157" s="8">
        <v>0.17499999999999999</v>
      </c>
      <c r="R157" s="8">
        <v>0.19900000000000001</v>
      </c>
    </row>
    <row r="158" spans="1:18" ht="15" customHeight="1">
      <c r="A158" s="5" t="s">
        <v>62</v>
      </c>
      <c r="B158" s="10">
        <f t="shared" ref="B158:R158" si="53">IF(B157="",B155-B156,B154*B157)</f>
        <v>701.61599999999999</v>
      </c>
      <c r="C158" s="10">
        <f t="shared" si="53"/>
        <v>357.154</v>
      </c>
      <c r="D158" s="10">
        <f t="shared" si="53"/>
        <v>477.97199999999998</v>
      </c>
      <c r="E158" s="10">
        <f t="shared" si="53"/>
        <v>429.27199999999999</v>
      </c>
      <c r="F158" s="10">
        <f t="shared" si="53"/>
        <v>536.27</v>
      </c>
      <c r="G158" s="10">
        <f t="shared" si="53"/>
        <v>474.512</v>
      </c>
      <c r="H158" s="10">
        <f t="shared" si="53"/>
        <v>535.79999999999995</v>
      </c>
      <c r="I158" s="10">
        <f t="shared" si="53"/>
        <v>587.79</v>
      </c>
      <c r="J158" s="10">
        <f t="shared" si="53"/>
        <v>763.39200000000005</v>
      </c>
      <c r="K158" s="10">
        <f t="shared" si="53"/>
        <v>615.19500000000005</v>
      </c>
      <c r="L158" s="10">
        <f t="shared" si="53"/>
        <v>704.505</v>
      </c>
      <c r="M158" s="10">
        <f t="shared" si="53"/>
        <v>704.26100000000008</v>
      </c>
      <c r="N158" s="10">
        <f t="shared" si="53"/>
        <v>834.09800000000007</v>
      </c>
      <c r="O158" s="10">
        <f t="shared" si="53"/>
        <v>787.6099999999999</v>
      </c>
      <c r="P158" s="10">
        <f t="shared" si="53"/>
        <v>1407.952</v>
      </c>
      <c r="Q158" s="10">
        <f t="shared" si="53"/>
        <v>803.07499999999993</v>
      </c>
      <c r="R158" s="10">
        <f t="shared" si="53"/>
        <v>1232.2080000000001</v>
      </c>
    </row>
    <row r="159" spans="1:18" ht="15" customHeight="1">
      <c r="A159" s="5" t="s">
        <v>63</v>
      </c>
      <c r="B159" s="11"/>
      <c r="C159" s="11"/>
      <c r="D159" s="11"/>
      <c r="E159" s="11">
        <f t="shared" ref="E159:R159" si="54">SUM(B158:E158)/SUM(B154:E154)</f>
        <v>0.19182495853253975</v>
      </c>
      <c r="F159" s="11">
        <f t="shared" si="54"/>
        <v>0.18361048230855509</v>
      </c>
      <c r="G159" s="11">
        <f t="shared" si="54"/>
        <v>0.18284327931363201</v>
      </c>
      <c r="H159" s="11">
        <f t="shared" si="54"/>
        <v>0.1796720923888333</v>
      </c>
      <c r="I159" s="11">
        <f t="shared" si="54"/>
        <v>0.18127841005605572</v>
      </c>
      <c r="J159" s="11">
        <f t="shared" si="54"/>
        <v>0.18952600321027285</v>
      </c>
      <c r="K159" s="11">
        <f t="shared" si="54"/>
        <v>0.18968819649761201</v>
      </c>
      <c r="L159" s="11">
        <f t="shared" si="54"/>
        <v>0.19289917665751843</v>
      </c>
      <c r="M159" s="11">
        <f t="shared" si="54"/>
        <v>0.19526115586690018</v>
      </c>
      <c r="N159" s="11">
        <f t="shared" si="54"/>
        <v>0.19665994632904427</v>
      </c>
      <c r="O159" s="11">
        <f t="shared" si="54"/>
        <v>0.20042817460317461</v>
      </c>
      <c r="P159" s="11">
        <f t="shared" si="54"/>
        <v>0.20310710400348131</v>
      </c>
      <c r="Q159" s="11">
        <f t="shared" si="54"/>
        <v>0.19721801996500976</v>
      </c>
      <c r="R159" s="11">
        <f t="shared" si="54"/>
        <v>0.19777697270007477</v>
      </c>
    </row>
    <row r="160" spans="1:18" ht="15" customHeight="1">
      <c r="A160" s="5" t="s">
        <v>64</v>
      </c>
      <c r="B160" s="10"/>
      <c r="C160" s="10"/>
      <c r="D160" s="10"/>
      <c r="E160" s="10">
        <f t="shared" ref="E160:R160" si="55">E150*(1-E159)</f>
        <v>11365.365608156893</v>
      </c>
      <c r="F160" s="10">
        <f t="shared" si="55"/>
        <v>11244.949216681962</v>
      </c>
      <c r="G160" s="10">
        <f t="shared" si="55"/>
        <v>11776.04550181125</v>
      </c>
      <c r="H160" s="10">
        <f t="shared" si="55"/>
        <v>12217.143528053106</v>
      </c>
      <c r="I160" s="10">
        <f t="shared" si="55"/>
        <v>12700.828024800408</v>
      </c>
      <c r="J160" s="10">
        <f t="shared" si="55"/>
        <v>13025.938076404496</v>
      </c>
      <c r="K160" s="10">
        <f t="shared" si="55"/>
        <v>13535.448365703889</v>
      </c>
      <c r="L160" s="10">
        <f t="shared" si="55"/>
        <v>13952.351933121479</v>
      </c>
      <c r="M160" s="10">
        <f t="shared" si="55"/>
        <v>14276.871833765324</v>
      </c>
      <c r="N160" s="10">
        <f t="shared" si="55"/>
        <v>14501.894648868092</v>
      </c>
      <c r="O160" s="10">
        <f t="shared" si="55"/>
        <v>14925.60726468254</v>
      </c>
      <c r="P160" s="10">
        <f t="shared" si="55"/>
        <v>15531.442542972149</v>
      </c>
      <c r="Q160" s="10">
        <f t="shared" si="55"/>
        <v>16599.92578316353</v>
      </c>
      <c r="R160" s="10">
        <f t="shared" si="55"/>
        <v>18004.291401692222</v>
      </c>
    </row>
    <row r="161" spans="1:18" ht="1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5" customHeight="1">
      <c r="A162" s="1" t="s">
        <v>65</v>
      </c>
      <c r="B162" s="9">
        <v>-5768</v>
      </c>
      <c r="C162" s="9">
        <v>-5449</v>
      </c>
      <c r="D162" s="9">
        <v>-3776</v>
      </c>
      <c r="E162" s="9">
        <v>-1912</v>
      </c>
      <c r="F162" s="9">
        <v>1556</v>
      </c>
      <c r="G162" s="9">
        <v>2841</v>
      </c>
      <c r="H162" s="9">
        <v>4378</v>
      </c>
      <c r="I162" s="9">
        <v>6182</v>
      </c>
      <c r="J162" s="9">
        <v>9239</v>
      </c>
      <c r="K162" s="9">
        <v>11269</v>
      </c>
      <c r="L162" s="9">
        <v>14236</v>
      </c>
      <c r="M162" s="9">
        <v>17261</v>
      </c>
      <c r="N162" s="9">
        <v>20969</v>
      </c>
      <c r="O162" s="9">
        <v>24666</v>
      </c>
      <c r="P162" s="9">
        <v>30457</v>
      </c>
      <c r="Q162" s="9">
        <v>39051</v>
      </c>
      <c r="R162" s="9">
        <v>43056</v>
      </c>
    </row>
    <row r="163" spans="1:18" ht="15" customHeight="1">
      <c r="A163" s="1" t="s">
        <v>66</v>
      </c>
      <c r="B163" s="9">
        <v>75859</v>
      </c>
      <c r="C163" s="9">
        <v>91577</v>
      </c>
      <c r="D163" s="9">
        <v>90919</v>
      </c>
      <c r="E163" s="9">
        <v>91811</v>
      </c>
      <c r="F163" s="9">
        <v>90481</v>
      </c>
      <c r="G163" s="9">
        <v>88941</v>
      </c>
      <c r="H163" s="9">
        <v>88789</v>
      </c>
      <c r="I163" s="9">
        <v>87980</v>
      </c>
      <c r="J163" s="9">
        <v>86869</v>
      </c>
      <c r="K163" s="9">
        <v>84515</v>
      </c>
      <c r="L163" s="9">
        <v>88624</v>
      </c>
      <c r="M163" s="9">
        <v>96276</v>
      </c>
      <c r="N163" s="9">
        <v>92568</v>
      </c>
      <c r="O163" s="9">
        <v>91315</v>
      </c>
      <c r="P163" s="9">
        <v>108075</v>
      </c>
      <c r="Q163" s="9">
        <v>134605</v>
      </c>
      <c r="R163" s="9">
        <v>129541</v>
      </c>
    </row>
    <row r="164" spans="1:18" ht="15" customHeight="1">
      <c r="A164" s="1" t="s">
        <v>67</v>
      </c>
      <c r="B164" s="9">
        <v>3658</v>
      </c>
      <c r="C164" s="9">
        <v>3658</v>
      </c>
      <c r="D164" s="9">
        <v>3658</v>
      </c>
      <c r="E164" s="9">
        <v>3658</v>
      </c>
      <c r="F164" s="9">
        <v>4849</v>
      </c>
      <c r="G164" s="9">
        <v>4849</v>
      </c>
      <c r="H164" s="9">
        <v>4849</v>
      </c>
      <c r="I164" s="9">
        <v>4849</v>
      </c>
      <c r="J164" s="9">
        <v>7545</v>
      </c>
      <c r="K164" s="9">
        <v>7545</v>
      </c>
      <c r="L164" s="9">
        <v>7545</v>
      </c>
      <c r="M164" s="9">
        <v>12000</v>
      </c>
      <c r="N164" s="9">
        <v>13450</v>
      </c>
      <c r="O164" s="9">
        <v>16290</v>
      </c>
      <c r="P164" s="9">
        <v>18679</v>
      </c>
      <c r="Q164" s="9">
        <v>21310</v>
      </c>
      <c r="R164" s="9">
        <v>30190</v>
      </c>
    </row>
    <row r="165" spans="1:18" ht="15" customHeight="1">
      <c r="A165" s="1" t="s">
        <v>68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900</v>
      </c>
      <c r="N165" s="9">
        <v>2934</v>
      </c>
      <c r="O165" s="9">
        <v>4017</v>
      </c>
      <c r="P165" s="9">
        <v>4976</v>
      </c>
      <c r="Q165" s="9">
        <v>6250</v>
      </c>
      <c r="R165" s="9">
        <v>7701</v>
      </c>
    </row>
    <row r="166" spans="1:18" ht="15" customHeight="1">
      <c r="A166" s="1" t="s">
        <v>69</v>
      </c>
      <c r="B166" s="9">
        <v>21902</v>
      </c>
      <c r="C166" s="9">
        <v>12720</v>
      </c>
      <c r="D166" s="9">
        <v>9350</v>
      </c>
      <c r="E166" s="9">
        <v>10869</v>
      </c>
      <c r="F166" s="9">
        <v>12287</v>
      </c>
      <c r="G166" s="9">
        <v>13783</v>
      </c>
      <c r="H166" s="9">
        <v>10490</v>
      </c>
      <c r="I166" s="9">
        <v>11804</v>
      </c>
      <c r="J166" s="9">
        <v>12661</v>
      </c>
      <c r="K166" s="9">
        <v>13211</v>
      </c>
      <c r="L166" s="9">
        <v>13211</v>
      </c>
      <c r="M166" s="9">
        <v>19823</v>
      </c>
      <c r="N166" s="9">
        <v>13303</v>
      </c>
      <c r="O166" s="9">
        <v>13105</v>
      </c>
      <c r="P166" s="9">
        <v>20182</v>
      </c>
      <c r="Q166" s="9">
        <v>41332</v>
      </c>
      <c r="R166" s="9">
        <v>34194</v>
      </c>
    </row>
    <row r="167" spans="1:18" ht="15" customHeight="1">
      <c r="A167" s="5" t="s">
        <v>21</v>
      </c>
      <c r="B167" s="10">
        <f t="shared" ref="B167:R167" si="56">SUM(B162:B165)-B166</f>
        <v>51847</v>
      </c>
      <c r="C167" s="10">
        <f t="shared" si="56"/>
        <v>77066</v>
      </c>
      <c r="D167" s="10">
        <f t="shared" si="56"/>
        <v>81451</v>
      </c>
      <c r="E167" s="10">
        <f t="shared" si="56"/>
        <v>82688</v>
      </c>
      <c r="F167" s="10">
        <f t="shared" si="56"/>
        <v>84599</v>
      </c>
      <c r="G167" s="10">
        <f t="shared" si="56"/>
        <v>82848</v>
      </c>
      <c r="H167" s="10">
        <f t="shared" si="56"/>
        <v>87526</v>
      </c>
      <c r="I167" s="10">
        <f t="shared" si="56"/>
        <v>87207</v>
      </c>
      <c r="J167" s="10">
        <f t="shared" si="56"/>
        <v>90992</v>
      </c>
      <c r="K167" s="10">
        <f t="shared" si="56"/>
        <v>90118</v>
      </c>
      <c r="L167" s="10">
        <f t="shared" si="56"/>
        <v>97194</v>
      </c>
      <c r="M167" s="10">
        <f t="shared" si="56"/>
        <v>106614</v>
      </c>
      <c r="N167" s="10">
        <f t="shared" si="56"/>
        <v>116618</v>
      </c>
      <c r="O167" s="10">
        <f t="shared" si="56"/>
        <v>123183</v>
      </c>
      <c r="P167" s="10">
        <f t="shared" si="56"/>
        <v>142005</v>
      </c>
      <c r="Q167" s="10">
        <f t="shared" si="56"/>
        <v>159884</v>
      </c>
      <c r="R167" s="10">
        <f t="shared" si="56"/>
        <v>176294</v>
      </c>
    </row>
    <row r="168" spans="1:18" ht="1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5" customHeight="1">
      <c r="A169" s="5" t="s">
        <v>70</v>
      </c>
      <c r="B169" s="10"/>
      <c r="C169" s="10"/>
      <c r="D169" s="10"/>
      <c r="E169" s="10"/>
      <c r="F169" s="10"/>
      <c r="G169" s="10"/>
      <c r="H169" s="10"/>
      <c r="I169" s="10">
        <f t="shared" ref="I169:R169" si="57">I160-E160</f>
        <v>1335.4624166435151</v>
      </c>
      <c r="J169" s="10">
        <f t="shared" si="57"/>
        <v>1780.9888597225345</v>
      </c>
      <c r="K169" s="10">
        <f t="shared" si="57"/>
        <v>1759.4028638926393</v>
      </c>
      <c r="L169" s="10">
        <f t="shared" si="57"/>
        <v>1735.2084050683734</v>
      </c>
      <c r="M169" s="10">
        <f t="shared" si="57"/>
        <v>1576.043808964916</v>
      </c>
      <c r="N169" s="10">
        <f t="shared" si="57"/>
        <v>1475.9565724635959</v>
      </c>
      <c r="O169" s="10">
        <f t="shared" si="57"/>
        <v>1390.1588989786505</v>
      </c>
      <c r="P169" s="10">
        <f t="shared" si="57"/>
        <v>1579.0906098506694</v>
      </c>
      <c r="Q169" s="10">
        <f t="shared" si="57"/>
        <v>2323.0539493982051</v>
      </c>
      <c r="R169" s="10">
        <f t="shared" si="57"/>
        <v>3502.3967528241301</v>
      </c>
    </row>
    <row r="170" spans="1:18" ht="15" customHeight="1">
      <c r="A170" s="5" t="s">
        <v>71</v>
      </c>
      <c r="B170" s="10"/>
      <c r="C170" s="10"/>
      <c r="D170" s="10"/>
      <c r="E170" s="10"/>
      <c r="F170" s="10"/>
      <c r="G170" s="10"/>
      <c r="H170" s="10"/>
      <c r="I170" s="10">
        <f t="shared" ref="I170:R170" si="58">I167-E167</f>
        <v>4519</v>
      </c>
      <c r="J170" s="10">
        <f t="shared" si="58"/>
        <v>6393</v>
      </c>
      <c r="K170" s="10">
        <f t="shared" si="58"/>
        <v>7270</v>
      </c>
      <c r="L170" s="10">
        <f t="shared" si="58"/>
        <v>9668</v>
      </c>
      <c r="M170" s="10">
        <f t="shared" si="58"/>
        <v>19407</v>
      </c>
      <c r="N170" s="10">
        <f t="shared" si="58"/>
        <v>25626</v>
      </c>
      <c r="O170" s="10">
        <f t="shared" si="58"/>
        <v>33065</v>
      </c>
      <c r="P170" s="10">
        <f t="shared" si="58"/>
        <v>44811</v>
      </c>
      <c r="Q170" s="10">
        <f t="shared" si="58"/>
        <v>53270</v>
      </c>
      <c r="R170" s="10">
        <f t="shared" si="58"/>
        <v>59676</v>
      </c>
    </row>
    <row r="171" spans="1:18" ht="15" customHeight="1">
      <c r="A171" s="5" t="s">
        <v>72</v>
      </c>
      <c r="B171" s="11"/>
      <c r="C171" s="11"/>
      <c r="D171" s="11"/>
      <c r="E171" s="11"/>
      <c r="F171" s="11"/>
      <c r="G171" s="11"/>
      <c r="H171" s="11"/>
      <c r="I171" s="11">
        <f t="shared" ref="I171:R171" si="59">IF(I170&gt;0,I169/I170,"N/M")</f>
        <v>0.295521667767983</v>
      </c>
      <c r="J171" s="11">
        <f t="shared" si="59"/>
        <v>0.2785842108122219</v>
      </c>
      <c r="K171" s="11">
        <f t="shared" si="59"/>
        <v>0.24200864702787336</v>
      </c>
      <c r="L171" s="11">
        <f t="shared" si="59"/>
        <v>0.17947956196404358</v>
      </c>
      <c r="M171" s="11">
        <f t="shared" si="59"/>
        <v>8.1210068993915391E-2</v>
      </c>
      <c r="N171" s="11">
        <f t="shared" si="59"/>
        <v>5.7596057615843126E-2</v>
      </c>
      <c r="O171" s="11">
        <f t="shared" si="59"/>
        <v>4.2043214848893104E-2</v>
      </c>
      <c r="P171" s="11">
        <f t="shared" si="59"/>
        <v>3.5238905845677834E-2</v>
      </c>
      <c r="Q171" s="11">
        <f t="shared" si="59"/>
        <v>4.3609047294879015E-2</v>
      </c>
      <c r="R171" s="11">
        <f t="shared" si="59"/>
        <v>5.8690206327906197E-2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Incremental ROIC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created xsi:type="dcterms:W3CDTF">2026-08-01T02:46:32Z</dcterms:created>
  <dcterms:modified xsi:type="dcterms:W3CDTF">2026-08-01T02:46:32Z</dcterms:modified>
</cp:coreProperties>
</file>