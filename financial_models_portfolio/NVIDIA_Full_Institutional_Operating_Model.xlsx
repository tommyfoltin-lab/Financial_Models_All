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8d8a3cecc47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93cbe880dd184e2b"/>
    <x:sheet xmlns:r="http://schemas.openxmlformats.org/officeDocument/2006/relationships" name="Dashboard" sheetId="2" r:id="Rbdbd02a83b12409d"/>
    <x:sheet xmlns:r="http://schemas.openxmlformats.org/officeDocument/2006/relationships" name="Scenarios" sheetId="3" r:id="R1b784af8e8074b3b"/>
    <x:sheet xmlns:r="http://schemas.openxmlformats.org/officeDocument/2006/relationships" name="Total Revenue" sheetId="4" r:id="R5c0f785b21ff471e"/>
    <x:sheet xmlns:r="http://schemas.openxmlformats.org/officeDocument/2006/relationships" name="Data Center Revenue" sheetId="5" r:id="Ra7f6739e44f84716"/>
    <x:sheet xmlns:r="http://schemas.openxmlformats.org/officeDocument/2006/relationships" name="Compute GPUs" sheetId="6" r:id="Red6594fc46934052"/>
    <x:sheet xmlns:r="http://schemas.openxmlformats.org/officeDocument/2006/relationships" name="HGX" sheetId="7" r:id="R2bb0c524915f4ef5"/>
    <x:sheet xmlns:r="http://schemas.openxmlformats.org/officeDocument/2006/relationships" name="GB200 NVL72" sheetId="8" r:id="R1f56f93f2c0c4b93"/>
    <x:sheet xmlns:r="http://schemas.openxmlformats.org/officeDocument/2006/relationships" name="NVL36" sheetId="9" r:id="Rb7d52269f4f04815"/>
    <x:sheet xmlns:r="http://schemas.openxmlformats.org/officeDocument/2006/relationships" name="DGX" sheetId="10" r:id="Rdd34f327891242d4"/>
    <x:sheet xmlns:r="http://schemas.openxmlformats.org/officeDocument/2006/relationships" name="Networking Revenue" sheetId="11" r:id="R5472f315eb444cf1"/>
    <x:sheet xmlns:r="http://schemas.openxmlformats.org/officeDocument/2006/relationships" name="Gaming Revenue" sheetId="12" r:id="R29c50929b0d64341"/>
    <x:sheet xmlns:r="http://schemas.openxmlformats.org/officeDocument/2006/relationships" name="Pro Visualization" sheetId="13" r:id="R434fd6d370f94cc7"/>
    <x:sheet xmlns:r="http://schemas.openxmlformats.org/officeDocument/2006/relationships" name="Automotive" sheetId="14" r:id="R69d88e98240642c8"/>
    <x:sheet xmlns:r="http://schemas.openxmlformats.org/officeDocument/2006/relationships" name="OEM and Other" sheetId="15" r:id="R7e70ee85e49d4c9b"/>
    <x:sheet xmlns:r="http://schemas.openxmlformats.org/officeDocument/2006/relationships" name="Software Revenue" sheetId="16" r:id="R265de13c6c534442"/>
    <x:sheet xmlns:r="http://schemas.openxmlformats.org/officeDocument/2006/relationships" name="Cloud Services" sheetId="17" r:id="Reb6afc7369ab4da3"/>
    <x:sheet xmlns:r="http://schemas.openxmlformats.org/officeDocument/2006/relationships" name="Installed Base" sheetId="18" r:id="Re9f169f8faae43be"/>
    <x:sheet xmlns:r="http://schemas.openxmlformats.org/officeDocument/2006/relationships" name="GPU Units" sheetId="19" r:id="Re03bfb4359334db9"/>
    <x:sheet xmlns:r="http://schemas.openxmlformats.org/officeDocument/2006/relationships" name="Rack Systems" sheetId="20" r:id="Rf752d0eba617433b"/>
    <x:sheet xmlns:r="http://schemas.openxmlformats.org/officeDocument/2006/relationships" name="ASP Schedule" sheetId="21" r:id="Rd0d9b1b24ce74be3"/>
    <x:sheet xmlns:r="http://schemas.openxmlformats.org/officeDocument/2006/relationships" name="Segment GM" sheetId="22" r:id="Ref453141aada4112"/>
    <x:sheet xmlns:r="http://schemas.openxmlformats.org/officeDocument/2006/relationships" name="Wafer Supply" sheetId="23" r:id="Rf5c7ed56a5b246fc"/>
    <x:sheet xmlns:r="http://schemas.openxmlformats.org/officeDocument/2006/relationships" name="Die Size Yield" sheetId="24" r:id="R31800001cdb446ef"/>
    <x:sheet xmlns:r="http://schemas.openxmlformats.org/officeDocument/2006/relationships" name="HBM Supply" sheetId="25" r:id="R274d7d61571443c1"/>
    <x:sheet xmlns:r="http://schemas.openxmlformats.org/officeDocument/2006/relationships" name="CoWoS Packaging" sheetId="26" r:id="R59127008bb8d49f2"/>
    <x:sheet xmlns:r="http://schemas.openxmlformats.org/officeDocument/2006/relationships" name="Substrate Supply" sheetId="27" r:id="R306bd7d087934c94"/>
    <x:sheet xmlns:r="http://schemas.openxmlformats.org/officeDocument/2006/relationships" name="Board Assembly" sheetId="28" r:id="Rc63481d818034042"/>
    <x:sheet xmlns:r="http://schemas.openxmlformats.org/officeDocument/2006/relationships" name="Power Cooling BOM" sheetId="29" r:id="R4bfefccc4a704861"/>
    <x:sheet xmlns:r="http://schemas.openxmlformats.org/officeDocument/2006/relationships" name="Data Center COGS" sheetId="30" r:id="R7576a6fc8a954457"/>
    <x:sheet xmlns:r="http://schemas.openxmlformats.org/officeDocument/2006/relationships" name="Gaming COGS" sheetId="31" r:id="Rb59fbda682cc4fc7"/>
    <x:sheet xmlns:r="http://schemas.openxmlformats.org/officeDocument/2006/relationships" name="Networking COGS" sheetId="32" r:id="R77f95da4f32949b9"/>
    <x:sheet xmlns:r="http://schemas.openxmlformats.org/officeDocument/2006/relationships" name="Total COGS" sheetId="33" r:id="Rfa3990151fb8426f"/>
    <x:sheet xmlns:r="http://schemas.openxmlformats.org/officeDocument/2006/relationships" name="Headcount" sheetId="34" r:id="Rcb0be24681c64279"/>
    <x:sheet xmlns:r="http://schemas.openxmlformats.org/officeDocument/2006/relationships" name="R&amp;D Programs" sheetId="35" r:id="R6bf355a8f4d642f6"/>
    <x:sheet xmlns:r="http://schemas.openxmlformats.org/officeDocument/2006/relationships" name="Sales Marketing" sheetId="36" r:id="R697b7684680c454c"/>
    <x:sheet xmlns:r="http://schemas.openxmlformats.org/officeDocument/2006/relationships" name="G&amp;A" sheetId="37" r:id="R1db64a84a2724caf"/>
    <x:sheet xmlns:r="http://schemas.openxmlformats.org/officeDocument/2006/relationships" name="Stock Comp" sheetId="38" r:id="Rec404bc2f5b54013"/>
    <x:sheet xmlns:r="http://schemas.openxmlformats.org/officeDocument/2006/relationships" name="Operating Expenses" sheetId="39" r:id="R9762961c8b3743ef"/>
    <x:sheet xmlns:r="http://schemas.openxmlformats.org/officeDocument/2006/relationships" name="CapEx" sheetId="40" r:id="R70c710ec8bdb4c15"/>
    <x:sheet xmlns:r="http://schemas.openxmlformats.org/officeDocument/2006/relationships" name="Depreciation" sheetId="41" r:id="Rf2ae53b7653540c7"/>
    <x:sheet xmlns:r="http://schemas.openxmlformats.org/officeDocument/2006/relationships" name="Working Capital" sheetId="42" r:id="Ra3f60353bc7f454d"/>
    <x:sheet xmlns:r="http://schemas.openxmlformats.org/officeDocument/2006/relationships" name="Income Statement" sheetId="43" r:id="R126886006f2f4754"/>
    <x:sheet xmlns:r="http://schemas.openxmlformats.org/officeDocument/2006/relationships" name="Balance Sheet" sheetId="44" r:id="Re47171dbf201410d"/>
    <x:sheet xmlns:r="http://schemas.openxmlformats.org/officeDocument/2006/relationships" name="Cash Flow" sheetId="45" r:id="Rf8663d719e91467f"/>
    <x:sheet xmlns:r="http://schemas.openxmlformats.org/officeDocument/2006/relationships" name="DCF" sheetId="46" r:id="Re2354284da9c4de9"/>
    <x:sheet xmlns:r="http://schemas.openxmlformats.org/officeDocument/2006/relationships" name="Trading Comps" sheetId="47" r:id="R061728c246c64567"/>
    <x:sheet xmlns:r="http://schemas.openxmlformats.org/officeDocument/2006/relationships" name="Scenario Output" sheetId="48" r:id="R08ae964e9efa455e"/>
    <x:sheet xmlns:r="http://schemas.openxmlformats.org/officeDocument/2006/relationships" name="Sensitivity" sheetId="49" r:id="R81eabe77866c4bfa"/>
    <x:sheet xmlns:r="http://schemas.openxmlformats.org/officeDocument/2006/relationships" name="Checks" sheetId="50" r:id="Rc6e20935d6384ff1"/>
    <x:sheet xmlns:r="http://schemas.openxmlformats.org/officeDocument/2006/relationships" name="Sources" sheetId="51" r:id="Reaa57a5ad7294b3b"/>
    <x:sheet xmlns:r="http://schemas.openxmlformats.org/officeDocument/2006/relationships" name="Valuation" sheetId="52" r:id="R22b90932b4da40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0.0%"/>
    <x:numFmt numFmtId="202" formatCode="0.0x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righ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3" fillId="5" borderId="0" xfId="0" applyNumberFormat="1" applyFont="1" applyFill="1" applyBorder="1"/>
    <x:xf numFmtId="201" fontId="4" fillId="5" borderId="0" xfId="0" applyNumberFormat="1" applyFont="1" applyFill="1" applyBorder="1"/>
    <x:xf numFmtId="201" fontId="3" fillId="5" borderId="1" xfId="0" applyNumberFormat="1" applyFont="1" applyFill="1" applyBorder="1"/>
    <x:xf numFmtId="201" fontId="4" fillId="5" borderId="1" xfId="0" applyNumberFormat="1" applyFont="1" applyFill="1" applyBorder="1"/>
    <x:xf numFmtId="201" fontId="3" fillId="4" borderId="0" xfId="0" applyNumberFormat="1" applyFont="1" applyFill="1" applyBorder="1"/>
    <x:xf numFmtId="201" fontId="4" fillId="4" borderId="0" xfId="0" applyNumberFormat="1" applyFont="1" applyFill="1" applyBorder="1"/>
    <x:xf numFmtId="201" fontId="3" fillId="4" borderId="1" xfId="0" applyNumberFormat="1" applyFont="1" applyFill="1" applyBorder="1"/>
    <x:xf numFmtId="201" fontId="4" fillId="4" borderId="1" xfId="0" applyNumberFormat="1" applyFont="1" applyFill="1" applyBorder="1"/>
    <x:xf numFmtId="201" fontId="2" fillId="2" borderId="0" xfId="0" applyNumberFormat="1" applyFont="1" applyFill="1" applyBorder="1"/>
    <x:xf numFmtId="201" fontId="2" fillId="2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0" fillId="2" borderId="1" xfId="0" applyNumberFormat="1" applyFont="1" applyFill="1" applyBorder="1"/>
    <x:xf numFmtId="200" fontId="1" fillId="2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9200f7f4e44d8c" /><Relationship Type="http://schemas.openxmlformats.org/officeDocument/2006/relationships/theme" Target="/xl/theme/theme1.xml" Id="R03389086a0094c3c" /><Relationship Type="http://schemas.openxmlformats.org/officeDocument/2006/relationships/sharedStrings" Target="/xl/sharedStrings.xml" Id="R30fe0a9055cc4a17" /><Relationship Type="http://schemas.openxmlformats.org/officeDocument/2006/relationships/worksheet" Target="/xl/worksheets/sheet1.xml" Id="R93cbe880dd184e2b" /><Relationship Type="http://schemas.openxmlformats.org/officeDocument/2006/relationships/worksheet" Target="/xl/worksheets/sheet2.xml" Id="Rbdbd02a83b12409d" /><Relationship Type="http://schemas.openxmlformats.org/officeDocument/2006/relationships/worksheet" Target="/xl/worksheets/sheet3.xml" Id="R1b784af8e8074b3b" /><Relationship Type="http://schemas.openxmlformats.org/officeDocument/2006/relationships/worksheet" Target="/xl/worksheets/sheet4.xml" Id="R5c0f785b21ff471e" /><Relationship Type="http://schemas.openxmlformats.org/officeDocument/2006/relationships/worksheet" Target="/xl/worksheets/sheet5.xml" Id="Ra7f6739e44f84716" /><Relationship Type="http://schemas.openxmlformats.org/officeDocument/2006/relationships/worksheet" Target="/xl/worksheets/sheet6.xml" Id="Red6594fc46934052" /><Relationship Type="http://schemas.openxmlformats.org/officeDocument/2006/relationships/worksheet" Target="/xl/worksheets/sheet7.xml" Id="R2bb0c524915f4ef5" /><Relationship Type="http://schemas.openxmlformats.org/officeDocument/2006/relationships/worksheet" Target="/xl/worksheets/sheet8.xml" Id="R1f56f93f2c0c4b93" /><Relationship Type="http://schemas.openxmlformats.org/officeDocument/2006/relationships/worksheet" Target="/xl/worksheets/sheet9.xml" Id="Rb7d52269f4f04815" /><Relationship Type="http://schemas.openxmlformats.org/officeDocument/2006/relationships/worksheet" Target="/xl/worksheets/sheet10.xml" Id="Rdd34f327891242d4" /><Relationship Type="http://schemas.openxmlformats.org/officeDocument/2006/relationships/worksheet" Target="/xl/worksheets/sheet11.xml" Id="R5472f315eb444cf1" /><Relationship Type="http://schemas.openxmlformats.org/officeDocument/2006/relationships/worksheet" Target="/xl/worksheets/sheet12.xml" Id="R29c50929b0d64341" /><Relationship Type="http://schemas.openxmlformats.org/officeDocument/2006/relationships/worksheet" Target="/xl/worksheets/sheet13.xml" Id="R434fd6d370f94cc7" /><Relationship Type="http://schemas.openxmlformats.org/officeDocument/2006/relationships/worksheet" Target="/xl/worksheets/sheet14.xml" Id="R69d88e98240642c8" /><Relationship Type="http://schemas.openxmlformats.org/officeDocument/2006/relationships/worksheet" Target="/xl/worksheets/sheet15.xml" Id="R7e70ee85e49d4c9b" /><Relationship Type="http://schemas.openxmlformats.org/officeDocument/2006/relationships/worksheet" Target="/xl/worksheets/sheet16.xml" Id="R265de13c6c534442" /><Relationship Type="http://schemas.openxmlformats.org/officeDocument/2006/relationships/worksheet" Target="/xl/worksheets/sheet17.xml" Id="Reb6afc7369ab4da3" /><Relationship Type="http://schemas.openxmlformats.org/officeDocument/2006/relationships/worksheet" Target="/xl/worksheets/sheet18.xml" Id="Re9f169f8faae43be" /><Relationship Type="http://schemas.openxmlformats.org/officeDocument/2006/relationships/worksheet" Target="/xl/worksheets/sheet19.xml" Id="Re03bfb4359334db9" /><Relationship Type="http://schemas.openxmlformats.org/officeDocument/2006/relationships/worksheet" Target="/xl/worksheets/sheet20.xml" Id="Rf752d0eba617433b" /><Relationship Type="http://schemas.openxmlformats.org/officeDocument/2006/relationships/worksheet" Target="/xl/worksheets/sheet21.xml" Id="Rd0d9b1b24ce74be3" /><Relationship Type="http://schemas.openxmlformats.org/officeDocument/2006/relationships/worksheet" Target="/xl/worksheets/sheet22.xml" Id="Ref453141aada4112" /><Relationship Type="http://schemas.openxmlformats.org/officeDocument/2006/relationships/worksheet" Target="/xl/worksheets/sheet23.xml" Id="Rf5c7ed56a5b246fc" /><Relationship Type="http://schemas.openxmlformats.org/officeDocument/2006/relationships/worksheet" Target="/xl/worksheets/sheet24.xml" Id="R31800001cdb446ef" /><Relationship Type="http://schemas.openxmlformats.org/officeDocument/2006/relationships/worksheet" Target="/xl/worksheets/sheet25.xml" Id="R274d7d61571443c1" /><Relationship Type="http://schemas.openxmlformats.org/officeDocument/2006/relationships/worksheet" Target="/xl/worksheets/sheet26.xml" Id="R59127008bb8d49f2" /><Relationship Type="http://schemas.openxmlformats.org/officeDocument/2006/relationships/worksheet" Target="/xl/worksheets/sheet27.xml" Id="R306bd7d087934c94" /><Relationship Type="http://schemas.openxmlformats.org/officeDocument/2006/relationships/worksheet" Target="/xl/worksheets/sheet28.xml" Id="Rc63481d818034042" /><Relationship Type="http://schemas.openxmlformats.org/officeDocument/2006/relationships/worksheet" Target="/xl/worksheets/sheet29.xml" Id="R4bfefccc4a704861" /><Relationship Type="http://schemas.openxmlformats.org/officeDocument/2006/relationships/worksheet" Target="/xl/worksheets/sheet30.xml" Id="R7576a6fc8a954457" /><Relationship Type="http://schemas.openxmlformats.org/officeDocument/2006/relationships/worksheet" Target="/xl/worksheets/sheet31.xml" Id="Rb59fbda682cc4fc7" /><Relationship Type="http://schemas.openxmlformats.org/officeDocument/2006/relationships/worksheet" Target="/xl/worksheets/sheet32.xml" Id="R77f95da4f32949b9" /><Relationship Type="http://schemas.openxmlformats.org/officeDocument/2006/relationships/worksheet" Target="/xl/worksheets/sheet33.xml" Id="Rfa3990151fb8426f" /><Relationship Type="http://schemas.openxmlformats.org/officeDocument/2006/relationships/worksheet" Target="/xl/worksheets/sheet34.xml" Id="Rcb0be24681c64279" /><Relationship Type="http://schemas.openxmlformats.org/officeDocument/2006/relationships/worksheet" Target="/xl/worksheets/sheet35.xml" Id="R6bf355a8f4d642f6" /><Relationship Type="http://schemas.openxmlformats.org/officeDocument/2006/relationships/worksheet" Target="/xl/worksheets/sheet36.xml" Id="R697b7684680c454c" /><Relationship Type="http://schemas.openxmlformats.org/officeDocument/2006/relationships/worksheet" Target="/xl/worksheets/sheet37.xml" Id="R1db64a84a2724caf" /><Relationship Type="http://schemas.openxmlformats.org/officeDocument/2006/relationships/worksheet" Target="/xl/worksheets/sheet38.xml" Id="Rec404bc2f5b54013" /><Relationship Type="http://schemas.openxmlformats.org/officeDocument/2006/relationships/worksheet" Target="/xl/worksheets/sheet39.xml" Id="R9762961c8b3743ef" /><Relationship Type="http://schemas.openxmlformats.org/officeDocument/2006/relationships/worksheet" Target="/xl/worksheets/sheet40.xml" Id="R70c710ec8bdb4c15" /><Relationship Type="http://schemas.openxmlformats.org/officeDocument/2006/relationships/worksheet" Target="/xl/worksheets/sheet41.xml" Id="Rf2ae53b7653540c7" /><Relationship Type="http://schemas.openxmlformats.org/officeDocument/2006/relationships/worksheet" Target="/xl/worksheets/sheet42.xml" Id="Ra3f60353bc7f454d" /><Relationship Type="http://schemas.openxmlformats.org/officeDocument/2006/relationships/worksheet" Target="/xl/worksheets/sheet43.xml" Id="R126886006f2f4754" /><Relationship Type="http://schemas.openxmlformats.org/officeDocument/2006/relationships/worksheet" Target="/xl/worksheets/sheet44.xml" Id="Re47171dbf201410d" /><Relationship Type="http://schemas.openxmlformats.org/officeDocument/2006/relationships/worksheet" Target="/xl/worksheets/sheet45.xml" Id="Rf8663d719e91467f" /><Relationship Type="http://schemas.openxmlformats.org/officeDocument/2006/relationships/worksheet" Target="/xl/worksheets/sheet46.xml" Id="Re2354284da9c4de9" /><Relationship Type="http://schemas.openxmlformats.org/officeDocument/2006/relationships/worksheet" Target="/xl/worksheets/sheet47.xml" Id="R061728c246c64567" /><Relationship Type="http://schemas.openxmlformats.org/officeDocument/2006/relationships/worksheet" Target="/xl/worksheets/sheet48.xml" Id="R08ae964e9efa455e" /><Relationship Type="http://schemas.openxmlformats.org/officeDocument/2006/relationships/worksheet" Target="/xl/worksheets/sheet49.xml" Id="R81eabe77866c4bfa" /><Relationship Type="http://schemas.openxmlformats.org/officeDocument/2006/relationships/worksheet" Target="/xl/worksheets/sheet50.xml" Id="Rc6e20935d6384ff1" /><Relationship Type="http://schemas.openxmlformats.org/officeDocument/2006/relationships/worksheet" Target="/xl/worksheets/sheet51.xml" Id="Reaa57a5ad7294b3b" /><Relationship Type="http://schemas.openxmlformats.org/officeDocument/2006/relationships/worksheet" Target="/xl/worksheets/sheet52.xml" Id="R22b90932b4da40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4111991f674b2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Key Financials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Series 1</c:v>
          </c:tx>
          <c:cat>
            <c:strRef>
              <c:f>'Dashboard'!$A$5:$A$9</c:f>
              <c:strCache>
                <c:ptCount val="0"/>
              </c:strCache>
            </c:strRef>
          </c:cat>
          <c:val>
            <c:numRef>
              <c:f>'Dashboard'!$B$5:$B$9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Series 2</c:v>
          </c:tx>
          <c:cat>
            <c:strRef>
              <c:f>'Dashboard'!$A$5:$A$9</c:f>
              <c:strCache>
                <c:ptCount val="0"/>
              </c:strCache>
            </c:strRef>
          </c:cat>
          <c:val>
            <c:numRef>
              <c:f>'Dashboard'!$C$5:$C$9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4111991f674b2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73da8eecee945a5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Control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Company ticker</x:v>
      </x:c>
      <x:c r="B4" s="13" t="str">
        <x:v>NVDA</x:v>
      </x:c>
      <x:c r="C4" s="13" t="str">
        <x:v>NVDA</x:v>
      </x:c>
      <x:c r="D4" s="13" t="str">
        <x:v>NVDA</x:v>
      </x:c>
      <x:c r="E4" s="13" t="str">
        <x:v>NVDA</x:v>
      </x:c>
      <x:c r="F4" s="13" t="str">
        <x:v>NVDA</x:v>
      </x:c>
      <x:c r="G4" s="13" t="str">
        <x:v>NVDA</x:v>
      </x:c>
      <x:c r="H4" s="13" t="str">
        <x:v>NVDA</x:v>
      </x:c>
    </x:row>
    <x:row r="5">
      <x:c r="A5" t="str">
        <x:v>Currency</x:v>
      </x:c>
      <x:c r="B5" s="13" t="str">
        <x:v>USD</x:v>
      </x:c>
      <x:c r="C5" s="13" t="str">
        <x:v>USD</x:v>
      </x:c>
      <x:c r="D5" s="13" t="str">
        <x:v>USD</x:v>
      </x:c>
      <x:c r="E5" s="13" t="str">
        <x:v>USD</x:v>
      </x:c>
      <x:c r="F5" s="13" t="str">
        <x:v>USD</x:v>
      </x:c>
      <x:c r="G5" s="13" t="str">
        <x:v>USD</x:v>
      </x:c>
      <x:c r="H5" s="13" t="str">
        <x:v>USD</x:v>
      </x:c>
    </x:row>
    <x:row r="6">
      <x:c r="A6" t="str">
        <x:v>Units</x:v>
      </x:c>
      <x:c r="B6" s="13" t="str">
        <x:v>$mm</x:v>
      </x:c>
      <x:c r="C6" s="13" t="str">
        <x:v>$mm</x:v>
      </x:c>
      <x:c r="D6" s="13" t="str">
        <x:v>$mm</x:v>
      </x:c>
      <x:c r="E6" s="13" t="str">
        <x:v>$mm</x:v>
      </x:c>
      <x:c r="F6" s="13" t="str">
        <x:v>$mm</x:v>
      </x:c>
      <x:c r="G6" s="13" t="str">
        <x:v>$mm</x:v>
      </x:c>
      <x:c r="H6" s="13" t="str">
        <x:v>$mm</x:v>
      </x:c>
    </x:row>
    <x:row r="7">
      <x:c r="A7" t="str">
        <x:v>Scenario selector</x:v>
      </x:c>
      <x:c r="B7" s="16" t="str">
        <x:v>Base</x:v>
      </x:c>
      <x:c r="C7" s="16" t="str">
        <x:v>Base</x:v>
      </x:c>
      <x:c r="D7" s="16" t="str">
        <x:v>Base</x:v>
      </x:c>
      <x:c r="E7" s="16" t="str">
        <x:v>Base</x:v>
      </x:c>
      <x:c r="F7" s="16" t="str">
        <x:v>Base</x:v>
      </x:c>
      <x:c r="G7" s="16" t="str">
        <x:v>Base</x:v>
      </x:c>
      <x:c r="H7" s="16" t="str">
        <x:v>Base</x:v>
      </x:c>
    </x:row>
    <x:row r="8">
      <x:c r="A8" t="str">
        <x:v>Fiscal year end</x:v>
      </x:c>
      <x:c r="B8" s="13" t="str">
        <x:v>Jan</x:v>
      </x:c>
      <x:c r="C8" s="13" t="str">
        <x:v>Jan</x:v>
      </x:c>
      <x:c r="D8" s="13" t="str">
        <x:v>Jan</x:v>
      </x:c>
      <x:c r="E8" s="13" t="str">
        <x:v>Jan</x:v>
      </x:c>
      <x:c r="F8" s="13" t="str">
        <x:v>Jan</x:v>
      </x:c>
      <x:c r="G8" s="13" t="str">
        <x:v>Jan</x:v>
      </x:c>
      <x:c r="H8" s="13" t="str">
        <x:v>Jan</x:v>
      </x:c>
    </x:row>
    <x:row r="9">
      <x:c r="A9" t="str"/>
    </x:row>
    <x:row r="10">
      <x:c r="A10" s="16" t="str">
        <x:v>Revenue Drivers</x:v>
      </x:c>
      <x:c r="B10" s="16"/>
      <x:c r="C10" s="16"/>
      <x:c r="D10" s="16"/>
      <x:c r="E10" s="16"/>
      <x:c r="F10" s="16"/>
      <x:c r="G10" s="16"/>
      <x:c r="H10" s="16"/>
    </x:row>
    <x:row r="11">
      <x:c r="A11" t="str">
        <x:v>Data Center GPU Units</x:v>
      </x:c>
      <x:c r="B11" s="13" t="n">
        <x:v>1000</x:v>
      </x:c>
      <x:c r="C11" s="13" t="n">
        <x:v>1000</x:v>
      </x:c>
      <x:c r="D11" s="13" t="n">
        <x:v>1000</x:v>
      </x:c>
      <x:c r="E11" s="13" t="n">
        <x:v>1000</x:v>
      </x:c>
      <x:c r="F11" s="13" t="n">
        <x:v>1000</x:v>
      </x:c>
      <x:c r="G11" s="13" t="n">
        <x:v>1000</x:v>
      </x:c>
      <x:c r="H11" s="13" t="n">
        <x:v>1000</x:v>
      </x:c>
    </x:row>
    <x:row r="12">
      <x:c r="A12" t="str">
        <x:v>% growth</x:v>
      </x:c>
      <x:c r="B12" s="30"/>
      <x:c r="C12" s="31" t="n">
        <x:f>C11/B11-1</x:f>
        <x:v>0</x:v>
      </x:c>
      <x:c r="D12" s="31" t="n">
        <x:f>D11/C11-1</x:f>
        <x:v>0</x:v>
      </x:c>
      <x:c r="E12" s="31" t="n">
        <x:f>E11/D11-1</x:f>
        <x:v>0</x:v>
      </x:c>
      <x:c r="F12" s="31" t="n">
        <x:f>F11/E11-1</x:f>
        <x:v>0</x:v>
      </x:c>
      <x:c r="G12" s="31" t="n">
        <x:f>G11/F11-1</x:f>
        <x:v>0</x:v>
      </x:c>
      <x:c r="H12" s="31" t="n">
        <x:f>H11/G11-1</x:f>
        <x:v>0</x:v>
      </x:c>
    </x:row>
    <x:row r="13">
      <x:c r="A13" t="str">
        <x:v>Data Center GPU ASP</x:v>
      </x:c>
      <x:c r="B13" s="13" t="n">
        <x:v>25000</x:v>
      </x:c>
      <x:c r="C13" s="13" t="n">
        <x:v>25000</x:v>
      </x:c>
      <x:c r="D13" s="13" t="n">
        <x:v>25000</x:v>
      </x:c>
      <x:c r="E13" s="13" t="n">
        <x:v>25000</x:v>
      </x:c>
      <x:c r="F13" s="13" t="n">
        <x:v>25000</x:v>
      </x:c>
      <x:c r="G13" s="13" t="n">
        <x:v>25000</x:v>
      </x:c>
      <x:c r="H13" s="13" t="n">
        <x:v>25000</x:v>
      </x:c>
    </x:row>
    <x:row r="14">
      <x:c r="A14" t="str">
        <x:v>% growth</x:v>
      </x:c>
      <x:c r="B14" s="30"/>
      <x:c r="C14" s="31" t="n">
        <x:f>C13/B13-1</x:f>
        <x:v>0</x:v>
      </x:c>
      <x:c r="D14" s="31" t="n">
        <x:f>D13/C13-1</x:f>
        <x:v>0</x:v>
      </x:c>
      <x:c r="E14" s="31" t="n">
        <x:f>E13/D13-1</x:f>
        <x:v>0</x:v>
      </x:c>
      <x:c r="F14" s="31" t="n">
        <x:f>F13/E13-1</x:f>
        <x:v>0</x:v>
      </x:c>
      <x:c r="G14" s="31" t="n">
        <x:f>G13/F13-1</x:f>
        <x:v>0</x:v>
      </x:c>
      <x:c r="H14" s="31" t="n">
        <x:f>H13/G13-1</x:f>
        <x:v>0</x:v>
      </x:c>
    </x:row>
    <x:row r="15">
      <x:c r="A15" t="str">
        <x:v>NVL72 Systems</x:v>
      </x:c>
      <x:c r="B15" s="13" t="n">
        <x:v>1000</x:v>
      </x:c>
      <x:c r="C15" s="13" t="n">
        <x:v>1000</x:v>
      </x:c>
      <x:c r="D15" s="13" t="n">
        <x:v>1000</x:v>
      </x:c>
      <x:c r="E15" s="13" t="n">
        <x:v>1000</x:v>
      </x:c>
      <x:c r="F15" s="13" t="n">
        <x:v>1000</x:v>
      </x:c>
      <x:c r="G15" s="13" t="n">
        <x:v>1000</x:v>
      </x:c>
      <x:c r="H15" s="13" t="n">
        <x:v>1000</x:v>
      </x:c>
    </x:row>
    <x:row r="16">
      <x:c r="A16" t="str">
        <x:v>% growth</x:v>
      </x:c>
      <x:c r="B16" s="30"/>
      <x:c r="C16" s="30" t="n">
        <x:f>C15/B15-1</x:f>
        <x:v>0</x:v>
      </x:c>
      <x:c r="D16" s="30" t="n">
        <x:f>D15/C15-1</x:f>
        <x:v>0</x:v>
      </x:c>
      <x:c r="E16" s="30" t="n">
        <x:f>E15/D15-1</x:f>
        <x:v>0</x:v>
      </x:c>
      <x:c r="F16" s="30" t="n">
        <x:f>F15/E15-1</x:f>
        <x:v>0</x:v>
      </x:c>
      <x:c r="G16" s="30" t="n">
        <x:f>G15/F15-1</x:f>
        <x:v>0</x:v>
      </x:c>
      <x:c r="H16" s="30" t="n">
        <x:f>H15/G15-1</x:f>
        <x:v>0</x:v>
      </x:c>
    </x:row>
    <x:row r="17">
      <x:c r="A17" t="str">
        <x:v>NVL72 ASP</x:v>
      </x:c>
      <x:c r="B17" s="34" t="n">
        <x:v>3000000</x:v>
      </x:c>
      <x:c r="C17" s="35" t="n">
        <x:v>3000000</x:v>
      </x:c>
      <x:c r="D17" s="35" t="n">
        <x:v>3000000</x:v>
      </x:c>
      <x:c r="E17" s="35" t="n">
        <x:v>3000000</x:v>
      </x:c>
      <x:c r="F17" s="35" t="n">
        <x:v>3000000</x:v>
      </x:c>
      <x:c r="G17" s="35" t="n">
        <x:v>3000000</x:v>
      </x:c>
      <x:c r="H17" s="35" t="n">
        <x:v>3000000</x:v>
      </x:c>
    </x:row>
    <x:row r="18">
      <x:c r="A18" t="str">
        <x:v>% growth</x:v>
      </x:c>
      <x:c r="B18" s="30"/>
      <x:c r="C18" s="30" t="n">
        <x:f>C17/B17-1</x:f>
        <x:v>0</x:v>
      </x:c>
      <x:c r="D18" s="30" t="n">
        <x:f>D17/C17-1</x:f>
        <x:v>0</x:v>
      </x:c>
      <x:c r="E18" s="30" t="n">
        <x:f>E17/D17-1</x:f>
        <x:v>0</x:v>
      </x:c>
      <x:c r="F18" s="30" t="n">
        <x:f>F17/E17-1</x:f>
        <x:v>0</x:v>
      </x:c>
      <x:c r="G18" s="30" t="n">
        <x:f>G17/F17-1</x:f>
        <x:v>0</x:v>
      </x:c>
      <x:c r="H18" s="30" t="n">
        <x:f>H17/G17-1</x:f>
        <x:v>0</x:v>
      </x:c>
    </x:row>
    <x:row r="19">
      <x:c r="A19" t="str">
        <x:v>DGX Systems</x:v>
      </x:c>
      <x:c r="B19" s="13" t="n">
        <x:v>1500</x:v>
      </x:c>
      <x:c r="C19" s="13" t="n">
        <x:v>1500</x:v>
      </x:c>
      <x:c r="D19" s="13" t="n">
        <x:v>1500</x:v>
      </x:c>
      <x:c r="E19" s="13" t="n">
        <x:v>1500</x:v>
      </x:c>
      <x:c r="F19" s="13" t="n">
        <x:v>1500</x:v>
      </x:c>
      <x:c r="G19" s="13" t="n">
        <x:v>1500</x:v>
      </x:c>
      <x:c r="H19" s="13" t="n">
        <x:v>1500</x:v>
      </x:c>
    </x:row>
    <x:row r="20">
      <x:c r="A20" t="str">
        <x:v>DGX ASP</x:v>
      </x:c>
      <x:c r="B20" s="13" t="n">
        <x:v>400000</x:v>
      </x:c>
      <x:c r="C20" s="13" t="n">
        <x:v>400000</x:v>
      </x:c>
      <x:c r="D20" s="13" t="n">
        <x:v>400000</x:v>
      </x:c>
      <x:c r="E20" s="13" t="n">
        <x:v>400000</x:v>
      </x:c>
      <x:c r="F20" s="13" t="n">
        <x:v>400000</x:v>
      </x:c>
      <x:c r="G20" s="13" t="n">
        <x:v>400000</x:v>
      </x:c>
      <x:c r="H20" s="13" t="n">
        <x:v>400000</x:v>
      </x:c>
    </x:row>
    <x:row r="21">
      <x:c r="A21" t="str">
        <x:v>Networking Ports</x:v>
      </x:c>
      <x:c r="B21" s="13" t="n">
        <x:v>5000000</x:v>
      </x:c>
      <x:c r="C21" s="13" t="n">
        <x:v>5000000</x:v>
      </x:c>
      <x:c r="D21" s="13" t="n">
        <x:v>5000000</x:v>
      </x:c>
      <x:c r="E21" s="13" t="n">
        <x:v>5000000</x:v>
      </x:c>
      <x:c r="F21" s="13" t="n">
        <x:v>5000000</x:v>
      </x:c>
      <x:c r="G21" s="13" t="n">
        <x:v>5000000</x:v>
      </x:c>
      <x:c r="H21" s="13" t="n">
        <x:v>5000000</x:v>
      </x:c>
    </x:row>
    <x:row r="22">
      <x:c r="A22" t="str">
        <x:v>Networking ASP</x:v>
      </x:c>
      <x:c r="B22" s="13" t="n">
        <x:v>750</x:v>
      </x:c>
      <x:c r="C22" s="13" t="n">
        <x:v>750</x:v>
      </x:c>
      <x:c r="D22" s="13" t="n">
        <x:v>750</x:v>
      </x:c>
      <x:c r="E22" s="13" t="n">
        <x:v>750</x:v>
      </x:c>
      <x:c r="F22" s="13" t="n">
        <x:v>750</x:v>
      </x:c>
      <x:c r="G22" s="13" t="n">
        <x:v>750</x:v>
      </x:c>
      <x:c r="H22" s="13" t="n">
        <x:v>750</x:v>
      </x:c>
    </x:row>
    <x:row r="23">
      <x:c r="A23" t="str">
        <x:v>Gaming GPU Units</x:v>
      </x:c>
      <x:c r="B23" s="13" t="n">
        <x:v>45000000</x:v>
      </x:c>
      <x:c r="C23" s="13" t="n">
        <x:v>45000000</x:v>
      </x:c>
      <x:c r="D23" s="13" t="n">
        <x:v>45000000</x:v>
      </x:c>
      <x:c r="E23" s="13" t="n">
        <x:v>45000000</x:v>
      </x:c>
      <x:c r="F23" s="13" t="n">
        <x:v>45000000</x:v>
      </x:c>
      <x:c r="G23" s="13" t="n">
        <x:v>45000000</x:v>
      </x:c>
      <x:c r="H23" s="13" t="n">
        <x:v>45000000</x:v>
      </x:c>
    </x:row>
    <x:row r="24">
      <x:c r="A24" t="str">
        <x:v>Gaming ASP</x:v>
      </x:c>
      <x:c r="B24" s="13" t="n">
        <x:v>350</x:v>
      </x:c>
      <x:c r="C24" s="13" t="n">
        <x:v>350</x:v>
      </x:c>
      <x:c r="D24" s="13" t="n">
        <x:v>350</x:v>
      </x:c>
      <x:c r="E24" s="13" t="n">
        <x:v>350</x:v>
      </x:c>
      <x:c r="F24" s="13" t="n">
        <x:v>350</x:v>
      </x:c>
      <x:c r="G24" s="13" t="n">
        <x:v>350</x:v>
      </x:c>
      <x:c r="H24" s="13" t="n">
        <x:v>350</x:v>
      </x:c>
    </x:row>
    <x:row r="25">
      <x:c r="A25" t="str">
        <x:v>Professional Visualization Units</x:v>
      </x:c>
      <x:c r="B25" s="13" t="n">
        <x:v>2500000</x:v>
      </x:c>
      <x:c r="C25" s="13" t="n">
        <x:v>2500000</x:v>
      </x:c>
      <x:c r="D25" s="13" t="n">
        <x:v>2500000</x:v>
      </x:c>
      <x:c r="E25" s="13" t="n">
        <x:v>2500000</x:v>
      </x:c>
      <x:c r="F25" s="13" t="n">
        <x:v>2500000</x:v>
      </x:c>
      <x:c r="G25" s="13" t="n">
        <x:v>2500000</x:v>
      </x:c>
      <x:c r="H25" s="13" t="n">
        <x:v>2500000</x:v>
      </x:c>
    </x:row>
    <x:row r="26">
      <x:c r="A26" t="str">
        <x:v>Professional Visualization ASP</x:v>
      </x:c>
      <x:c r="B26" s="13" t="n">
        <x:v>850</x:v>
      </x:c>
      <x:c r="C26" s="13" t="n">
        <x:v>850</x:v>
      </x:c>
      <x:c r="D26" s="13" t="n">
        <x:v>850</x:v>
      </x:c>
      <x:c r="E26" s="13" t="n">
        <x:v>850</x:v>
      </x:c>
      <x:c r="F26" s="13" t="n">
        <x:v>850</x:v>
      </x:c>
      <x:c r="G26" s="13" t="n">
        <x:v>850</x:v>
      </x:c>
      <x:c r="H26" s="13" t="n">
        <x:v>850</x:v>
      </x:c>
    </x:row>
    <x:row r="27">
      <x:c r="A27" t="str">
        <x:v>Automotive Revenue</x:v>
      </x:c>
      <x:c r="B27" s="13" t="n">
        <x:v>2500</x:v>
      </x:c>
      <x:c r="C27" s="13" t="n">
        <x:v>2500</x:v>
      </x:c>
      <x:c r="D27" s="13" t="n">
        <x:v>2500</x:v>
      </x:c>
      <x:c r="E27" s="13" t="n">
        <x:v>2500</x:v>
      </x:c>
      <x:c r="F27" s="13" t="n">
        <x:v>2500</x:v>
      </x:c>
      <x:c r="G27" s="13" t="n">
        <x:v>2500</x:v>
      </x:c>
      <x:c r="H27" s="13" t="n">
        <x:v>2500</x:v>
      </x:c>
    </x:row>
    <x:row r="28">
      <x:c r="A28" t="str">
        <x:v>OEM and Other Revenue</x:v>
      </x:c>
      <x:c r="B28" s="13" t="n">
        <x:v>1500</x:v>
      </x:c>
      <x:c r="C28" s="13" t="n">
        <x:v>1500</x:v>
      </x:c>
      <x:c r="D28" s="13" t="n">
        <x:v>1500</x:v>
      </x:c>
      <x:c r="E28" s="13" t="n">
        <x:v>1500</x:v>
      </x:c>
      <x:c r="F28" s="13" t="n">
        <x:v>1500</x:v>
      </x:c>
      <x:c r="G28" s="13" t="n">
        <x:v>1500</x:v>
      </x:c>
      <x:c r="H28" s="13" t="n">
        <x:v>1500</x:v>
      </x:c>
    </x:row>
    <x:row r="29">
      <x:c r="A29" t="str">
        <x:v>Software Seats</x:v>
      </x:c>
      <x:c r="B29" s="13" t="n">
        <x:v>2000000</x:v>
      </x:c>
      <x:c r="C29" s="13" t="n">
        <x:v>2000000</x:v>
      </x:c>
      <x:c r="D29" s="13" t="n">
        <x:v>2000000</x:v>
      </x:c>
      <x:c r="E29" s="13" t="n">
        <x:v>2000000</x:v>
      </x:c>
      <x:c r="F29" s="13" t="n">
        <x:v>2000000</x:v>
      </x:c>
      <x:c r="G29" s="13" t="n">
        <x:v>2000000</x:v>
      </x:c>
      <x:c r="H29" s="13" t="n">
        <x:v>2000000</x:v>
      </x:c>
    </x:row>
    <x:row r="30">
      <x:c r="A30" t="str">
        <x:v>Software ASP</x:v>
      </x:c>
      <x:c r="B30" s="13" t="n">
        <x:v>450</x:v>
      </x:c>
      <x:c r="C30" s="13" t="n">
        <x:v>450</x:v>
      </x:c>
      <x:c r="D30" s="13" t="n">
        <x:v>450</x:v>
      </x:c>
      <x:c r="E30" s="13" t="n">
        <x:v>450</x:v>
      </x:c>
      <x:c r="F30" s="13" t="n">
        <x:v>450</x:v>
      </x:c>
      <x:c r="G30" s="13" t="n">
        <x:v>450</x:v>
      </x:c>
      <x:c r="H30" s="13" t="n">
        <x:v>450</x:v>
      </x:c>
    </x:row>
    <x:row r="31">
      <x:c r="A31" t="str">
        <x:v>Cloud Services Revenue</x:v>
      </x:c>
      <x:c r="B31" s="13" t="n">
        <x:v>1000</x:v>
      </x:c>
      <x:c r="C31" s="13" t="n">
        <x:v>1000</x:v>
      </x:c>
      <x:c r="D31" s="13" t="n">
        <x:v>1000</x:v>
      </x:c>
      <x:c r="E31" s="13" t="n">
        <x:v>1000</x:v>
      </x:c>
      <x:c r="F31" s="13" t="n">
        <x:v>1000</x:v>
      </x:c>
      <x:c r="G31" s="13" t="n">
        <x:v>1000</x:v>
      </x:c>
      <x:c r="H31" s="13" t="n">
        <x:v>1000</x:v>
      </x:c>
    </x:row>
    <x:row r="32">
      <x:c r="A32" t="str"/>
    </x:row>
    <x:row r="33">
      <x:c r="A33" s="16" t="str">
        <x:v>Supply and BOM Drivers</x:v>
      </x:c>
      <x:c r="B33" s="16"/>
      <x:c r="C33" s="16"/>
      <x:c r="D33" s="16"/>
      <x:c r="E33" s="16"/>
      <x:c r="F33" s="16"/>
      <x:c r="G33" s="16"/>
      <x:c r="H33" s="16"/>
    </x:row>
    <x:row r="34">
      <x:c r="A34" t="str">
        <x:v>Wafer Starts</x:v>
      </x:c>
      <x:c r="B34" s="13" t="n">
        <x:v>650000</x:v>
      </x:c>
      <x:c r="C34" s="13" t="n">
        <x:v>650000</x:v>
      </x:c>
      <x:c r="D34" s="13" t="n">
        <x:v>650000</x:v>
      </x:c>
      <x:c r="E34" s="13" t="n">
        <x:v>650000</x:v>
      </x:c>
      <x:c r="F34" s="13" t="n">
        <x:v>650000</x:v>
      </x:c>
      <x:c r="G34" s="13" t="n">
        <x:v>650000</x:v>
      </x:c>
      <x:c r="H34" s="13" t="n">
        <x:v>650000</x:v>
      </x:c>
    </x:row>
    <x:row r="35">
      <x:c r="A35" t="str">
        <x:v>Good Dies per Wafer</x:v>
      </x:c>
      <x:c r="B35" s="13" t="n">
        <x:v>55</x:v>
      </x:c>
      <x:c r="C35" s="13" t="n">
        <x:v>55</x:v>
      </x:c>
      <x:c r="D35" s="13" t="n">
        <x:v>55</x:v>
      </x:c>
      <x:c r="E35" s="13" t="n">
        <x:v>55</x:v>
      </x:c>
      <x:c r="F35" s="13" t="n">
        <x:v>55</x:v>
      </x:c>
      <x:c r="G35" s="13" t="n">
        <x:v>55</x:v>
      </x:c>
      <x:c r="H35" s="13" t="n">
        <x:v>55</x:v>
      </x:c>
    </x:row>
    <x:row r="36">
      <x:c r="A36" t="str">
        <x:v>HBM Stacks per Data Center GPU</x:v>
      </x:c>
      <x:c r="B36" s="13" t="n">
        <x:v>8</x:v>
      </x:c>
      <x:c r="C36" s="13" t="n">
        <x:v>8</x:v>
      </x:c>
      <x:c r="D36" s="13" t="n">
        <x:v>8</x:v>
      </x:c>
      <x:c r="E36" s="13" t="n">
        <x:v>8</x:v>
      </x:c>
      <x:c r="F36" s="13" t="n">
        <x:v>8</x:v>
      </x:c>
      <x:c r="G36" s="13" t="n">
        <x:v>8</x:v>
      </x:c>
      <x:c r="H36" s="13" t="n">
        <x:v>8</x:v>
      </x:c>
    </x:row>
    <x:row r="37">
      <x:c r="A37" t="str">
        <x:v>HBM Cost per Stack</x:v>
      </x:c>
      <x:c r="B37" s="13" t="n">
        <x:v>600</x:v>
      </x:c>
      <x:c r="C37" s="13" t="n">
        <x:v>600</x:v>
      </x:c>
      <x:c r="D37" s="13" t="n">
        <x:v>600</x:v>
      </x:c>
      <x:c r="E37" s="13" t="n">
        <x:v>600</x:v>
      </x:c>
      <x:c r="F37" s="13" t="n">
        <x:v>600</x:v>
      </x:c>
      <x:c r="G37" s="13" t="n">
        <x:v>600</x:v>
      </x:c>
      <x:c r="H37" s="13" t="n">
        <x:v>600</x:v>
      </x:c>
    </x:row>
    <x:row r="38">
      <x:c r="A38" t="str">
        <x:v>CoWoS Cost per Data Center GPU</x:v>
      </x:c>
      <x:c r="B38" s="13" t="n">
        <x:v>900</x:v>
      </x:c>
      <x:c r="C38" s="13" t="n">
        <x:v>900</x:v>
      </x:c>
      <x:c r="D38" s="13" t="n">
        <x:v>900</x:v>
      </x:c>
      <x:c r="E38" s="13" t="n">
        <x:v>900</x:v>
      </x:c>
      <x:c r="F38" s="13" t="n">
        <x:v>900</x:v>
      </x:c>
      <x:c r="G38" s="13" t="n">
        <x:v>900</x:v>
      </x:c>
      <x:c r="H38" s="13" t="n">
        <x:v>900</x:v>
      </x:c>
    </x:row>
    <x:row r="39">
      <x:c r="A39" t="str">
        <x:v>Substrate Cost per Data Center GPU</x:v>
      </x:c>
      <x:c r="B39" s="13" t="n">
        <x:v>650</x:v>
      </x:c>
      <x:c r="C39" s="13" t="n">
        <x:v>650</x:v>
      </x:c>
      <x:c r="D39" s="13" t="n">
        <x:v>650</x:v>
      </x:c>
      <x:c r="E39" s="13" t="n">
        <x:v>650</x:v>
      </x:c>
      <x:c r="F39" s="13" t="n">
        <x:v>650</x:v>
      </x:c>
      <x:c r="G39" s="13" t="n">
        <x:v>650</x:v>
      </x:c>
      <x:c r="H39" s="13" t="n">
        <x:v>650</x:v>
      </x:c>
    </x:row>
    <x:row r="40">
      <x:c r="A40" t="str">
        <x:v>Board Cost per Data Center GPU</x:v>
      </x:c>
      <x:c r="B40" s="13" t="n">
        <x:v>2500</x:v>
      </x:c>
      <x:c r="C40" s="13" t="n">
        <x:v>2500</x:v>
      </x:c>
      <x:c r="D40" s="13" t="n">
        <x:v>2500</x:v>
      </x:c>
      <x:c r="E40" s="13" t="n">
        <x:v>2500</x:v>
      </x:c>
      <x:c r="F40" s="13" t="n">
        <x:v>2500</x:v>
      </x:c>
      <x:c r="G40" s="13" t="n">
        <x:v>2500</x:v>
      </x:c>
      <x:c r="H40" s="13" t="n">
        <x:v>2500</x:v>
      </x:c>
    </x:row>
    <x:row r="41">
      <x:c r="A41" t="str">
        <x:v>Cooling and Power per Data Center GPU</x:v>
      </x:c>
      <x:c r="B41" s="34" t="n">
        <x:v>1500</x:v>
      </x:c>
      <x:c r="C41" s="34" t="n">
        <x:v>1500</x:v>
      </x:c>
      <x:c r="D41" s="34" t="n">
        <x:v>1500</x:v>
      </x:c>
      <x:c r="E41" s="34" t="n">
        <x:v>1500</x:v>
      </x:c>
      <x:c r="F41" s="34" t="n">
        <x:v>1500</x:v>
      </x:c>
      <x:c r="G41" s="34" t="n">
        <x:v>1500</x:v>
      </x:c>
      <x:c r="H41" s="34" t="n">
        <x:v>1500</x:v>
      </x:c>
    </x:row>
    <x:row r="42">
      <x:c r="A42" t="str">
        <x:v>Networking COGS % Revenue</x:v>
      </x:c>
      <x:c r="B42" s="34" t="n">
        <x:v>0.38</x:v>
      </x:c>
      <x:c r="C42" s="34" t="n">
        <x:v>0.38</x:v>
      </x:c>
      <x:c r="D42" s="34" t="n">
        <x:v>0.38</x:v>
      </x:c>
      <x:c r="E42" s="34" t="n">
        <x:v>0.38</x:v>
      </x:c>
      <x:c r="F42" s="34" t="n">
        <x:v>0.38</x:v>
      </x:c>
      <x:c r="G42" s="34" t="n">
        <x:v>0.38</x:v>
      </x:c>
      <x:c r="H42" s="34" t="n">
        <x:v>0.38</x:v>
      </x:c>
    </x:row>
    <x:row r="43">
      <x:c r="A43" t="str">
        <x:v>Gaming COGS % Revenue</x:v>
      </x:c>
      <x:c r="B43" s="34" t="n">
        <x:v>0.5</x:v>
      </x:c>
      <x:c r="C43" s="34" t="n">
        <x:v>0.5</x:v>
      </x:c>
      <x:c r="D43" s="34" t="n">
        <x:v>0.5</x:v>
      </x:c>
      <x:c r="E43" s="34" t="n">
        <x:v>0.5</x:v>
      </x:c>
      <x:c r="F43" s="34" t="n">
        <x:v>0.5</x:v>
      </x:c>
      <x:c r="G43" s="34" t="n">
        <x:v>0.5</x:v>
      </x:c>
      <x:c r="H43" s="34" t="n">
        <x:v>0.5</x:v>
      </x:c>
    </x:row>
    <x:row r="44">
      <x:c r="A44" t="str">
        <x:v>Software COGS % Revenue</x:v>
      </x:c>
      <x:c r="B44" s="34" t="n">
        <x:v>0.12</x:v>
      </x:c>
      <x:c r="C44" s="34" t="n">
        <x:v>0.12</x:v>
      </x:c>
      <x:c r="D44" s="34" t="n">
        <x:v>0.12</x:v>
      </x:c>
      <x:c r="E44" s="34" t="n">
        <x:v>0.12</x:v>
      </x:c>
      <x:c r="F44" s="34" t="n">
        <x:v>0.12</x:v>
      </x:c>
      <x:c r="G44" s="34" t="n">
        <x:v>0.12</x:v>
      </x:c>
      <x:c r="H44" s="34" t="n">
        <x:v>0.12</x:v>
      </x:c>
    </x:row>
    <x:row r="45">
      <x:c r="A45" t="str">
        <x:v>Cloud COGS % Revenue</x:v>
      </x:c>
      <x:c r="B45" s="34" t="n">
        <x:v>0.35</x:v>
      </x:c>
      <x:c r="C45" s="34" t="n">
        <x:v>0.35</x:v>
      </x:c>
      <x:c r="D45" s="34" t="n">
        <x:v>0.35</x:v>
      </x:c>
      <x:c r="E45" s="34" t="n">
        <x:v>0.35</x:v>
      </x:c>
      <x:c r="F45" s="34" t="n">
        <x:v>0.35</x:v>
      </x:c>
      <x:c r="G45" s="34" t="n">
        <x:v>0.35</x:v>
      </x:c>
      <x:c r="H45" s="34" t="n">
        <x:v>0.35</x:v>
      </x:c>
    </x:row>
    <x:row r="46">
      <x:c r="A46" t="str"/>
    </x:row>
    <x:row r="47">
      <x:c r="A47" s="16" t="str">
        <x:v>Operating Drivers</x:v>
      </x:c>
      <x:c r="B47" s="38"/>
      <x:c r="C47" s="38"/>
      <x:c r="D47" s="38"/>
      <x:c r="E47" s="38"/>
      <x:c r="F47" s="38"/>
      <x:c r="G47" s="38"/>
      <x:c r="H47" s="38"/>
    </x:row>
    <x:row r="48">
      <x:c r="A48" t="str">
        <x:v>R&amp;D % Revenue</x:v>
      </x:c>
      <x:c r="B48" s="34" t="n">
        <x:v>0.14</x:v>
      </x:c>
      <x:c r="C48" s="34" t="n">
        <x:v>0.14</x:v>
      </x:c>
      <x:c r="D48" s="34" t="n">
        <x:v>0.14</x:v>
      </x:c>
      <x:c r="E48" s="34" t="n">
        <x:v>0.14</x:v>
      </x:c>
      <x:c r="F48" s="34" t="n">
        <x:v>0.14</x:v>
      </x:c>
      <x:c r="G48" s="34" t="n">
        <x:v>0.14</x:v>
      </x:c>
      <x:c r="H48" s="34" t="n">
        <x:v>0.14</x:v>
      </x:c>
    </x:row>
    <x:row r="49">
      <x:c r="A49" t="str">
        <x:v>Sales and Marketing % Revenue</x:v>
      </x:c>
      <x:c r="B49" s="34" t="n">
        <x:v>0.035</x:v>
      </x:c>
      <x:c r="C49" s="34" t="n">
        <x:v>0.035</x:v>
      </x:c>
      <x:c r="D49" s="34" t="n">
        <x:v>0.035</x:v>
      </x:c>
      <x:c r="E49" s="34" t="n">
        <x:v>0.035</x:v>
      </x:c>
      <x:c r="F49" s="34" t="n">
        <x:v>0.035</x:v>
      </x:c>
      <x:c r="G49" s="34" t="n">
        <x:v>0.035</x:v>
      </x:c>
      <x:c r="H49" s="34" t="n">
        <x:v>0.035</x:v>
      </x:c>
    </x:row>
    <x:row r="50">
      <x:c r="A50" t="str">
        <x:v>G&amp;A % Revenue</x:v>
      </x:c>
      <x:c r="B50" s="34" t="n">
        <x:v>0.018</x:v>
      </x:c>
      <x:c r="C50" s="34" t="n">
        <x:v>0.018</x:v>
      </x:c>
      <x:c r="D50" s="34" t="n">
        <x:v>0.018</x:v>
      </x:c>
      <x:c r="E50" s="34" t="n">
        <x:v>0.018</x:v>
      </x:c>
      <x:c r="F50" s="34" t="n">
        <x:v>0.018</x:v>
      </x:c>
      <x:c r="G50" s="34" t="n">
        <x:v>0.018</x:v>
      </x:c>
      <x:c r="H50" s="34" t="n">
        <x:v>0.018</x:v>
      </x:c>
    </x:row>
    <x:row r="51">
      <x:c r="A51" t="str">
        <x:v>Stock Comp % Revenue</x:v>
      </x:c>
      <x:c r="B51" s="34" t="n">
        <x:v>0.055</x:v>
      </x:c>
      <x:c r="C51" s="34" t="n">
        <x:v>0.055</x:v>
      </x:c>
      <x:c r="D51" s="34" t="n">
        <x:v>0.055</x:v>
      </x:c>
      <x:c r="E51" s="34" t="n">
        <x:v>0.055</x:v>
      </x:c>
      <x:c r="F51" s="34" t="n">
        <x:v>0.055</x:v>
      </x:c>
      <x:c r="G51" s="34" t="n">
        <x:v>0.055</x:v>
      </x:c>
      <x:c r="H51" s="34" t="n">
        <x:v>0.055</x:v>
      </x:c>
    </x:row>
    <x:row r="52">
      <x:c r="A52" t="str">
        <x:v>CapEx % Revenue</x:v>
      </x:c>
      <x:c r="B52" s="34" t="n">
        <x:v>0.035</x:v>
      </x:c>
      <x:c r="C52" s="34" t="n">
        <x:v>0.035</x:v>
      </x:c>
      <x:c r="D52" s="34" t="n">
        <x:v>0.035</x:v>
      </x:c>
      <x:c r="E52" s="34" t="n">
        <x:v>0.035</x:v>
      </x:c>
      <x:c r="F52" s="34" t="n">
        <x:v>0.035</x:v>
      </x:c>
      <x:c r="G52" s="34" t="n">
        <x:v>0.035</x:v>
      </x:c>
      <x:c r="H52" s="34" t="n">
        <x:v>0.035</x:v>
      </x:c>
    </x:row>
    <x:row r="53">
      <x:c r="A53" t="str">
        <x:v>Depreciation % Prior PP&amp;E</x:v>
      </x:c>
      <x:c r="B53" s="34" t="n">
        <x:v>0.2</x:v>
      </x:c>
      <x:c r="C53" s="34" t="n">
        <x:v>0.2</x:v>
      </x:c>
      <x:c r="D53" s="34" t="n">
        <x:v>0.2</x:v>
      </x:c>
      <x:c r="E53" s="34" t="n">
        <x:v>0.2</x:v>
      </x:c>
      <x:c r="F53" s="34" t="n">
        <x:v>0.2</x:v>
      </x:c>
      <x:c r="G53" s="34" t="n">
        <x:v>0.2</x:v>
      </x:c>
      <x:c r="H53" s="34" t="n">
        <x:v>0.2</x:v>
      </x:c>
    </x:row>
    <x:row r="54">
      <x:c r="A54" t="str">
        <x:v>Cash % Revenue</x:v>
      </x:c>
      <x:c r="B54" s="13" t="n">
        <x:v>0.2</x:v>
      </x:c>
      <x:c r="C54" s="13" t="n">
        <x:v>0.2</x:v>
      </x:c>
      <x:c r="D54" s="13" t="n">
        <x:v>0.2</x:v>
      </x:c>
      <x:c r="E54" s="13" t="n">
        <x:v>0.2</x:v>
      </x:c>
      <x:c r="F54" s="13" t="n">
        <x:v>0.2</x:v>
      </x:c>
      <x:c r="G54" s="13" t="n">
        <x:v>0.2</x:v>
      </x:c>
      <x:c r="H54" s="13" t="n">
        <x:v>0.2</x:v>
      </x:c>
    </x:row>
    <x:row r="55">
      <x:c r="A55" t="str">
        <x:v>Receivables Days</x:v>
      </x:c>
      <x:c r="B55" s="13" t="n">
        <x:v>55</x:v>
      </x:c>
      <x:c r="C55" s="13" t="n">
        <x:v>55</x:v>
      </x:c>
      <x:c r="D55" s="13" t="n">
        <x:v>55</x:v>
      </x:c>
      <x:c r="E55" s="13" t="n">
        <x:v>55</x:v>
      </x:c>
      <x:c r="F55" s="13" t="n">
        <x:v>55</x:v>
      </x:c>
      <x:c r="G55" s="13" t="n">
        <x:v>55</x:v>
      </x:c>
      <x:c r="H55" s="13" t="n">
        <x:v>55</x:v>
      </x:c>
    </x:row>
    <x:row r="56">
      <x:c r="A56" t="str">
        <x:v>Inventory Days</x:v>
      </x:c>
      <x:c r="B56" s="34" t="n">
        <x:v>100</x:v>
      </x:c>
      <x:c r="C56" s="34" t="n">
        <x:v>100</x:v>
      </x:c>
      <x:c r="D56" s="34" t="n">
        <x:v>100</x:v>
      </x:c>
      <x:c r="E56" s="34" t="n">
        <x:v>100</x:v>
      </x:c>
      <x:c r="F56" s="34" t="n">
        <x:v>100</x:v>
      </x:c>
      <x:c r="G56" s="34" t="n">
        <x:v>100</x:v>
      </x:c>
      <x:c r="H56" s="34" t="n">
        <x:v>100</x:v>
      </x:c>
    </x:row>
    <x:row r="57">
      <x:c r="A57" t="str">
        <x:v>Payables Days</x:v>
      </x:c>
      <x:c r="B57" s="34" t="n">
        <x:v>70</x:v>
      </x:c>
      <x:c r="C57" s="34" t="n">
        <x:v>70</x:v>
      </x:c>
      <x:c r="D57" s="34" t="n">
        <x:v>70</x:v>
      </x:c>
      <x:c r="E57" s="34" t="n">
        <x:v>70</x:v>
      </x:c>
      <x:c r="F57" s="34" t="n">
        <x:v>70</x:v>
      </x:c>
      <x:c r="G57" s="34" t="n">
        <x:v>70</x:v>
      </x:c>
      <x:c r="H57" s="34" t="n">
        <x:v>70</x:v>
      </x:c>
    </x:row>
    <x:row r="58">
      <x:c r="A58" t="str">
        <x:v>Tax Rate</x:v>
      </x:c>
      <x:c r="B58" s="34" t="n">
        <x:v>0.15</x:v>
      </x:c>
      <x:c r="C58" s="34" t="n">
        <x:v>0.15</x:v>
      </x:c>
      <x:c r="D58" s="34" t="n">
        <x:v>0.15</x:v>
      </x:c>
      <x:c r="E58" s="34" t="n">
        <x:v>0.15</x:v>
      </x:c>
      <x:c r="F58" s="34" t="n">
        <x:v>0.15</x:v>
      </x:c>
      <x:c r="G58" s="34" t="n">
        <x:v>0.15</x:v>
      </x:c>
      <x:c r="H58" s="34" t="n">
        <x:v>0.15</x:v>
      </x:c>
    </x:row>
    <x:row r="59">
      <x:c r="A59" t="str">
        <x:v>Discount Rate</x:v>
      </x:c>
      <x:c r="B59" s="34" t="n">
        <x:v>0.09</x:v>
      </x:c>
      <x:c r="C59" s="34" t="n">
        <x:v>0.09</x:v>
      </x:c>
      <x:c r="D59" s="34" t="n">
        <x:v>0.09</x:v>
      </x:c>
      <x:c r="E59" s="34" t="n">
        <x:v>0.09</x:v>
      </x:c>
      <x:c r="F59" s="34" t="n">
        <x:v>0.09</x:v>
      </x:c>
      <x:c r="G59" s="34" t="n">
        <x:v>0.09</x:v>
      </x:c>
      <x:c r="H59" s="34" t="n">
        <x:v>0.09</x:v>
      </x:c>
    </x:row>
    <x:row r="60">
      <x:c r="A60" t="str">
        <x:v>Terminal Growth Rate</x:v>
      </x:c>
      <x:c r="B60" s="34" t="n">
        <x:v>0.03</x:v>
      </x:c>
      <x:c r="C60" s="34" t="n">
        <x:v>0.03</x:v>
      </x:c>
      <x:c r="D60" s="34" t="n">
        <x:v>0.03</x:v>
      </x:c>
      <x:c r="E60" s="34" t="n">
        <x:v>0.03</x:v>
      </x:c>
      <x:c r="F60" s="34" t="n">
        <x:v>0.03</x:v>
      </x:c>
      <x:c r="G60" s="34" t="n">
        <x:v>0.03</x:v>
      </x:c>
      <x:c r="H60" s="34" t="n">
        <x:v>0.03</x:v>
      </x:c>
    </x:row>
    <x:row r="61">
      <x:c r="A61" t="str">
        <x:v>Diluted Shares</x:v>
      </x:c>
      <x:c r="B61" s="13" t="n">
        <x:v>24500</x:v>
      </x:c>
      <x:c r="C61" s="13" t="n">
        <x:v>24500</x:v>
      </x:c>
      <x:c r="D61" s="13" t="n">
        <x:v>24500</x:v>
      </x:c>
      <x:c r="E61" s="13" t="n">
        <x:v>24500</x:v>
      </x:c>
      <x:c r="F61" s="13" t="n">
        <x:v>24500</x:v>
      </x:c>
      <x:c r="G61" s="13" t="n">
        <x:v>24500</x:v>
      </x:c>
      <x:c r="H61" s="13" t="n">
        <x:v>24500</x:v>
      </x:c>
    </x:row>
    <x:row r="62">
      <x:c r="A62" t="str">
        <x:v>Net Cash</x:v>
      </x:c>
      <x:c r="B62" s="13" t="n">
        <x:v>100</x:v>
      </x:c>
      <x:c r="C62" s="13" t="n">
        <x:v>100</x:v>
      </x:c>
      <x:c r="D62" s="13" t="n">
        <x:v>100</x:v>
      </x:c>
      <x:c r="E62" s="13" t="n">
        <x:v>100</x:v>
      </x:c>
      <x:c r="F62" s="13" t="n">
        <x:v>100</x:v>
      </x:c>
      <x:c r="G62" s="13" t="n">
        <x:v>100</x:v>
      </x:c>
      <x:c r="H62" s="13" t="n">
        <x:v>100</x:v>
      </x:c>
    </x:row>
    <x:row r="63">
      <x:c r="A63" t="str">
        <x:v>Current Share Price</x:v>
      </x:c>
      <x:c r="B63" s="13" t="n">
        <x:v>100</x:v>
      </x:c>
      <x:c r="C63" s="13" t="n">
        <x:v>100</x:v>
      </x:c>
      <x:c r="D63" s="13" t="n">
        <x:v>100</x:v>
      </x:c>
      <x:c r="E63" s="13" t="n">
        <x:v>100</x:v>
      </x:c>
      <x:c r="F63" s="13" t="n">
        <x:v>100</x:v>
      </x:c>
      <x:c r="G63" s="13" t="n">
        <x:v>100</x:v>
      </x:c>
      <x:c r="H63" s="13" t="n">
        <x:v>100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Dashboard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s="7" t="str">
        <x:v>Metric</x:v>
      </x:c>
      <x:c r="B4" s="7" t="str">
        <x:v>2026</x:v>
      </x:c>
      <x:c r="C4" s="7" t="str">
        <x:v>2032</x:v>
      </x:c>
      <x:c r="D4" s="7" t="str">
        <x:v>CAGR</x:v>
      </x:c>
    </x:row>
    <x:row r="5">
      <x:c r="A5" t="str">
        <x:v>Revenue</x:v>
      </x:c>
      <x:c r="B5" t="n">
        <x:f>'Total Revenue'!B11</x:f>
        <x:v>24038.75</x:v>
      </x:c>
      <x:c r="C5" t="n">
        <x:f>'Total Revenue'!H11</x:f>
        <x:v>24038.75</x:v>
      </x:c>
      <x:c r="D5" t="n">
        <x:f>IFERROR((C5/B5)^(1/6)-1,0)</x:f>
        <x:v>0</x:v>
      </x:c>
    </x:row>
    <x:row r="6">
      <x:c r="A6" t="str">
        <x:v>Data Center Revenue</x:v>
      </x:c>
      <x:c r="B6" t="n">
        <x:f>'Data Center Revenue'!B12</x:f>
        <x:v>9095</x:v>
      </x:c>
      <x:c r="C6" t="n">
        <x:f>'Data Center Revenue'!H12</x:f>
        <x:v>9095</x:v>
      </x:c>
      <x:c r="D6" t="n">
        <x:f>IFERROR((C6/B6)^(1/6)-1,0)</x:f>
        <x:v>0</x:v>
      </x:c>
    </x:row>
    <x:row r="7">
      <x:c r="A7" t="str">
        <x:v>Gross Margin</x:v>
      </x:c>
      <x:c r="B7" s="40" t="n">
        <x:f>'Income Statement'!B7</x:f>
        <x:v>0.37504695332456006</x:v>
      </x:c>
      <x:c r="C7" s="40" t="n">
        <x:f>'Income Statement'!H7</x:f>
        <x:v>0.37504695332456006</x:v>
      </x:c>
      <x:c r="D7" s="40"/>
      <x:c r="E7" s="40"/>
      <x:c r="F7" s="40"/>
      <x:c r="G7" s="40"/>
      <x:c r="H7" s="40"/>
    </x:row>
    <x:row r="8">
      <x:c r="A8" t="str">
        <x:v>EBIT Margin</x:v>
      </x:c>
      <x:c r="B8" s="40" t="n">
        <x:f>'Income Statement'!B13</x:f>
        <x:v>0.12704695332456006</x:v>
      </x:c>
      <x:c r="C8" s="40" t="n">
        <x:f>'Income Statement'!H13</x:f>
        <x:v>0.12704695332456006</x:v>
      </x:c>
      <x:c r="D8" s="40"/>
      <x:c r="E8" s="40"/>
      <x:c r="F8" s="40"/>
      <x:c r="G8" s="40"/>
      <x:c r="H8" s="40"/>
    </x:row>
    <x:row r="9">
      <x:c r="A9" t="str">
        <x:v>Free Cash Flow</x:v>
      </x:c>
      <x:c r="B9" t="n">
        <x:f>'Cash Flow'!B9</x:f>
        <x:v>5076.717456846153</x:v>
      </x:c>
      <x:c r="C9" t="n">
        <x:f>'Cash Flow'!H9</x:f>
        <x:v>4221.805214046152</x:v>
      </x:c>
      <x:c r="D9" t="n">
        <x:f>IFERROR((C9/B9)^(1/6)-1,0)</x:f>
        <x:v>-0.03026620025440674</x:v>
      </x:c>
    </x:row>
    <x:row r="10">
      <x:c r="A10" t="str">
        <x:v>Implied Share Price</x:v>
      </x:c>
      <x:c r="B10" t="n">
        <x:f>'DCF'!B15</x:f>
        <x:v>2.571526157092028</x:v>
      </x:c>
      <x:c r="C10" t="n">
        <x:f>'DCF'!B15</x:f>
        <x:v>2.571526157092028</x:v>
      </x:c>
      <x:c r="D10"/>
    </x:row>
    <x:row r="11">
      <x:c r="A11" t="str">
        <x:v>Upside / Downside</x:v>
      </x:c>
      <x:c r="B11" s="40" t="n">
        <x:f>'DCF'!B17</x:f>
        <x:v>-0.9742847384290797</x:v>
      </x:c>
      <x:c r="C11" s="40" t="n">
        <x:f>'DCF'!B17</x:f>
        <x:v>-0.9742847384290797</x:v>
      </x:c>
      <x:c r="D11" s="40"/>
      <x:c r="E11" s="40"/>
      <x:c r="F11" s="40"/>
      <x:c r="G11" s="40"/>
      <x:c r="H11" s="40"/>
    </x:row>
    <x:row r="12">
      <x:c r="A12" t="str">
        <x:v>Wafer Surplus / Deficit</x:v>
      </x:c>
      <x:c r="B12" t="n">
        <x:f>'Wafer Supply'!B8</x:f>
        <x:v>-1000</x:v>
      </x:c>
      <x:c r="C12" t="n">
        <x:f>'Wafer Supply'!H8</x:f>
        <x:v>-1000</x:v>
      </x:c>
      <x:c r="D12"/>
    </x:row>
    <x:row r="13">
      <x:c r="A13" t="str">
        <x:v>HBM Stack Demand</x:v>
      </x:c>
      <x:c r="B13" t="n">
        <x:f>'HBM Supply'!B6</x:f>
        <x:v>55000</x:v>
      </x:c>
      <x:c r="C13" t="n">
        <x:f>'HBM Supply'!H6</x:f>
        <x:v>55000</x:v>
      </x:c>
      <x:c r="D13" t="n">
        <x:f>IFERROR((C13/B13)^(1/6)-1,0)</x:f>
        <x:v>0</x:v>
      </x:c>
    </x:row>
    <x:row r="14">
      <x:c r="A14" t="str">
        <x:v>CoWoS Units Required</x:v>
      </x:c>
      <x:c r="B14" t="n">
        <x:f>'CoWoS Packaging'!B5</x:f>
        <x:v>1000</x:v>
      </x:c>
      <x:c r="C14" t="n">
        <x:f>'CoWoS Packaging'!H5</x:f>
        <x:v>1000</x:v>
      </x:c>
      <x:c r="D14" t="n">
        <x:f>IFERROR((C14/B14)^(1/6)-1,0)</x:f>
        <x:v>0</x:v>
      </x:c>
    </x:row>
    <x:row r="15">
      <x:c r="A15" t="str">
        <x:v>Data Center % Revenue</x:v>
      </x:c>
      <x:c r="B15" s="40" t="n">
        <x:f>'Data Center Revenue'!B14</x:f>
        <x:v>0.378347459830482</x:v>
      </x:c>
      <x:c r="C15" s="40" t="n">
        <x:f>'Data Center Revenue'!H14</x:f>
        <x:v>0.378347459830482</x:v>
      </x:c>
      <x:c r="D15" s="40"/>
      <x:c r="E15" s="40"/>
      <x:c r="F15" s="40"/>
      <x:c r="G15" s="40"/>
      <x:c r="H15" s="40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73da8eecee945a5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Scenarios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s="7" t="str">
        <x:v>Driver</x:v>
      </x:c>
      <x:c r="B4" s="7" t="str">
        <x:v>Bear</x:v>
      </x:c>
      <x:c r="C4" s="7" t="str">
        <x:v>Base</x:v>
      </x:c>
      <x:c r="D4" s="7" t="str">
        <x:v>Bull</x:v>
      </x:c>
    </x:row>
    <x:row r="5">
      <x:c r="A5" t="str">
        <x:v>Data Center Unit Growth</x:v>
      </x:c>
      <x:c r="B5" s="40" t="n">
        <x:v>0.1</x:v>
      </x:c>
      <x:c r="C5" s="40" t="n">
        <x:v>0.25</x:v>
      </x:c>
      <x:c r="D5" s="40" t="n">
        <x:v>0.4</x:v>
      </x:c>
      <x:c r="E5" s="40"/>
      <x:c r="F5" s="40"/>
      <x:c r="G5" s="40"/>
      <x:c r="H5" s="40"/>
    </x:row>
    <x:row r="6">
      <x:c r="A6" t="str">
        <x:v>Data Center ASP Growth</x:v>
      </x:c>
      <x:c r="B6" s="40" t="n">
        <x:v>-0.1</x:v>
      </x:c>
      <x:c r="C6" s="40" t="n">
        <x:v>-0.03</x:v>
      </x:c>
      <x:c r="D6" s="40" t="n">
        <x:v>0.05</x:v>
      </x:c>
      <x:c r="E6" s="40"/>
      <x:c r="F6" s="40"/>
      <x:c r="G6" s="40"/>
      <x:c r="H6" s="40"/>
    </x:row>
    <x:row r="7">
      <x:c r="A7" t="str">
        <x:v>NVL72 Growth</x:v>
      </x:c>
      <x:c r="B7" s="40" t="n">
        <x:v>0.2</x:v>
      </x:c>
      <x:c r="C7" s="40" t="n">
        <x:v>0.45</x:v>
      </x:c>
      <x:c r="D7" s="40" t="n">
        <x:v>0.7</x:v>
      </x:c>
      <x:c r="E7" s="40"/>
      <x:c r="F7" s="40"/>
      <x:c r="G7" s="40"/>
      <x:c r="H7" s="40"/>
    </x:row>
    <x:row r="8">
      <x:c r="A8" t="str">
        <x:v>Networking Growth</x:v>
      </x:c>
      <x:c r="B8" s="40" t="n">
        <x:v>0.08</x:v>
      </x:c>
      <x:c r="C8" s="40" t="n">
        <x:v>0.18</x:v>
      </x:c>
      <x:c r="D8" s="40" t="n">
        <x:v>0.28</x:v>
      </x:c>
      <x:c r="E8" s="40"/>
      <x:c r="F8" s="40"/>
      <x:c r="G8" s="40"/>
      <x:c r="H8" s="40"/>
    </x:row>
    <x:row r="9">
      <x:c r="A9" t="str">
        <x:v>Gaming Growth</x:v>
      </x:c>
      <x:c r="B9" s="40" t="n">
        <x:v>-0.02</x:v>
      </x:c>
      <x:c r="C9" s="40" t="n">
        <x:v>0.05</x:v>
      </x:c>
      <x:c r="D9" s="40" t="n">
        <x:v>0.1</x:v>
      </x:c>
      <x:c r="E9" s="40"/>
      <x:c r="F9" s="40"/>
      <x:c r="G9" s="40"/>
      <x:c r="H9" s="40"/>
    </x:row>
    <x:row r="10">
      <x:c r="A10" t="str">
        <x:v>Software Growth</x:v>
      </x:c>
      <x:c r="B10" s="40" t="n">
        <x:v>0.15</x:v>
      </x:c>
      <x:c r="C10" s="40" t="n">
        <x:v>0.3</x:v>
      </x:c>
      <x:c r="D10" s="40" t="n">
        <x:v>0.45</x:v>
      </x:c>
      <x:c r="E10" s="40"/>
      <x:c r="F10" s="40"/>
      <x:c r="G10" s="40"/>
      <x:c r="H10" s="40"/>
    </x:row>
    <x:row r="11">
      <x:c r="A11" t="str">
        <x:v>Terminal Growth</x:v>
      </x:c>
      <x:c r="B11" s="40" t="n">
        <x:v>0.02</x:v>
      </x:c>
      <x:c r="C11" s="40" t="n">
        <x:v>0.03</x:v>
      </x:c>
      <x:c r="D11" s="40" t="n">
        <x:v>0.04</x:v>
      </x:c>
      <x:c r="E11" s="40"/>
      <x:c r="F11" s="40"/>
      <x:c r="G11" s="40"/>
      <x:c r="H11" s="40"/>
    </x:row>
    <x:row r="12">
      <x:c r="A12" t="str">
        <x:v>Discount Rate</x:v>
      </x:c>
      <x:c r="B12" s="40" t="n">
        <x:v>0.11</x:v>
      </x:c>
      <x:c r="C12" s="40" t="n">
        <x:v>0.09</x:v>
      </x:c>
      <x:c r="D12" s="40" t="n">
        <x:v>0.08</x:v>
      </x:c>
      <x:c r="E12" s="40"/>
      <x:c r="F12" s="40"/>
      <x:c r="G12" s="40"/>
      <x:c r="H12" s="40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Total Revenue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Data Center Revenue</x:v>
      </x:c>
      <x:c r="B4" t="n">
        <x:f>'Data Center Revenue'!B12</x:f>
        <x:v>9095</x:v>
      </x:c>
      <x:c r="C4" t="n">
        <x:f>'Data Center Revenue'!C12</x:f>
        <x:v>9095</x:v>
      </x:c>
      <x:c r="D4" t="n">
        <x:f>'Data Center Revenue'!D12</x:f>
        <x:v>9095</x:v>
      </x:c>
      <x:c r="E4" t="n">
        <x:f>'Data Center Revenue'!E12</x:f>
        <x:v>9095</x:v>
      </x:c>
      <x:c r="F4" t="n">
        <x:f>'Data Center Revenue'!F12</x:f>
        <x:v>9095</x:v>
      </x:c>
      <x:c r="G4" t="n">
        <x:f>'Data Center Revenue'!G12</x:f>
        <x:v>9095</x:v>
      </x:c>
      <x:c r="H4" t="n">
        <x:f>'Data Center Revenue'!H12</x:f>
        <x:v>9095</x:v>
      </x:c>
    </x:row>
    <x:row r="5">
      <x:c r="A5" t="str">
        <x:v>Gaming Revenue</x:v>
      </x:c>
      <x:c r="B5" t="n">
        <x:f>'Gaming Revenue'!B8</x:f>
        <x:v>7875</x:v>
      </x:c>
      <x:c r="C5" t="n">
        <x:f>'Gaming Revenue'!C8</x:f>
        <x:v>7875</x:v>
      </x:c>
      <x:c r="D5" t="n">
        <x:f>'Gaming Revenue'!D8</x:f>
        <x:v>7875</x:v>
      </x:c>
      <x:c r="E5" t="n">
        <x:f>'Gaming Revenue'!E8</x:f>
        <x:v>7875</x:v>
      </x:c>
      <x:c r="F5" t="n">
        <x:f>'Gaming Revenue'!F8</x:f>
        <x:v>7875</x:v>
      </x:c>
      <x:c r="G5" t="n">
        <x:f>'Gaming Revenue'!G8</x:f>
        <x:v>7875</x:v>
      </x:c>
      <x:c r="H5" t="n">
        <x:f>'Gaming Revenue'!H8</x:f>
        <x:v>7875</x:v>
      </x:c>
    </x:row>
    <x:row r="6">
      <x:c r="A6" t="str">
        <x:v>Professional Visualization Revenue</x:v>
      </x:c>
      <x:c r="B6" t="n">
        <x:f>'Pro Visualization'!B8</x:f>
        <x:v>1168.75</x:v>
      </x:c>
      <x:c r="C6" t="n">
        <x:f>'Pro Visualization'!C8</x:f>
        <x:v>1168.75</x:v>
      </x:c>
      <x:c r="D6" t="n">
        <x:f>'Pro Visualization'!D8</x:f>
        <x:v>1168.75</x:v>
      </x:c>
      <x:c r="E6" t="n">
        <x:f>'Pro Visualization'!E8</x:f>
        <x:v>1168.75</x:v>
      </x:c>
      <x:c r="F6" t="n">
        <x:f>'Pro Visualization'!F8</x:f>
        <x:v>1168.75</x:v>
      </x:c>
      <x:c r="G6" t="n">
        <x:f>'Pro Visualization'!G8</x:f>
        <x:v>1168.75</x:v>
      </x:c>
      <x:c r="H6" t="n">
        <x:f>'Pro Visualization'!H8</x:f>
        <x:v>1168.75</x:v>
      </x:c>
    </x:row>
    <x:row r="7">
      <x:c r="A7" t="str">
        <x:v>Automotive Revenue</x:v>
      </x:c>
      <x:c r="B7" t="n">
        <x:f>'Automotive'!B5</x:f>
        <x:v>2500</x:v>
      </x:c>
      <x:c r="C7" t="n">
        <x:f>'Automotive'!C5</x:f>
        <x:v>2500</x:v>
      </x:c>
      <x:c r="D7" t="n">
        <x:f>'Automotive'!D5</x:f>
        <x:v>2500</x:v>
      </x:c>
      <x:c r="E7" t="n">
        <x:f>'Automotive'!E5</x:f>
        <x:v>2500</x:v>
      </x:c>
      <x:c r="F7" t="n">
        <x:f>'Automotive'!F5</x:f>
        <x:v>2500</x:v>
      </x:c>
      <x:c r="G7" t="n">
        <x:f>'Automotive'!G5</x:f>
        <x:v>2500</x:v>
      </x:c>
      <x:c r="H7" t="n">
        <x:f>'Automotive'!H5</x:f>
        <x:v>2500</x:v>
      </x:c>
    </x:row>
    <x:row r="8">
      <x:c r="A8" t="str">
        <x:v>OEM and Other Revenue</x:v>
      </x:c>
      <x:c r="B8" t="n">
        <x:f>'OEM and Other'!B5</x:f>
        <x:v>1500</x:v>
      </x:c>
      <x:c r="C8" t="n">
        <x:f>'OEM and Other'!C5</x:f>
        <x:v>1500</x:v>
      </x:c>
      <x:c r="D8" t="n">
        <x:f>'OEM and Other'!D5</x:f>
        <x:v>1500</x:v>
      </x:c>
      <x:c r="E8" t="n">
        <x:f>'OEM and Other'!E5</x:f>
        <x:v>1500</x:v>
      </x:c>
      <x:c r="F8" t="n">
        <x:f>'OEM and Other'!F5</x:f>
        <x:v>1500</x:v>
      </x:c>
      <x:c r="G8" t="n">
        <x:f>'OEM and Other'!G5</x:f>
        <x:v>1500</x:v>
      </x:c>
      <x:c r="H8" t="n">
        <x:f>'OEM and Other'!H5</x:f>
        <x:v>1500</x:v>
      </x:c>
    </x:row>
    <x:row r="9">
      <x:c r="A9" t="str">
        <x:v>Software Revenue</x:v>
      </x:c>
      <x:c r="B9" t="n">
        <x:f>'Software Revenue'!B6</x:f>
        <x:v>900</x:v>
      </x:c>
      <x:c r="C9" t="n">
        <x:f>'Software Revenue'!C6</x:f>
        <x:v>900</x:v>
      </x:c>
      <x:c r="D9" t="n">
        <x:f>'Software Revenue'!D6</x:f>
        <x:v>900</x:v>
      </x:c>
      <x:c r="E9" t="n">
        <x:f>'Software Revenue'!E6</x:f>
        <x:v>900</x:v>
      </x:c>
      <x:c r="F9" t="n">
        <x:f>'Software Revenue'!F6</x:f>
        <x:v>900</x:v>
      </x:c>
      <x:c r="G9" t="n">
        <x:f>'Software Revenue'!G6</x:f>
        <x:v>900</x:v>
      </x:c>
      <x:c r="H9" t="n">
        <x:f>'Software Revenue'!H6</x:f>
        <x:v>900</x:v>
      </x:c>
    </x:row>
    <x:row r="10">
      <x:c r="A10" t="str">
        <x:v>Cloud Services Revenue</x:v>
      </x:c>
      <x:c r="B10" t="n">
        <x:f>'Cloud Services'!B4</x:f>
        <x:v>1000</x:v>
      </x:c>
      <x:c r="C10" t="n">
        <x:f>'Cloud Services'!C4</x:f>
        <x:v>1000</x:v>
      </x:c>
      <x:c r="D10" t="n">
        <x:f>'Cloud Services'!D4</x:f>
        <x:v>1000</x:v>
      </x:c>
      <x:c r="E10" t="n">
        <x:f>'Cloud Services'!E4</x:f>
        <x:v>1000</x:v>
      </x:c>
      <x:c r="F10" t="n">
        <x:f>'Cloud Services'!F4</x:f>
        <x:v>1000</x:v>
      </x:c>
      <x:c r="G10" t="n">
        <x:f>'Cloud Services'!G4</x:f>
        <x:v>1000</x:v>
      </x:c>
      <x:c r="H10" t="n">
        <x:f>'Cloud Services'!H4</x:f>
        <x:v>1000</x:v>
      </x:c>
    </x:row>
    <x:row r="11">
      <x:c r="A11" t="str">
        <x:v>Total Revenue</x:v>
      </x:c>
      <x:c r="B11" t="n">
        <x:f>SUM(B4:B10)</x:f>
        <x:v>24038.75</x:v>
      </x:c>
      <x:c r="C11" t="n">
        <x:f>SUM(C4:C10)</x:f>
        <x:v>24038.75</x:v>
      </x:c>
      <x:c r="D11" t="n">
        <x:f>SUM(D4:D10)</x:f>
        <x:v>24038.75</x:v>
      </x:c>
      <x:c r="E11" t="n">
        <x:f>SUM(E4:E10)</x:f>
        <x:v>24038.75</x:v>
      </x:c>
      <x:c r="F11" t="n">
        <x:f>SUM(F4:F10)</x:f>
        <x:v>24038.75</x:v>
      </x:c>
      <x:c r="G11" t="n">
        <x:f>SUM(G4:G10)</x:f>
        <x:v>24038.75</x:v>
      </x:c>
      <x:c r="H11" t="n">
        <x:f>SUM(H4:H10)</x:f>
        <x:v>24038.75</x:v>
      </x:c>
    </x:row>
    <x:row r="12">
      <x:c r="A12" t="str">
        <x:v>% growth</x:v>
      </x:c>
      <x:c r="B12" s="40"/>
      <x:c r="C12" s="40" t="n">
        <x:f>C11/B11-1</x:f>
        <x:v>0</x:v>
      </x:c>
      <x:c r="D12" s="40" t="n">
        <x:f>D11/C11-1</x:f>
        <x:v>0</x:v>
      </x:c>
      <x:c r="E12" s="40" t="n">
        <x:f>E11/D11-1</x:f>
        <x:v>0</x:v>
      </x:c>
      <x:c r="F12" s="40" t="n">
        <x:f>F11/E11-1</x:f>
        <x:v>0</x:v>
      </x:c>
      <x:c r="G12" s="40" t="n">
        <x:f>G11/F11-1</x:f>
        <x:v>0</x:v>
      </x:c>
      <x:c r="H12" s="40" t="n">
        <x:f>H11/G11-1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Data Center Revenue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Compute GPU Revenue</x:v>
      </x:c>
      <x:c r="B4" t="n">
        <x:f>'Compute GPUs'!B6</x:f>
        <x:v>25</x:v>
      </x:c>
      <x:c r="C4" t="n">
        <x:f>'Compute GPUs'!C6</x:f>
        <x:v>25</x:v>
      </x:c>
      <x:c r="D4" t="n">
        <x:f>'Compute GPUs'!D6</x:f>
        <x:v>25</x:v>
      </x:c>
      <x:c r="E4" t="n">
        <x:f>'Compute GPUs'!E6</x:f>
        <x:v>25</x:v>
      </x:c>
      <x:c r="F4" t="n">
        <x:f>'Compute GPUs'!F6</x:f>
        <x:v>25</x:v>
      </x:c>
      <x:c r="G4" t="n">
        <x:f>'Compute GPUs'!G6</x:f>
        <x:v>25</x:v>
      </x:c>
      <x:c r="H4" t="n">
        <x:f>'Compute GPUs'!H6</x:f>
        <x:v>25</x:v>
      </x:c>
    </x:row>
    <x:row r="5">
      <x:c r="A5" t="str">
        <x:v>HGX Revenue</x:v>
      </x:c>
      <x:c r="B5" t="n">
        <x:f>'HGX'!B6</x:f>
        <x:v>0</x:v>
      </x:c>
      <x:c r="C5" t="n">
        <x:f>'HGX'!C6</x:f>
        <x:v>0</x:v>
      </x:c>
      <x:c r="D5" t="n">
        <x:f>'HGX'!D6</x:f>
        <x:v>0</x:v>
      </x:c>
      <x:c r="E5" t="n">
        <x:f>'HGX'!E6</x:f>
        <x:v>0</x:v>
      </x:c>
      <x:c r="F5" t="n">
        <x:f>'HGX'!F6</x:f>
        <x:v>0</x:v>
      </x:c>
      <x:c r="G5" t="n">
        <x:f>'HGX'!G6</x:f>
        <x:v>0</x:v>
      </x:c>
      <x:c r="H5" t="n">
        <x:f>'HGX'!H6</x:f>
        <x:v>0</x:v>
      </x:c>
    </x:row>
    <x:row r="6">
      <x:c r="A6" t="str">
        <x:v>GB200 NVL72 Revenue</x:v>
      </x:c>
      <x:c r="B6" t="n">
        <x:f>'GB200 NVL72'!B6</x:f>
        <x:v>3000</x:v>
      </x:c>
      <x:c r="C6" t="n">
        <x:f>'GB200 NVL72'!C6</x:f>
        <x:v>3000</x:v>
      </x:c>
      <x:c r="D6" t="n">
        <x:f>'GB200 NVL72'!D6</x:f>
        <x:v>3000</x:v>
      </x:c>
      <x:c r="E6" t="n">
        <x:f>'GB200 NVL72'!E6</x:f>
        <x:v>3000</x:v>
      </x:c>
      <x:c r="F6" t="n">
        <x:f>'GB200 NVL72'!F6</x:f>
        <x:v>3000</x:v>
      </x:c>
      <x:c r="G6" t="n">
        <x:f>'GB200 NVL72'!G6</x:f>
        <x:v>3000</x:v>
      </x:c>
      <x:c r="H6" t="n">
        <x:f>'GB200 NVL72'!H6</x:f>
        <x:v>3000</x:v>
      </x:c>
    </x:row>
    <x:row r="7">
      <x:c r="A7" t="str">
        <x:v>NVL36 Revenue</x:v>
      </x:c>
      <x:c r="B7" t="n">
        <x:f>'NVL36'!B6</x:f>
        <x:v>0</x:v>
      </x:c>
      <x:c r="C7" t="n">
        <x:f>'NVL36'!C6</x:f>
        <x:v>0</x:v>
      </x:c>
      <x:c r="D7" t="n">
        <x:f>'NVL36'!D6</x:f>
        <x:v>0</x:v>
      </x:c>
      <x:c r="E7" t="n">
        <x:f>'NVL36'!E6</x:f>
        <x:v>0</x:v>
      </x:c>
      <x:c r="F7" t="n">
        <x:f>'NVL36'!F6</x:f>
        <x:v>0</x:v>
      </x:c>
      <x:c r="G7" t="n">
        <x:f>'NVL36'!G6</x:f>
        <x:v>0</x:v>
      </x:c>
      <x:c r="H7" t="n">
        <x:f>'NVL36'!H6</x:f>
        <x:v>0</x:v>
      </x:c>
    </x:row>
    <x:row r="8">
      <x:c r="A8" t="str">
        <x:v>DGX Revenue</x:v>
      </x:c>
      <x:c r="B8" t="n">
        <x:f>'DGX'!B6</x:f>
        <x:v>600</x:v>
      </x:c>
      <x:c r="C8" t="n">
        <x:f>'DGX'!C6</x:f>
        <x:v>600</x:v>
      </x:c>
      <x:c r="D8" t="n">
        <x:f>'DGX'!D6</x:f>
        <x:v>600</x:v>
      </x:c>
      <x:c r="E8" t="n">
        <x:f>'DGX'!E6</x:f>
        <x:v>600</x:v>
      </x:c>
      <x:c r="F8" t="n">
        <x:f>'DGX'!F6</x:f>
        <x:v>600</x:v>
      </x:c>
      <x:c r="G8" t="n">
        <x:f>'DGX'!G6</x:f>
        <x:v>600</x:v>
      </x:c>
      <x:c r="H8" t="n">
        <x:f>'DGX'!H6</x:f>
        <x:v>600</x:v>
      </x:c>
    </x:row>
    <x:row r="9">
      <x:c r="A9" t="str">
        <x:v>Networking Revenue</x:v>
      </x:c>
      <x:c r="B9" t="n">
        <x:f>'Networking Revenue'!B6</x:f>
        <x:v>3750</x:v>
      </x:c>
      <x:c r="C9" t="n">
        <x:f>'Networking Revenue'!C6</x:f>
        <x:v>3750</x:v>
      </x:c>
      <x:c r="D9" t="n">
        <x:f>'Networking Revenue'!D6</x:f>
        <x:v>3750</x:v>
      </x:c>
      <x:c r="E9" t="n">
        <x:f>'Networking Revenue'!E6</x:f>
        <x:v>3750</x:v>
      </x:c>
      <x:c r="F9" t="n">
        <x:f>'Networking Revenue'!F6</x:f>
        <x:v>3750</x:v>
      </x:c>
      <x:c r="G9" t="n">
        <x:f>'Networking Revenue'!G6</x:f>
        <x:v>3750</x:v>
      </x:c>
      <x:c r="H9" t="n">
        <x:f>'Networking Revenue'!H6</x:f>
        <x:v>3750</x:v>
      </x:c>
    </x:row>
    <x:row r="10">
      <x:c r="A10" t="str">
        <x:v>Data Center Software</x:v>
      </x:c>
      <x:c r="B10" t="n">
        <x:f>'Software Revenue'!B6*80%</x:f>
        <x:v>720</x:v>
      </x:c>
      <x:c r="C10" t="n">
        <x:f>'Software Revenue'!C6*80%</x:f>
        <x:v>720</x:v>
      </x:c>
      <x:c r="D10" t="n">
        <x:f>'Software Revenue'!D6*80%</x:f>
        <x:v>720</x:v>
      </x:c>
      <x:c r="E10" t="n">
        <x:f>'Software Revenue'!E6*80%</x:f>
        <x:v>720</x:v>
      </x:c>
      <x:c r="F10" t="n">
        <x:f>'Software Revenue'!F6*80%</x:f>
        <x:v>720</x:v>
      </x:c>
      <x:c r="G10" t="n">
        <x:f>'Software Revenue'!G6*80%</x:f>
        <x:v>720</x:v>
      </x:c>
      <x:c r="H10" t="n">
        <x:f>'Software Revenue'!H6*80%</x:f>
        <x:v>720</x:v>
      </x:c>
    </x:row>
    <x:row r="11">
      <x:c r="A11" t="str">
        <x:v>Data Center Cloud</x:v>
      </x:c>
      <x:c r="B11" t="n">
        <x:f>'Cloud Services'!B4</x:f>
        <x:v>1000</x:v>
      </x:c>
      <x:c r="C11" t="n">
        <x:f>'Cloud Services'!C4</x:f>
        <x:v>1000</x:v>
      </x:c>
      <x:c r="D11" t="n">
        <x:f>'Cloud Services'!D4</x:f>
        <x:v>1000</x:v>
      </x:c>
      <x:c r="E11" t="n">
        <x:f>'Cloud Services'!E4</x:f>
        <x:v>1000</x:v>
      </x:c>
      <x:c r="F11" t="n">
        <x:f>'Cloud Services'!F4</x:f>
        <x:v>1000</x:v>
      </x:c>
      <x:c r="G11" t="n">
        <x:f>'Cloud Services'!G4</x:f>
        <x:v>1000</x:v>
      </x:c>
      <x:c r="H11" t="n">
        <x:f>'Cloud Services'!H4</x:f>
        <x:v>1000</x:v>
      </x:c>
    </x:row>
    <x:row r="12">
      <x:c r="A12" t="str">
        <x:v>Total Data Center Revenue</x:v>
      </x:c>
      <x:c r="B12" t="n">
        <x:f>SUM(B4:B11)</x:f>
        <x:v>9095</x:v>
      </x:c>
      <x:c r="C12" t="n">
        <x:f>SUM(C4:C11)</x:f>
        <x:v>9095</x:v>
      </x:c>
      <x:c r="D12" t="n">
        <x:f>SUM(D4:D11)</x:f>
        <x:v>9095</x:v>
      </x:c>
      <x:c r="E12" t="n">
        <x:f>SUM(E4:E11)</x:f>
        <x:v>9095</x:v>
      </x:c>
      <x:c r="F12" t="n">
        <x:f>SUM(F4:F11)</x:f>
        <x:v>9095</x:v>
      </x:c>
      <x:c r="G12" t="n">
        <x:f>SUM(G4:G11)</x:f>
        <x:v>9095</x:v>
      </x:c>
      <x:c r="H12" t="n">
        <x:f>SUM(H4:H11)</x:f>
        <x:v>9095</x:v>
      </x:c>
    </x:row>
    <x:row r="13">
      <x:c r="A13" t="str">
        <x:v>% growth</x:v>
      </x:c>
      <x:c r="B13" s="40"/>
      <x:c r="C13" s="40" t="n">
        <x:f>C12/B12-1</x:f>
        <x:v>0</x:v>
      </x:c>
      <x:c r="D13" s="40" t="n">
        <x:f>D12/C12-1</x:f>
        <x:v>0</x:v>
      </x:c>
      <x:c r="E13" s="40" t="n">
        <x:f>E12/D12-1</x:f>
        <x:v>0</x:v>
      </x:c>
      <x:c r="F13" s="40" t="n">
        <x:f>F12/E12-1</x:f>
        <x:v>0</x:v>
      </x:c>
      <x:c r="G13" s="40" t="n">
        <x:f>G12/F12-1</x:f>
        <x:v>0</x:v>
      </x:c>
      <x:c r="H13" s="40" t="n">
        <x:f>H12/G12-1</x:f>
        <x:v>0</x:v>
      </x:c>
    </x:row>
    <x:row r="14">
      <x:c r="A14" t="str">
        <x:v>Data Center % Total Revenue</x:v>
      </x:c>
      <x:c r="B14" s="40" t="n">
        <x:f>B12/'Total Revenue'!B11</x:f>
        <x:v>0.378347459830482</x:v>
      </x:c>
      <x:c r="C14" s="40" t="n">
        <x:f>C12/'Total Revenue'!C11</x:f>
        <x:v>0.378347459830482</x:v>
      </x:c>
      <x:c r="D14" s="40" t="n">
        <x:f>D12/'Total Revenue'!D11</x:f>
        <x:v>0.378347459830482</x:v>
      </x:c>
      <x:c r="E14" s="40" t="n">
        <x:f>E12/'Total Revenue'!E11</x:f>
        <x:v>0.378347459830482</x:v>
      </x:c>
      <x:c r="F14" s="40" t="n">
        <x:f>F12/'Total Revenue'!F11</x:f>
        <x:v>0.378347459830482</x:v>
      </x:c>
      <x:c r="G14" s="40" t="n">
        <x:f>G12/'Total Revenue'!G11</x:f>
        <x:v>0.378347459830482</x:v>
      </x:c>
      <x:c r="H14" s="40" t="n">
        <x:f>H12/'Total Revenue'!H11</x:f>
        <x:v>0.378347459830482</x:v>
      </x:c>
    </x:row>
    <x:row r="15">
      <x:c r="A15" t="str">
        <x:v>AI Accelerator Units</x:v>
      </x:c>
      <x:c r="B15" t="n">
        <x:f>'GPU Units'!B11</x:f>
        <x:v>0</x:v>
      </x:c>
      <x:c r="C15" t="n">
        <x:f>'GPU Units'!C11</x:f>
        <x:v>0</x:v>
      </x:c>
      <x:c r="D15" t="n">
        <x:f>'GPU Units'!D11</x:f>
        <x:v>0</x:v>
      </x:c>
      <x:c r="E15" t="n">
        <x:f>'GPU Units'!E11</x:f>
        <x:v>0</x:v>
      </x:c>
      <x:c r="F15" t="n">
        <x:f>'GPU Units'!F11</x:f>
        <x:v>0</x:v>
      </x:c>
      <x:c r="G15" t="n">
        <x:f>'GPU Units'!G11</x:f>
        <x:v>0</x:v>
      </x:c>
      <x:c r="H15" t="n">
        <x:f>'GPU Units'!H11</x:f>
        <x:v>0</x:v>
      </x:c>
    </x:row>
    <x:row r="16">
      <x:c r="A16" t="str">
        <x:v>Rack Systems</x:v>
      </x:c>
      <x:c r="B16" t="n">
        <x:f>'Rack Systems'!B8</x:f>
        <x:v>0</x:v>
      </x:c>
      <x:c r="C16" t="n">
        <x:f>'Rack Systems'!C8</x:f>
        <x:v>0</x:v>
      </x:c>
      <x:c r="D16" t="n">
        <x:f>'Rack Systems'!D8</x:f>
        <x:v>0</x:v>
      </x:c>
      <x:c r="E16" t="n">
        <x:f>'Rack Systems'!E8</x:f>
        <x:v>0</x:v>
      </x:c>
      <x:c r="F16" t="n">
        <x:f>'Rack Systems'!F8</x:f>
        <x:v>0</x:v>
      </x:c>
      <x:c r="G16" t="n">
        <x:f>'Rack Systems'!G8</x:f>
        <x:v>0</x:v>
      </x:c>
      <x:c r="H16" t="n">
        <x:f>'Rack Systems'!H8</x:f>
        <x:v>0</x:v>
      </x:c>
    </x:row>
    <x:row r="17">
      <x:c r="A17" t="str">
        <x:v>Networking Ports</x:v>
      </x:c>
      <x:c r="B17" t="n">
        <x:f>'Networking Revenue'!B4</x:f>
        <x:v>5000000</x:v>
      </x:c>
      <x:c r="C17" t="n">
        <x:f>'Networking Revenue'!C4</x:f>
        <x:v>5000000</x:v>
      </x:c>
      <x:c r="D17" t="n">
        <x:f>'Networking Revenue'!D4</x:f>
        <x:v>5000000</x:v>
      </x:c>
      <x:c r="E17" t="n">
        <x:f>'Networking Revenue'!E4</x:f>
        <x:v>5000000</x:v>
      </x:c>
      <x:c r="F17" t="n">
        <x:f>'Networking Revenue'!F4</x:f>
        <x:v>5000000</x:v>
      </x:c>
      <x:c r="G17" t="n">
        <x:f>'Networking Revenue'!G4</x:f>
        <x:v>5000000</x:v>
      </x:c>
      <x:c r="H17" t="n">
        <x:f>'Networking Revenue'!H4</x:f>
        <x:v>5000000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Compute GPUs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Units</x:v>
      </x:c>
      <x:c r="B4" t="n">
        <x:f>'Control'!B11</x:f>
        <x:v>1000</x:v>
      </x:c>
      <x:c r="C4" t="n">
        <x:f>'Control'!C11</x:f>
        <x:v>1000</x:v>
      </x:c>
      <x:c r="D4" t="n">
        <x:f>'Control'!D11</x:f>
        <x:v>1000</x:v>
      </x:c>
      <x:c r="E4" t="n">
        <x:f>'Control'!E11</x:f>
        <x:v>1000</x:v>
      </x:c>
      <x:c r="F4" t="n">
        <x:f>'Control'!F11</x:f>
        <x:v>1000</x:v>
      </x:c>
      <x:c r="G4" t="n">
        <x:f>'Control'!G11</x:f>
        <x:v>1000</x:v>
      </x:c>
      <x:c r="H4" t="n">
        <x:f>'Control'!H11</x:f>
        <x:v>1000</x:v>
      </x:c>
    </x:row>
    <x:row r="5">
      <x:c r="A5" t="str">
        <x:v>ASP</x:v>
      </x:c>
      <x:c r="B5" t="n">
        <x:f>'Control'!B13</x:f>
        <x:v>25000</x:v>
      </x:c>
      <x:c r="C5" t="n">
        <x:f>'Control'!C13</x:f>
        <x:v>25000</x:v>
      </x:c>
      <x:c r="D5" t="n">
        <x:f>'Control'!D13</x:f>
        <x:v>25000</x:v>
      </x:c>
      <x:c r="E5" t="n">
        <x:f>'Control'!E13</x:f>
        <x:v>25000</x:v>
      </x:c>
      <x:c r="F5" t="n">
        <x:f>'Control'!F13</x:f>
        <x:v>25000</x:v>
      </x:c>
      <x:c r="G5" t="n">
        <x:f>'Control'!G13</x:f>
        <x:v>25000</x:v>
      </x:c>
      <x:c r="H5" t="n">
        <x:f>'Control'!H13</x:f>
        <x:v>25000</x:v>
      </x:c>
    </x:row>
    <x:row r="6">
      <x:c r="A6" t="str">
        <x:v>Revenue</x:v>
      </x:c>
      <x:c r="B6" t="n">
        <x:f>B4*B5/1000000</x:f>
        <x:v>25</x:v>
      </x:c>
      <x:c r="C6" t="n">
        <x:f>C4*C5/1000000</x:f>
        <x:v>25</x:v>
      </x:c>
      <x:c r="D6" t="n">
        <x:f>D4*D5/1000000</x:f>
        <x:v>25</x:v>
      </x:c>
      <x:c r="E6" t="n">
        <x:f>E4*E5/1000000</x:f>
        <x:v>25</x:v>
      </x:c>
      <x:c r="F6" t="n">
        <x:f>F4*F5/1000000</x:f>
        <x:v>25</x:v>
      </x:c>
      <x:c r="G6" t="n">
        <x:f>G4*G5/1000000</x:f>
        <x:v>25</x:v>
      </x:c>
      <x:c r="H6" t="n">
        <x:f>H4*H5/1000000</x:f>
        <x:v>25</x:v>
      </x:c>
    </x:row>
    <x:row r="7">
      <x:c r="A7" t="str">
        <x:v>BOM per GPU</x:v>
      </x:c>
      <x:c r="B7" t="n">
        <x:f>'Data Center COGS'!B17</x:f>
        <x:v>0</x:v>
      </x:c>
      <x:c r="C7" t="n">
        <x:f>'Data Center COGS'!C17</x:f>
        <x:v>0</x:v>
      </x:c>
      <x:c r="D7" t="n">
        <x:f>'Data Center COGS'!D17</x:f>
        <x:v>0</x:v>
      </x:c>
      <x:c r="E7" t="n">
        <x:f>'Data Center COGS'!E17</x:f>
        <x:v>0</x:v>
      </x:c>
      <x:c r="F7" t="n">
        <x:f>'Data Center COGS'!F17</x:f>
        <x:v>0</x:v>
      </x:c>
      <x:c r="G7" t="n">
        <x:f>'Data Center COGS'!G17</x:f>
        <x:v>0</x:v>
      </x:c>
      <x:c r="H7" t="n">
        <x:f>'Data Center COGS'!H17</x:f>
        <x:v>0</x:v>
      </x:c>
    </x:row>
    <x:row r="8">
      <x:c r="A8" t="str">
        <x:v>Gross Profit per GPU</x:v>
      </x:c>
      <x:c r="B8" t="n">
        <x:f>B5-B7</x:f>
        <x:v>25000</x:v>
      </x:c>
      <x:c r="C8" t="n">
        <x:f>C5-C7</x:f>
        <x:v>25000</x:v>
      </x:c>
      <x:c r="D8" t="n">
        <x:f>D5-D7</x:f>
        <x:v>25000</x:v>
      </x:c>
      <x:c r="E8" t="n">
        <x:f>E5-E7</x:f>
        <x:v>25000</x:v>
      </x:c>
      <x:c r="F8" t="n">
        <x:f>F5-F7</x:f>
        <x:v>25000</x:v>
      </x:c>
      <x:c r="G8" t="n">
        <x:f>G5-G7</x:f>
        <x:v>25000</x:v>
      </x:c>
      <x:c r="H8" t="n">
        <x:f>H5-H7</x:f>
        <x:v>25000</x:v>
      </x:c>
    </x:row>
    <x:row r="9">
      <x:c r="A9" t="str">
        <x:v>Gross Profit</x:v>
      </x:c>
      <x:c r="B9" t="n">
        <x:f>B4*B8/1000000</x:f>
        <x:v>25</x:v>
      </x:c>
      <x:c r="C9" t="n">
        <x:f>C4*C8/1000000</x:f>
        <x:v>25</x:v>
      </x:c>
      <x:c r="D9" t="n">
        <x:f>D4*D8/1000000</x:f>
        <x:v>25</x:v>
      </x:c>
      <x:c r="E9" t="n">
        <x:f>E4*E8/1000000</x:f>
        <x:v>25</x:v>
      </x:c>
      <x:c r="F9" t="n">
        <x:f>F4*F8/1000000</x:f>
        <x:v>25</x:v>
      </x:c>
      <x:c r="G9" t="n">
        <x:f>G4*G8/1000000</x:f>
        <x:v>25</x:v>
      </x:c>
      <x:c r="H9" t="n">
        <x:f>H4*H8/1000000</x:f>
        <x:v>25</x:v>
      </x:c>
    </x:row>
    <x:row r="10">
      <x:c r="A10" t="str">
        <x:v>Gross Margin</x:v>
      </x:c>
      <x:c r="B10" s="40" t="n">
        <x:f>B9/B6</x:f>
        <x:v>1</x:v>
      </x:c>
      <x:c r="C10" s="40" t="n">
        <x:f>C9/C6</x:f>
        <x:v>1</x:v>
      </x:c>
      <x:c r="D10" s="40" t="n">
        <x:f>D9/D6</x:f>
        <x:v>1</x:v>
      </x:c>
      <x:c r="E10" s="40" t="n">
        <x:f>E9/E6</x:f>
        <x:v>1</x:v>
      </x:c>
      <x:c r="F10" s="40" t="n">
        <x:f>F9/F6</x:f>
        <x:v>1</x:v>
      </x:c>
      <x:c r="G10" s="40" t="n">
        <x:f>G9/G6</x:f>
        <x:v>1</x:v>
      </x:c>
      <x:c r="H10" s="40" t="n">
        <x:f>H9/H6</x:f>
        <x:v>1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HGX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Systems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</x:row>
    <x:row r="5">
      <x:c r="A5" t="str">
        <x:v>ASP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</x:row>
    <x:row r="6">
      <x:c r="A6" t="str">
        <x:v>Revenue</x:v>
      </x:c>
      <x:c r="B6" t="n">
        <x:f>B4*B5/1000000</x:f>
        <x:v>0</x:v>
      </x:c>
      <x:c r="C6" t="n">
        <x:f>C4*C5/1000000</x:f>
        <x:v>0</x:v>
      </x:c>
      <x:c r="D6" t="n">
        <x:f>D4*D5/1000000</x:f>
        <x:v>0</x:v>
      </x:c>
      <x:c r="E6" t="n">
        <x:f>E4*E5/1000000</x:f>
        <x:v>0</x:v>
      </x:c>
      <x:c r="F6" t="n">
        <x:f>F4*F5/1000000</x:f>
        <x:v>0</x:v>
      </x:c>
      <x:c r="G6" t="n">
        <x:f>G4*G5/1000000</x:f>
        <x:v>0</x:v>
      </x:c>
      <x:c r="H6" t="n">
        <x:f>H4*H5/1000000</x:f>
        <x:v>0</x:v>
      </x:c>
    </x:row>
    <x:row r="7">
      <x:c r="A7" t="str">
        <x:v>COGS per System</x:v>
      </x:c>
      <x:c r="B7" t="n">
        <x:f>B5*(1-'Segment GM'!B6)</x:f>
        <x:v>0</x:v>
      </x:c>
      <x:c r="C7" t="n">
        <x:f>C5*(1-'Segment GM'!C6)</x:f>
        <x:v>0</x:v>
      </x:c>
      <x:c r="D7" t="n">
        <x:f>D5*(1-'Segment GM'!D6)</x:f>
        <x:v>0</x:v>
      </x:c>
      <x:c r="E7" t="n">
        <x:f>E5*(1-'Segment GM'!E6)</x:f>
        <x:v>0</x:v>
      </x:c>
      <x:c r="F7" t="n">
        <x:f>F5*(1-'Segment GM'!F6)</x:f>
        <x:v>0</x:v>
      </x:c>
      <x:c r="G7" t="n">
        <x:f>G5*(1-'Segment GM'!G6)</x:f>
        <x:v>0</x:v>
      </x:c>
      <x:c r="H7" t="n">
        <x:f>H5*(1-'Segment GM'!H6)</x:f>
        <x:v>0</x:v>
      </x:c>
    </x:row>
    <x:row r="8">
      <x:c r="A8" t="str">
        <x:v>Gross Profit per System</x:v>
      </x:c>
      <x:c r="B8" t="n">
        <x:f>B5-B7</x:f>
        <x:v>0</x:v>
      </x:c>
      <x:c r="C8" t="n">
        <x:f>C5-C7</x:f>
        <x:v>0</x:v>
      </x:c>
      <x:c r="D8" t="n">
        <x:f>D5-D7</x:f>
        <x:v>0</x:v>
      </x:c>
      <x:c r="E8" t="n">
        <x:f>E5-E7</x:f>
        <x:v>0</x:v>
      </x:c>
      <x:c r="F8" t="n">
        <x:f>F5-F7</x:f>
        <x:v>0</x:v>
      </x:c>
      <x:c r="G8" t="n">
        <x:f>G5-G7</x:f>
        <x:v>0</x:v>
      </x:c>
      <x:c r="H8" t="n">
        <x:f>H5-H7</x:f>
        <x:v>0</x:v>
      </x:c>
    </x:row>
    <x:row r="9">
      <x:c r="A9" t="str">
        <x:v>Gross Profit</x:v>
      </x:c>
      <x:c r="B9" t="n">
        <x:f>B4*B8/1000000</x:f>
        <x:v>0</x:v>
      </x:c>
      <x:c r="C9" t="n">
        <x:f>C4*C8/1000000</x:f>
        <x:v>0</x:v>
      </x:c>
      <x:c r="D9" t="n">
        <x:f>D4*D8/1000000</x:f>
        <x:v>0</x:v>
      </x:c>
      <x:c r="E9" t="n">
        <x:f>E4*E8/1000000</x:f>
        <x:v>0</x:v>
      </x:c>
      <x:c r="F9" t="n">
        <x:f>F4*F8/1000000</x:f>
        <x:v>0</x:v>
      </x:c>
      <x:c r="G9" t="n">
        <x:f>G4*G8/1000000</x:f>
        <x:v>0</x:v>
      </x:c>
      <x:c r="H9" t="n">
        <x:f>H4*H8/1000000</x:f>
        <x:v>0</x:v>
      </x:c>
    </x:row>
    <x:row r="10">
      <x:c r="A10" t="str">
        <x:v>Gross Margin</x:v>
      </x:c>
      <x:c r="B10" s="40" t="n">
        <x:f>IFERROR(B9/B6,0)</x:f>
        <x:v>0</x:v>
      </x:c>
      <x:c r="C10" s="40" t="n">
        <x:f>IFERROR(C9/C6,0)</x:f>
        <x:v>0</x:v>
      </x:c>
      <x:c r="D10" s="40" t="n">
        <x:f>IFERROR(D9/D6,0)</x:f>
        <x:v>0</x:v>
      </x:c>
      <x:c r="E10" s="40" t="n">
        <x:f>IFERROR(E9/E6,0)</x:f>
        <x:v>0</x:v>
      </x:c>
      <x:c r="F10" s="40" t="n">
        <x:f>IFERROR(F9/F6,0)</x:f>
        <x:v>0</x:v>
      </x:c>
      <x:c r="G10" s="40" t="n">
        <x:f>IFERROR(G9/G6,0)</x:f>
        <x:v>0</x:v>
      </x:c>
      <x:c r="H10" s="40" t="n">
        <x:f>IFERROR(H9/H6,0)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GB200 NVL72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Systems</x:v>
      </x:c>
      <x:c r="B4" t="n">
        <x:f>'Control'!B15</x:f>
        <x:v>1000</x:v>
      </x:c>
      <x:c r="C4" t="n">
        <x:f>'Control'!C15</x:f>
        <x:v>1000</x:v>
      </x:c>
      <x:c r="D4" t="n">
        <x:f>'Control'!D15</x:f>
        <x:v>1000</x:v>
      </x:c>
      <x:c r="E4" t="n">
        <x:f>'Control'!E15</x:f>
        <x:v>1000</x:v>
      </x:c>
      <x:c r="F4" t="n">
        <x:f>'Control'!F15</x:f>
        <x:v>1000</x:v>
      </x:c>
      <x:c r="G4" t="n">
        <x:f>'Control'!G15</x:f>
        <x:v>1000</x:v>
      </x:c>
      <x:c r="H4" t="n">
        <x:f>'Control'!H15</x:f>
        <x:v>1000</x:v>
      </x:c>
    </x:row>
    <x:row r="5">
      <x:c r="A5" t="str">
        <x:v>ASP</x:v>
      </x:c>
      <x:c r="B5" t="n">
        <x:f>'Control'!B17</x:f>
        <x:v>3000000</x:v>
      </x:c>
      <x:c r="C5" t="n">
        <x:f>'Control'!C17</x:f>
        <x:v>3000000</x:v>
      </x:c>
      <x:c r="D5" t="n">
        <x:f>'Control'!D17</x:f>
        <x:v>3000000</x:v>
      </x:c>
      <x:c r="E5" t="n">
        <x:f>'Control'!E17</x:f>
        <x:v>3000000</x:v>
      </x:c>
      <x:c r="F5" t="n">
        <x:f>'Control'!F17</x:f>
        <x:v>3000000</x:v>
      </x:c>
      <x:c r="G5" t="n">
        <x:f>'Control'!G17</x:f>
        <x:v>3000000</x:v>
      </x:c>
      <x:c r="H5" t="n">
        <x:f>'Control'!H17</x:f>
        <x:v>3000000</x:v>
      </x:c>
    </x:row>
    <x:row r="6">
      <x:c r="A6" t="str">
        <x:v>Revenue</x:v>
      </x:c>
      <x:c r="B6" t="n">
        <x:f>B4*B5/1000000</x:f>
        <x:v>3000</x:v>
      </x:c>
      <x:c r="C6" t="n">
        <x:f>C4*C5/1000000</x:f>
        <x:v>3000</x:v>
      </x:c>
      <x:c r="D6" t="n">
        <x:f>D4*D5/1000000</x:f>
        <x:v>3000</x:v>
      </x:c>
      <x:c r="E6" t="n">
        <x:f>E4*E5/1000000</x:f>
        <x:v>3000</x:v>
      </x:c>
      <x:c r="F6" t="n">
        <x:f>F4*F5/1000000</x:f>
        <x:v>3000</x:v>
      </x:c>
      <x:c r="G6" t="n">
        <x:f>G4*G5/1000000</x:f>
        <x:v>3000</x:v>
      </x:c>
      <x:c r="H6" t="n">
        <x:f>H4*H5/1000000</x:f>
        <x:v>3000</x:v>
      </x:c>
    </x:row>
    <x:row r="7">
      <x:c r="A7" t="str">
        <x:v>COGS per System</x:v>
      </x:c>
      <x:c r="B7" t="n">
        <x:f>B5*(1-'Segment GM'!B6)</x:f>
        <x:v>1050000</x:v>
      </x:c>
      <x:c r="C7" t="n">
        <x:f>C5*(1-'Segment GM'!C6)</x:f>
        <x:v>1050000</x:v>
      </x:c>
      <x:c r="D7" t="n">
        <x:f>D5*(1-'Segment GM'!D6)</x:f>
        <x:v>1050000</x:v>
      </x:c>
      <x:c r="E7" t="n">
        <x:f>E5*(1-'Segment GM'!E6)</x:f>
        <x:v>1050000</x:v>
      </x:c>
      <x:c r="F7" t="n">
        <x:f>F5*(1-'Segment GM'!F6)</x:f>
        <x:v>1050000</x:v>
      </x:c>
      <x:c r="G7" t="n">
        <x:f>G5*(1-'Segment GM'!G6)</x:f>
        <x:v>1050000</x:v>
      </x:c>
      <x:c r="H7" t="n">
        <x:f>H5*(1-'Segment GM'!H6)</x:f>
        <x:v>1050000</x:v>
      </x:c>
    </x:row>
    <x:row r="8">
      <x:c r="A8" t="str">
        <x:v>Gross Profit per System</x:v>
      </x:c>
      <x:c r="B8" t="n">
        <x:f>B5-B7</x:f>
        <x:v>1950000</x:v>
      </x:c>
      <x:c r="C8" t="n">
        <x:f>C5-C7</x:f>
        <x:v>1950000</x:v>
      </x:c>
      <x:c r="D8" t="n">
        <x:f>D5-D7</x:f>
        <x:v>1950000</x:v>
      </x:c>
      <x:c r="E8" t="n">
        <x:f>E5-E7</x:f>
        <x:v>1950000</x:v>
      </x:c>
      <x:c r="F8" t="n">
        <x:f>F5-F7</x:f>
        <x:v>1950000</x:v>
      </x:c>
      <x:c r="G8" t="n">
        <x:f>G5-G7</x:f>
        <x:v>1950000</x:v>
      </x:c>
      <x:c r="H8" t="n">
        <x:f>H5-H7</x:f>
        <x:v>1950000</x:v>
      </x:c>
    </x:row>
    <x:row r="9">
      <x:c r="A9" t="str">
        <x:v>Gross Profit</x:v>
      </x:c>
      <x:c r="B9" t="n">
        <x:f>B4*B8/1000000</x:f>
        <x:v>1950</x:v>
      </x:c>
      <x:c r="C9" t="n">
        <x:f>C4*C8/1000000</x:f>
        <x:v>1950</x:v>
      </x:c>
      <x:c r="D9" t="n">
        <x:f>D4*D8/1000000</x:f>
        <x:v>1950</x:v>
      </x:c>
      <x:c r="E9" t="n">
        <x:f>E4*E8/1000000</x:f>
        <x:v>1950</x:v>
      </x:c>
      <x:c r="F9" t="n">
        <x:f>F4*F8/1000000</x:f>
        <x:v>1950</x:v>
      </x:c>
      <x:c r="G9" t="n">
        <x:f>G4*G8/1000000</x:f>
        <x:v>1950</x:v>
      </x:c>
      <x:c r="H9" t="n">
        <x:f>H4*H8/1000000</x:f>
        <x:v>1950</x:v>
      </x:c>
    </x:row>
    <x:row r="10">
      <x:c r="A10" t="str">
        <x:v>Gross Margin</x:v>
      </x:c>
      <x:c r="B10" s="40" t="n">
        <x:f>B9/B6</x:f>
        <x:v>0.65</x:v>
      </x:c>
      <x:c r="C10" s="40" t="n">
        <x:f>C9/C6</x:f>
        <x:v>0.65</x:v>
      </x:c>
      <x:c r="D10" s="40" t="n">
        <x:f>D9/D6</x:f>
        <x:v>0.65</x:v>
      </x:c>
      <x:c r="E10" s="40" t="n">
        <x:f>E9/E6</x:f>
        <x:v>0.65</x:v>
      </x:c>
      <x:c r="F10" s="40" t="n">
        <x:f>F9/F6</x:f>
        <x:v>0.65</x:v>
      </x:c>
      <x:c r="G10" s="40" t="n">
        <x:f>G9/G6</x:f>
        <x:v>0.65</x:v>
      </x:c>
      <x:c r="H10" s="40" t="n">
        <x:f>H9/H6</x:f>
        <x:v>0.65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NVL36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Systems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</x:row>
    <x:row r="5">
      <x:c r="A5" t="str">
        <x:v>ASP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</x:row>
    <x:row r="6">
      <x:c r="A6" t="str">
        <x:v>Revenue</x:v>
      </x:c>
      <x:c r="B6" t="n">
        <x:f>B4*B5/1000000</x:f>
        <x:v>0</x:v>
      </x:c>
      <x:c r="C6" t="n">
        <x:f>C4*C5/1000000</x:f>
        <x:v>0</x:v>
      </x:c>
      <x:c r="D6" t="n">
        <x:f>D4*D5/1000000</x:f>
        <x:v>0</x:v>
      </x:c>
      <x:c r="E6" t="n">
        <x:f>E4*E5/1000000</x:f>
        <x:v>0</x:v>
      </x:c>
      <x:c r="F6" t="n">
        <x:f>F4*F5/1000000</x:f>
        <x:v>0</x:v>
      </x:c>
      <x:c r="G6" t="n">
        <x:f>G4*G5/1000000</x:f>
        <x:v>0</x:v>
      </x:c>
      <x:c r="H6" t="n">
        <x:f>H4*H5/1000000</x:f>
        <x:v>0</x:v>
      </x:c>
    </x:row>
    <x:row r="7">
      <x:c r="A7" t="str">
        <x:v>COGS per System</x:v>
      </x:c>
      <x:c r="B7" t="n">
        <x:f>B5*(1-'Segment GM'!B6)</x:f>
        <x:v>0</x:v>
      </x:c>
      <x:c r="C7" t="n">
        <x:f>C5*(1-'Segment GM'!C6)</x:f>
        <x:v>0</x:v>
      </x:c>
      <x:c r="D7" t="n">
        <x:f>D5*(1-'Segment GM'!D6)</x:f>
        <x:v>0</x:v>
      </x:c>
      <x:c r="E7" t="n">
        <x:f>E5*(1-'Segment GM'!E6)</x:f>
        <x:v>0</x:v>
      </x:c>
      <x:c r="F7" t="n">
        <x:f>F5*(1-'Segment GM'!F6)</x:f>
        <x:v>0</x:v>
      </x:c>
      <x:c r="G7" t="n">
        <x:f>G5*(1-'Segment GM'!G6)</x:f>
        <x:v>0</x:v>
      </x:c>
      <x:c r="H7" t="n">
        <x:f>H5*(1-'Segment GM'!H6)</x:f>
        <x:v>0</x:v>
      </x:c>
    </x:row>
    <x:row r="8">
      <x:c r="A8" t="str">
        <x:v>Gross Profit per System</x:v>
      </x:c>
      <x:c r="B8" t="n">
        <x:f>B5-B7</x:f>
        <x:v>0</x:v>
      </x:c>
      <x:c r="C8" t="n">
        <x:f>C5-C7</x:f>
        <x:v>0</x:v>
      </x:c>
      <x:c r="D8" t="n">
        <x:f>D5-D7</x:f>
        <x:v>0</x:v>
      </x:c>
      <x:c r="E8" t="n">
        <x:f>E5-E7</x:f>
        <x:v>0</x:v>
      </x:c>
      <x:c r="F8" t="n">
        <x:f>F5-F7</x:f>
        <x:v>0</x:v>
      </x:c>
      <x:c r="G8" t="n">
        <x:f>G5-G7</x:f>
        <x:v>0</x:v>
      </x:c>
      <x:c r="H8" t="n">
        <x:f>H5-H7</x:f>
        <x:v>0</x:v>
      </x:c>
    </x:row>
    <x:row r="9">
      <x:c r="A9" t="str">
        <x:v>Gross Profit</x:v>
      </x:c>
      <x:c r="B9" t="n">
        <x:f>B4*B8/1000000</x:f>
        <x:v>0</x:v>
      </x:c>
      <x:c r="C9" t="n">
        <x:f>C4*C8/1000000</x:f>
        <x:v>0</x:v>
      </x:c>
      <x:c r="D9" t="n">
        <x:f>D4*D8/1000000</x:f>
        <x:v>0</x:v>
      </x:c>
      <x:c r="E9" t="n">
        <x:f>E4*E8/1000000</x:f>
        <x:v>0</x:v>
      </x:c>
      <x:c r="F9" t="n">
        <x:f>F4*F8/1000000</x:f>
        <x:v>0</x:v>
      </x:c>
      <x:c r="G9" t="n">
        <x:f>G4*G8/1000000</x:f>
        <x:v>0</x:v>
      </x:c>
      <x:c r="H9" t="n">
        <x:f>H4*H8/1000000</x:f>
        <x:v>0</x:v>
      </x:c>
    </x:row>
    <x:row r="10">
      <x:c r="A10" t="str">
        <x:v>Gross Margin</x:v>
      </x:c>
      <x:c r="B10" s="40" t="n">
        <x:f>IFERROR(B9/B6,0)</x:f>
        <x:v>0</x:v>
      </x:c>
      <x:c r="C10" s="40" t="n">
        <x:f>IFERROR(C9/C6,0)</x:f>
        <x:v>0</x:v>
      </x:c>
      <x:c r="D10" s="40" t="n">
        <x:f>IFERROR(D9/D6,0)</x:f>
        <x:v>0</x:v>
      </x:c>
      <x:c r="E10" s="40" t="n">
        <x:f>IFERROR(E9/E6,0)</x:f>
        <x:v>0</x:v>
      </x:c>
      <x:c r="F10" s="40" t="n">
        <x:f>IFERROR(F9/F6,0)</x:f>
        <x:v>0</x:v>
      </x:c>
      <x:c r="G10" s="40" t="n">
        <x:f>IFERROR(G9/G6,0)</x:f>
        <x:v>0</x:v>
      </x:c>
      <x:c r="H10" s="40" t="n">
        <x:f>IFERROR(H9/H6,0)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DGX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Systems</x:v>
      </x:c>
      <x:c r="B4" t="n">
        <x:f>'Control'!B19</x:f>
        <x:v>1500</x:v>
      </x:c>
      <x:c r="C4" t="n">
        <x:f>'Control'!C19</x:f>
        <x:v>1500</x:v>
      </x:c>
      <x:c r="D4" t="n">
        <x:f>'Control'!D19</x:f>
        <x:v>1500</x:v>
      </x:c>
      <x:c r="E4" t="n">
        <x:f>'Control'!E19</x:f>
        <x:v>1500</x:v>
      </x:c>
      <x:c r="F4" t="n">
        <x:f>'Control'!F19</x:f>
        <x:v>1500</x:v>
      </x:c>
      <x:c r="G4" t="n">
        <x:f>'Control'!G19</x:f>
        <x:v>1500</x:v>
      </x:c>
      <x:c r="H4" t="n">
        <x:f>'Control'!H19</x:f>
        <x:v>1500</x:v>
      </x:c>
    </x:row>
    <x:row r="5">
      <x:c r="A5" t="str">
        <x:v>ASP</x:v>
      </x:c>
      <x:c r="B5" t="n">
        <x:f>'Control'!B20</x:f>
        <x:v>400000</x:v>
      </x:c>
      <x:c r="C5" t="n">
        <x:f>'Control'!C20</x:f>
        <x:v>400000</x:v>
      </x:c>
      <x:c r="D5" t="n">
        <x:f>'Control'!D20</x:f>
        <x:v>400000</x:v>
      </x:c>
      <x:c r="E5" t="n">
        <x:f>'Control'!E20</x:f>
        <x:v>400000</x:v>
      </x:c>
      <x:c r="F5" t="n">
        <x:f>'Control'!F20</x:f>
        <x:v>400000</x:v>
      </x:c>
      <x:c r="G5" t="n">
        <x:f>'Control'!G20</x:f>
        <x:v>400000</x:v>
      </x:c>
      <x:c r="H5" t="n">
        <x:f>'Control'!H20</x:f>
        <x:v>400000</x:v>
      </x:c>
    </x:row>
    <x:row r="6">
      <x:c r="A6" t="str">
        <x:v>Revenue</x:v>
      </x:c>
      <x:c r="B6" t="n">
        <x:f>B4*B5/1000000</x:f>
        <x:v>600</x:v>
      </x:c>
      <x:c r="C6" t="n">
        <x:f>C4*C5/1000000</x:f>
        <x:v>600</x:v>
      </x:c>
      <x:c r="D6" t="n">
        <x:f>D4*D5/1000000</x:f>
        <x:v>600</x:v>
      </x:c>
      <x:c r="E6" t="n">
        <x:f>E4*E5/1000000</x:f>
        <x:v>600</x:v>
      </x:c>
      <x:c r="F6" t="n">
        <x:f>F4*F5/1000000</x:f>
        <x:v>600</x:v>
      </x:c>
      <x:c r="G6" t="n">
        <x:f>G4*G5/1000000</x:f>
        <x:v>600</x:v>
      </x:c>
      <x:c r="H6" t="n">
        <x:f>H4*H5/1000000</x:f>
        <x:v>600</x:v>
      </x:c>
    </x:row>
    <x:row r="7">
      <x:c r="A7" t="str">
        <x:v>COGS per System</x:v>
      </x:c>
      <x:c r="B7" t="n">
        <x:f>B5*(1-'Segment GM'!B6)</x:f>
        <x:v>140000</x:v>
      </x:c>
      <x:c r="C7" t="n">
        <x:f>C5*(1-'Segment GM'!C6)</x:f>
        <x:v>140000</x:v>
      </x:c>
      <x:c r="D7" t="n">
        <x:f>D5*(1-'Segment GM'!D6)</x:f>
        <x:v>140000</x:v>
      </x:c>
      <x:c r="E7" t="n">
        <x:f>E5*(1-'Segment GM'!E6)</x:f>
        <x:v>140000</x:v>
      </x:c>
      <x:c r="F7" t="n">
        <x:f>F5*(1-'Segment GM'!F6)</x:f>
        <x:v>140000</x:v>
      </x:c>
      <x:c r="G7" t="n">
        <x:f>G5*(1-'Segment GM'!G6)</x:f>
        <x:v>140000</x:v>
      </x:c>
      <x:c r="H7" t="n">
        <x:f>H5*(1-'Segment GM'!H6)</x:f>
        <x:v>140000</x:v>
      </x:c>
    </x:row>
    <x:row r="8">
      <x:c r="A8" t="str">
        <x:v>Gross Profit per System</x:v>
      </x:c>
      <x:c r="B8" t="n">
        <x:f>B5-B7</x:f>
        <x:v>260000</x:v>
      </x:c>
      <x:c r="C8" t="n">
        <x:f>C5-C7</x:f>
        <x:v>260000</x:v>
      </x:c>
      <x:c r="D8" t="n">
        <x:f>D5-D7</x:f>
        <x:v>260000</x:v>
      </x:c>
      <x:c r="E8" t="n">
        <x:f>E5-E7</x:f>
        <x:v>260000</x:v>
      </x:c>
      <x:c r="F8" t="n">
        <x:f>F5-F7</x:f>
        <x:v>260000</x:v>
      </x:c>
      <x:c r="G8" t="n">
        <x:f>G5-G7</x:f>
        <x:v>260000</x:v>
      </x:c>
      <x:c r="H8" t="n">
        <x:f>H5-H7</x:f>
        <x:v>260000</x:v>
      </x:c>
    </x:row>
    <x:row r="9">
      <x:c r="A9" t="str">
        <x:v>Gross Profit</x:v>
      </x:c>
      <x:c r="B9" t="n">
        <x:f>B4*B8/1000000</x:f>
        <x:v>390</x:v>
      </x:c>
      <x:c r="C9" t="n">
        <x:f>C4*C8/1000000</x:f>
        <x:v>390</x:v>
      </x:c>
      <x:c r="D9" t="n">
        <x:f>D4*D8/1000000</x:f>
        <x:v>390</x:v>
      </x:c>
      <x:c r="E9" t="n">
        <x:f>E4*E8/1000000</x:f>
        <x:v>390</x:v>
      </x:c>
      <x:c r="F9" t="n">
        <x:f>F4*F8/1000000</x:f>
        <x:v>390</x:v>
      </x:c>
      <x:c r="G9" t="n">
        <x:f>G4*G8/1000000</x:f>
        <x:v>390</x:v>
      </x:c>
      <x:c r="H9" t="n">
        <x:f>H4*H8/1000000</x:f>
        <x:v>390</x:v>
      </x:c>
    </x:row>
    <x:row r="10">
      <x:c r="A10" t="str">
        <x:v>Gross Margin</x:v>
      </x:c>
      <x:c r="B10" s="40" t="n">
        <x:f>B9/B6</x:f>
        <x:v>0.65</x:v>
      </x:c>
      <x:c r="C10" s="40" t="n">
        <x:f>C9/C6</x:f>
        <x:v>0.65</x:v>
      </x:c>
      <x:c r="D10" s="40" t="n">
        <x:f>D9/D6</x:f>
        <x:v>0.65</x:v>
      </x:c>
      <x:c r="E10" s="40" t="n">
        <x:f>E9/E6</x:f>
        <x:v>0.65</x:v>
      </x:c>
      <x:c r="F10" s="40" t="n">
        <x:f>F9/F6</x:f>
        <x:v>0.65</x:v>
      </x:c>
      <x:c r="G10" s="40" t="n">
        <x:f>G9/G6</x:f>
        <x:v>0.65</x:v>
      </x:c>
      <x:c r="H10" s="40" t="n">
        <x:f>H9/H6</x:f>
        <x:v>0.65</x:v>
      </x:c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Networking Revenue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Units or Ports</x:v>
      </x:c>
      <x:c r="B4" t="n">
        <x:f>'Control'!B21</x:f>
        <x:v>5000000</x:v>
      </x:c>
      <x:c r="C4" t="n">
        <x:f>'Control'!C21</x:f>
        <x:v>5000000</x:v>
      </x:c>
      <x:c r="D4" t="n">
        <x:f>'Control'!D21</x:f>
        <x:v>5000000</x:v>
      </x:c>
      <x:c r="E4" t="n">
        <x:f>'Control'!E21</x:f>
        <x:v>5000000</x:v>
      </x:c>
      <x:c r="F4" t="n">
        <x:f>'Control'!F21</x:f>
        <x:v>5000000</x:v>
      </x:c>
      <x:c r="G4" t="n">
        <x:f>'Control'!G21</x:f>
        <x:v>5000000</x:v>
      </x:c>
      <x:c r="H4" t="n">
        <x:f>'Control'!H21</x:f>
        <x:v>5000000</x:v>
      </x:c>
    </x:row>
    <x:row r="5">
      <x:c r="A5" t="str">
        <x:v>ASP</x:v>
      </x:c>
      <x:c r="B5" t="n">
        <x:f>'Control'!B22</x:f>
        <x:v>750</x:v>
      </x:c>
      <x:c r="C5" t="n">
        <x:f>'Control'!C22</x:f>
        <x:v>750</x:v>
      </x:c>
      <x:c r="D5" t="n">
        <x:f>'Control'!D22</x:f>
        <x:v>750</x:v>
      </x:c>
      <x:c r="E5" t="n">
        <x:f>'Control'!E22</x:f>
        <x:v>750</x:v>
      </x:c>
      <x:c r="F5" t="n">
        <x:f>'Control'!F22</x:f>
        <x:v>750</x:v>
      </x:c>
      <x:c r="G5" t="n">
        <x:f>'Control'!G22</x:f>
        <x:v>750</x:v>
      </x:c>
      <x:c r="H5" t="n">
        <x:f>'Control'!H22</x:f>
        <x:v>750</x:v>
      </x:c>
    </x:row>
    <x:row r="6">
      <x:c r="A6" t="str">
        <x:v>Revenue</x:v>
      </x:c>
      <x:c r="B6" t="n">
        <x:f>B4*B5/1000000</x:f>
        <x:v>3750</x:v>
      </x:c>
      <x:c r="C6" t="n">
        <x:f>C4*C5/1000000</x:f>
        <x:v>3750</x:v>
      </x:c>
      <x:c r="D6" t="n">
        <x:f>D4*D5/1000000</x:f>
        <x:v>3750</x:v>
      </x:c>
      <x:c r="E6" t="n">
        <x:f>E4*E5/1000000</x:f>
        <x:v>3750</x:v>
      </x:c>
      <x:c r="F6" t="n">
        <x:f>F4*F5/1000000</x:f>
        <x:v>3750</x:v>
      </x:c>
      <x:c r="G6" t="n">
        <x:f>G4*G5/1000000</x:f>
        <x:v>3750</x:v>
      </x:c>
      <x:c r="H6" t="n">
        <x:f>H4*H5/1000000</x:f>
        <x:v>3750</x:v>
      </x:c>
    </x:row>
    <x:row r="7">
      <x:c r="A7" t="str">
        <x:v>COGS</x:v>
      </x:c>
      <x:c r="B7" t="n">
        <x:f>B6*'Control'!B42</x:f>
        <x:v>1425</x:v>
      </x:c>
      <x:c r="C7" t="n">
        <x:f>C6*'Control'!C42</x:f>
        <x:v>1425</x:v>
      </x:c>
      <x:c r="D7" t="n">
        <x:f>D6*'Control'!D42</x:f>
        <x:v>1425</x:v>
      </x:c>
      <x:c r="E7" t="n">
        <x:f>E6*'Control'!E42</x:f>
        <x:v>1425</x:v>
      </x:c>
      <x:c r="F7" t="n">
        <x:f>F6*'Control'!F42</x:f>
        <x:v>1425</x:v>
      </x:c>
      <x:c r="G7" t="n">
        <x:f>G6*'Control'!G42</x:f>
        <x:v>1425</x:v>
      </x:c>
      <x:c r="H7" t="n">
        <x:f>H6*'Control'!H42</x:f>
        <x:v>1425</x:v>
      </x:c>
    </x:row>
    <x:row r="8">
      <x:c r="A8" t="str">
        <x:v>Gross Profit</x:v>
      </x:c>
      <x:c r="B8" t="n">
        <x:f>B6-B7</x:f>
        <x:v>2325</x:v>
      </x:c>
      <x:c r="C8" t="n">
        <x:f>C6-C7</x:f>
        <x:v>2325</x:v>
      </x:c>
      <x:c r="D8" t="n">
        <x:f>D6-D7</x:f>
        <x:v>2325</x:v>
      </x:c>
      <x:c r="E8" t="n">
        <x:f>E6-E7</x:f>
        <x:v>2325</x:v>
      </x:c>
      <x:c r="F8" t="n">
        <x:f>F6-F7</x:f>
        <x:v>2325</x:v>
      </x:c>
      <x:c r="G8" t="n">
        <x:f>G6-G7</x:f>
        <x:v>2325</x:v>
      </x:c>
      <x:c r="H8" t="n">
        <x:f>H6-H7</x:f>
        <x:v>2325</x:v>
      </x:c>
    </x:row>
    <x:row r="9">
      <x:c r="A9" t="str">
        <x:v>Gross Margin</x:v>
      </x:c>
      <x:c r="B9" s="40" t="n">
        <x:f>IFERROR(B8/B6,0)</x:f>
        <x:v>0.62</x:v>
      </x:c>
      <x:c r="C9" s="40" t="n">
        <x:f>IFERROR(C8/C6,0)</x:f>
        <x:v>0.62</x:v>
      </x:c>
      <x:c r="D9" s="40" t="n">
        <x:f>IFERROR(D8/D6,0)</x:f>
        <x:v>0.62</x:v>
      </x:c>
      <x:c r="E9" s="40" t="n">
        <x:f>IFERROR(E8/E6,0)</x:f>
        <x:v>0.62</x:v>
      </x:c>
      <x:c r="F9" s="40" t="n">
        <x:f>IFERROR(F8/F6,0)</x:f>
        <x:v>0.62</x:v>
      </x:c>
      <x:c r="G9" s="40" t="n">
        <x:f>IFERROR(G8/G6,0)</x:f>
        <x:v>0.62</x:v>
      </x:c>
      <x:c r="H9" s="40" t="n">
        <x:f>IFERROR(H8/H6,0)</x:f>
        <x:v>0.62</x:v>
      </x:c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Gaming Revenue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Units or Ports</x:v>
      </x:c>
      <x:c r="B4" t="n">
        <x:f>'Control'!B23</x:f>
        <x:v>45000000</x:v>
      </x:c>
      <x:c r="C4" t="n">
        <x:f>'Control'!C23</x:f>
        <x:v>45000000</x:v>
      </x:c>
      <x:c r="D4" t="n">
        <x:f>'Control'!D23</x:f>
        <x:v>45000000</x:v>
      </x:c>
      <x:c r="E4" t="n">
        <x:f>'Control'!E23</x:f>
        <x:v>45000000</x:v>
      </x:c>
      <x:c r="F4" t="n">
        <x:f>'Control'!F23</x:f>
        <x:v>45000000</x:v>
      </x:c>
      <x:c r="G4" t="n">
        <x:f>'Control'!G23</x:f>
        <x:v>45000000</x:v>
      </x:c>
      <x:c r="H4" t="n">
        <x:f>'Control'!H23</x:f>
        <x:v>45000000</x:v>
      </x:c>
    </x:row>
    <x:row r="5">
      <x:c r="A5" t="str">
        <x:v>ASP</x:v>
      </x:c>
      <x:c r="B5" t="n">
        <x:f>'Control'!B24</x:f>
        <x:v>350</x:v>
      </x:c>
      <x:c r="C5" t="n">
        <x:f>'Control'!C24</x:f>
        <x:v>350</x:v>
      </x:c>
      <x:c r="D5" t="n">
        <x:f>'Control'!D24</x:f>
        <x:v>350</x:v>
      </x:c>
      <x:c r="E5" t="n">
        <x:f>'Control'!E24</x:f>
        <x:v>350</x:v>
      </x:c>
      <x:c r="F5" t="n">
        <x:f>'Control'!F24</x:f>
        <x:v>350</x:v>
      </x:c>
      <x:c r="G5" t="n">
        <x:f>'Control'!G24</x:f>
        <x:v>350</x:v>
      </x:c>
      <x:c r="H5" t="n">
        <x:f>'Control'!H24</x:f>
        <x:v>350</x:v>
      </x:c>
    </x:row>
    <x:row r="6">
      <x:c r="A6" t="str">
        <x:v>Revenue</x:v>
      </x:c>
      <x:c r="B6" t="n">
        <x:f>B4*B5/1000000</x:f>
        <x:v>15750</x:v>
      </x:c>
      <x:c r="C6" t="n">
        <x:f>C4*C5/1000000</x:f>
        <x:v>15750</x:v>
      </x:c>
      <x:c r="D6" t="n">
        <x:f>D4*D5/1000000</x:f>
        <x:v>15750</x:v>
      </x:c>
      <x:c r="E6" t="n">
        <x:f>E4*E5/1000000</x:f>
        <x:v>15750</x:v>
      </x:c>
      <x:c r="F6" t="n">
        <x:f>F4*F5/1000000</x:f>
        <x:v>15750</x:v>
      </x:c>
      <x:c r="G6" t="n">
        <x:f>G4*G5/1000000</x:f>
        <x:v>15750</x:v>
      </x:c>
      <x:c r="H6" t="n">
        <x:f>H4*H5/1000000</x:f>
        <x:v>15750</x:v>
      </x:c>
    </x:row>
    <x:row r="7">
      <x:c r="A7" t="str">
        <x:v>COGS</x:v>
      </x:c>
      <x:c r="B7" t="n">
        <x:f>B6*'Control'!B43</x:f>
        <x:v>7875</x:v>
      </x:c>
      <x:c r="C7" t="n">
        <x:f>C6*'Control'!C43</x:f>
        <x:v>7875</x:v>
      </x:c>
      <x:c r="D7" t="n">
        <x:f>D6*'Control'!D43</x:f>
        <x:v>7875</x:v>
      </x:c>
      <x:c r="E7" t="n">
        <x:f>E6*'Control'!E43</x:f>
        <x:v>7875</x:v>
      </x:c>
      <x:c r="F7" t="n">
        <x:f>F6*'Control'!F43</x:f>
        <x:v>7875</x:v>
      </x:c>
      <x:c r="G7" t="n">
        <x:f>G6*'Control'!G43</x:f>
        <x:v>7875</x:v>
      </x:c>
      <x:c r="H7" t="n">
        <x:f>H6*'Control'!H43</x:f>
        <x:v>7875</x:v>
      </x:c>
    </x:row>
    <x:row r="8">
      <x:c r="A8" t="str">
        <x:v>Gross Profit</x:v>
      </x:c>
      <x:c r="B8" t="n">
        <x:f>B6-B7</x:f>
        <x:v>7875</x:v>
      </x:c>
      <x:c r="C8" t="n">
        <x:f>C6-C7</x:f>
        <x:v>7875</x:v>
      </x:c>
      <x:c r="D8" t="n">
        <x:f>D6-D7</x:f>
        <x:v>7875</x:v>
      </x:c>
      <x:c r="E8" t="n">
        <x:f>E6-E7</x:f>
        <x:v>7875</x:v>
      </x:c>
      <x:c r="F8" t="n">
        <x:f>F6-F7</x:f>
        <x:v>7875</x:v>
      </x:c>
      <x:c r="G8" t="n">
        <x:f>G6-G7</x:f>
        <x:v>7875</x:v>
      </x:c>
      <x:c r="H8" t="n">
        <x:f>H6-H7</x:f>
        <x:v>7875</x:v>
      </x:c>
    </x:row>
    <x:row r="9">
      <x:c r="A9" t="str">
        <x:v>Gross Margin</x:v>
      </x:c>
      <x:c r="B9" s="40" t="n">
        <x:f>IFERROR(B8/B6,0)</x:f>
        <x:v>0.5</x:v>
      </x:c>
      <x:c r="C9" s="40" t="n">
        <x:f>IFERROR(C8/C6,0)</x:f>
        <x:v>0.5</x:v>
      </x:c>
      <x:c r="D9" s="40" t="n">
        <x:f>IFERROR(D8/D6,0)</x:f>
        <x:v>0.5</x:v>
      </x:c>
      <x:c r="E9" s="40" t="n">
        <x:f>IFERROR(E8/E6,0)</x:f>
        <x:v>0.5</x:v>
      </x:c>
      <x:c r="F9" s="40" t="n">
        <x:f>IFERROR(F8/F6,0)</x:f>
        <x:v>0.5</x:v>
      </x:c>
      <x:c r="G9" s="40" t="n">
        <x:f>IFERROR(G8/G6,0)</x:f>
        <x:v>0.5</x:v>
      </x:c>
      <x:c r="H9" s="40" t="n">
        <x:f>IFERROR(H8/H6,0)</x:f>
        <x:v>0.5</x:v>
      </x:c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Pro Visualization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Units or Ports</x:v>
      </x:c>
      <x:c r="B4" t="n">
        <x:f>'Control'!B25</x:f>
        <x:v>2500000</x:v>
      </x:c>
      <x:c r="C4" t="n">
        <x:f>'Control'!C25</x:f>
        <x:v>2500000</x:v>
      </x:c>
      <x:c r="D4" t="n">
        <x:f>'Control'!D25</x:f>
        <x:v>2500000</x:v>
      </x:c>
      <x:c r="E4" t="n">
        <x:f>'Control'!E25</x:f>
        <x:v>2500000</x:v>
      </x:c>
      <x:c r="F4" t="n">
        <x:f>'Control'!F25</x:f>
        <x:v>2500000</x:v>
      </x:c>
      <x:c r="G4" t="n">
        <x:f>'Control'!G25</x:f>
        <x:v>2500000</x:v>
      </x:c>
      <x:c r="H4" t="n">
        <x:f>'Control'!H25</x:f>
        <x:v>2500000</x:v>
      </x:c>
    </x:row>
    <x:row r="5">
      <x:c r="A5" t="str">
        <x:v>ASP</x:v>
      </x:c>
      <x:c r="B5" t="n">
        <x:f>'Control'!B26</x:f>
        <x:v>850</x:v>
      </x:c>
      <x:c r="C5" t="n">
        <x:f>'Control'!C26</x:f>
        <x:v>850</x:v>
      </x:c>
      <x:c r="D5" t="n">
        <x:f>'Control'!D26</x:f>
        <x:v>850</x:v>
      </x:c>
      <x:c r="E5" t="n">
        <x:f>'Control'!E26</x:f>
        <x:v>850</x:v>
      </x:c>
      <x:c r="F5" t="n">
        <x:f>'Control'!F26</x:f>
        <x:v>850</x:v>
      </x:c>
      <x:c r="G5" t="n">
        <x:f>'Control'!G26</x:f>
        <x:v>850</x:v>
      </x:c>
      <x:c r="H5" t="n">
        <x:f>'Control'!H26</x:f>
        <x:v>850</x:v>
      </x:c>
    </x:row>
    <x:row r="6">
      <x:c r="A6" t="str">
        <x:v>Revenue</x:v>
      </x:c>
      <x:c r="B6" t="n">
        <x:f>B4*B5/1000000</x:f>
        <x:v>2125</x:v>
      </x:c>
      <x:c r="C6" t="n">
        <x:f>C4*C5/1000000</x:f>
        <x:v>2125</x:v>
      </x:c>
      <x:c r="D6" t="n">
        <x:f>D4*D5/1000000</x:f>
        <x:v>2125</x:v>
      </x:c>
      <x:c r="E6" t="n">
        <x:f>E4*E5/1000000</x:f>
        <x:v>2125</x:v>
      </x:c>
      <x:c r="F6" t="n">
        <x:f>F4*F5/1000000</x:f>
        <x:v>2125</x:v>
      </x:c>
      <x:c r="G6" t="n">
        <x:f>G4*G5/1000000</x:f>
        <x:v>2125</x:v>
      </x:c>
      <x:c r="H6" t="n">
        <x:f>H4*H5/1000000</x:f>
        <x:v>2125</x:v>
      </x:c>
    </x:row>
    <x:row r="7">
      <x:c r="A7" t="str">
        <x:v>COGS</x:v>
      </x:c>
      <x:c r="B7" t="n">
        <x:f>B6*(1-'Segment GM'!B7)</x:f>
        <x:v>956.2499999999999</x:v>
      </x:c>
      <x:c r="C7" t="n">
        <x:f>C6*(1-'Segment GM'!C7)</x:f>
        <x:v>956.2499999999999</x:v>
      </x:c>
      <x:c r="D7" t="n">
        <x:f>D6*(1-'Segment GM'!D7)</x:f>
        <x:v>956.2499999999999</x:v>
      </x:c>
      <x:c r="E7" t="n">
        <x:f>E6*(1-'Segment GM'!E7)</x:f>
        <x:v>956.2499999999999</x:v>
      </x:c>
      <x:c r="F7" t="n">
        <x:f>F6*(1-'Segment GM'!F7)</x:f>
        <x:v>956.2499999999999</x:v>
      </x:c>
      <x:c r="G7" t="n">
        <x:f>G6*(1-'Segment GM'!G7)</x:f>
        <x:v>956.2499999999999</x:v>
      </x:c>
      <x:c r="H7" t="n">
        <x:f>H6*(1-'Segment GM'!H7)</x:f>
        <x:v>956.2499999999999</x:v>
      </x:c>
    </x:row>
    <x:row r="8">
      <x:c r="A8" t="str">
        <x:v>Gross Profit</x:v>
      </x:c>
      <x:c r="B8" t="n">
        <x:f>B6-B7</x:f>
        <x:v>1168.75</x:v>
      </x:c>
      <x:c r="C8" t="n">
        <x:f>C6-C7</x:f>
        <x:v>1168.75</x:v>
      </x:c>
      <x:c r="D8" t="n">
        <x:f>D6-D7</x:f>
        <x:v>1168.75</x:v>
      </x:c>
      <x:c r="E8" t="n">
        <x:f>E6-E7</x:f>
        <x:v>1168.75</x:v>
      </x:c>
      <x:c r="F8" t="n">
        <x:f>F6-F7</x:f>
        <x:v>1168.75</x:v>
      </x:c>
      <x:c r="G8" t="n">
        <x:f>G6-G7</x:f>
        <x:v>1168.75</x:v>
      </x:c>
      <x:c r="H8" t="n">
        <x:f>H6-H7</x:f>
        <x:v>1168.75</x:v>
      </x:c>
    </x:row>
    <x:row r="9">
      <x:c r="A9" t="str">
        <x:v>Gross Margin</x:v>
      </x:c>
      <x:c r="B9" s="40" t="n">
        <x:f>IFERROR(B8/B6,0)</x:f>
        <x:v>0.55</x:v>
      </x:c>
      <x:c r="C9" s="40" t="n">
        <x:f>IFERROR(C8/C6,0)</x:f>
        <x:v>0.55</x:v>
      </x:c>
      <x:c r="D9" s="40" t="n">
        <x:f>IFERROR(D8/D6,0)</x:f>
        <x:v>0.55</x:v>
      </x:c>
      <x:c r="E9" s="40" t="n">
        <x:f>IFERROR(E8/E6,0)</x:f>
        <x:v>0.55</x:v>
      </x:c>
      <x:c r="F9" s="40" t="n">
        <x:f>IFERROR(F8/F6,0)</x:f>
        <x:v>0.55</x:v>
      </x:c>
      <x:c r="G9" s="40" t="n">
        <x:f>IFERROR(G8/G6,0)</x:f>
        <x:v>0.55</x:v>
      </x:c>
      <x:c r="H9" s="40" t="n">
        <x:f>IFERROR(H8/H6,0)</x:f>
        <x:v>0.55</x:v>
      </x:c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Automotive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Revenue</x:v>
      </x:c>
      <x:c r="B4" t="n">
        <x:f>'Control'!B27</x:f>
        <x:v>2500</x:v>
      </x:c>
      <x:c r="C4" t="n">
        <x:f>'Control'!C27</x:f>
        <x:v>2500</x:v>
      </x:c>
      <x:c r="D4" t="n">
        <x:f>'Control'!D27</x:f>
        <x:v>2500</x:v>
      </x:c>
      <x:c r="E4" t="n">
        <x:f>'Control'!E27</x:f>
        <x:v>2500</x:v>
      </x:c>
      <x:c r="F4" t="n">
        <x:f>'Control'!F27</x:f>
        <x:v>2500</x:v>
      </x:c>
      <x:c r="G4" t="n">
        <x:f>'Control'!G27</x:f>
        <x:v>2500</x:v>
      </x:c>
      <x:c r="H4" t="n">
        <x:f>'Control'!H27</x:f>
        <x:v>2500</x:v>
      </x:c>
    </x:row>
    <x:row r="5">
      <x:c r="A5" t="str">
        <x:v>COGS</x:v>
      </x:c>
      <x:c r="B5" t="n">
        <x:f>B4*(1-'Segment GM'!B8)</x:f>
        <x:v>2500</x:v>
      </x:c>
      <x:c r="C5" t="n">
        <x:f>C4*(1-'Segment GM'!C8)</x:f>
        <x:v>2500</x:v>
      </x:c>
      <x:c r="D5" t="n">
        <x:f>D4*(1-'Segment GM'!D8)</x:f>
        <x:v>2500</x:v>
      </x:c>
      <x:c r="E5" t="n">
        <x:f>E4*(1-'Segment GM'!E8)</x:f>
        <x:v>2500</x:v>
      </x:c>
      <x:c r="F5" t="n">
        <x:f>F4*(1-'Segment GM'!F8)</x:f>
        <x:v>2500</x:v>
      </x:c>
      <x:c r="G5" t="n">
        <x:f>G4*(1-'Segment GM'!G8)</x:f>
        <x:v>2500</x:v>
      </x:c>
      <x:c r="H5" t="n">
        <x:f>H4*(1-'Segment GM'!H8)</x:f>
        <x:v>2500</x:v>
      </x:c>
    </x:row>
    <x:row r="6">
      <x:c r="A6" t="str">
        <x:v>Gross Profit</x:v>
      </x:c>
      <x:c r="B6" t="n">
        <x:f>B4-B5</x:f>
        <x:v>0</x:v>
      </x:c>
      <x:c r="C6" t="n">
        <x:f>C4-C5</x:f>
        <x:v>0</x:v>
      </x:c>
      <x:c r="D6" t="n">
        <x:f>D4-D5</x:f>
        <x:v>0</x:v>
      </x:c>
      <x:c r="E6" t="n">
        <x:f>E4-E5</x:f>
        <x:v>0</x:v>
      </x:c>
      <x:c r="F6" t="n">
        <x:f>F4-F5</x:f>
        <x:v>0</x:v>
      </x:c>
      <x:c r="G6" t="n">
        <x:f>G4-G5</x:f>
        <x:v>0</x:v>
      </x:c>
      <x:c r="H6" t="n">
        <x:f>H4-H5</x:f>
        <x:v>0</x:v>
      </x:c>
    </x:row>
    <x:row r="7">
      <x:c r="A7" t="str">
        <x:v>Gross Margin</x:v>
      </x:c>
      <x:c r="B7" s="40" t="n">
        <x:f>IFERROR(B6/B4,0)</x:f>
        <x:v>0</x:v>
      </x:c>
      <x:c r="C7" s="40" t="n">
        <x:f>IFERROR(C6/C4,0)</x:f>
        <x:v>0</x:v>
      </x:c>
      <x:c r="D7" s="40" t="n">
        <x:f>IFERROR(D6/D4,0)</x:f>
        <x:v>0</x:v>
      </x:c>
      <x:c r="E7" s="40" t="n">
        <x:f>IFERROR(E6/E4,0)</x:f>
        <x:v>0</x:v>
      </x:c>
      <x:c r="F7" s="40" t="n">
        <x:f>IFERROR(F6/F4,0)</x:f>
        <x:v>0</x:v>
      </x:c>
      <x:c r="G7" s="40" t="n">
        <x:f>IFERROR(G6/G4,0)</x:f>
        <x:v>0</x:v>
      </x:c>
      <x:c r="H7" s="40" t="n">
        <x:f>IFERROR(H6/H4,0)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OEM and Other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Revenue</x:v>
      </x:c>
      <x:c r="B4" t="n">
        <x:f>'Control'!B28</x:f>
        <x:v>1500</x:v>
      </x:c>
      <x:c r="C4" t="n">
        <x:f>'Control'!C28</x:f>
        <x:v>1500</x:v>
      </x:c>
      <x:c r="D4" t="n">
        <x:f>'Control'!D28</x:f>
        <x:v>1500</x:v>
      </x:c>
      <x:c r="E4" t="n">
        <x:f>'Control'!E28</x:f>
        <x:v>1500</x:v>
      </x:c>
      <x:c r="F4" t="n">
        <x:f>'Control'!F28</x:f>
        <x:v>1500</x:v>
      </x:c>
      <x:c r="G4" t="n">
        <x:f>'Control'!G28</x:f>
        <x:v>1500</x:v>
      </x:c>
      <x:c r="H4" t="n">
        <x:f>'Control'!H28</x:f>
        <x:v>1500</x:v>
      </x:c>
    </x:row>
    <x:row r="5">
      <x:c r="A5" t="str">
        <x:v>COGS</x:v>
      </x:c>
      <x:c r="B5" t="n">
        <x:f>B4*(1-'Segment GM'!B8)</x:f>
        <x:v>1500</x:v>
      </x:c>
      <x:c r="C5" t="n">
        <x:f>C4*(1-'Segment GM'!C8)</x:f>
        <x:v>1500</x:v>
      </x:c>
      <x:c r="D5" t="n">
        <x:f>D4*(1-'Segment GM'!D8)</x:f>
        <x:v>1500</x:v>
      </x:c>
      <x:c r="E5" t="n">
        <x:f>E4*(1-'Segment GM'!E8)</x:f>
        <x:v>1500</x:v>
      </x:c>
      <x:c r="F5" t="n">
        <x:f>F4*(1-'Segment GM'!F8)</x:f>
        <x:v>1500</x:v>
      </x:c>
      <x:c r="G5" t="n">
        <x:f>G4*(1-'Segment GM'!G8)</x:f>
        <x:v>1500</x:v>
      </x:c>
      <x:c r="H5" t="n">
        <x:f>H4*(1-'Segment GM'!H8)</x:f>
        <x:v>1500</x:v>
      </x:c>
    </x:row>
    <x:row r="6">
      <x:c r="A6" t="str">
        <x:v>Gross Profit</x:v>
      </x:c>
      <x:c r="B6" t="n">
        <x:f>B4-B5</x:f>
        <x:v>0</x:v>
      </x:c>
      <x:c r="C6" t="n">
        <x:f>C4-C5</x:f>
        <x:v>0</x:v>
      </x:c>
      <x:c r="D6" t="n">
        <x:f>D4-D5</x:f>
        <x:v>0</x:v>
      </x:c>
      <x:c r="E6" t="n">
        <x:f>E4-E5</x:f>
        <x:v>0</x:v>
      </x:c>
      <x:c r="F6" t="n">
        <x:f>F4-F5</x:f>
        <x:v>0</x:v>
      </x:c>
      <x:c r="G6" t="n">
        <x:f>G4-G5</x:f>
        <x:v>0</x:v>
      </x:c>
      <x:c r="H6" t="n">
        <x:f>H4-H5</x:f>
        <x:v>0</x:v>
      </x:c>
    </x:row>
    <x:row r="7">
      <x:c r="A7" t="str">
        <x:v>Gross Margin</x:v>
      </x:c>
      <x:c r="B7" s="40" t="n">
        <x:f>IFERROR(B6/B4,0)</x:f>
        <x:v>0</x:v>
      </x:c>
      <x:c r="C7" s="40" t="n">
        <x:f>IFERROR(C6/C4,0)</x:f>
        <x:v>0</x:v>
      </x:c>
      <x:c r="D7" s="40" t="n">
        <x:f>IFERROR(D6/D4,0)</x:f>
        <x:v>0</x:v>
      </x:c>
      <x:c r="E7" s="40" t="n">
        <x:f>IFERROR(E6/E4,0)</x:f>
        <x:v>0</x:v>
      </x:c>
      <x:c r="F7" s="40" t="n">
        <x:f>IFERROR(F6/F4,0)</x:f>
        <x:v>0</x:v>
      </x:c>
      <x:c r="G7" s="40" t="n">
        <x:f>IFERROR(G6/G4,0)</x:f>
        <x:v>0</x:v>
      </x:c>
      <x:c r="H7" s="40" t="n">
        <x:f>IFERROR(H6/H4,0)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Software Revenue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Seats</x:v>
      </x:c>
      <x:c r="B4" t="n">
        <x:f>'Control'!B29</x:f>
        <x:v>2000000</x:v>
      </x:c>
      <x:c r="C4" t="n">
        <x:f>'Control'!C29</x:f>
        <x:v>2000000</x:v>
      </x:c>
      <x:c r="D4" t="n">
        <x:f>'Control'!D29</x:f>
        <x:v>2000000</x:v>
      </x:c>
      <x:c r="E4" t="n">
        <x:f>'Control'!E29</x:f>
        <x:v>2000000</x:v>
      </x:c>
      <x:c r="F4" t="n">
        <x:f>'Control'!F29</x:f>
        <x:v>2000000</x:v>
      </x:c>
      <x:c r="G4" t="n">
        <x:f>'Control'!G29</x:f>
        <x:v>2000000</x:v>
      </x:c>
      <x:c r="H4" t="n">
        <x:f>'Control'!H29</x:f>
        <x:v>2000000</x:v>
      </x:c>
    </x:row>
    <x:row r="5">
      <x:c r="A5" t="str">
        <x:v>ASP</x:v>
      </x:c>
      <x:c r="B5" t="n">
        <x:f>'Control'!B30</x:f>
        <x:v>450</x:v>
      </x:c>
      <x:c r="C5" t="n">
        <x:f>'Control'!C30</x:f>
        <x:v>450</x:v>
      </x:c>
      <x:c r="D5" t="n">
        <x:f>'Control'!D30</x:f>
        <x:v>450</x:v>
      </x:c>
      <x:c r="E5" t="n">
        <x:f>'Control'!E30</x:f>
        <x:v>450</x:v>
      </x:c>
      <x:c r="F5" t="n">
        <x:f>'Control'!F30</x:f>
        <x:v>450</x:v>
      </x:c>
      <x:c r="G5" t="n">
        <x:f>'Control'!G30</x:f>
        <x:v>450</x:v>
      </x:c>
      <x:c r="H5" t="n">
        <x:f>'Control'!H30</x:f>
        <x:v>450</x:v>
      </x:c>
    </x:row>
    <x:row r="6">
      <x:c r="A6" t="str">
        <x:v>Revenue</x:v>
      </x:c>
      <x:c r="B6" t="n">
        <x:f>B4*B5/1000000</x:f>
        <x:v>900</x:v>
      </x:c>
      <x:c r="C6" t="n">
        <x:f>C4*C5/1000000</x:f>
        <x:v>900</x:v>
      </x:c>
      <x:c r="D6" t="n">
        <x:f>D4*D5/1000000</x:f>
        <x:v>900</x:v>
      </x:c>
      <x:c r="E6" t="n">
        <x:f>E4*E5/1000000</x:f>
        <x:v>900</x:v>
      </x:c>
      <x:c r="F6" t="n">
        <x:f>F4*F5/1000000</x:f>
        <x:v>900</x:v>
      </x:c>
      <x:c r="G6" t="n">
        <x:f>G4*G5/1000000</x:f>
        <x:v>900</x:v>
      </x:c>
      <x:c r="H6" t="n">
        <x:f>H4*H5/1000000</x:f>
        <x:v>900</x:v>
      </x:c>
    </x:row>
    <x:row r="7">
      <x:c r="A7" t="str">
        <x:v>COGS</x:v>
      </x:c>
      <x:c r="B7" t="n">
        <x:f>B6*'Control'!B44</x:f>
        <x:v>108</x:v>
      </x:c>
      <x:c r="C7" t="n">
        <x:f>C6*'Control'!C44</x:f>
        <x:v>108</x:v>
      </x:c>
      <x:c r="D7" t="n">
        <x:f>D6*'Control'!D44</x:f>
        <x:v>108</x:v>
      </x:c>
      <x:c r="E7" t="n">
        <x:f>E6*'Control'!E44</x:f>
        <x:v>108</x:v>
      </x:c>
      <x:c r="F7" t="n">
        <x:f>F6*'Control'!F44</x:f>
        <x:v>108</x:v>
      </x:c>
      <x:c r="G7" t="n">
        <x:f>G6*'Control'!G44</x:f>
        <x:v>108</x:v>
      </x:c>
      <x:c r="H7" t="n">
        <x:f>H6*'Control'!H44</x:f>
        <x:v>108</x:v>
      </x:c>
    </x:row>
    <x:row r="8">
      <x:c r="A8" t="str">
        <x:v>Gross Profit</x:v>
      </x:c>
      <x:c r="B8" t="n">
        <x:f>B6-B7</x:f>
        <x:v>792</x:v>
      </x:c>
      <x:c r="C8" t="n">
        <x:f>C6-C7</x:f>
        <x:v>792</x:v>
      </x:c>
      <x:c r="D8" t="n">
        <x:f>D6-D7</x:f>
        <x:v>792</x:v>
      </x:c>
      <x:c r="E8" t="n">
        <x:f>E6-E7</x:f>
        <x:v>792</x:v>
      </x:c>
      <x:c r="F8" t="n">
        <x:f>F6-F7</x:f>
        <x:v>792</x:v>
      </x:c>
      <x:c r="G8" t="n">
        <x:f>G6-G7</x:f>
        <x:v>792</x:v>
      </x:c>
      <x:c r="H8" t="n">
        <x:f>H6-H7</x:f>
        <x:v>792</x:v>
      </x:c>
    </x:row>
    <x:row r="9">
      <x:c r="A9" t="str">
        <x:v>Gross Margin</x:v>
      </x:c>
      <x:c r="B9" s="40" t="n">
        <x:f>IFERROR(B8/B6,0)</x:f>
        <x:v>0.88</x:v>
      </x:c>
      <x:c r="C9" s="40" t="n">
        <x:f>IFERROR(C8/C6,0)</x:f>
        <x:v>0.88</x:v>
      </x:c>
      <x:c r="D9" s="40" t="n">
        <x:f>IFERROR(D8/D6,0)</x:f>
        <x:v>0.88</x:v>
      </x:c>
      <x:c r="E9" s="40" t="n">
        <x:f>IFERROR(E8/E6,0)</x:f>
        <x:v>0.88</x:v>
      </x:c>
      <x:c r="F9" s="40" t="n">
        <x:f>IFERROR(F8/F6,0)</x:f>
        <x:v>0.88</x:v>
      </x:c>
      <x:c r="G9" s="40" t="n">
        <x:f>IFERROR(G8/G6,0)</x:f>
        <x:v>0.88</x:v>
      </x:c>
      <x:c r="H9" s="40" t="n">
        <x:f>IFERROR(H8/H6,0)</x:f>
        <x:v>0.88</x:v>
      </x:c>
    </x:row>
  </x:sheetData>
  <x:mergeCells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Cloud Services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Revenue</x:v>
      </x:c>
      <x:c r="B4" t="n">
        <x:f>'Control'!B31</x:f>
        <x:v>1000</x:v>
      </x:c>
      <x:c r="C4" t="n">
        <x:f>'Control'!C31</x:f>
        <x:v>1000</x:v>
      </x:c>
      <x:c r="D4" t="n">
        <x:f>'Control'!D31</x:f>
        <x:v>1000</x:v>
      </x:c>
      <x:c r="E4" t="n">
        <x:f>'Control'!E31</x:f>
        <x:v>1000</x:v>
      </x:c>
      <x:c r="F4" t="n">
        <x:f>'Control'!F31</x:f>
        <x:v>1000</x:v>
      </x:c>
      <x:c r="G4" t="n">
        <x:f>'Control'!G31</x:f>
        <x:v>1000</x:v>
      </x:c>
      <x:c r="H4" t="n">
        <x:f>'Control'!H31</x:f>
        <x:v>1000</x:v>
      </x:c>
    </x:row>
    <x:row r="5">
      <x:c r="A5" t="str">
        <x:v>COGS</x:v>
      </x:c>
      <x:c r="B5" t="n">
        <x:f>B4*'Control'!B45</x:f>
        <x:v>350</x:v>
      </x:c>
      <x:c r="C5" t="n">
        <x:f>C4*'Control'!C45</x:f>
        <x:v>350</x:v>
      </x:c>
      <x:c r="D5" t="n">
        <x:f>D4*'Control'!D45</x:f>
        <x:v>350</x:v>
      </x:c>
      <x:c r="E5" t="n">
        <x:f>E4*'Control'!E45</x:f>
        <x:v>350</x:v>
      </x:c>
      <x:c r="F5" t="n">
        <x:f>F4*'Control'!F45</x:f>
        <x:v>350</x:v>
      </x:c>
      <x:c r="G5" t="n">
        <x:f>G4*'Control'!G45</x:f>
        <x:v>350</x:v>
      </x:c>
      <x:c r="H5" t="n">
        <x:f>H4*'Control'!H45</x:f>
        <x:v>350</x:v>
      </x:c>
    </x:row>
    <x:row r="6">
      <x:c r="A6" t="str">
        <x:v>Gross Profit</x:v>
      </x:c>
      <x:c r="B6" t="n">
        <x:f>B4-B5</x:f>
        <x:v>650</x:v>
      </x:c>
      <x:c r="C6" t="n">
        <x:f>C4-C5</x:f>
        <x:v>650</x:v>
      </x:c>
      <x:c r="D6" t="n">
        <x:f>D4-D5</x:f>
        <x:v>650</x:v>
      </x:c>
      <x:c r="E6" t="n">
        <x:f>E4-E5</x:f>
        <x:v>650</x:v>
      </x:c>
      <x:c r="F6" t="n">
        <x:f>F4-F5</x:f>
        <x:v>650</x:v>
      </x:c>
      <x:c r="G6" t="n">
        <x:f>G4-G5</x:f>
        <x:v>650</x:v>
      </x:c>
      <x:c r="H6" t="n">
        <x:f>H4-H5</x:f>
        <x:v>650</x:v>
      </x:c>
    </x:row>
    <x:row r="7">
      <x:c r="A7" t="str">
        <x:v>Gross Margin</x:v>
      </x:c>
      <x:c r="B7" s="40" t="n">
        <x:f>IFERROR(B6/B4,0)</x:f>
        <x:v>0.65</x:v>
      </x:c>
      <x:c r="C7" s="40" t="n">
        <x:f>IFERROR(C6/C4,0)</x:f>
        <x:v>0.65</x:v>
      </x:c>
      <x:c r="D7" s="40" t="n">
        <x:f>IFERROR(D6/D4,0)</x:f>
        <x:v>0.65</x:v>
      </x:c>
      <x:c r="E7" s="40" t="n">
        <x:f>IFERROR(E6/E4,0)</x:f>
        <x:v>0.65</x:v>
      </x:c>
      <x:c r="F7" s="40" t="n">
        <x:f>IFERROR(F6/F4,0)</x:f>
        <x:v>0.65</x:v>
      </x:c>
      <x:c r="G7" s="40" t="n">
        <x:f>IFERROR(G6/G4,0)</x:f>
        <x:v>0.65</x:v>
      </x:c>
      <x:c r="H7" s="40" t="n">
        <x:f>IFERROR(H6/H4,0)</x:f>
        <x:v>0.65</x:v>
      </x:c>
    </x:row>
  </x:sheetData>
  <x:mergeCells>
    <x:mergeCell ref="A1:H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Installed Base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Beginning Installed Base</x:v>
      </x:c>
      <x:c r="B4" t="n">
        <x:v>0</x:v>
      </x:c>
      <x:c r="C4" t="n">
        <x:f>B7</x:f>
        <x:v>47501000</x:v>
      </x:c>
      <x:c r="D4" t="n">
        <x:f>C7</x:f>
        <x:v>90251900</x:v>
      </x:c>
      <x:c r="E4" t="n">
        <x:f>D7</x:f>
        <x:v>128727710</x:v>
      </x:c>
      <x:c r="F4" t="n">
        <x:f>E7</x:f>
        <x:v>163355939</x:v>
      </x:c>
      <x:c r="G4" t="n">
        <x:f>F7</x:f>
        <x:v>194521345.1</x:v>
      </x:c>
      <x:c r="H4" t="n">
        <x:f>G7</x:f>
        <x:v>222570210.59</x:v>
      </x:c>
    </x:row>
    <x:row r="5">
      <x:c r="A5" t="str">
        <x:v>New GPUs Shipped</x:v>
      </x:c>
      <x:c r="B5" t="n">
        <x:f>'GPU Units'!B7</x:f>
        <x:v>47501000</x:v>
      </x:c>
      <x:c r="C5" t="n">
        <x:f>'GPU Units'!C7</x:f>
        <x:v>47501000</x:v>
      </x:c>
      <x:c r="D5" t="n">
        <x:f>'GPU Units'!D7</x:f>
        <x:v>47501000</x:v>
      </x:c>
      <x:c r="E5" t="n">
        <x:f>'GPU Units'!E7</x:f>
        <x:v>47501000</x:v>
      </x:c>
      <x:c r="F5" t="n">
        <x:f>'GPU Units'!F7</x:f>
        <x:v>47501000</x:v>
      </x:c>
      <x:c r="G5" t="n">
        <x:f>'GPU Units'!G7</x:f>
        <x:v>47501000</x:v>
      </x:c>
      <x:c r="H5" t="n">
        <x:f>'GPU Units'!H7</x:f>
        <x:v>47501000</x:v>
      </x:c>
    </x:row>
    <x:row r="6">
      <x:c r="A6" t="str">
        <x:v>Retirements</x:v>
      </x:c>
      <x:c r="B6" t="n">
        <x:f>B4*10%</x:f>
        <x:v>0</x:v>
      </x:c>
      <x:c r="C6" t="n">
        <x:f>C4*10%</x:f>
        <x:v>4750100</x:v>
      </x:c>
      <x:c r="D6" t="n">
        <x:f>D4*10%</x:f>
        <x:v>9025190</x:v>
      </x:c>
      <x:c r="E6" t="n">
        <x:f>E4*10%</x:f>
        <x:v>12872771</x:v>
      </x:c>
      <x:c r="F6" t="n">
        <x:f>F4*10%</x:f>
        <x:v>16335593.9</x:v>
      </x:c>
      <x:c r="G6" t="n">
        <x:f>G4*10%</x:f>
        <x:v>19452134.51</x:v>
      </x:c>
      <x:c r="H6" t="n">
        <x:f>H4*10%</x:f>
        <x:v>22257021.059</x:v>
      </x:c>
    </x:row>
    <x:row r="7">
      <x:c r="A7" t="str">
        <x:v>Ending Installed Base</x:v>
      </x:c>
      <x:c r="B7" t="n">
        <x:f>B4+B5-B6</x:f>
        <x:v>47501000</x:v>
      </x:c>
      <x:c r="C7" t="n">
        <x:f>C4+C5-C6</x:f>
        <x:v>90251900</x:v>
      </x:c>
      <x:c r="D7" t="n">
        <x:f>D4+D5-D6</x:f>
        <x:v>128727710</x:v>
      </x:c>
      <x:c r="E7" t="n">
        <x:f>E4+E5-E6</x:f>
        <x:v>163355939</x:v>
      </x:c>
      <x:c r="F7" t="n">
        <x:f>F4+F5-F6</x:f>
        <x:v>194521345.1</x:v>
      </x:c>
      <x:c r="G7" t="n">
        <x:f>G4+G5-G6</x:f>
        <x:v>222570210.59</x:v>
      </x:c>
      <x:c r="H7" t="n">
        <x:f>H4+H5-H6</x:f>
        <x:v>247814189.53100002</x:v>
      </x:c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GPU Units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Data Center GPU Units</x:v>
      </x:c>
      <x:c r="B4" t="n">
        <x:f>'Control'!B11</x:f>
        <x:v>1000</x:v>
      </x:c>
      <x:c r="C4" t="n">
        <x:f>'Control'!C11</x:f>
        <x:v>1000</x:v>
      </x:c>
      <x:c r="D4" t="n">
        <x:f>'Control'!D11</x:f>
        <x:v>1000</x:v>
      </x:c>
      <x:c r="E4" t="n">
        <x:f>'Control'!E11</x:f>
        <x:v>1000</x:v>
      </x:c>
      <x:c r="F4" t="n">
        <x:f>'Control'!F11</x:f>
        <x:v>1000</x:v>
      </x:c>
      <x:c r="G4" t="n">
        <x:f>'Control'!G11</x:f>
        <x:v>1000</x:v>
      </x:c>
      <x:c r="H4" t="n">
        <x:f>'Control'!H11</x:f>
        <x:v>1000</x:v>
      </x:c>
    </x:row>
    <x:row r="5">
      <x:c r="A5" t="str">
        <x:v>Gaming GPU Units</x:v>
      </x:c>
      <x:c r="B5" t="n">
        <x:f>'Control'!B23</x:f>
        <x:v>45000000</x:v>
      </x:c>
      <x:c r="C5" t="n">
        <x:f>'Control'!C23</x:f>
        <x:v>45000000</x:v>
      </x:c>
      <x:c r="D5" t="n">
        <x:f>'Control'!D23</x:f>
        <x:v>45000000</x:v>
      </x:c>
      <x:c r="E5" t="n">
        <x:f>'Control'!E23</x:f>
        <x:v>45000000</x:v>
      </x:c>
      <x:c r="F5" t="n">
        <x:f>'Control'!F23</x:f>
        <x:v>45000000</x:v>
      </x:c>
      <x:c r="G5" t="n">
        <x:f>'Control'!G23</x:f>
        <x:v>45000000</x:v>
      </x:c>
      <x:c r="H5" t="n">
        <x:f>'Control'!H23</x:f>
        <x:v>45000000</x:v>
      </x:c>
    </x:row>
    <x:row r="6">
      <x:c r="A6" t="str">
        <x:v>Pro Visualization Units</x:v>
      </x:c>
      <x:c r="B6" t="n">
        <x:f>'Control'!B25</x:f>
        <x:v>2500000</x:v>
      </x:c>
      <x:c r="C6" t="n">
        <x:f>'Control'!C25</x:f>
        <x:v>2500000</x:v>
      </x:c>
      <x:c r="D6" t="n">
        <x:f>'Control'!D25</x:f>
        <x:v>2500000</x:v>
      </x:c>
      <x:c r="E6" t="n">
        <x:f>'Control'!E25</x:f>
        <x:v>2500000</x:v>
      </x:c>
      <x:c r="F6" t="n">
        <x:f>'Control'!F25</x:f>
        <x:v>2500000</x:v>
      </x:c>
      <x:c r="G6" t="n">
        <x:f>'Control'!G25</x:f>
        <x:v>2500000</x:v>
      </x:c>
      <x:c r="H6" t="n">
        <x:f>'Control'!H25</x:f>
        <x:v>2500000</x:v>
      </x:c>
    </x:row>
    <x:row r="7">
      <x:c r="A7" t="str">
        <x:v>Total GPU Units</x:v>
      </x:c>
      <x:c r="B7" t="n">
        <x:f>SUM(B4:B6)</x:f>
        <x:v>47501000</x:v>
      </x:c>
      <x:c r="C7" t="n">
        <x:f>SUM(C4:C6)</x:f>
        <x:v>47501000</x:v>
      </x:c>
      <x:c r="D7" t="n">
        <x:f>SUM(D4:D6)</x:f>
        <x:v>47501000</x:v>
      </x:c>
      <x:c r="E7" t="n">
        <x:f>SUM(E4:E6)</x:f>
        <x:v>47501000</x:v>
      </x:c>
      <x:c r="F7" t="n">
        <x:f>SUM(F4:F6)</x:f>
        <x:v>47501000</x:v>
      </x:c>
      <x:c r="G7" t="n">
        <x:f>SUM(G4:G6)</x:f>
        <x:v>47501000</x:v>
      </x:c>
      <x:c r="H7" t="n">
        <x:f>SUM(H4:H6)</x:f>
        <x:v>47501000</x:v>
      </x:c>
    </x:row>
  </x:sheetData>
  <x:mergeCells>
    <x:mergeCell ref="A1:H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Rack Systems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GB200 NVL72 Systems</x:v>
      </x:c>
      <x:c r="B4" t="n">
        <x:f>'Control'!B15</x:f>
        <x:v>1000</x:v>
      </x:c>
      <x:c r="C4" t="n">
        <x:f>'Control'!C15</x:f>
        <x:v>1000</x:v>
      </x:c>
      <x:c r="D4" t="n">
        <x:f>'Control'!D15</x:f>
        <x:v>1000</x:v>
      </x:c>
      <x:c r="E4" t="n">
        <x:f>'Control'!E15</x:f>
        <x:v>1000</x:v>
      </x:c>
      <x:c r="F4" t="n">
        <x:f>'Control'!F15</x:f>
        <x:v>1000</x:v>
      </x:c>
      <x:c r="G4" t="n">
        <x:f>'Control'!G15</x:f>
        <x:v>1000</x:v>
      </x:c>
      <x:c r="H4" t="n">
        <x:f>'Control'!H15</x:f>
        <x:v>1000</x:v>
      </x:c>
    </x:row>
    <x:row r="5">
      <x:c r="A5" t="str">
        <x:v>NVL36 Systems</x:v>
      </x:c>
      <x:c r="B5" t="n">
        <x:f>'NVL36'!B4</x:f>
        <x:v>0</x:v>
      </x:c>
      <x:c r="C5" t="n">
        <x:f>'NVL36'!C4</x:f>
        <x:v>0</x:v>
      </x:c>
      <x:c r="D5" t="n">
        <x:f>'NVL36'!D4</x:f>
        <x:v>0</x:v>
      </x:c>
      <x:c r="E5" t="n">
        <x:f>'NVL36'!E4</x:f>
        <x:v>0</x:v>
      </x:c>
      <x:c r="F5" t="n">
        <x:f>'NVL36'!F4</x:f>
        <x:v>0</x:v>
      </x:c>
      <x:c r="G5" t="n">
        <x:f>'NVL36'!G4</x:f>
        <x:v>0</x:v>
      </x:c>
      <x:c r="H5" t="n">
        <x:f>'NVL36'!H4</x:f>
        <x:v>0</x:v>
      </x:c>
    </x:row>
    <x:row r="6">
      <x:c r="A6" t="str">
        <x:v>DGX Systems</x:v>
      </x:c>
      <x:c r="B6" t="n">
        <x:f>'Control'!B19</x:f>
        <x:v>1500</x:v>
      </x:c>
      <x:c r="C6" t="n">
        <x:f>'Control'!C19</x:f>
        <x:v>1500</x:v>
      </x:c>
      <x:c r="D6" t="n">
        <x:f>'Control'!D19</x:f>
        <x:v>1500</x:v>
      </x:c>
      <x:c r="E6" t="n">
        <x:f>'Control'!E19</x:f>
        <x:v>1500</x:v>
      </x:c>
      <x:c r="F6" t="n">
        <x:f>'Control'!F19</x:f>
        <x:v>1500</x:v>
      </x:c>
      <x:c r="G6" t="n">
        <x:f>'Control'!G19</x:f>
        <x:v>1500</x:v>
      </x:c>
      <x:c r="H6" t="n">
        <x:f>'Control'!H19</x:f>
        <x:v>1500</x:v>
      </x:c>
    </x:row>
    <x:row r="7">
      <x:c r="A7" t="str">
        <x:v>Total Rack and System Units</x:v>
      </x:c>
      <x:c r="B7" t="n">
        <x:f>SUM(B4:B6)</x:f>
        <x:v>2500</x:v>
      </x:c>
      <x:c r="C7" t="n">
        <x:f>SUM(C4:C6)</x:f>
        <x:v>2500</x:v>
      </x:c>
      <x:c r="D7" t="n">
        <x:f>SUM(D4:D6)</x:f>
        <x:v>2500</x:v>
      </x:c>
      <x:c r="E7" t="n">
        <x:f>SUM(E4:E6)</x:f>
        <x:v>2500</x:v>
      </x:c>
      <x:c r="F7" t="n">
        <x:f>SUM(F4:F6)</x:f>
        <x:v>2500</x:v>
      </x:c>
      <x:c r="G7" t="n">
        <x:f>SUM(G4:G6)</x:f>
        <x:v>2500</x:v>
      </x:c>
      <x:c r="H7" t="n">
        <x:f>SUM(H4:H6)</x:f>
        <x:v>2500</x:v>
      </x:c>
    </x:row>
  </x:sheetData>
  <x:mergeCells>
    <x:mergeCell ref="A1:H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ASP Schedule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</x:sheetData>
  <x:mergeCells>
    <x:mergeCell ref="A1:H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Segment GM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Data Center GPU GM</x:v>
      </x:c>
      <x:c r="B4" s="40" t="n">
        <x:v>0.72</x:v>
      </x:c>
      <x:c r="C4" s="40" t="n">
        <x:v>0.72</x:v>
      </x:c>
      <x:c r="D4" s="40" t="n">
        <x:v>0.72</x:v>
      </x:c>
      <x:c r="E4" s="40" t="n">
        <x:v>0.72</x:v>
      </x:c>
      <x:c r="F4" s="40" t="n">
        <x:v>0.72</x:v>
      </x:c>
      <x:c r="G4" s="40" t="n">
        <x:v>0.72</x:v>
      </x:c>
      <x:c r="H4" s="40" t="n">
        <x:v>0.72</x:v>
      </x:c>
    </x:row>
    <x:row r="5">
      <x:c r="A5" t="str">
        <x:v>Systems GM</x:v>
      </x:c>
      <x:c r="B5" s="40" t="n">
        <x:v>0.68</x:v>
      </x:c>
      <x:c r="C5" s="40" t="n">
        <x:v>0.68</x:v>
      </x:c>
      <x:c r="D5" s="40" t="n">
        <x:v>0.68</x:v>
      </x:c>
      <x:c r="E5" s="40" t="n">
        <x:v>0.68</x:v>
      </x:c>
      <x:c r="F5" s="40" t="n">
        <x:v>0.68</x:v>
      </x:c>
      <x:c r="G5" s="40" t="n">
        <x:v>0.68</x:v>
      </x:c>
      <x:c r="H5" s="40" t="n">
        <x:v>0.68</x:v>
      </x:c>
    </x:row>
    <x:row r="6">
      <x:c r="A6" t="str">
        <x:v>Professional Visualization GM</x:v>
      </x:c>
      <x:c r="B6" s="40" t="n">
        <x:v>0.65</x:v>
      </x:c>
      <x:c r="C6" s="40" t="n">
        <x:v>0.65</x:v>
      </x:c>
      <x:c r="D6" s="40" t="n">
        <x:v>0.65</x:v>
      </x:c>
      <x:c r="E6" s="40" t="n">
        <x:v>0.65</x:v>
      </x:c>
      <x:c r="F6" s="40" t="n">
        <x:v>0.65</x:v>
      </x:c>
      <x:c r="G6" s="40" t="n">
        <x:v>0.65</x:v>
      </x:c>
      <x:c r="H6" s="40" t="n">
        <x:v>0.65</x:v>
      </x:c>
    </x:row>
    <x:row r="7">
      <x:c r="A7" t="str">
        <x:v>Automotive and OEM GM</x:v>
      </x:c>
      <x:c r="B7" s="40" t="n">
        <x:v>0.55</x:v>
      </x:c>
      <x:c r="C7" s="40" t="n">
        <x:v>0.55</x:v>
      </x:c>
      <x:c r="D7" s="40" t="n">
        <x:v>0.55</x:v>
      </x:c>
      <x:c r="E7" s="40" t="n">
        <x:v>0.55</x:v>
      </x:c>
      <x:c r="F7" s="40" t="n">
        <x:v>0.55</x:v>
      </x:c>
      <x:c r="G7" s="40" t="n">
        <x:v>0.55</x:v>
      </x:c>
      <x:c r="H7" s="40" t="n">
        <x:v>0.55</x:v>
      </x:c>
    </x:row>
  </x:sheetData>
  <x:mergeCells>
    <x:mergeCell ref="A1:H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Wafer Supply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Wafer Starts</x:v>
      </x:c>
      <x:c r="B4" t="n">
        <x:f>'Control'!B33</x:f>
        <x:v>0</x:v>
      </x:c>
      <x:c r="C4" t="n">
        <x:f>'Control'!C33</x:f>
        <x:v>0</x:v>
      </x:c>
      <x:c r="D4" t="n">
        <x:f>'Control'!D33</x:f>
        <x:v>0</x:v>
      </x:c>
      <x:c r="E4" t="n">
        <x:f>'Control'!E33</x:f>
        <x:v>0</x:v>
      </x:c>
      <x:c r="F4" t="n">
        <x:f>'Control'!F33</x:f>
        <x:v>0</x:v>
      </x:c>
      <x:c r="G4" t="n">
        <x:f>'Control'!G33</x:f>
        <x:v>0</x:v>
      </x:c>
      <x:c r="H4" t="n">
        <x:f>'Control'!H33</x:f>
        <x:v>0</x:v>
      </x:c>
    </x:row>
    <x:row r="5">
      <x:c r="A5" t="str">
        <x:v>Good Dies per Wafer</x:v>
      </x:c>
      <x:c r="B5" t="n">
        <x:f>'Control'!B34</x:f>
        <x:v>650000</x:v>
      </x:c>
      <x:c r="C5" t="n">
        <x:f>'Control'!C34</x:f>
        <x:v>650000</x:v>
      </x:c>
      <x:c r="D5" t="n">
        <x:f>'Control'!D34</x:f>
        <x:v>650000</x:v>
      </x:c>
      <x:c r="E5" t="n">
        <x:f>'Control'!E34</x:f>
        <x:v>650000</x:v>
      </x:c>
      <x:c r="F5" t="n">
        <x:f>'Control'!F34</x:f>
        <x:v>650000</x:v>
      </x:c>
      <x:c r="G5" t="n">
        <x:f>'Control'!G34</x:f>
        <x:v>650000</x:v>
      </x:c>
      <x:c r="H5" t="n">
        <x:f>'Control'!H34</x:f>
        <x:v>650000</x:v>
      </x:c>
    </x:row>
    <x:row r="6">
      <x:c r="A6" t="str">
        <x:v>Available Good Dies</x:v>
      </x:c>
      <x:c r="B6" t="n">
        <x:f>B4*B5</x:f>
        <x:v>0</x:v>
      </x:c>
      <x:c r="C6" t="n">
        <x:f>C4*C5</x:f>
        <x:v>0</x:v>
      </x:c>
      <x:c r="D6" t="n">
        <x:f>D4*D5</x:f>
        <x:v>0</x:v>
      </x:c>
      <x:c r="E6" t="n">
        <x:f>E4*E5</x:f>
        <x:v>0</x:v>
      </x:c>
      <x:c r="F6" t="n">
        <x:f>F4*F5</x:f>
        <x:v>0</x:v>
      </x:c>
      <x:c r="G6" t="n">
        <x:f>G4*G5</x:f>
        <x:v>0</x:v>
      </x:c>
      <x:c r="H6" t="n">
        <x:f>H4*H5</x:f>
        <x:v>0</x:v>
      </x:c>
    </x:row>
    <x:row r="7">
      <x:c r="A7" t="str">
        <x:v>Data Center GPU Demand</x:v>
      </x:c>
      <x:c r="B7" t="n">
        <x:f>'Control'!B11</x:f>
        <x:v>1000</x:v>
      </x:c>
      <x:c r="C7" t="n">
        <x:f>'Control'!C11</x:f>
        <x:v>1000</x:v>
      </x:c>
      <x:c r="D7" t="n">
        <x:f>'Control'!D11</x:f>
        <x:v>1000</x:v>
      </x:c>
      <x:c r="E7" t="n">
        <x:f>'Control'!E11</x:f>
        <x:v>1000</x:v>
      </x:c>
      <x:c r="F7" t="n">
        <x:f>'Control'!F11</x:f>
        <x:v>1000</x:v>
      </x:c>
      <x:c r="G7" t="n">
        <x:f>'Control'!G11</x:f>
        <x:v>1000</x:v>
      </x:c>
      <x:c r="H7" t="n">
        <x:f>'Control'!H11</x:f>
        <x:v>1000</x:v>
      </x:c>
    </x:row>
    <x:row r="8">
      <x:c r="A8" t="str">
        <x:v>Surplus / Deficit</x:v>
      </x:c>
      <x:c r="B8" t="n">
        <x:f>B6-B7</x:f>
        <x:v>-1000</x:v>
      </x:c>
      <x:c r="C8" t="n">
        <x:f>C6-C7</x:f>
        <x:v>-1000</x:v>
      </x:c>
      <x:c r="D8" t="n">
        <x:f>D6-D7</x:f>
        <x:v>-1000</x:v>
      </x:c>
      <x:c r="E8" t="n">
        <x:f>E6-E7</x:f>
        <x:v>-1000</x:v>
      </x:c>
      <x:c r="F8" t="n">
        <x:f>F6-F7</x:f>
        <x:v>-1000</x:v>
      </x:c>
      <x:c r="G8" t="n">
        <x:f>G6-G7</x:f>
        <x:v>-1000</x:v>
      </x:c>
      <x:c r="H8" t="n">
        <x:f>H6-H7</x:f>
        <x:v>-1000</x:v>
      </x:c>
    </x:row>
  </x:sheetData>
  <x:mergeCells>
    <x:mergeCell ref="A1:H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Die Size Yield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Gross Dies per Wafer</x:v>
      </x:c>
      <x:c r="B4" t="n">
        <x:v>80</x:v>
      </x:c>
      <x:c r="C4" t="n">
        <x:v>80</x:v>
      </x:c>
      <x:c r="D4" t="n">
        <x:v>80</x:v>
      </x:c>
      <x:c r="E4" t="n">
        <x:v>80</x:v>
      </x:c>
      <x:c r="F4" t="n">
        <x:v>80</x:v>
      </x:c>
      <x:c r="G4" t="n">
        <x:v>80</x:v>
      </x:c>
      <x:c r="H4" t="n">
        <x:v>80</x:v>
      </x:c>
    </x:row>
    <x:row r="5">
      <x:c r="A5" t="str">
        <x:v>Yield</x:v>
      </x:c>
      <x:c r="B5" t="n">
        <x:v>0.7</x:v>
      </x:c>
      <x:c r="C5" t="n">
        <x:v>0.7</x:v>
      </x:c>
      <x:c r="D5" t="n">
        <x:v>0.7</x:v>
      </x:c>
      <x:c r="E5" t="n">
        <x:v>0.7</x:v>
      </x:c>
      <x:c r="F5" t="n">
        <x:v>0.7</x:v>
      </x:c>
      <x:c r="G5" t="n">
        <x:v>0.7</x:v>
      </x:c>
      <x:c r="H5" t="n">
        <x:v>0.7</x:v>
      </x:c>
    </x:row>
    <x:row r="6">
      <x:c r="A6" t="str">
        <x:v>Good Dies per Wafer</x:v>
      </x:c>
      <x:c r="B6" t="n">
        <x:f>B4*B5</x:f>
        <x:v>56</x:v>
      </x:c>
      <x:c r="C6" t="n">
        <x:f>C4*C5</x:f>
        <x:v>56</x:v>
      </x:c>
      <x:c r="D6" t="n">
        <x:f>D4*D5</x:f>
        <x:v>56</x:v>
      </x:c>
      <x:c r="E6" t="n">
        <x:f>E4*E5</x:f>
        <x:v>56</x:v>
      </x:c>
      <x:c r="F6" t="n">
        <x:f>F4*F5</x:f>
        <x:v>56</x:v>
      </x:c>
      <x:c r="G6" t="n">
        <x:f>G4*G5</x:f>
        <x:v>56</x:v>
      </x:c>
      <x:c r="H6" t="n">
        <x:f>H4*H5</x:f>
        <x:v>56</x:v>
      </x:c>
    </x:row>
    <x:row r="7">
      <x:c r="A7" t="str">
        <x:v>Defect Density Placeholder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</x:row>
    <x:row r="8">
      <x:c r="A8" t="str">
        <x:v>Reticle Limit Flag</x:v>
      </x:c>
      <x:c r="B8" t="str">
        <x:f>IF(B4&gt;90,"Above Reticle","OK")</x:f>
        <x:v>OK</x:v>
      </x:c>
      <x:c r="C8" t="str">
        <x:f>IF(C4&gt;90,"Above Reticle","OK")</x:f>
        <x:v>OK</x:v>
      </x:c>
      <x:c r="D8" t="str">
        <x:f>IF(D4&gt;90,"Above Reticle","OK")</x:f>
        <x:v>OK</x:v>
      </x:c>
      <x:c r="E8" t="str">
        <x:f>IF(E4&gt;90,"Above Reticle","OK")</x:f>
        <x:v>OK</x:v>
      </x:c>
      <x:c r="F8" t="str">
        <x:f>IF(F4&gt;90,"Above Reticle","OK")</x:f>
        <x:v>OK</x:v>
      </x:c>
      <x:c r="G8" t="str">
        <x:f>IF(G4&gt;90,"Above Reticle","OK")</x:f>
        <x:v>OK</x:v>
      </x:c>
      <x:c r="H8" t="str">
        <x:f>IF(H4&gt;90,"Above Reticle","OK")</x:f>
        <x:v>OK</x:v>
      </x:c>
    </x:row>
  </x:sheetData>
  <x:mergeCells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HBM Supply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Data Center GPUs</x:v>
      </x:c>
      <x:c r="B4" t="n">
        <x:f>'Control'!B11</x:f>
        <x:v>1000</x:v>
      </x:c>
      <x:c r="C4" t="n">
        <x:f>'Control'!C11</x:f>
        <x:v>1000</x:v>
      </x:c>
      <x:c r="D4" t="n">
        <x:f>'Control'!D11</x:f>
        <x:v>1000</x:v>
      </x:c>
      <x:c r="E4" t="n">
        <x:f>'Control'!E11</x:f>
        <x:v>1000</x:v>
      </x:c>
      <x:c r="F4" t="n">
        <x:f>'Control'!F11</x:f>
        <x:v>1000</x:v>
      </x:c>
      <x:c r="G4" t="n">
        <x:f>'Control'!G11</x:f>
        <x:v>1000</x:v>
      </x:c>
      <x:c r="H4" t="n">
        <x:f>'Control'!H11</x:f>
        <x:v>1000</x:v>
      </x:c>
    </x:row>
    <x:row r="5">
      <x:c r="A5" t="str">
        <x:v>HBM Stacks per GPU</x:v>
      </x:c>
      <x:c r="B5" t="n">
        <x:f>'Control'!B35</x:f>
        <x:v>55</x:v>
      </x:c>
      <x:c r="C5" t="n">
        <x:f>'Control'!C35</x:f>
        <x:v>55</x:v>
      </x:c>
      <x:c r="D5" t="n">
        <x:f>'Control'!D35</x:f>
        <x:v>55</x:v>
      </x:c>
      <x:c r="E5" t="n">
        <x:f>'Control'!E35</x:f>
        <x:v>55</x:v>
      </x:c>
      <x:c r="F5" t="n">
        <x:f>'Control'!F35</x:f>
        <x:v>55</x:v>
      </x:c>
      <x:c r="G5" t="n">
        <x:f>'Control'!G35</x:f>
        <x:v>55</x:v>
      </x:c>
      <x:c r="H5" t="n">
        <x:f>'Control'!H35</x:f>
        <x:v>55</x:v>
      </x:c>
    </x:row>
    <x:row r="6">
      <x:c r="A6" t="str">
        <x:v>HBM Stack Demand</x:v>
      </x:c>
      <x:c r="B6" t="n">
        <x:f>B4*B5</x:f>
        <x:v>55000</x:v>
      </x:c>
      <x:c r="C6" t="n">
        <x:f>C4*C5</x:f>
        <x:v>55000</x:v>
      </x:c>
      <x:c r="D6" t="n">
        <x:f>D4*D5</x:f>
        <x:v>55000</x:v>
      </x:c>
      <x:c r="E6" t="n">
        <x:f>E4*E5</x:f>
        <x:v>55000</x:v>
      </x:c>
      <x:c r="F6" t="n">
        <x:f>F4*F5</x:f>
        <x:v>55000</x:v>
      </x:c>
      <x:c r="G6" t="n">
        <x:f>G4*G5</x:f>
        <x:v>55000</x:v>
      </x:c>
      <x:c r="H6" t="n">
        <x:f>H4*H5</x:f>
        <x:v>55000</x:v>
      </x:c>
    </x:row>
    <x:row r="7">
      <x:c r="A7" t="str">
        <x:v>HBM Cost per Stack</x:v>
      </x:c>
      <x:c r="B7" t="n">
        <x:f>'Control'!B36</x:f>
        <x:v>8</x:v>
      </x:c>
      <x:c r="C7" t="n">
        <x:f>'Control'!C36</x:f>
        <x:v>8</x:v>
      </x:c>
      <x:c r="D7" t="n">
        <x:f>'Control'!D36</x:f>
        <x:v>8</x:v>
      </x:c>
      <x:c r="E7" t="n">
        <x:f>'Control'!E36</x:f>
        <x:v>8</x:v>
      </x:c>
      <x:c r="F7" t="n">
        <x:f>'Control'!F36</x:f>
        <x:v>8</x:v>
      </x:c>
      <x:c r="G7" t="n">
        <x:f>'Control'!G36</x:f>
        <x:v>8</x:v>
      </x:c>
      <x:c r="H7" t="n">
        <x:f>'Control'!H36</x:f>
        <x:v>8</x:v>
      </x:c>
    </x:row>
    <x:row r="8">
      <x:c r="A8" t="str">
        <x:v>HBM COGS</x:v>
      </x:c>
      <x:c r="B8" t="n">
        <x:f>B6*B7/1000000</x:f>
        <x:v>0.44</x:v>
      </x:c>
      <x:c r="C8" t="n">
        <x:f>C6*C7/1000000</x:f>
        <x:v>0.44</x:v>
      </x:c>
      <x:c r="D8" t="n">
        <x:f>D6*D7/1000000</x:f>
        <x:v>0.44</x:v>
      </x:c>
      <x:c r="E8" t="n">
        <x:f>E6*E7/1000000</x:f>
        <x:v>0.44</x:v>
      </x:c>
      <x:c r="F8" t="n">
        <x:f>F6*F7/1000000</x:f>
        <x:v>0.44</x:v>
      </x:c>
      <x:c r="G8" t="n">
        <x:f>G6*G7/1000000</x:f>
        <x:v>0.44</x:v>
      </x:c>
      <x:c r="H8" t="n">
        <x:f>H6*H7/1000000</x:f>
        <x:v>0.44</x:v>
      </x:c>
    </x:row>
  </x:sheetData>
  <x:mergeCells>
    <x:mergeCell ref="A1:H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CoWoS Packaging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Data Center GPUs</x:v>
      </x:c>
      <x:c r="B4" t="n">
        <x:f>'Control'!B11</x:f>
        <x:v>1000</x:v>
      </x:c>
      <x:c r="C4" t="n">
        <x:f>'Control'!C11</x:f>
        <x:v>1000</x:v>
      </x:c>
      <x:c r="D4" t="n">
        <x:f>'Control'!D11</x:f>
        <x:v>1000</x:v>
      </x:c>
      <x:c r="E4" t="n">
        <x:f>'Control'!E11</x:f>
        <x:v>1000</x:v>
      </x:c>
      <x:c r="F4" t="n">
        <x:f>'Control'!F11</x:f>
        <x:v>1000</x:v>
      </x:c>
      <x:c r="G4" t="n">
        <x:f>'Control'!G11</x:f>
        <x:v>1000</x:v>
      </x:c>
      <x:c r="H4" t="n">
        <x:f>'Control'!H11</x:f>
        <x:v>1000</x:v>
      </x:c>
    </x:row>
    <x:row r="5">
      <x:c r="A5" t="str">
        <x:v>CoWoS Units Required</x:v>
      </x:c>
      <x:c r="B5" t="n">
        <x:f>B4</x:f>
        <x:v>1000</x:v>
      </x:c>
      <x:c r="C5" t="n">
        <x:f>C4</x:f>
        <x:v>1000</x:v>
      </x:c>
      <x:c r="D5" t="n">
        <x:f>D4</x:f>
        <x:v>1000</x:v>
      </x:c>
      <x:c r="E5" t="n">
        <x:f>E4</x:f>
        <x:v>1000</x:v>
      </x:c>
      <x:c r="F5" t="n">
        <x:f>F4</x:f>
        <x:v>1000</x:v>
      </x:c>
      <x:c r="G5" t="n">
        <x:f>G4</x:f>
        <x:v>1000</x:v>
      </x:c>
      <x:c r="H5" t="n">
        <x:f>H4</x:f>
        <x:v>1000</x:v>
      </x:c>
    </x:row>
    <x:row r="6">
      <x:c r="A6" t="str">
        <x:v>CoWoS Cost per GPU</x:v>
      </x:c>
      <x:c r="B6" t="n">
        <x:f>'Control'!B37</x:f>
        <x:v>600</x:v>
      </x:c>
      <x:c r="C6" t="n">
        <x:f>'Control'!C37</x:f>
        <x:v>600</x:v>
      </x:c>
      <x:c r="D6" t="n">
        <x:f>'Control'!D37</x:f>
        <x:v>600</x:v>
      </x:c>
      <x:c r="E6" t="n">
        <x:f>'Control'!E37</x:f>
        <x:v>600</x:v>
      </x:c>
      <x:c r="F6" t="n">
        <x:f>'Control'!F37</x:f>
        <x:v>600</x:v>
      </x:c>
      <x:c r="G6" t="n">
        <x:f>'Control'!G37</x:f>
        <x:v>600</x:v>
      </x:c>
      <x:c r="H6" t="n">
        <x:f>'Control'!H37</x:f>
        <x:v>600</x:v>
      </x:c>
    </x:row>
    <x:row r="7">
      <x:c r="A7" t="str">
        <x:v>CoWoS COGS</x:v>
      </x:c>
      <x:c r="B7" t="n">
        <x:f>B5*B6/1000000</x:f>
        <x:v>0.6</x:v>
      </x:c>
      <x:c r="C7" t="n">
        <x:f>C5*C6/1000000</x:f>
        <x:v>0.6</x:v>
      </x:c>
      <x:c r="D7" t="n">
        <x:f>D5*D6/1000000</x:f>
        <x:v>0.6</x:v>
      </x:c>
      <x:c r="E7" t="n">
        <x:f>E5*E6/1000000</x:f>
        <x:v>0.6</x:v>
      </x:c>
      <x:c r="F7" t="n">
        <x:f>F5*F6/1000000</x:f>
        <x:v>0.6</x:v>
      </x:c>
      <x:c r="G7" t="n">
        <x:f>G5*G6/1000000</x:f>
        <x:v>0.6</x:v>
      </x:c>
      <x:c r="H7" t="n">
        <x:f>H5*H6/1000000</x:f>
        <x:v>0.6</x:v>
      </x:c>
    </x:row>
  </x:sheetData>
  <x:mergeCells>
    <x:mergeCell ref="A1:H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Substrate Supply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Data Center GPUs</x:v>
      </x:c>
      <x:c r="B4" t="n">
        <x:f>'Control'!B11</x:f>
        <x:v>1000</x:v>
      </x:c>
      <x:c r="C4" t="n">
        <x:f>'Control'!C11</x:f>
        <x:v>1000</x:v>
      </x:c>
      <x:c r="D4" t="n">
        <x:f>'Control'!D11</x:f>
        <x:v>1000</x:v>
      </x:c>
      <x:c r="E4" t="n">
        <x:f>'Control'!E11</x:f>
        <x:v>1000</x:v>
      </x:c>
      <x:c r="F4" t="n">
        <x:f>'Control'!F11</x:f>
        <x:v>1000</x:v>
      </x:c>
      <x:c r="G4" t="n">
        <x:f>'Control'!G11</x:f>
        <x:v>1000</x:v>
      </x:c>
      <x:c r="H4" t="n">
        <x:f>'Control'!H11</x:f>
        <x:v>1000</x:v>
      </x:c>
    </x:row>
    <x:row r="5">
      <x:c r="A5" t="str">
        <x:v>Substrate Cost per GPU</x:v>
      </x:c>
      <x:c r="B5" t="n">
        <x:f>'Control'!B38</x:f>
        <x:v>900</x:v>
      </x:c>
      <x:c r="C5" t="n">
        <x:f>'Control'!C38</x:f>
        <x:v>900</x:v>
      </x:c>
      <x:c r="D5" t="n">
        <x:f>'Control'!D38</x:f>
        <x:v>900</x:v>
      </x:c>
      <x:c r="E5" t="n">
        <x:f>'Control'!E38</x:f>
        <x:v>900</x:v>
      </x:c>
      <x:c r="F5" t="n">
        <x:f>'Control'!F38</x:f>
        <x:v>900</x:v>
      </x:c>
      <x:c r="G5" t="n">
        <x:f>'Control'!G38</x:f>
        <x:v>900</x:v>
      </x:c>
      <x:c r="H5" t="n">
        <x:f>'Control'!H38</x:f>
        <x:v>900</x:v>
      </x:c>
    </x:row>
    <x:row r="6">
      <x:c r="A6" t="str">
        <x:v>Substrate COGS</x:v>
      </x:c>
      <x:c r="B6" t="n">
        <x:f>B4*B5/1000000</x:f>
        <x:v>0.9</x:v>
      </x:c>
      <x:c r="C6" t="n">
        <x:f>C4*C5/1000000</x:f>
        <x:v>0.9</x:v>
      </x:c>
      <x:c r="D6" t="n">
        <x:f>D4*D5/1000000</x:f>
        <x:v>0.9</x:v>
      </x:c>
      <x:c r="E6" t="n">
        <x:f>E4*E5/1000000</x:f>
        <x:v>0.9</x:v>
      </x:c>
      <x:c r="F6" t="n">
        <x:f>F4*F5/1000000</x:f>
        <x:v>0.9</x:v>
      </x:c>
      <x:c r="G6" t="n">
        <x:f>G4*G5/1000000</x:f>
        <x:v>0.9</x:v>
      </x:c>
      <x:c r="H6" t="n">
        <x:f>H4*H5/1000000</x:f>
        <x:v>0.9</x:v>
      </x:c>
    </x:row>
  </x:sheetData>
  <x:mergeCells>
    <x:mergeCell ref="A1:H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Board Assembly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Data Center GPUs</x:v>
      </x:c>
      <x:c r="B4" t="n">
        <x:f>'Control'!B11</x:f>
        <x:v>1000</x:v>
      </x:c>
      <x:c r="C4" t="n">
        <x:f>'Control'!C11</x:f>
        <x:v>1000</x:v>
      </x:c>
      <x:c r="D4" t="n">
        <x:f>'Control'!D11</x:f>
        <x:v>1000</x:v>
      </x:c>
      <x:c r="E4" t="n">
        <x:f>'Control'!E11</x:f>
        <x:v>1000</x:v>
      </x:c>
      <x:c r="F4" t="n">
        <x:f>'Control'!F11</x:f>
        <x:v>1000</x:v>
      </x:c>
      <x:c r="G4" t="n">
        <x:f>'Control'!G11</x:f>
        <x:v>1000</x:v>
      </x:c>
      <x:c r="H4" t="n">
        <x:f>'Control'!H11</x:f>
        <x:v>1000</x:v>
      </x:c>
    </x:row>
    <x:row r="5">
      <x:c r="A5" t="str">
        <x:v>Board Cost per GPU</x:v>
      </x:c>
      <x:c r="B5" t="n">
        <x:f>'Control'!B39</x:f>
        <x:v>650</x:v>
      </x:c>
      <x:c r="C5" t="n">
        <x:f>'Control'!C39</x:f>
        <x:v>650</x:v>
      </x:c>
      <x:c r="D5" t="n">
        <x:f>'Control'!D39</x:f>
        <x:v>650</x:v>
      </x:c>
      <x:c r="E5" t="n">
        <x:f>'Control'!E39</x:f>
        <x:v>650</x:v>
      </x:c>
      <x:c r="F5" t="n">
        <x:f>'Control'!F39</x:f>
        <x:v>650</x:v>
      </x:c>
      <x:c r="G5" t="n">
        <x:f>'Control'!G39</x:f>
        <x:v>650</x:v>
      </x:c>
      <x:c r="H5" t="n">
        <x:f>'Control'!H39</x:f>
        <x:v>650</x:v>
      </x:c>
    </x:row>
    <x:row r="6">
      <x:c r="A6" t="str">
        <x:v>Board COGS</x:v>
      </x:c>
      <x:c r="B6" t="n">
        <x:f>B4*B5/1000000</x:f>
        <x:v>0.65</x:v>
      </x:c>
      <x:c r="C6" t="n">
        <x:f>C4*C5/1000000</x:f>
        <x:v>0.65</x:v>
      </x:c>
      <x:c r="D6" t="n">
        <x:f>D4*D5/1000000</x:f>
        <x:v>0.65</x:v>
      </x:c>
      <x:c r="E6" t="n">
        <x:f>E4*E5/1000000</x:f>
        <x:v>0.65</x:v>
      </x:c>
      <x:c r="F6" t="n">
        <x:f>F4*F5/1000000</x:f>
        <x:v>0.65</x:v>
      </x:c>
      <x:c r="G6" t="n">
        <x:f>G4*G5/1000000</x:f>
        <x:v>0.65</x:v>
      </x:c>
      <x:c r="H6" t="n">
        <x:f>H4*H5/1000000</x:f>
        <x:v>0.65</x:v>
      </x:c>
    </x:row>
  </x:sheetData>
  <x:mergeCells>
    <x:mergeCell ref="A1:H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Power Cooling BOM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Data Center GPUs</x:v>
      </x:c>
      <x:c r="B4" t="n">
        <x:f>'Control'!B11</x:f>
        <x:v>1000</x:v>
      </x:c>
      <x:c r="C4" t="n">
        <x:f>'Control'!C11</x:f>
        <x:v>1000</x:v>
      </x:c>
      <x:c r="D4" t="n">
        <x:f>'Control'!D11</x:f>
        <x:v>1000</x:v>
      </x:c>
      <x:c r="E4" t="n">
        <x:f>'Control'!E11</x:f>
        <x:v>1000</x:v>
      </x:c>
      <x:c r="F4" t="n">
        <x:f>'Control'!F11</x:f>
        <x:v>1000</x:v>
      </x:c>
      <x:c r="G4" t="n">
        <x:f>'Control'!G11</x:f>
        <x:v>1000</x:v>
      </x:c>
      <x:c r="H4" t="n">
        <x:f>'Control'!H11</x:f>
        <x:v>1000</x:v>
      </x:c>
    </x:row>
    <x:row r="5">
      <x:c r="A5" t="str">
        <x:v>Cooling and Power per GPU</x:v>
      </x:c>
      <x:c r="B5" t="n">
        <x:f>'Control'!B40</x:f>
        <x:v>2500</x:v>
      </x:c>
      <x:c r="C5" t="n">
        <x:f>'Control'!C40</x:f>
        <x:v>2500</x:v>
      </x:c>
      <x:c r="D5" t="n">
        <x:f>'Control'!D40</x:f>
        <x:v>2500</x:v>
      </x:c>
      <x:c r="E5" t="n">
        <x:f>'Control'!E40</x:f>
        <x:v>2500</x:v>
      </x:c>
      <x:c r="F5" t="n">
        <x:f>'Control'!F40</x:f>
        <x:v>2500</x:v>
      </x:c>
      <x:c r="G5" t="n">
        <x:f>'Control'!G40</x:f>
        <x:v>2500</x:v>
      </x:c>
      <x:c r="H5" t="n">
        <x:f>'Control'!H40</x:f>
        <x:v>2500</x:v>
      </x:c>
    </x:row>
    <x:row r="6">
      <x:c r="A6" t="str">
        <x:v>Cooling and Power COGS</x:v>
      </x:c>
      <x:c r="B6" t="n">
        <x:f>B4*B5/1000000</x:f>
        <x:v>2.5</x:v>
      </x:c>
      <x:c r="C6" t="n">
        <x:f>C4*C5/1000000</x:f>
        <x:v>2.5</x:v>
      </x:c>
      <x:c r="D6" t="n">
        <x:f>D4*D5/1000000</x:f>
        <x:v>2.5</x:v>
      </x:c>
      <x:c r="E6" t="n">
        <x:f>E4*E5/1000000</x:f>
        <x:v>2.5</x:v>
      </x:c>
      <x:c r="F6" t="n">
        <x:f>F4*F5/1000000</x:f>
        <x:v>2.5</x:v>
      </x:c>
      <x:c r="G6" t="n">
        <x:f>G4*G5/1000000</x:f>
        <x:v>2.5</x:v>
      </x:c>
      <x:c r="H6" t="n">
        <x:f>H4*H5/1000000</x:f>
        <x:v>2.5</x:v>
      </x:c>
    </x:row>
  </x:sheetData>
  <x:mergeCells>
    <x:mergeCell ref="A1:H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Data Center COGS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Units</x:v>
      </x:c>
      <x:c r="B4" t="n">
        <x:f>'Control'!B11</x:f>
        <x:v>1000</x:v>
      </x:c>
      <x:c r="C4" t="n">
        <x:f>'Control'!C11</x:f>
        <x:v>1000</x:v>
      </x:c>
      <x:c r="D4" t="n">
        <x:f>'Control'!D11</x:f>
        <x:v>1000</x:v>
      </x:c>
      <x:c r="E4" t="n">
        <x:f>'Control'!E11</x:f>
        <x:v>1000</x:v>
      </x:c>
      <x:c r="F4" t="n">
        <x:f>'Control'!F11</x:f>
        <x:v>1000</x:v>
      </x:c>
      <x:c r="G4" t="n">
        <x:f>'Control'!G11</x:f>
        <x:v>1000</x:v>
      </x:c>
      <x:c r="H4" t="n">
        <x:f>'Control'!H11</x:f>
        <x:v>1000</x:v>
      </x:c>
    </x:row>
    <x:row r="5">
      <x:c r="A5" t="str">
        <x:v>Wafer per GPU</x:v>
      </x:c>
      <x:c r="B5" t="n">
        <x:f>30000/'Control'!B34</x:f>
        <x:v>0.046153846153846156</x:v>
      </x:c>
      <x:c r="C5" t="n">
        <x:f>30000/'Control'!C34</x:f>
        <x:v>0.046153846153846156</x:v>
      </x:c>
      <x:c r="D5" t="n">
        <x:f>30000/'Control'!D34</x:f>
        <x:v>0.046153846153846156</x:v>
      </x:c>
      <x:c r="E5" t="n">
        <x:f>30000/'Control'!E34</x:f>
        <x:v>0.046153846153846156</x:v>
      </x:c>
      <x:c r="F5" t="n">
        <x:f>30000/'Control'!F34</x:f>
        <x:v>0.046153846153846156</x:v>
      </x:c>
      <x:c r="G5" t="n">
        <x:f>30000/'Control'!G34</x:f>
        <x:v>0.046153846153846156</x:v>
      </x:c>
      <x:c r="H5" t="n">
        <x:f>30000/'Control'!H34</x:f>
        <x:v>0.046153846153846156</x:v>
      </x:c>
    </x:row>
    <x:row r="6">
      <x:c r="A6" t="str">
        <x:v>HBM per GPU</x:v>
      </x:c>
      <x:c r="B6" t="n">
        <x:f>'Control'!B35*'Control'!B36</x:f>
        <x:v>440</x:v>
      </x:c>
      <x:c r="C6" t="n">
        <x:f>'Control'!C35*'Control'!C36</x:f>
        <x:v>440</x:v>
      </x:c>
      <x:c r="D6" t="n">
        <x:f>'Control'!D35*'Control'!D36</x:f>
        <x:v>440</x:v>
      </x:c>
      <x:c r="E6" t="n">
        <x:f>'Control'!E35*'Control'!E36</x:f>
        <x:v>440</x:v>
      </x:c>
      <x:c r="F6" t="n">
        <x:f>'Control'!F35*'Control'!F36</x:f>
        <x:v>440</x:v>
      </x:c>
      <x:c r="G6" t="n">
        <x:f>'Control'!G35*'Control'!G36</x:f>
        <x:v>440</x:v>
      </x:c>
      <x:c r="H6" t="n">
        <x:f>'Control'!H35*'Control'!H36</x:f>
        <x:v>440</x:v>
      </x:c>
    </x:row>
    <x:row r="7">
      <x:c r="A7" t="str">
        <x:v>CoWoS per GPU</x:v>
      </x:c>
      <x:c r="B7" t="n">
        <x:f>'Control'!B37</x:f>
        <x:v>600</x:v>
      </x:c>
      <x:c r="C7" t="n">
        <x:f>'Control'!C37</x:f>
        <x:v>600</x:v>
      </x:c>
      <x:c r="D7" t="n">
        <x:f>'Control'!D37</x:f>
        <x:v>600</x:v>
      </x:c>
      <x:c r="E7" t="n">
        <x:f>'Control'!E37</x:f>
        <x:v>600</x:v>
      </x:c>
      <x:c r="F7" t="n">
        <x:f>'Control'!F37</x:f>
        <x:v>600</x:v>
      </x:c>
      <x:c r="G7" t="n">
        <x:f>'Control'!G37</x:f>
        <x:v>600</x:v>
      </x:c>
      <x:c r="H7" t="n">
        <x:f>'Control'!H37</x:f>
        <x:v>600</x:v>
      </x:c>
    </x:row>
    <x:row r="8">
      <x:c r="A8" t="str">
        <x:v>Substrate per GPU</x:v>
      </x:c>
      <x:c r="B8" t="n">
        <x:f>'Control'!B38</x:f>
        <x:v>900</x:v>
      </x:c>
      <x:c r="C8" t="n">
        <x:f>'Control'!C38</x:f>
        <x:v>900</x:v>
      </x:c>
      <x:c r="D8" t="n">
        <x:f>'Control'!D38</x:f>
        <x:v>900</x:v>
      </x:c>
      <x:c r="E8" t="n">
        <x:f>'Control'!E38</x:f>
        <x:v>900</x:v>
      </x:c>
      <x:c r="F8" t="n">
        <x:f>'Control'!F38</x:f>
        <x:v>900</x:v>
      </x:c>
      <x:c r="G8" t="n">
        <x:f>'Control'!G38</x:f>
        <x:v>900</x:v>
      </x:c>
      <x:c r="H8" t="n">
        <x:f>'Control'!H38</x:f>
        <x:v>900</x:v>
      </x:c>
    </x:row>
    <x:row r="9">
      <x:c r="A9" t="str">
        <x:v>Board per GPU</x:v>
      </x:c>
      <x:c r="B9" t="n">
        <x:f>'Control'!B39</x:f>
        <x:v>650</x:v>
      </x:c>
      <x:c r="C9" t="n">
        <x:f>'Control'!C39</x:f>
        <x:v>650</x:v>
      </x:c>
      <x:c r="D9" t="n">
        <x:f>'Control'!D39</x:f>
        <x:v>650</x:v>
      </x:c>
      <x:c r="E9" t="n">
        <x:f>'Control'!E39</x:f>
        <x:v>650</x:v>
      </x:c>
      <x:c r="F9" t="n">
        <x:f>'Control'!F39</x:f>
        <x:v>650</x:v>
      </x:c>
      <x:c r="G9" t="n">
        <x:f>'Control'!G39</x:f>
        <x:v>650</x:v>
      </x:c>
      <x:c r="H9" t="n">
        <x:f>'Control'!H39</x:f>
        <x:v>650</x:v>
      </x:c>
    </x:row>
    <x:row r="10">
      <x:c r="A10" t="str">
        <x:v>Cooling and Power per GPU</x:v>
      </x:c>
      <x:c r="B10" t="n">
        <x:f>'Control'!B40</x:f>
        <x:v>2500</x:v>
      </x:c>
      <x:c r="C10" t="n">
        <x:f>'Control'!C40</x:f>
        <x:v>2500</x:v>
      </x:c>
      <x:c r="D10" t="n">
        <x:f>'Control'!D40</x:f>
        <x:v>2500</x:v>
      </x:c>
      <x:c r="E10" t="n">
        <x:f>'Control'!E40</x:f>
        <x:v>2500</x:v>
      </x:c>
      <x:c r="F10" t="n">
        <x:f>'Control'!F40</x:f>
        <x:v>2500</x:v>
      </x:c>
      <x:c r="G10" t="n">
        <x:f>'Control'!G40</x:f>
        <x:v>2500</x:v>
      </x:c>
      <x:c r="H10" t="n">
        <x:f>'Control'!H40</x:f>
        <x:v>2500</x:v>
      </x:c>
    </x:row>
    <x:row r="11">
      <x:c r="A11" t="str">
        <x:v>Other COGS per GPU</x:v>
      </x:c>
      <x:c r="B11" t="n">
        <x:f>B5*10%</x:f>
        <x:v>0.004615384615384616</x:v>
      </x:c>
      <x:c r="C11" t="n">
        <x:f>C5*10%</x:f>
        <x:v>0.004615384615384616</x:v>
      </x:c>
      <x:c r="D11" t="n">
        <x:f>D5*10%</x:f>
        <x:v>0.004615384615384616</x:v>
      </x:c>
      <x:c r="E11" t="n">
        <x:f>E5*10%</x:f>
        <x:v>0.004615384615384616</x:v>
      </x:c>
      <x:c r="F11" t="n">
        <x:f>F5*10%</x:f>
        <x:v>0.004615384615384616</x:v>
      </x:c>
      <x:c r="G11" t="n">
        <x:f>G5*10%</x:f>
        <x:v>0.004615384615384616</x:v>
      </x:c>
      <x:c r="H11" t="n">
        <x:f>H5*10%</x:f>
        <x:v>0.004615384615384616</x:v>
      </x:c>
    </x:row>
    <x:row r="12">
      <x:c r="A12" t="str">
        <x:v>Total COGS per GPU</x:v>
      </x:c>
      <x:c r="B12" t="n">
        <x:f>SUM(B5:B11)</x:f>
        <x:v>5090.050769230769</x:v>
      </x:c>
      <x:c r="C12" t="n">
        <x:f>SUM(C5:C11)</x:f>
        <x:v>5090.050769230769</x:v>
      </x:c>
      <x:c r="D12" t="n">
        <x:f>SUM(D5:D11)</x:f>
        <x:v>5090.050769230769</x:v>
      </x:c>
      <x:c r="E12" t="n">
        <x:f>SUM(E5:E11)</x:f>
        <x:v>5090.050769230769</x:v>
      </x:c>
      <x:c r="F12" t="n">
        <x:f>SUM(F5:F11)</x:f>
        <x:v>5090.050769230769</x:v>
      </x:c>
      <x:c r="G12" t="n">
        <x:f>SUM(G5:G11)</x:f>
        <x:v>5090.050769230769</x:v>
      </x:c>
      <x:c r="H12" t="n">
        <x:f>SUM(H5:H11)</x:f>
        <x:v>5090.050769230769</x:v>
      </x:c>
    </x:row>
    <x:row r="13">
      <x:c r="A13" t="str">
        <x:v>Total COGS</x:v>
      </x:c>
      <x:c r="B13" t="n">
        <x:f>B4*B12/1000000</x:f>
        <x:v>5.090050769230769</x:v>
      </x:c>
      <x:c r="C13" t="n">
        <x:f>C4*C12/1000000</x:f>
        <x:v>5.090050769230769</x:v>
      </x:c>
      <x:c r="D13" t="n">
        <x:f>D4*D12/1000000</x:f>
        <x:v>5.090050769230769</x:v>
      </x:c>
      <x:c r="E13" t="n">
        <x:f>E4*E12/1000000</x:f>
        <x:v>5.090050769230769</x:v>
      </x:c>
      <x:c r="F13" t="n">
        <x:f>F4*F12/1000000</x:f>
        <x:v>5.090050769230769</x:v>
      </x:c>
      <x:c r="G13" t="n">
        <x:f>G4*G12/1000000</x:f>
        <x:v>5.090050769230769</x:v>
      </x:c>
      <x:c r="H13" t="n">
        <x:f>H4*H12/1000000</x:f>
        <x:v>5.090050769230769</x:v>
      </x:c>
    </x:row>
  </x:sheetData>
  <x:mergeCells>
    <x:mergeCell ref="A1:H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Gaming COGS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Revenue</x:v>
      </x:c>
      <x:c r="B4" t="n">
        <x:f>'Gaming Revenue'!B6</x:f>
        <x:v>15750</x:v>
      </x:c>
      <x:c r="C4" t="n">
        <x:f>'Gaming Revenue'!C6</x:f>
        <x:v>15750</x:v>
      </x:c>
      <x:c r="D4" t="n">
        <x:f>'Gaming Revenue'!D6</x:f>
        <x:v>15750</x:v>
      </x:c>
      <x:c r="E4" t="n">
        <x:f>'Gaming Revenue'!E6</x:f>
        <x:v>15750</x:v>
      </x:c>
      <x:c r="F4" t="n">
        <x:f>'Gaming Revenue'!F6</x:f>
        <x:v>15750</x:v>
      </x:c>
      <x:c r="G4" t="n">
        <x:f>'Gaming Revenue'!G6</x:f>
        <x:v>15750</x:v>
      </x:c>
      <x:c r="H4" t="n">
        <x:f>'Gaming Revenue'!H6</x:f>
        <x:v>15750</x:v>
      </x:c>
    </x:row>
    <x:row r="5">
      <x:c r="A5" t="str">
        <x:v>COGS % Revenue</x:v>
      </x:c>
      <x:c r="B5" t="n">
        <x:f>'Control'!B43</x:f>
        <x:v>0.5</x:v>
      </x:c>
      <x:c r="C5" t="n">
        <x:f>'Control'!C43</x:f>
        <x:v>0.5</x:v>
      </x:c>
      <x:c r="D5" t="n">
        <x:f>'Control'!D43</x:f>
        <x:v>0.5</x:v>
      </x:c>
      <x:c r="E5" t="n">
        <x:f>'Control'!E43</x:f>
        <x:v>0.5</x:v>
      </x:c>
      <x:c r="F5" t="n">
        <x:f>'Control'!F43</x:f>
        <x:v>0.5</x:v>
      </x:c>
      <x:c r="G5" t="n">
        <x:f>'Control'!G43</x:f>
        <x:v>0.5</x:v>
      </x:c>
      <x:c r="H5" t="n">
        <x:f>'Control'!H43</x:f>
        <x:v>0.5</x:v>
      </x:c>
    </x:row>
    <x:row r="6">
      <x:c r="A6" t="str">
        <x:v>COGS</x:v>
      </x:c>
      <x:c r="B6" t="n">
        <x:f>B4*B5</x:f>
        <x:v>7875</x:v>
      </x:c>
      <x:c r="C6" t="n">
        <x:f>C4*C5</x:f>
        <x:v>7875</x:v>
      </x:c>
      <x:c r="D6" t="n">
        <x:f>D4*D5</x:f>
        <x:v>7875</x:v>
      </x:c>
      <x:c r="E6" t="n">
        <x:f>E4*E5</x:f>
        <x:v>7875</x:v>
      </x:c>
      <x:c r="F6" t="n">
        <x:f>F4*F5</x:f>
        <x:v>7875</x:v>
      </x:c>
      <x:c r="G6" t="n">
        <x:f>G4*G5</x:f>
        <x:v>7875</x:v>
      </x:c>
      <x:c r="H6" t="n">
        <x:f>H4*H5</x:f>
        <x:v>7875</x:v>
      </x:c>
    </x:row>
  </x:sheetData>
  <x:mergeCells>
    <x:mergeCell ref="A1:H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Networking COGS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Revenue</x:v>
      </x:c>
      <x:c r="B4" t="n">
        <x:f>'Networking Revenue'!B6</x:f>
        <x:v>3750</x:v>
      </x:c>
      <x:c r="C4" t="n">
        <x:f>'Networking Revenue'!C6</x:f>
        <x:v>3750</x:v>
      </x:c>
      <x:c r="D4" t="n">
        <x:f>'Networking Revenue'!D6</x:f>
        <x:v>3750</x:v>
      </x:c>
      <x:c r="E4" t="n">
        <x:f>'Networking Revenue'!E6</x:f>
        <x:v>3750</x:v>
      </x:c>
      <x:c r="F4" t="n">
        <x:f>'Networking Revenue'!F6</x:f>
        <x:v>3750</x:v>
      </x:c>
      <x:c r="G4" t="n">
        <x:f>'Networking Revenue'!G6</x:f>
        <x:v>3750</x:v>
      </x:c>
      <x:c r="H4" t="n">
        <x:f>'Networking Revenue'!H6</x:f>
        <x:v>3750</x:v>
      </x:c>
    </x:row>
    <x:row r="5">
      <x:c r="A5" t="str">
        <x:v>COGS % Revenue</x:v>
      </x:c>
      <x:c r="B5" t="n">
        <x:f>'Control'!B42</x:f>
        <x:v>0.38</x:v>
      </x:c>
      <x:c r="C5" t="n">
        <x:f>'Control'!C42</x:f>
        <x:v>0.38</x:v>
      </x:c>
      <x:c r="D5" t="n">
        <x:f>'Control'!D42</x:f>
        <x:v>0.38</x:v>
      </x:c>
      <x:c r="E5" t="n">
        <x:f>'Control'!E42</x:f>
        <x:v>0.38</x:v>
      </x:c>
      <x:c r="F5" t="n">
        <x:f>'Control'!F42</x:f>
        <x:v>0.38</x:v>
      </x:c>
      <x:c r="G5" t="n">
        <x:f>'Control'!G42</x:f>
        <x:v>0.38</x:v>
      </x:c>
      <x:c r="H5" t="n">
        <x:f>'Control'!H42</x:f>
        <x:v>0.38</x:v>
      </x:c>
    </x:row>
    <x:row r="6">
      <x:c r="A6" t="str">
        <x:v>COGS</x:v>
      </x:c>
      <x:c r="B6" t="n">
        <x:f>B4*B5</x:f>
        <x:v>1425</x:v>
      </x:c>
      <x:c r="C6" t="n">
        <x:f>C4*C5</x:f>
        <x:v>1425</x:v>
      </x:c>
      <x:c r="D6" t="n">
        <x:f>D4*D5</x:f>
        <x:v>1425</x:v>
      </x:c>
      <x:c r="E6" t="n">
        <x:f>E4*E5</x:f>
        <x:v>1425</x:v>
      </x:c>
      <x:c r="F6" t="n">
        <x:f>F4*F5</x:f>
        <x:v>1425</x:v>
      </x:c>
      <x:c r="G6" t="n">
        <x:f>G4*G5</x:f>
        <x:v>1425</x:v>
      </x:c>
      <x:c r="H6" t="n">
        <x:f>H4*H5</x:f>
        <x:v>1425</x:v>
      </x:c>
    </x:row>
  </x:sheetData>
  <x:mergeCells>
    <x:mergeCell ref="A1:H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Total COGS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Data Center COGS</x:v>
      </x:c>
      <x:c r="B4" t="n">
        <x:f>'Data Center COGS'!B13 + 'GB200 NVL72'!B7*'GB200 NVL72'!B4/1000000 + 'DGX'!B7*'DGX'!B4/1000000</x:f>
        <x:v>1265.0900507692309</x:v>
      </x:c>
      <x:c r="C4" t="n">
        <x:f>'Data Center COGS'!C13 + 'GB200 NVL72'!C7*'GB200 NVL72'!C4/1000000 + 'DGX'!C7*'DGX'!C4/1000000</x:f>
        <x:v>1265.0900507692309</x:v>
      </x:c>
      <x:c r="D4" t="n">
        <x:f>'Data Center COGS'!D13 + 'GB200 NVL72'!D7*'GB200 NVL72'!D4/1000000 + 'DGX'!D7*'DGX'!D4/1000000</x:f>
        <x:v>1265.0900507692309</x:v>
      </x:c>
      <x:c r="E4" t="n">
        <x:f>'Data Center COGS'!E13 + 'GB200 NVL72'!E7*'GB200 NVL72'!E4/1000000 + 'DGX'!E7*'DGX'!E4/1000000</x:f>
        <x:v>1265.0900507692309</x:v>
      </x:c>
      <x:c r="F4" t="n">
        <x:f>'Data Center COGS'!F13 + 'GB200 NVL72'!F7*'GB200 NVL72'!F4/1000000 + 'DGX'!F7*'DGX'!F4/1000000</x:f>
        <x:v>1265.0900507692309</x:v>
      </x:c>
      <x:c r="G4" t="n">
        <x:f>'Data Center COGS'!G13 + 'GB200 NVL72'!G7*'GB200 NVL72'!G4/1000000 + 'DGX'!G7*'DGX'!G4/1000000</x:f>
        <x:v>1265.0900507692309</x:v>
      </x:c>
      <x:c r="H4" t="n">
        <x:f>'Data Center COGS'!H13 + 'GB200 NVL72'!H7*'GB200 NVL72'!H4/1000000 + 'DGX'!H7*'DGX'!H4/1000000</x:f>
        <x:v>1265.0900507692309</x:v>
      </x:c>
    </x:row>
    <x:row r="5">
      <x:c r="A5" t="str">
        <x:v>Gaming COGS</x:v>
      </x:c>
      <x:c r="B5" t="n">
        <x:f>'Gaming COGS'!B6</x:f>
        <x:v>7875</x:v>
      </x:c>
      <x:c r="C5" t="n">
        <x:f>'Gaming COGS'!C6</x:f>
        <x:v>7875</x:v>
      </x:c>
      <x:c r="D5" t="n">
        <x:f>'Gaming COGS'!D6</x:f>
        <x:v>7875</x:v>
      </x:c>
      <x:c r="E5" t="n">
        <x:f>'Gaming COGS'!E6</x:f>
        <x:v>7875</x:v>
      </x:c>
      <x:c r="F5" t="n">
        <x:f>'Gaming COGS'!F6</x:f>
        <x:v>7875</x:v>
      </x:c>
      <x:c r="G5" t="n">
        <x:f>'Gaming COGS'!G6</x:f>
        <x:v>7875</x:v>
      </x:c>
      <x:c r="H5" t="n">
        <x:f>'Gaming COGS'!H6</x:f>
        <x:v>7875</x:v>
      </x:c>
    </x:row>
    <x:row r="6">
      <x:c r="A6" t="str">
        <x:v>Networking COGS</x:v>
      </x:c>
      <x:c r="B6" t="n">
        <x:f>'Networking COGS'!B6</x:f>
        <x:v>1425</x:v>
      </x:c>
      <x:c r="C6" t="n">
        <x:f>'Networking COGS'!C6</x:f>
        <x:v>1425</x:v>
      </x:c>
      <x:c r="D6" t="n">
        <x:f>'Networking COGS'!D6</x:f>
        <x:v>1425</x:v>
      </x:c>
      <x:c r="E6" t="n">
        <x:f>'Networking COGS'!E6</x:f>
        <x:v>1425</x:v>
      </x:c>
      <x:c r="F6" t="n">
        <x:f>'Networking COGS'!F6</x:f>
        <x:v>1425</x:v>
      </x:c>
      <x:c r="G6" t="n">
        <x:f>'Networking COGS'!G6</x:f>
        <x:v>1425</x:v>
      </x:c>
      <x:c r="H6" t="n">
        <x:f>'Networking COGS'!H6</x:f>
        <x:v>1425</x:v>
      </x:c>
    </x:row>
    <x:row r="7">
      <x:c r="A7" t="str">
        <x:v>Software COGS</x:v>
      </x:c>
      <x:c r="B7" t="n">
        <x:f>'Software Revenue'!B7</x:f>
        <x:v>108</x:v>
      </x:c>
      <x:c r="C7" t="n">
        <x:f>'Software Revenue'!C7</x:f>
        <x:v>108</x:v>
      </x:c>
      <x:c r="D7" t="n">
        <x:f>'Software Revenue'!D7</x:f>
        <x:v>108</x:v>
      </x:c>
      <x:c r="E7" t="n">
        <x:f>'Software Revenue'!E7</x:f>
        <x:v>108</x:v>
      </x:c>
      <x:c r="F7" t="n">
        <x:f>'Software Revenue'!F7</x:f>
        <x:v>108</x:v>
      </x:c>
      <x:c r="G7" t="n">
        <x:f>'Software Revenue'!G7</x:f>
        <x:v>108</x:v>
      </x:c>
      <x:c r="H7" t="n">
        <x:f>'Software Revenue'!H7</x:f>
        <x:v>108</x:v>
      </x:c>
    </x:row>
    <x:row r="8">
      <x:c r="A8" t="str">
        <x:v>Cloud COGS</x:v>
      </x:c>
      <x:c r="B8" t="n">
        <x:f>'Cloud Services'!B5</x:f>
        <x:v>350</x:v>
      </x:c>
      <x:c r="C8" t="n">
        <x:f>'Cloud Services'!C5</x:f>
        <x:v>350</x:v>
      </x:c>
      <x:c r="D8" t="n">
        <x:f>'Cloud Services'!D5</x:f>
        <x:v>350</x:v>
      </x:c>
      <x:c r="E8" t="n">
        <x:f>'Cloud Services'!E5</x:f>
        <x:v>350</x:v>
      </x:c>
      <x:c r="F8" t="n">
        <x:f>'Cloud Services'!F5</x:f>
        <x:v>350</x:v>
      </x:c>
      <x:c r="G8" t="n">
        <x:f>'Cloud Services'!G5</x:f>
        <x:v>350</x:v>
      </x:c>
      <x:c r="H8" t="n">
        <x:f>'Cloud Services'!H5</x:f>
        <x:v>350</x:v>
      </x:c>
    </x:row>
    <x:row r="9">
      <x:c r="A9" t="str">
        <x:v>Auto and OEM COGS</x:v>
      </x:c>
      <x:c r="B9" t="n">
        <x:f>'Automotive'!B5+'OEM and Other'!B5</x:f>
        <x:v>4000</x:v>
      </x:c>
      <x:c r="C9" t="n">
        <x:f>'Automotive'!C5+'OEM and Other'!C5</x:f>
        <x:v>4000</x:v>
      </x:c>
      <x:c r="D9" t="n">
        <x:f>'Automotive'!D5+'OEM and Other'!D5</x:f>
        <x:v>4000</x:v>
      </x:c>
      <x:c r="E9" t="n">
        <x:f>'Automotive'!E5+'OEM and Other'!E5</x:f>
        <x:v>4000</x:v>
      </x:c>
      <x:c r="F9" t="n">
        <x:f>'Automotive'!F5+'OEM and Other'!F5</x:f>
        <x:v>4000</x:v>
      </x:c>
      <x:c r="G9" t="n">
        <x:f>'Automotive'!G5+'OEM and Other'!G5</x:f>
        <x:v>4000</x:v>
      </x:c>
      <x:c r="H9" t="n">
        <x:f>'Automotive'!H5+'OEM and Other'!H5</x:f>
        <x:v>4000</x:v>
      </x:c>
    </x:row>
    <x:row r="10">
      <x:c r="A10" t="str">
        <x:v>Total COGS</x:v>
      </x:c>
      <x:c r="B10" t="n">
        <x:f>SUM(B4:B9)</x:f>
        <x:v>15023.090050769231</x:v>
      </x:c>
      <x:c r="C10" t="n">
        <x:f>SUM(C4:C9)</x:f>
        <x:v>15023.090050769231</x:v>
      </x:c>
      <x:c r="D10" t="n">
        <x:f>SUM(D4:D9)</x:f>
        <x:v>15023.090050769231</x:v>
      </x:c>
      <x:c r="E10" t="n">
        <x:f>SUM(E4:E9)</x:f>
        <x:v>15023.090050769231</x:v>
      </x:c>
      <x:c r="F10" t="n">
        <x:f>SUM(F4:F9)</x:f>
        <x:v>15023.090050769231</x:v>
      </x:c>
      <x:c r="G10" t="n">
        <x:f>SUM(G4:G9)</x:f>
        <x:v>15023.090050769231</x:v>
      </x:c>
      <x:c r="H10" t="n">
        <x:f>SUM(H4:H9)</x:f>
        <x:v>15023.090050769231</x:v>
      </x:c>
    </x:row>
    <x:row r="11">
      <x:c r="A11" t="str">
        <x:v>Gross Profit</x:v>
      </x:c>
      <x:c r="B11" t="n">
        <x:f>'Total Revenue'!B11-B10</x:f>
        <x:v>9015.659949230769</x:v>
      </x:c>
      <x:c r="C11" t="n">
        <x:f>'Total Revenue'!C11-C10</x:f>
        <x:v>9015.659949230769</x:v>
      </x:c>
      <x:c r="D11" t="n">
        <x:f>'Total Revenue'!D11-D10</x:f>
        <x:v>9015.659949230769</x:v>
      </x:c>
      <x:c r="E11" t="n">
        <x:f>'Total Revenue'!E11-E10</x:f>
        <x:v>9015.659949230769</x:v>
      </x:c>
      <x:c r="F11" t="n">
        <x:f>'Total Revenue'!F11-F10</x:f>
        <x:v>9015.659949230769</x:v>
      </x:c>
      <x:c r="G11" t="n">
        <x:f>'Total Revenue'!G11-G10</x:f>
        <x:v>9015.659949230769</x:v>
      </x:c>
      <x:c r="H11" t="n">
        <x:f>'Total Revenue'!H11-H10</x:f>
        <x:v>9015.659949230769</x:v>
      </x:c>
    </x:row>
    <x:row r="12">
      <x:c r="A12" t="str">
        <x:v>Gross Margin</x:v>
      </x:c>
      <x:c r="B12" s="40" t="n">
        <x:f>B11/'Total Revenue'!B11</x:f>
        <x:v>0.37504695332456006</x:v>
      </x:c>
      <x:c r="C12" s="40" t="n">
        <x:f>C11/'Total Revenue'!C11</x:f>
        <x:v>0.37504695332456006</x:v>
      </x:c>
      <x:c r="D12" s="40" t="n">
        <x:f>D11/'Total Revenue'!D11</x:f>
        <x:v>0.37504695332456006</x:v>
      </x:c>
      <x:c r="E12" s="40" t="n">
        <x:f>E11/'Total Revenue'!E11</x:f>
        <x:v>0.37504695332456006</x:v>
      </x:c>
      <x:c r="F12" s="40" t="n">
        <x:f>F11/'Total Revenue'!F11</x:f>
        <x:v>0.37504695332456006</x:v>
      </x:c>
      <x:c r="G12" s="40" t="n">
        <x:f>G11/'Total Revenue'!G11</x:f>
        <x:v>0.37504695332456006</x:v>
      </x:c>
      <x:c r="H12" s="40" t="n">
        <x:f>H11/'Total Revenue'!H11</x:f>
        <x:v>0.37504695332456006</x:v>
      </x:c>
    </x:row>
  </x:sheetData>
  <x:mergeCells>
    <x:mergeCell ref="A1:H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Headcount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Architecture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</x:row>
    <x:row r="5">
      <x:c r="A5" t="str">
        <x:v>GPU Design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</x:row>
    <x:row r="6">
      <x:c r="A6" t="str">
        <x:v>Networking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</x:row>
    <x:row r="7">
      <x:c r="A7" t="str">
        <x:v>Software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</x:row>
    <x:row r="8">
      <x:c r="A8" t="str">
        <x:v>CUDA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</x:row>
    <x:row r="9">
      <x:c r="A9" t="str">
        <x:v>Sales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</x:row>
    <x:row r="10">
      <x:c r="A10" t="str">
        <x:v>G&amp;A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</x:row>
    <x:row r="11">
      <x:c r="A11" t="str">
        <x:v>Total Headcount</x:v>
      </x:c>
      <x:c r="B11" t="n">
        <x:f>SUM(B4:B10)</x:f>
        <x:v>0</x:v>
      </x:c>
      <x:c r="C11" t="n">
        <x:f>SUM(C4:C10)</x:f>
        <x:v>0</x:v>
      </x:c>
      <x:c r="D11" t="n">
        <x:f>SUM(D4:D10)</x:f>
        <x:v>0</x:v>
      </x:c>
      <x:c r="E11" t="n">
        <x:f>SUM(E4:E10)</x:f>
        <x:v>0</x:v>
      </x:c>
      <x:c r="F11" t="n">
        <x:f>SUM(F4:F10)</x:f>
        <x:v>0</x:v>
      </x:c>
      <x:c r="G11" t="n">
        <x:f>SUM(G4:G10)</x:f>
        <x:v>0</x:v>
      </x:c>
      <x:c r="H11" t="n">
        <x:f>SUM(H4:H10)</x:f>
        <x:v>0</x:v>
      </x:c>
    </x:row>
    <x:row r="12">
      <x:c r="A12" t="str">
        <x:v>Revenue per Employee</x:v>
      </x:c>
      <x:c r="B12" t="n">
        <x:f>IFERROR('Total Revenue'!B11/B11,0)</x:f>
        <x:v>0</x:v>
      </x:c>
      <x:c r="C12" t="n">
        <x:f>IFERROR('Total Revenue'!C11/C11,0)</x:f>
        <x:v>0</x:v>
      </x:c>
      <x:c r="D12" t="n">
        <x:f>IFERROR('Total Revenue'!D11/D11,0)</x:f>
        <x:v>0</x:v>
      </x:c>
      <x:c r="E12" t="n">
        <x:f>IFERROR('Total Revenue'!E11/E11,0)</x:f>
        <x:v>0</x:v>
      </x:c>
      <x:c r="F12" t="n">
        <x:f>IFERROR('Total Revenue'!F11/F11,0)</x:f>
        <x:v>0</x:v>
      </x:c>
      <x:c r="G12" t="n">
        <x:f>IFERROR('Total Revenue'!G11/G11,0)</x:f>
        <x:v>0</x:v>
      </x:c>
      <x:c r="H12" t="n">
        <x:f>IFERROR('Total Revenue'!H11/H11,0)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R&amp;D Programs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Blackwell</x:v>
      </x:c>
      <x:c r="B4" t="n">
        <x:f>'Total Revenue'!B11*'Control'!B48*0.25</x:f>
        <x:v>841.35625</x:v>
      </x:c>
      <x:c r="C4" t="n">
        <x:f>'Total Revenue'!C11*'Control'!C48*0.25</x:f>
        <x:v>841.35625</x:v>
      </x:c>
      <x:c r="D4" t="n">
        <x:f>'Total Revenue'!D11*'Control'!D48*0.25</x:f>
        <x:v>841.35625</x:v>
      </x:c>
      <x:c r="E4" t="n">
        <x:f>'Total Revenue'!E11*'Control'!E48*0.25</x:f>
        <x:v>841.35625</x:v>
      </x:c>
      <x:c r="F4" t="n">
        <x:f>'Total Revenue'!F11*'Control'!F48*0.25</x:f>
        <x:v>841.35625</x:v>
      </x:c>
      <x:c r="G4" t="n">
        <x:f>'Total Revenue'!G11*'Control'!G48*0.25</x:f>
        <x:v>841.35625</x:v>
      </x:c>
      <x:c r="H4" t="n">
        <x:f>'Total Revenue'!H11*'Control'!H48*0.25</x:f>
        <x:v>841.35625</x:v>
      </x:c>
    </x:row>
    <x:row r="5">
      <x:c r="A5" t="str">
        <x:v>Rubin</x:v>
      </x:c>
      <x:c r="B5" t="n">
        <x:f>'Total Revenue'!B11*'Control'!B48*0.2</x:f>
        <x:v>673.085</x:v>
      </x:c>
      <x:c r="C5" t="n">
        <x:f>'Total Revenue'!C11*'Control'!C48*0.2</x:f>
        <x:v>673.085</x:v>
      </x:c>
      <x:c r="D5" t="n">
        <x:f>'Total Revenue'!D11*'Control'!D48*0.2</x:f>
        <x:v>673.085</x:v>
      </x:c>
      <x:c r="E5" t="n">
        <x:f>'Total Revenue'!E11*'Control'!E48*0.2</x:f>
        <x:v>673.085</x:v>
      </x:c>
      <x:c r="F5" t="n">
        <x:f>'Total Revenue'!F11*'Control'!F48*0.2</x:f>
        <x:v>673.085</x:v>
      </x:c>
      <x:c r="G5" t="n">
        <x:f>'Total Revenue'!G11*'Control'!G48*0.2</x:f>
        <x:v>673.085</x:v>
      </x:c>
      <x:c r="H5" t="n">
        <x:f>'Total Revenue'!H11*'Control'!H48*0.2</x:f>
        <x:v>673.085</x:v>
      </x:c>
    </x:row>
    <x:row r="6">
      <x:c r="A6" t="str">
        <x:v>CUDA</x:v>
      </x:c>
      <x:c r="B6" t="n">
        <x:f>'Total Revenue'!B11*'Control'!B48*0.18</x:f>
        <x:v>605.7765</x:v>
      </x:c>
      <x:c r="C6" t="n">
        <x:f>'Total Revenue'!C11*'Control'!C48*0.18</x:f>
        <x:v>605.7765</x:v>
      </x:c>
      <x:c r="D6" t="n">
        <x:f>'Total Revenue'!D11*'Control'!D48*0.18</x:f>
        <x:v>605.7765</x:v>
      </x:c>
      <x:c r="E6" t="n">
        <x:f>'Total Revenue'!E11*'Control'!E48*0.18</x:f>
        <x:v>605.7765</x:v>
      </x:c>
      <x:c r="F6" t="n">
        <x:f>'Total Revenue'!F11*'Control'!F48*0.18</x:f>
        <x:v>605.7765</x:v>
      </x:c>
      <x:c r="G6" t="n">
        <x:f>'Total Revenue'!G11*'Control'!G48*0.18</x:f>
        <x:v>605.7765</x:v>
      </x:c>
      <x:c r="H6" t="n">
        <x:f>'Total Revenue'!H11*'Control'!H48*0.18</x:f>
        <x:v>605.7765</x:v>
      </x:c>
    </x:row>
    <x:row r="7">
      <x:c r="A7" t="str">
        <x:v>Networking</x:v>
      </x:c>
      <x:c r="B7" t="n">
        <x:f>'Total Revenue'!B11*'Control'!B48*0.14</x:f>
        <x:v>471.1595000000001</x:v>
      </x:c>
      <x:c r="C7" t="n">
        <x:f>'Total Revenue'!C11*'Control'!C48*0.14</x:f>
        <x:v>471.1595000000001</x:v>
      </x:c>
      <x:c r="D7" t="n">
        <x:f>'Total Revenue'!D11*'Control'!D48*0.14</x:f>
        <x:v>471.1595000000001</x:v>
      </x:c>
      <x:c r="E7" t="n">
        <x:f>'Total Revenue'!E11*'Control'!E48*0.14</x:f>
        <x:v>471.1595000000001</x:v>
      </x:c>
      <x:c r="F7" t="n">
        <x:f>'Total Revenue'!F11*'Control'!F48*0.14</x:f>
        <x:v>471.1595000000001</x:v>
      </x:c>
      <x:c r="G7" t="n">
        <x:f>'Total Revenue'!G11*'Control'!G48*0.14</x:f>
        <x:v>471.1595000000001</x:v>
      </x:c>
      <x:c r="H7" t="n">
        <x:f>'Total Revenue'!H11*'Control'!H48*0.14</x:f>
        <x:v>471.1595000000001</x:v>
      </x:c>
    </x:row>
    <x:row r="8">
      <x:c r="A8" t="str">
        <x:v>Automotive</x:v>
      </x:c>
      <x:c r="B8" t="n">
        <x:f>'Total Revenue'!B11*'Control'!B48*0.05</x:f>
        <x:v>168.27125</x:v>
      </x:c>
      <x:c r="C8" t="n">
        <x:f>'Total Revenue'!C11*'Control'!C48*0.05</x:f>
        <x:v>168.27125</x:v>
      </x:c>
      <x:c r="D8" t="n">
        <x:f>'Total Revenue'!D11*'Control'!D48*0.05</x:f>
        <x:v>168.27125</x:v>
      </x:c>
      <x:c r="E8" t="n">
        <x:f>'Total Revenue'!E11*'Control'!E48*0.05</x:f>
        <x:v>168.27125</x:v>
      </x:c>
      <x:c r="F8" t="n">
        <x:f>'Total Revenue'!F11*'Control'!F48*0.05</x:f>
        <x:v>168.27125</x:v>
      </x:c>
      <x:c r="G8" t="n">
        <x:f>'Total Revenue'!G11*'Control'!G48*0.05</x:f>
        <x:v>168.27125</x:v>
      </x:c>
      <x:c r="H8" t="n">
        <x:f>'Total Revenue'!H11*'Control'!H48*0.05</x:f>
        <x:v>168.27125</x:v>
      </x:c>
    </x:row>
    <x:row r="9">
      <x:c r="A9" t="str">
        <x:v>Systems</x:v>
      </x:c>
      <x:c r="B9" t="n">
        <x:f>'Total Revenue'!B11*'Control'!B48*0.08</x:f>
        <x:v>269.23400000000004</x:v>
      </x:c>
      <x:c r="C9" t="n">
        <x:f>'Total Revenue'!C11*'Control'!C48*0.08</x:f>
        <x:v>269.23400000000004</x:v>
      </x:c>
      <x:c r="D9" t="n">
        <x:f>'Total Revenue'!D11*'Control'!D48*0.08</x:f>
        <x:v>269.23400000000004</x:v>
      </x:c>
      <x:c r="E9" t="n">
        <x:f>'Total Revenue'!E11*'Control'!E48*0.08</x:f>
        <x:v>269.23400000000004</x:v>
      </x:c>
      <x:c r="F9" t="n">
        <x:f>'Total Revenue'!F11*'Control'!F48*0.08</x:f>
        <x:v>269.23400000000004</x:v>
      </x:c>
      <x:c r="G9" t="n">
        <x:f>'Total Revenue'!G11*'Control'!G48*0.08</x:f>
        <x:v>269.23400000000004</x:v>
      </x:c>
      <x:c r="H9" t="n">
        <x:f>'Total Revenue'!H11*'Control'!H48*0.08</x:f>
        <x:v>269.23400000000004</x:v>
      </x:c>
    </x:row>
    <x:row r="10">
      <x:c r="A10" t="str">
        <x:v>Other R&amp;D</x:v>
      </x:c>
      <x:c r="B10" t="n">
        <x:f>'Total Revenue'!B11*'Control'!B48*0.1</x:f>
        <x:v>336.5425</x:v>
      </x:c>
      <x:c r="C10" t="n">
        <x:f>'Total Revenue'!C11*'Control'!C48*0.1</x:f>
        <x:v>336.5425</x:v>
      </x:c>
      <x:c r="D10" t="n">
        <x:f>'Total Revenue'!D11*'Control'!D48*0.1</x:f>
        <x:v>336.5425</x:v>
      </x:c>
      <x:c r="E10" t="n">
        <x:f>'Total Revenue'!E11*'Control'!E48*0.1</x:f>
        <x:v>336.5425</x:v>
      </x:c>
      <x:c r="F10" t="n">
        <x:f>'Total Revenue'!F11*'Control'!F48*0.1</x:f>
        <x:v>336.5425</x:v>
      </x:c>
      <x:c r="G10" t="n">
        <x:f>'Total Revenue'!G11*'Control'!G48*0.1</x:f>
        <x:v>336.5425</x:v>
      </x:c>
      <x:c r="H10" t="n">
        <x:f>'Total Revenue'!H11*'Control'!H48*0.1</x:f>
        <x:v>336.5425</x:v>
      </x:c>
    </x:row>
    <x:row r="11">
      <x:c r="A11" t="str">
        <x:v>Total R&amp;D</x:v>
      </x:c>
      <x:c r="B11" t="n">
        <x:f>SUM(B4:B10)</x:f>
        <x:v>3365.425</x:v>
      </x:c>
      <x:c r="C11" t="n">
        <x:f>SUM(C4:C10)</x:f>
        <x:v>3365.425</x:v>
      </x:c>
      <x:c r="D11" t="n">
        <x:f>SUM(D4:D10)</x:f>
        <x:v>3365.425</x:v>
      </x:c>
      <x:c r="E11" t="n">
        <x:f>SUM(E4:E10)</x:f>
        <x:v>3365.425</x:v>
      </x:c>
      <x:c r="F11" t="n">
        <x:f>SUM(F4:F10)</x:f>
        <x:v>3365.425</x:v>
      </x:c>
      <x:c r="G11" t="n">
        <x:f>SUM(G4:G10)</x:f>
        <x:v>3365.425</x:v>
      </x:c>
      <x:c r="H11" t="n">
        <x:f>SUM(H4:H10)</x:f>
        <x:v>3365.425</x:v>
      </x:c>
    </x:row>
  </x:sheetData>
  <x:mergeCells>
    <x:mergeCell ref="A1:H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Sales Marketing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Sales and Marketing Expense</x:v>
      </x:c>
      <x:c r="B4" t="n">
        <x:f>'Total Revenue'!B11*'Control'!B49</x:f>
        <x:v>841.35625</x:v>
      </x:c>
      <x:c r="C4" t="n">
        <x:f>'Total Revenue'!C11*'Control'!C49</x:f>
        <x:v>841.35625</x:v>
      </x:c>
      <x:c r="D4" t="n">
        <x:f>'Total Revenue'!D11*'Control'!D49</x:f>
        <x:v>841.35625</x:v>
      </x:c>
      <x:c r="E4" t="n">
        <x:f>'Total Revenue'!E11*'Control'!E49</x:f>
        <x:v>841.35625</x:v>
      </x:c>
      <x:c r="F4" t="n">
        <x:f>'Total Revenue'!F11*'Control'!F49</x:f>
        <x:v>841.35625</x:v>
      </x:c>
      <x:c r="G4" t="n">
        <x:f>'Total Revenue'!G11*'Control'!G49</x:f>
        <x:v>841.35625</x:v>
      </x:c>
      <x:c r="H4" t="n">
        <x:f>'Total Revenue'!H11*'Control'!H49</x:f>
        <x:v>841.35625</x:v>
      </x:c>
    </x:row>
    <x:row r="5">
      <x:c r="A5" t="str">
        <x:v>% Revenue</x:v>
      </x:c>
      <x:c r="B5" s="40" t="n">
        <x:f>B4/'Total Revenue'!B11</x:f>
        <x:v>0.035</x:v>
      </x:c>
      <x:c r="C5" s="40" t="n">
        <x:f>C4/'Total Revenue'!C11</x:f>
        <x:v>0.035</x:v>
      </x:c>
      <x:c r="D5" s="40" t="n">
        <x:f>D4/'Total Revenue'!D11</x:f>
        <x:v>0.035</x:v>
      </x:c>
      <x:c r="E5" s="40" t="n">
        <x:f>E4/'Total Revenue'!E11</x:f>
        <x:v>0.035</x:v>
      </x:c>
      <x:c r="F5" s="40" t="n">
        <x:f>F4/'Total Revenue'!F11</x:f>
        <x:v>0.035</x:v>
      </x:c>
      <x:c r="G5" s="40" t="n">
        <x:f>G4/'Total Revenue'!G11</x:f>
        <x:v>0.035</x:v>
      </x:c>
      <x:c r="H5" s="40" t="n">
        <x:f>H4/'Total Revenue'!H11</x:f>
        <x:v>0.035</x:v>
      </x:c>
    </x:row>
  </x:sheetData>
  <x:mergeCells>
    <x:mergeCell ref="A1:H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G&amp;A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G&amp;A Expense</x:v>
      </x:c>
      <x:c r="B4" t="n">
        <x:f>'Total Revenue'!B11*'Control'!B50</x:f>
        <x:v>432.6975</x:v>
      </x:c>
      <x:c r="C4" t="n">
        <x:f>'Total Revenue'!C11*'Control'!C50</x:f>
        <x:v>432.6975</x:v>
      </x:c>
      <x:c r="D4" t="n">
        <x:f>'Total Revenue'!D11*'Control'!D50</x:f>
        <x:v>432.6975</x:v>
      </x:c>
      <x:c r="E4" t="n">
        <x:f>'Total Revenue'!E11*'Control'!E50</x:f>
        <x:v>432.6975</x:v>
      </x:c>
      <x:c r="F4" t="n">
        <x:f>'Total Revenue'!F11*'Control'!F50</x:f>
        <x:v>432.6975</x:v>
      </x:c>
      <x:c r="G4" t="n">
        <x:f>'Total Revenue'!G11*'Control'!G50</x:f>
        <x:v>432.6975</x:v>
      </x:c>
      <x:c r="H4" t="n">
        <x:f>'Total Revenue'!H11*'Control'!H50</x:f>
        <x:v>432.6975</x:v>
      </x:c>
    </x:row>
    <x:row r="5">
      <x:c r="A5" t="str">
        <x:v>% Revenue</x:v>
      </x:c>
      <x:c r="B5" s="40" t="n">
        <x:f>B4/'Total Revenue'!B11</x:f>
        <x:v>0.018</x:v>
      </x:c>
      <x:c r="C5" s="40" t="n">
        <x:f>C4/'Total Revenue'!C11</x:f>
        <x:v>0.018</x:v>
      </x:c>
      <x:c r="D5" s="40" t="n">
        <x:f>D4/'Total Revenue'!D11</x:f>
        <x:v>0.018</x:v>
      </x:c>
      <x:c r="E5" s="40" t="n">
        <x:f>E4/'Total Revenue'!E11</x:f>
        <x:v>0.018</x:v>
      </x:c>
      <x:c r="F5" s="40" t="n">
        <x:f>F4/'Total Revenue'!F11</x:f>
        <x:v>0.018</x:v>
      </x:c>
      <x:c r="G5" s="40" t="n">
        <x:f>G4/'Total Revenue'!G11</x:f>
        <x:v>0.018</x:v>
      </x:c>
      <x:c r="H5" s="40" t="n">
        <x:f>H4/'Total Revenue'!H11</x:f>
        <x:v>0.018</x:v>
      </x:c>
    </x:row>
  </x:sheetData>
  <x:mergeCells>
    <x:mergeCell ref="A1:H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Stock Comp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Stock Compensation</x:v>
      </x:c>
      <x:c r="B4" t="n">
        <x:f>'Total Revenue'!B11*'Control'!B51</x:f>
        <x:v>1322.13125</x:v>
      </x:c>
      <x:c r="C4" t="n">
        <x:f>'Total Revenue'!C11*'Control'!C51</x:f>
        <x:v>1322.13125</x:v>
      </x:c>
      <x:c r="D4" t="n">
        <x:f>'Total Revenue'!D11*'Control'!D51</x:f>
        <x:v>1322.13125</x:v>
      </x:c>
      <x:c r="E4" t="n">
        <x:f>'Total Revenue'!E11*'Control'!E51</x:f>
        <x:v>1322.13125</x:v>
      </x:c>
      <x:c r="F4" t="n">
        <x:f>'Total Revenue'!F11*'Control'!F51</x:f>
        <x:v>1322.13125</x:v>
      </x:c>
      <x:c r="G4" t="n">
        <x:f>'Total Revenue'!G11*'Control'!G51</x:f>
        <x:v>1322.13125</x:v>
      </x:c>
      <x:c r="H4" t="n">
        <x:f>'Total Revenue'!H11*'Control'!H51</x:f>
        <x:v>1322.13125</x:v>
      </x:c>
    </x:row>
    <x:row r="5">
      <x:c r="A5" t="str">
        <x:v>% Revenue</x:v>
      </x:c>
      <x:c r="B5" s="40" t="n">
        <x:f>B4/'Total Revenue'!B11</x:f>
        <x:v>0.05499999999999999</x:v>
      </x:c>
      <x:c r="C5" s="40" t="n">
        <x:f>C4/'Total Revenue'!C11</x:f>
        <x:v>0.05499999999999999</x:v>
      </x:c>
      <x:c r="D5" s="40" t="n">
        <x:f>D4/'Total Revenue'!D11</x:f>
        <x:v>0.05499999999999999</x:v>
      </x:c>
      <x:c r="E5" s="40" t="n">
        <x:f>E4/'Total Revenue'!E11</x:f>
        <x:v>0.05499999999999999</x:v>
      </x:c>
      <x:c r="F5" s="40" t="n">
        <x:f>F4/'Total Revenue'!F11</x:f>
        <x:v>0.05499999999999999</x:v>
      </x:c>
      <x:c r="G5" s="40" t="n">
        <x:f>G4/'Total Revenue'!G11</x:f>
        <x:v>0.05499999999999999</x:v>
      </x:c>
      <x:c r="H5" s="40" t="n">
        <x:f>H4/'Total Revenue'!H11</x:f>
        <x:v>0.05499999999999999</x:v>
      </x:c>
    </x:row>
  </x:sheetData>
  <x:mergeCells>
    <x:mergeCell ref="A1:H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Operating Expenses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R&amp;D</x:v>
      </x:c>
      <x:c r="B4" t="n">
        <x:f>'R&amp;D Programs'!B11</x:f>
        <x:v>3365.425</x:v>
      </x:c>
      <x:c r="C4" t="n">
        <x:f>'R&amp;D Programs'!C11</x:f>
        <x:v>3365.425</x:v>
      </x:c>
      <x:c r="D4" t="n">
        <x:f>'R&amp;D Programs'!D11</x:f>
        <x:v>3365.425</x:v>
      </x:c>
      <x:c r="E4" t="n">
        <x:f>'R&amp;D Programs'!E11</x:f>
        <x:v>3365.425</x:v>
      </x:c>
      <x:c r="F4" t="n">
        <x:f>'R&amp;D Programs'!F11</x:f>
        <x:v>3365.425</x:v>
      </x:c>
      <x:c r="G4" t="n">
        <x:f>'R&amp;D Programs'!G11</x:f>
        <x:v>3365.425</x:v>
      </x:c>
      <x:c r="H4" t="n">
        <x:f>'R&amp;D Programs'!H11</x:f>
        <x:v>3365.425</x:v>
      </x:c>
    </x:row>
    <x:row r="5">
      <x:c r="A5" t="str">
        <x:v>Sales and Marketing</x:v>
      </x:c>
      <x:c r="B5" t="n">
        <x:f>'Sales Marketing'!B4</x:f>
        <x:v>841.35625</x:v>
      </x:c>
      <x:c r="C5" t="n">
        <x:f>'Sales Marketing'!C4</x:f>
        <x:v>841.35625</x:v>
      </x:c>
      <x:c r="D5" t="n">
        <x:f>'Sales Marketing'!D4</x:f>
        <x:v>841.35625</x:v>
      </x:c>
      <x:c r="E5" t="n">
        <x:f>'Sales Marketing'!E4</x:f>
        <x:v>841.35625</x:v>
      </x:c>
      <x:c r="F5" t="n">
        <x:f>'Sales Marketing'!F4</x:f>
        <x:v>841.35625</x:v>
      </x:c>
      <x:c r="G5" t="n">
        <x:f>'Sales Marketing'!G4</x:f>
        <x:v>841.35625</x:v>
      </x:c>
      <x:c r="H5" t="n">
        <x:f>'Sales Marketing'!H4</x:f>
        <x:v>841.35625</x:v>
      </x:c>
    </x:row>
    <x:row r="6">
      <x:c r="A6" t="str">
        <x:v>G&amp;A</x:v>
      </x:c>
      <x:c r="B6" t="n">
        <x:f>'G&amp;A'!B4</x:f>
        <x:v>432.6975</x:v>
      </x:c>
      <x:c r="C6" t="n">
        <x:f>'G&amp;A'!C4</x:f>
        <x:v>432.6975</x:v>
      </x:c>
      <x:c r="D6" t="n">
        <x:f>'G&amp;A'!D4</x:f>
        <x:v>432.6975</x:v>
      </x:c>
      <x:c r="E6" t="n">
        <x:f>'G&amp;A'!E4</x:f>
        <x:v>432.6975</x:v>
      </x:c>
      <x:c r="F6" t="n">
        <x:f>'G&amp;A'!F4</x:f>
        <x:v>432.6975</x:v>
      </x:c>
      <x:c r="G6" t="n">
        <x:f>'G&amp;A'!G4</x:f>
        <x:v>432.6975</x:v>
      </x:c>
      <x:c r="H6" t="n">
        <x:f>'G&amp;A'!H4</x:f>
        <x:v>432.6975</x:v>
      </x:c>
    </x:row>
    <x:row r="7">
      <x:c r="A7" t="str">
        <x:v>Stock Compensation</x:v>
      </x:c>
      <x:c r="B7" t="n">
        <x:f>'Stock Comp'!B4</x:f>
        <x:v>1322.13125</x:v>
      </x:c>
      <x:c r="C7" t="n">
        <x:f>'Stock Comp'!C4</x:f>
        <x:v>1322.13125</x:v>
      </x:c>
      <x:c r="D7" t="n">
        <x:f>'Stock Comp'!D4</x:f>
        <x:v>1322.13125</x:v>
      </x:c>
      <x:c r="E7" t="n">
        <x:f>'Stock Comp'!E4</x:f>
        <x:v>1322.13125</x:v>
      </x:c>
      <x:c r="F7" t="n">
        <x:f>'Stock Comp'!F4</x:f>
        <x:v>1322.13125</x:v>
      </x:c>
      <x:c r="G7" t="n">
        <x:f>'Stock Comp'!G4</x:f>
        <x:v>1322.13125</x:v>
      </x:c>
      <x:c r="H7" t="n">
        <x:f>'Stock Comp'!H4</x:f>
        <x:v>1322.13125</x:v>
      </x:c>
    </x:row>
    <x:row r="8">
      <x:c r="A8" t="str">
        <x:v>Total Operating Expenses</x:v>
      </x:c>
      <x:c r="B8" t="n">
        <x:f>SUM(B4:B7)</x:f>
        <x:v>5961.610000000001</x:v>
      </x:c>
      <x:c r="C8" t="n">
        <x:f>SUM(C4:C7)</x:f>
        <x:v>5961.610000000001</x:v>
      </x:c>
      <x:c r="D8" t="n">
        <x:f>SUM(D4:D7)</x:f>
        <x:v>5961.610000000001</x:v>
      </x:c>
      <x:c r="E8" t="n">
        <x:f>SUM(E4:E7)</x:f>
        <x:v>5961.610000000001</x:v>
      </x:c>
      <x:c r="F8" t="n">
        <x:f>SUM(F4:F7)</x:f>
        <x:v>5961.610000000001</x:v>
      </x:c>
      <x:c r="G8" t="n">
        <x:f>SUM(G4:G7)</x:f>
        <x:v>5961.610000000001</x:v>
      </x:c>
      <x:c r="H8" t="n">
        <x:f>SUM(H4:H7)</x:f>
        <x:v>5961.610000000001</x:v>
      </x:c>
    </x:row>
  </x:sheetData>
  <x:mergeCells>
    <x:mergeCell ref="A1:H1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CapEx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Data Center Lab CapEx</x:v>
      </x:c>
      <x:c r="B4" t="n">
        <x:f>'Total Revenue'!B11*'Control'!B52*55%</x:f>
        <x:v>462.7459375000001</x:v>
      </x:c>
      <x:c r="C4" t="n">
        <x:f>'Total Revenue'!C11*'Control'!C52*55%</x:f>
        <x:v>462.7459375000001</x:v>
      </x:c>
      <x:c r="D4" t="n">
        <x:f>'Total Revenue'!D11*'Control'!D52*55%</x:f>
        <x:v>462.7459375000001</x:v>
      </x:c>
      <x:c r="E4" t="n">
        <x:f>'Total Revenue'!E11*'Control'!E52*55%</x:f>
        <x:v>462.7459375000001</x:v>
      </x:c>
      <x:c r="F4" t="n">
        <x:f>'Total Revenue'!F11*'Control'!F52*55%</x:f>
        <x:v>462.7459375000001</x:v>
      </x:c>
      <x:c r="G4" t="n">
        <x:f>'Total Revenue'!G11*'Control'!G52*55%</x:f>
        <x:v>462.7459375000001</x:v>
      </x:c>
      <x:c r="H4" t="n">
        <x:f>'Total Revenue'!H11*'Control'!H52*55%</x:f>
        <x:v>462.7459375000001</x:v>
      </x:c>
    </x:row>
    <x:row r="5">
      <x:c r="A5" t="str">
        <x:v>Office and IT CapEx</x:v>
      </x:c>
      <x:c r="B5" t="n">
        <x:f>'Total Revenue'!B11*'Control'!B52*20%</x:f>
        <x:v>168.27125</x:v>
      </x:c>
      <x:c r="C5" t="n">
        <x:f>'Total Revenue'!C11*'Control'!C52*20%</x:f>
        <x:v>168.27125</x:v>
      </x:c>
      <x:c r="D5" t="n">
        <x:f>'Total Revenue'!D11*'Control'!D52*20%</x:f>
        <x:v>168.27125</x:v>
      </x:c>
      <x:c r="E5" t="n">
        <x:f>'Total Revenue'!E11*'Control'!E52*20%</x:f>
        <x:v>168.27125</x:v>
      </x:c>
      <x:c r="F5" t="n">
        <x:f>'Total Revenue'!F11*'Control'!F52*20%</x:f>
        <x:v>168.27125</x:v>
      </x:c>
      <x:c r="G5" t="n">
        <x:f>'Total Revenue'!G11*'Control'!G52*20%</x:f>
        <x:v>168.27125</x:v>
      </x:c>
      <x:c r="H5" t="n">
        <x:f>'Total Revenue'!H11*'Control'!H52*20%</x:f>
        <x:v>168.27125</x:v>
      </x:c>
    </x:row>
    <x:row r="6">
      <x:c r="A6" t="str">
        <x:v>Supply Chain Tooling</x:v>
      </x:c>
      <x:c r="B6" t="n">
        <x:f>'Total Revenue'!B11*'Control'!B52*25%</x:f>
        <x:v>210.3390625</x:v>
      </x:c>
      <x:c r="C6" t="n">
        <x:f>'Total Revenue'!C11*'Control'!C52*25%</x:f>
        <x:v>210.3390625</x:v>
      </x:c>
      <x:c r="D6" t="n">
        <x:f>'Total Revenue'!D11*'Control'!D52*25%</x:f>
        <x:v>210.3390625</x:v>
      </x:c>
      <x:c r="E6" t="n">
        <x:f>'Total Revenue'!E11*'Control'!E52*25%</x:f>
        <x:v>210.3390625</x:v>
      </x:c>
      <x:c r="F6" t="n">
        <x:f>'Total Revenue'!F11*'Control'!F52*25%</x:f>
        <x:v>210.3390625</x:v>
      </x:c>
      <x:c r="G6" t="n">
        <x:f>'Total Revenue'!G11*'Control'!G52*25%</x:f>
        <x:v>210.3390625</x:v>
      </x:c>
      <x:c r="H6" t="n">
        <x:f>'Total Revenue'!H11*'Control'!H52*25%</x:f>
        <x:v>210.3390625</x:v>
      </x:c>
    </x:row>
    <x:row r="7">
      <x:c r="A7" t="str">
        <x:v>Total CapEx</x:v>
      </x:c>
      <x:c r="B7" t="n">
        <x:f>SUM(B4:B6)</x:f>
        <x:v>841.35625</x:v>
      </x:c>
      <x:c r="C7" t="n">
        <x:f>SUM(C4:C6)</x:f>
        <x:v>841.35625</x:v>
      </x:c>
      <x:c r="D7" t="n">
        <x:f>SUM(D4:D6)</x:f>
        <x:v>841.35625</x:v>
      </x:c>
      <x:c r="E7" t="n">
        <x:f>SUM(E4:E6)</x:f>
        <x:v>841.35625</x:v>
      </x:c>
      <x:c r="F7" t="n">
        <x:f>SUM(F4:F6)</x:f>
        <x:v>841.35625</x:v>
      </x:c>
      <x:c r="G7" t="n">
        <x:f>SUM(G4:G6)</x:f>
        <x:v>841.35625</x:v>
      </x:c>
      <x:c r="H7" t="n">
        <x:f>SUM(H4:H6)</x:f>
        <x:v>841.35625</x:v>
      </x:c>
    </x:row>
    <x:row r="8">
      <x:c r="A8" t="str">
        <x:v>% Revenue</x:v>
      </x:c>
      <x:c r="B8" s="40" t="n">
        <x:f>B7/'Total Revenue'!B11</x:f>
        <x:v>0.035</x:v>
      </x:c>
      <x:c r="C8" s="40" t="n">
        <x:f>C7/'Total Revenue'!C11</x:f>
        <x:v>0.035</x:v>
      </x:c>
      <x:c r="D8" s="40" t="n">
        <x:f>D7/'Total Revenue'!D11</x:f>
        <x:v>0.035</x:v>
      </x:c>
      <x:c r="E8" s="40" t="n">
        <x:f>E7/'Total Revenue'!E11</x:f>
        <x:v>0.035</x:v>
      </x:c>
      <x:c r="F8" s="40" t="n">
        <x:f>F7/'Total Revenue'!F11</x:f>
        <x:v>0.035</x:v>
      </x:c>
      <x:c r="G8" s="40" t="n">
        <x:f>G7/'Total Revenue'!G11</x:f>
        <x:v>0.035</x:v>
      </x:c>
      <x:c r="H8" s="40" t="n">
        <x:f>H7/'Total Revenue'!H11</x:f>
        <x:v>0.035</x:v>
      </x:c>
    </x:row>
  </x:sheetData>
  <x:mergeCells>
    <x:mergeCell ref="A1:H1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Depreciation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Beginning PP&amp;E</x:v>
      </x:c>
      <x:c r="B4" t="n">
        <x:v>10000</x:v>
      </x:c>
      <x:c r="C4" t="n">
        <x:f>B7</x:f>
        <x:v>8841.35625</x:v>
      </x:c>
      <x:c r="D4" t="n">
        <x:f>C7</x:f>
        <x:v>7914.441250000002</x:v>
      </x:c>
      <x:c r="E4" t="n">
        <x:f>D7</x:f>
        <x:v>7172.909250000002</x:v>
      </x:c>
      <x:c r="F4" t="n">
        <x:f>E7</x:f>
        <x:v>6579.683650000002</x:v>
      </x:c>
      <x:c r="G4" t="n">
        <x:f>F7</x:f>
        <x:v>6105.103170000001</x:v>
      </x:c>
      <x:c r="H4" t="n">
        <x:f>G7</x:f>
        <x:v>5725.438786000001</x:v>
      </x:c>
    </x:row>
    <x:row r="5">
      <x:c r="A5" t="str">
        <x:v>CapEx</x:v>
      </x:c>
      <x:c r="B5" t="n">
        <x:f>'CapEx'!B7</x:f>
        <x:v>841.35625</x:v>
      </x:c>
      <x:c r="C5" t="n">
        <x:f>'CapEx'!C7</x:f>
        <x:v>841.35625</x:v>
      </x:c>
      <x:c r="D5" t="n">
        <x:f>'CapEx'!D7</x:f>
        <x:v>841.35625</x:v>
      </x:c>
      <x:c r="E5" t="n">
        <x:f>'CapEx'!E7</x:f>
        <x:v>841.35625</x:v>
      </x:c>
      <x:c r="F5" t="n">
        <x:f>'CapEx'!F7</x:f>
        <x:v>841.35625</x:v>
      </x:c>
      <x:c r="G5" t="n">
        <x:f>'CapEx'!G7</x:f>
        <x:v>841.35625</x:v>
      </x:c>
      <x:c r="H5" t="n">
        <x:f>'CapEx'!H7</x:f>
        <x:v>841.35625</x:v>
      </x:c>
    </x:row>
    <x:row r="6">
      <x:c r="A6" t="str">
        <x:v>Depreciation</x:v>
      </x:c>
      <x:c r="B6" t="n">
        <x:f>B4*'Control'!B53</x:f>
        <x:v>2000</x:v>
      </x:c>
      <x:c r="C6" t="n">
        <x:f>C4*'Control'!C53</x:f>
        <x:v>1768.2712500000002</x:v>
      </x:c>
      <x:c r="D6" t="n">
        <x:f>D4*'Control'!D53</x:f>
        <x:v>1582.8882500000004</x:v>
      </x:c>
      <x:c r="E6" t="n">
        <x:f>E4*'Control'!E53</x:f>
        <x:v>1434.5818500000005</x:v>
      </x:c>
      <x:c r="F6" t="n">
        <x:f>F4*'Control'!F53</x:f>
        <x:v>1315.9367300000004</x:v>
      </x:c>
      <x:c r="G6" t="n">
        <x:f>G4*'Control'!G53</x:f>
        <x:v>1221.0206340000002</x:v>
      </x:c>
      <x:c r="H6" t="n">
        <x:f>H4*'Control'!H53</x:f>
        <x:v>1145.0877572000002</x:v>
      </x:c>
    </x:row>
    <x:row r="7">
      <x:c r="A7" t="str">
        <x:v>Ending PP&amp;E</x:v>
      </x:c>
      <x:c r="B7" t="n">
        <x:f>B4+B5-B6</x:f>
        <x:v>8841.35625</x:v>
      </x:c>
      <x:c r="C7" t="n">
        <x:f>C4+C5-C6</x:f>
        <x:v>7914.441250000002</x:v>
      </x:c>
      <x:c r="D7" t="n">
        <x:f>D4+D5-D6</x:f>
        <x:v>7172.909250000002</x:v>
      </x:c>
      <x:c r="E7" t="n">
        <x:f>E4+E5-E6</x:f>
        <x:v>6579.683650000002</x:v>
      </x:c>
      <x:c r="F7" t="n">
        <x:f>F4+F5-F6</x:f>
        <x:v>6105.103170000001</x:v>
      </x:c>
      <x:c r="G7" t="n">
        <x:f>G4+G5-G6</x:f>
        <x:v>5725.438786000001</x:v>
      </x:c>
      <x:c r="H7" t="n">
        <x:f>H4+H5-H6</x:f>
        <x:v>5421.7072788000005</x:v>
      </x:c>
    </x:row>
  </x:sheetData>
  <x:mergeCells>
    <x:mergeCell ref="A1:H1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Working Capital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Revenue</x:v>
      </x:c>
      <x:c r="B4" t="n">
        <x:f>'Total Revenue'!B11</x:f>
        <x:v>24038.75</x:v>
      </x:c>
      <x:c r="C4" t="n">
        <x:f>'Total Revenue'!C11</x:f>
        <x:v>24038.75</x:v>
      </x:c>
      <x:c r="D4" t="n">
        <x:f>'Total Revenue'!D11</x:f>
        <x:v>24038.75</x:v>
      </x:c>
      <x:c r="E4" t="n">
        <x:f>'Total Revenue'!E11</x:f>
        <x:v>24038.75</x:v>
      </x:c>
      <x:c r="F4" t="n">
        <x:f>'Total Revenue'!F11</x:f>
        <x:v>24038.75</x:v>
      </x:c>
      <x:c r="G4" t="n">
        <x:f>'Total Revenue'!G11</x:f>
        <x:v>24038.75</x:v>
      </x:c>
      <x:c r="H4" t="n">
        <x:f>'Total Revenue'!H11</x:f>
        <x:v>24038.75</x:v>
      </x:c>
    </x:row>
    <x:row r="5">
      <x:c r="A5" t="str">
        <x:v>COGS</x:v>
      </x:c>
      <x:c r="B5" t="n">
        <x:f>'Total COGS'!B10</x:f>
        <x:v>15023.090050769231</x:v>
      </x:c>
      <x:c r="C5" t="n">
        <x:f>'Total COGS'!C10</x:f>
        <x:v>15023.090050769231</x:v>
      </x:c>
      <x:c r="D5" t="n">
        <x:f>'Total COGS'!D10</x:f>
        <x:v>15023.090050769231</x:v>
      </x:c>
      <x:c r="E5" t="n">
        <x:f>'Total COGS'!E10</x:f>
        <x:v>15023.090050769231</x:v>
      </x:c>
      <x:c r="F5" t="n">
        <x:f>'Total COGS'!F10</x:f>
        <x:v>15023.090050769231</x:v>
      </x:c>
      <x:c r="G5" t="n">
        <x:f>'Total COGS'!G10</x:f>
        <x:v>15023.090050769231</x:v>
      </x:c>
      <x:c r="H5" t="n">
        <x:f>'Total COGS'!H10</x:f>
        <x:v>15023.090050769231</x:v>
      </x:c>
    </x:row>
    <x:row r="6">
      <x:c r="A6" t="str">
        <x:v>Receivables</x:v>
      </x:c>
      <x:c r="B6" t="n">
        <x:f>B4/365*'Control'!B55</x:f>
        <x:v>3622.2773972602736</x:v>
      </x:c>
      <x:c r="C6" t="n">
        <x:f>C4/365*'Control'!C55</x:f>
        <x:v>3622.2773972602736</x:v>
      </x:c>
      <x:c r="D6" t="n">
        <x:f>D4/365*'Control'!D55</x:f>
        <x:v>3622.2773972602736</x:v>
      </x:c>
      <x:c r="E6" t="n">
        <x:f>E4/365*'Control'!E55</x:f>
        <x:v>3622.2773972602736</x:v>
      </x:c>
      <x:c r="F6" t="n">
        <x:f>F4/365*'Control'!F55</x:f>
        <x:v>3622.2773972602736</x:v>
      </x:c>
      <x:c r="G6" t="n">
        <x:f>G4/365*'Control'!G55</x:f>
        <x:v>3622.2773972602736</x:v>
      </x:c>
      <x:c r="H6" t="n">
        <x:f>H4/365*'Control'!H55</x:f>
        <x:v>3622.2773972602736</x:v>
      </x:c>
    </x:row>
    <x:row r="7">
      <x:c r="A7" t="str">
        <x:v>Inventory</x:v>
      </x:c>
      <x:c r="B7" t="n">
        <x:f>B5/365*'Control'!B56</x:f>
        <x:v>4115.915082402529</x:v>
      </x:c>
      <x:c r="C7" t="n">
        <x:f>C5/365*'Control'!C56</x:f>
        <x:v>4115.915082402529</x:v>
      </x:c>
      <x:c r="D7" t="n">
        <x:f>D5/365*'Control'!D56</x:f>
        <x:v>4115.915082402529</x:v>
      </x:c>
      <x:c r="E7" t="n">
        <x:f>E5/365*'Control'!E56</x:f>
        <x:v>4115.915082402529</x:v>
      </x:c>
      <x:c r="F7" t="n">
        <x:f>F5/365*'Control'!F56</x:f>
        <x:v>4115.915082402529</x:v>
      </x:c>
      <x:c r="G7" t="n">
        <x:f>G5/365*'Control'!G56</x:f>
        <x:v>4115.915082402529</x:v>
      </x:c>
      <x:c r="H7" t="n">
        <x:f>H5/365*'Control'!H56</x:f>
        <x:v>4115.915082402529</x:v>
      </x:c>
    </x:row>
    <x:row r="8">
      <x:c r="A8" t="str">
        <x:v>Payables</x:v>
      </x:c>
      <x:c r="B8" t="n">
        <x:f>B5/365*'Control'!B57</x:f>
        <x:v>2881.14055768177</x:v>
      </x:c>
      <x:c r="C8" t="n">
        <x:f>C5/365*'Control'!C57</x:f>
        <x:v>2881.14055768177</x:v>
      </x:c>
      <x:c r="D8" t="n">
        <x:f>D5/365*'Control'!D57</x:f>
        <x:v>2881.14055768177</x:v>
      </x:c>
      <x:c r="E8" t="n">
        <x:f>E5/365*'Control'!E57</x:f>
        <x:v>2881.14055768177</x:v>
      </x:c>
      <x:c r="F8" t="n">
        <x:f>F5/365*'Control'!F57</x:f>
        <x:v>2881.14055768177</x:v>
      </x:c>
      <x:c r="G8" t="n">
        <x:f>G5/365*'Control'!G57</x:f>
        <x:v>2881.14055768177</x:v>
      </x:c>
      <x:c r="H8" t="n">
        <x:f>H5/365*'Control'!H57</x:f>
        <x:v>2881.14055768177</x:v>
      </x:c>
    </x:row>
    <x:row r="9">
      <x:c r="A9" t="str">
        <x:v>Net Operating Working Capital</x:v>
      </x:c>
      <x:c r="B9" t="n">
        <x:f>B6+B7-B8</x:f>
        <x:v>4857.051921981032</x:v>
      </x:c>
      <x:c r="C9" t="n">
        <x:f>C6+C7-C8</x:f>
        <x:v>4857.051921981032</x:v>
      </x:c>
      <x:c r="D9" t="n">
        <x:f>D6+D7-D8</x:f>
        <x:v>4857.051921981032</x:v>
      </x:c>
      <x:c r="E9" t="n">
        <x:f>E6+E7-E8</x:f>
        <x:v>4857.051921981032</x:v>
      </x:c>
      <x:c r="F9" t="n">
        <x:f>F6+F7-F8</x:f>
        <x:v>4857.051921981032</x:v>
      </x:c>
      <x:c r="G9" t="n">
        <x:f>G6+G7-G8</x:f>
        <x:v>4857.051921981032</x:v>
      </x:c>
      <x:c r="H9" t="n">
        <x:f>H6+H7-H8</x:f>
        <x:v>4857.051921981032</x:v>
      </x:c>
    </x:row>
    <x:row r="10">
      <x:c r="A10" t="str">
        <x:v>Change in NOWC</x:v>
      </x:c>
      <x:c r="B10" t="n">
        <x:v>0</x:v>
      </x:c>
      <x:c r="C10" t="n">
        <x:f>C9-B9</x:f>
        <x:v>0</x:v>
      </x:c>
      <x:c r="D10" t="n">
        <x:f>D9-C9</x:f>
        <x:v>0</x:v>
      </x:c>
      <x:c r="E10" t="n">
        <x:f>E9-D9</x:f>
        <x:v>0</x:v>
      </x:c>
      <x:c r="F10" t="n">
        <x:f>F9-E9</x:f>
        <x:v>0</x:v>
      </x:c>
      <x:c r="G10" t="n">
        <x:f>G9-F9</x:f>
        <x:v>0</x:v>
      </x:c>
      <x:c r="H10" t="n">
        <x:f>H9-G9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Income Statement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Revenue</x:v>
      </x:c>
      <x:c r="B4" t="n">
        <x:f>'Total Revenue'!B11</x:f>
        <x:v>24038.75</x:v>
      </x:c>
      <x:c r="C4" t="n">
        <x:f>'Total Revenue'!C11</x:f>
        <x:v>24038.75</x:v>
      </x:c>
      <x:c r="D4" t="n">
        <x:f>'Total Revenue'!D11</x:f>
        <x:v>24038.75</x:v>
      </x:c>
      <x:c r="E4" t="n">
        <x:f>'Total Revenue'!E11</x:f>
        <x:v>24038.75</x:v>
      </x:c>
      <x:c r="F4" t="n">
        <x:f>'Total Revenue'!F11</x:f>
        <x:v>24038.75</x:v>
      </x:c>
      <x:c r="G4" t="n">
        <x:f>'Total Revenue'!G11</x:f>
        <x:v>24038.75</x:v>
      </x:c>
      <x:c r="H4" t="n">
        <x:f>'Total Revenue'!H11</x:f>
        <x:v>24038.75</x:v>
      </x:c>
    </x:row>
    <x:row r="5">
      <x:c r="A5" t="str">
        <x:v>COGS</x:v>
      </x:c>
      <x:c r="B5" t="n">
        <x:f>'Total COGS'!B10</x:f>
        <x:v>15023.090050769231</x:v>
      </x:c>
      <x:c r="C5" t="n">
        <x:f>'Total COGS'!C10</x:f>
        <x:v>15023.090050769231</x:v>
      </x:c>
      <x:c r="D5" t="n">
        <x:f>'Total COGS'!D10</x:f>
        <x:v>15023.090050769231</x:v>
      </x:c>
      <x:c r="E5" t="n">
        <x:f>'Total COGS'!E10</x:f>
        <x:v>15023.090050769231</x:v>
      </x:c>
      <x:c r="F5" t="n">
        <x:f>'Total COGS'!F10</x:f>
        <x:v>15023.090050769231</x:v>
      </x:c>
      <x:c r="G5" t="n">
        <x:f>'Total COGS'!G10</x:f>
        <x:v>15023.090050769231</x:v>
      </x:c>
      <x:c r="H5" t="n">
        <x:f>'Total COGS'!H10</x:f>
        <x:v>15023.090050769231</x:v>
      </x:c>
    </x:row>
    <x:row r="6">
      <x:c r="A6" t="str">
        <x:v>Gross Profit</x:v>
      </x:c>
      <x:c r="B6" t="n">
        <x:f>B4-B5</x:f>
        <x:v>9015.659949230769</x:v>
      </x:c>
      <x:c r="C6" t="n">
        <x:f>C4-C5</x:f>
        <x:v>9015.659949230769</x:v>
      </x:c>
      <x:c r="D6" t="n">
        <x:f>D4-D5</x:f>
        <x:v>9015.659949230769</x:v>
      </x:c>
      <x:c r="E6" t="n">
        <x:f>E4-E5</x:f>
        <x:v>9015.659949230769</x:v>
      </x:c>
      <x:c r="F6" t="n">
        <x:f>F4-F5</x:f>
        <x:v>9015.659949230769</x:v>
      </x:c>
      <x:c r="G6" t="n">
        <x:f>G4-G5</x:f>
        <x:v>9015.659949230769</x:v>
      </x:c>
      <x:c r="H6" t="n">
        <x:f>H4-H5</x:f>
        <x:v>9015.659949230769</x:v>
      </x:c>
    </x:row>
    <x:row r="7">
      <x:c r="A7" t="str">
        <x:v>Gross Margin</x:v>
      </x:c>
      <x:c r="B7" s="40" t="n">
        <x:f>B6/B4</x:f>
        <x:v>0.37504695332456006</x:v>
      </x:c>
      <x:c r="C7" s="40" t="n">
        <x:f>C6/C4</x:f>
        <x:v>0.37504695332456006</x:v>
      </x:c>
      <x:c r="D7" s="40" t="n">
        <x:f>D6/D4</x:f>
        <x:v>0.37504695332456006</x:v>
      </x:c>
      <x:c r="E7" s="40" t="n">
        <x:f>E6/E4</x:f>
        <x:v>0.37504695332456006</x:v>
      </x:c>
      <x:c r="F7" s="40" t="n">
        <x:f>F6/F4</x:f>
        <x:v>0.37504695332456006</x:v>
      </x:c>
      <x:c r="G7" s="40" t="n">
        <x:f>G6/G4</x:f>
        <x:v>0.37504695332456006</x:v>
      </x:c>
      <x:c r="H7" s="40" t="n">
        <x:f>H6/H4</x:f>
        <x:v>0.37504695332456006</x:v>
      </x:c>
    </x:row>
    <x:row r="8">
      <x:c r="A8" t="str">
        <x:v>R&amp;D</x:v>
      </x:c>
      <x:c r="B8" t="n">
        <x:f>'R&amp;D Programs'!B11</x:f>
        <x:v>3365.425</x:v>
      </x:c>
      <x:c r="C8" t="n">
        <x:f>'R&amp;D Programs'!C11</x:f>
        <x:v>3365.425</x:v>
      </x:c>
      <x:c r="D8" t="n">
        <x:f>'R&amp;D Programs'!D11</x:f>
        <x:v>3365.425</x:v>
      </x:c>
      <x:c r="E8" t="n">
        <x:f>'R&amp;D Programs'!E11</x:f>
        <x:v>3365.425</x:v>
      </x:c>
      <x:c r="F8" t="n">
        <x:f>'R&amp;D Programs'!F11</x:f>
        <x:v>3365.425</x:v>
      </x:c>
      <x:c r="G8" t="n">
        <x:f>'R&amp;D Programs'!G11</x:f>
        <x:v>3365.425</x:v>
      </x:c>
      <x:c r="H8" t="n">
        <x:f>'R&amp;D Programs'!H11</x:f>
        <x:v>3365.425</x:v>
      </x:c>
    </x:row>
    <x:row r="9">
      <x:c r="A9" t="str">
        <x:v>Sales and Marketing</x:v>
      </x:c>
      <x:c r="B9" t="n">
        <x:f>'Sales Marketing'!B4</x:f>
        <x:v>841.35625</x:v>
      </x:c>
      <x:c r="C9" t="n">
        <x:f>'Sales Marketing'!C4</x:f>
        <x:v>841.35625</x:v>
      </x:c>
      <x:c r="D9" t="n">
        <x:f>'Sales Marketing'!D4</x:f>
        <x:v>841.35625</x:v>
      </x:c>
      <x:c r="E9" t="n">
        <x:f>'Sales Marketing'!E4</x:f>
        <x:v>841.35625</x:v>
      </x:c>
      <x:c r="F9" t="n">
        <x:f>'Sales Marketing'!F4</x:f>
        <x:v>841.35625</x:v>
      </x:c>
      <x:c r="G9" t="n">
        <x:f>'Sales Marketing'!G4</x:f>
        <x:v>841.35625</x:v>
      </x:c>
      <x:c r="H9" t="n">
        <x:f>'Sales Marketing'!H4</x:f>
        <x:v>841.35625</x:v>
      </x:c>
    </x:row>
    <x:row r="10">
      <x:c r="A10" t="str">
        <x:v>G&amp;A</x:v>
      </x:c>
      <x:c r="B10" t="n">
        <x:f>'G&amp;A'!B4</x:f>
        <x:v>432.6975</x:v>
      </x:c>
      <x:c r="C10" t="n">
        <x:f>'G&amp;A'!C4</x:f>
        <x:v>432.6975</x:v>
      </x:c>
      <x:c r="D10" t="n">
        <x:f>'G&amp;A'!D4</x:f>
        <x:v>432.6975</x:v>
      </x:c>
      <x:c r="E10" t="n">
        <x:f>'G&amp;A'!E4</x:f>
        <x:v>432.6975</x:v>
      </x:c>
      <x:c r="F10" t="n">
        <x:f>'G&amp;A'!F4</x:f>
        <x:v>432.6975</x:v>
      </x:c>
      <x:c r="G10" t="n">
        <x:f>'G&amp;A'!G4</x:f>
        <x:v>432.6975</x:v>
      </x:c>
      <x:c r="H10" t="n">
        <x:f>'G&amp;A'!H4</x:f>
        <x:v>432.6975</x:v>
      </x:c>
    </x:row>
    <x:row r="11">
      <x:c r="A11" t="str">
        <x:v>Stock Compensation</x:v>
      </x:c>
      <x:c r="B11" t="n">
        <x:f>'Stock Comp'!B4</x:f>
        <x:v>1322.13125</x:v>
      </x:c>
      <x:c r="C11" t="n">
        <x:f>'Stock Comp'!C4</x:f>
        <x:v>1322.13125</x:v>
      </x:c>
      <x:c r="D11" t="n">
        <x:f>'Stock Comp'!D4</x:f>
        <x:v>1322.13125</x:v>
      </x:c>
      <x:c r="E11" t="n">
        <x:f>'Stock Comp'!E4</x:f>
        <x:v>1322.13125</x:v>
      </x:c>
      <x:c r="F11" t="n">
        <x:f>'Stock Comp'!F4</x:f>
        <x:v>1322.13125</x:v>
      </x:c>
      <x:c r="G11" t="n">
        <x:f>'Stock Comp'!G4</x:f>
        <x:v>1322.13125</x:v>
      </x:c>
      <x:c r="H11" t="n">
        <x:f>'Stock Comp'!H4</x:f>
        <x:v>1322.13125</x:v>
      </x:c>
    </x:row>
    <x:row r="12">
      <x:c r="A12" t="str">
        <x:v>EBIT</x:v>
      </x:c>
      <x:c r="B12" t="n">
        <x:f>B6-SUM(B8:B11)</x:f>
        <x:v>3054.049949230768</x:v>
      </x:c>
      <x:c r="C12" t="n">
        <x:f>C6-SUM(C8:C11)</x:f>
        <x:v>3054.049949230768</x:v>
      </x:c>
      <x:c r="D12" t="n">
        <x:f>D6-SUM(D8:D11)</x:f>
        <x:v>3054.049949230768</x:v>
      </x:c>
      <x:c r="E12" t="n">
        <x:f>E6-SUM(E8:E11)</x:f>
        <x:v>3054.049949230768</x:v>
      </x:c>
      <x:c r="F12" t="n">
        <x:f>F6-SUM(F8:F11)</x:f>
        <x:v>3054.049949230768</x:v>
      </x:c>
      <x:c r="G12" t="n">
        <x:f>G6-SUM(G8:G11)</x:f>
        <x:v>3054.049949230768</x:v>
      </x:c>
      <x:c r="H12" t="n">
        <x:f>H6-SUM(H8:H11)</x:f>
        <x:v>3054.049949230768</x:v>
      </x:c>
    </x:row>
    <x:row r="13">
      <x:c r="A13" t="str">
        <x:v>EBIT Margin</x:v>
      </x:c>
      <x:c r="B13" s="40" t="n">
        <x:f>B12/B4</x:f>
        <x:v>0.12704695332456006</x:v>
      </x:c>
      <x:c r="C13" s="40" t="n">
        <x:f>C12/C4</x:f>
        <x:v>0.12704695332456006</x:v>
      </x:c>
      <x:c r="D13" s="40" t="n">
        <x:f>D12/D4</x:f>
        <x:v>0.12704695332456006</x:v>
      </x:c>
      <x:c r="E13" s="40" t="n">
        <x:f>E12/E4</x:f>
        <x:v>0.12704695332456006</x:v>
      </x:c>
      <x:c r="F13" s="40" t="n">
        <x:f>F12/F4</x:f>
        <x:v>0.12704695332456006</x:v>
      </x:c>
      <x:c r="G13" s="40" t="n">
        <x:f>G12/G4</x:f>
        <x:v>0.12704695332456006</x:v>
      </x:c>
      <x:c r="H13" s="40" t="n">
        <x:f>H12/H4</x:f>
        <x:v>0.12704695332456006</x:v>
      </x:c>
    </x:row>
    <x:row r="14">
      <x:c r="A14" t="str">
        <x:v>Tax</x:v>
      </x:c>
      <x:c r="B14" t="n">
        <x:f>B12*'Control'!B58</x:f>
        <x:v>458.1074923846152</x:v>
      </x:c>
      <x:c r="C14" t="n">
        <x:f>C12*'Control'!C58</x:f>
        <x:v>458.1074923846152</x:v>
      </x:c>
      <x:c r="D14" t="n">
        <x:f>D12*'Control'!D58</x:f>
        <x:v>458.1074923846152</x:v>
      </x:c>
      <x:c r="E14" t="n">
        <x:f>E12*'Control'!E58</x:f>
        <x:v>458.1074923846152</x:v>
      </x:c>
      <x:c r="F14" t="n">
        <x:f>F12*'Control'!F58</x:f>
        <x:v>458.1074923846152</x:v>
      </x:c>
      <x:c r="G14" t="n">
        <x:f>G12*'Control'!G58</x:f>
        <x:v>458.1074923846152</x:v>
      </x:c>
      <x:c r="H14" t="n">
        <x:f>H12*'Control'!H58</x:f>
        <x:v>458.1074923846152</x:v>
      </x:c>
    </x:row>
    <x:row r="15">
      <x:c r="A15" t="str">
        <x:v>NOPAT</x:v>
      </x:c>
      <x:c r="B15" t="n">
        <x:f>B12-B14</x:f>
        <x:v>2595.9424568461527</x:v>
      </x:c>
      <x:c r="C15" t="n">
        <x:f>C12-C14</x:f>
        <x:v>2595.9424568461527</x:v>
      </x:c>
      <x:c r="D15" t="n">
        <x:f>D12-D14</x:f>
        <x:v>2595.9424568461527</x:v>
      </x:c>
      <x:c r="E15" t="n">
        <x:f>E12-E14</x:f>
        <x:v>2595.9424568461527</x:v>
      </x:c>
      <x:c r="F15" t="n">
        <x:f>F12-F14</x:f>
        <x:v>2595.9424568461527</x:v>
      </x:c>
      <x:c r="G15" t="n">
        <x:f>G12-G14</x:f>
        <x:v>2595.9424568461527</x:v>
      </x:c>
      <x:c r="H15" t="n">
        <x:f>H12-H14</x:f>
        <x:v>2595.9424568461527</x:v>
      </x:c>
    </x:row>
  </x:sheetData>
  <x:mergeCells>
    <x:mergeCell ref="A1:H1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Balance Sheet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Cash</x:v>
      </x:c>
      <x:c r="B4" t="n">
        <x:f>'Total Revenue'!B11*'Control'!B54</x:f>
        <x:v>4807.75</x:v>
      </x:c>
      <x:c r="C4" t="n">
        <x:f>'Total Revenue'!C11*'Control'!C54</x:f>
        <x:v>4807.75</x:v>
      </x:c>
      <x:c r="D4" t="n">
        <x:f>'Total Revenue'!D11*'Control'!D54</x:f>
        <x:v>4807.75</x:v>
      </x:c>
      <x:c r="E4" t="n">
        <x:f>'Total Revenue'!E11*'Control'!E54</x:f>
        <x:v>4807.75</x:v>
      </x:c>
      <x:c r="F4" t="n">
        <x:f>'Total Revenue'!F11*'Control'!F54</x:f>
        <x:v>4807.75</x:v>
      </x:c>
      <x:c r="G4" t="n">
        <x:f>'Total Revenue'!G11*'Control'!G54</x:f>
        <x:v>4807.75</x:v>
      </x:c>
      <x:c r="H4" t="n">
        <x:f>'Total Revenue'!H11*'Control'!H54</x:f>
        <x:v>4807.75</x:v>
      </x:c>
    </x:row>
    <x:row r="5">
      <x:c r="A5" t="str">
        <x:v>Receivables</x:v>
      </x:c>
      <x:c r="B5" t="n">
        <x:f>'Working Capital'!B6</x:f>
        <x:v>3622.2773972602736</x:v>
      </x:c>
      <x:c r="C5" t="n">
        <x:f>'Working Capital'!C6</x:f>
        <x:v>3622.2773972602736</x:v>
      </x:c>
      <x:c r="D5" t="n">
        <x:f>'Working Capital'!D6</x:f>
        <x:v>3622.2773972602736</x:v>
      </x:c>
      <x:c r="E5" t="n">
        <x:f>'Working Capital'!E6</x:f>
        <x:v>3622.2773972602736</x:v>
      </x:c>
      <x:c r="F5" t="n">
        <x:f>'Working Capital'!F6</x:f>
        <x:v>3622.2773972602736</x:v>
      </x:c>
      <x:c r="G5" t="n">
        <x:f>'Working Capital'!G6</x:f>
        <x:v>3622.2773972602736</x:v>
      </x:c>
      <x:c r="H5" t="n">
        <x:f>'Working Capital'!H6</x:f>
        <x:v>3622.2773972602736</x:v>
      </x:c>
    </x:row>
    <x:row r="6">
      <x:c r="A6" t="str">
        <x:v>Inventory</x:v>
      </x:c>
      <x:c r="B6" t="n">
        <x:f>'Working Capital'!B7</x:f>
        <x:v>4115.915082402529</x:v>
      </x:c>
      <x:c r="C6" t="n">
        <x:f>'Working Capital'!C7</x:f>
        <x:v>4115.915082402529</x:v>
      </x:c>
      <x:c r="D6" t="n">
        <x:f>'Working Capital'!D7</x:f>
        <x:v>4115.915082402529</x:v>
      </x:c>
      <x:c r="E6" t="n">
        <x:f>'Working Capital'!E7</x:f>
        <x:v>4115.915082402529</x:v>
      </x:c>
      <x:c r="F6" t="n">
        <x:f>'Working Capital'!F7</x:f>
        <x:v>4115.915082402529</x:v>
      </x:c>
      <x:c r="G6" t="n">
        <x:f>'Working Capital'!G7</x:f>
        <x:v>4115.915082402529</x:v>
      </x:c>
      <x:c r="H6" t="n">
        <x:f>'Working Capital'!H7</x:f>
        <x:v>4115.915082402529</x:v>
      </x:c>
    </x:row>
    <x:row r="7">
      <x:c r="A7" t="str">
        <x:v>PP&amp;E</x:v>
      </x:c>
      <x:c r="B7" t="n">
        <x:f>'Depreciation'!B7</x:f>
        <x:v>8841.35625</x:v>
      </x:c>
      <x:c r="C7" t="n">
        <x:f>'Depreciation'!C7</x:f>
        <x:v>7914.441250000002</x:v>
      </x:c>
      <x:c r="D7" t="n">
        <x:f>'Depreciation'!D7</x:f>
        <x:v>7172.909250000002</x:v>
      </x:c>
      <x:c r="E7" t="n">
        <x:f>'Depreciation'!E7</x:f>
        <x:v>6579.683650000002</x:v>
      </x:c>
      <x:c r="F7" t="n">
        <x:f>'Depreciation'!F7</x:f>
        <x:v>6105.103170000001</x:v>
      </x:c>
      <x:c r="G7" t="n">
        <x:f>'Depreciation'!G7</x:f>
        <x:v>5725.438786000001</x:v>
      </x:c>
      <x:c r="H7" t="n">
        <x:f>'Depreciation'!H7</x:f>
        <x:v>5421.7072788000005</x:v>
      </x:c>
    </x:row>
    <x:row r="8">
      <x:c r="A8" t="str">
        <x:v>Other Assets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</x:row>
    <x:row r="9">
      <x:c r="A9" t="str">
        <x:v>Total Assets</x:v>
      </x:c>
      <x:c r="B9" t="n">
        <x:f>SUM(B4:B8)</x:f>
        <x:v>21387.298729662805</x:v>
      </x:c>
      <x:c r="C9" t="n">
        <x:f>SUM(C4:C8)</x:f>
        <x:v>20460.383729662804</x:v>
      </x:c>
      <x:c r="D9" t="n">
        <x:f>SUM(D4:D8)</x:f>
        <x:v>19718.851729662805</x:v>
      </x:c>
      <x:c r="E9" t="n">
        <x:f>SUM(E4:E8)</x:f>
        <x:v>19125.626129662804</x:v>
      </x:c>
      <x:c r="F9" t="n">
        <x:f>SUM(F4:F8)</x:f>
        <x:v>18651.045649662803</x:v>
      </x:c>
      <x:c r="G9" t="n">
        <x:f>SUM(G4:G8)</x:f>
        <x:v>18271.381265662803</x:v>
      </x:c>
      <x:c r="H9" t="n">
        <x:f>SUM(H4:H8)</x:f>
        <x:v>17967.6497584628</x:v>
      </x:c>
    </x:row>
    <x:row r="10">
      <x:c r="A10" t="str">
        <x:v>Payables</x:v>
      </x:c>
      <x:c r="B10" t="n">
        <x:f>'Working Capital'!B8</x:f>
        <x:v>2881.14055768177</x:v>
      </x:c>
      <x:c r="C10" t="n">
        <x:f>'Working Capital'!C8</x:f>
        <x:v>2881.14055768177</x:v>
      </x:c>
      <x:c r="D10" t="n">
        <x:f>'Working Capital'!D8</x:f>
        <x:v>2881.14055768177</x:v>
      </x:c>
      <x:c r="E10" t="n">
        <x:f>'Working Capital'!E8</x:f>
        <x:v>2881.14055768177</x:v>
      </x:c>
      <x:c r="F10" t="n">
        <x:f>'Working Capital'!F8</x:f>
        <x:v>2881.14055768177</x:v>
      </x:c>
      <x:c r="G10" t="n">
        <x:f>'Working Capital'!G8</x:f>
        <x:v>2881.14055768177</x:v>
      </x:c>
      <x:c r="H10" t="n">
        <x:f>'Working Capital'!H8</x:f>
        <x:v>2881.14055768177</x:v>
      </x:c>
    </x:row>
    <x:row r="11">
      <x:c r="A11" t="str">
        <x:v>Debt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</x:row>
    <x:row r="12">
      <x:c r="A12" t="str">
        <x:v>Other Liabilities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</x:row>
    <x:row r="13">
      <x:c r="A13" t="str">
        <x:v>Shareholders Equity</x:v>
      </x:c>
      <x:c r="B13" t="n">
        <x:f>B9-SUM(B10:B12)</x:f>
        <x:v>18506.158171981035</x:v>
      </x:c>
      <x:c r="C13" t="n">
        <x:f>C9-SUM(C10:C12)</x:f>
        <x:v>17579.243171981034</x:v>
      </x:c>
      <x:c r="D13" t="n">
        <x:f>D9-SUM(D10:D12)</x:f>
        <x:v>16837.711171981035</x:v>
      </x:c>
      <x:c r="E13" t="n">
        <x:f>E9-SUM(E10:E12)</x:f>
        <x:v>16244.485571981033</x:v>
      </x:c>
      <x:c r="F13" t="n">
        <x:f>F9-SUM(F10:F12)</x:f>
        <x:v>15769.905091981032</x:v>
      </x:c>
      <x:c r="G13" t="n">
        <x:f>G9-SUM(G10:G12)</x:f>
        <x:v>15390.240707981033</x:v>
      </x:c>
      <x:c r="H13" t="n">
        <x:f>H9-SUM(H10:H12)</x:f>
        <x:v>15086.50920078103</x:v>
      </x:c>
    </x:row>
    <x:row r="14">
      <x:c r="A14" t="str">
        <x:v>Total Liabilities and Equity</x:v>
      </x:c>
      <x:c r="B14" t="n">
        <x:f>B9-SUM(B10:B13)</x:f>
        <x:v>0</x:v>
      </x:c>
      <x:c r="C14" t="n">
        <x:f>C9-SUM(C10:C13)</x:f>
        <x:v>0</x:v>
      </x:c>
      <x:c r="D14" t="n">
        <x:f>D9-SUM(D10:D13)</x:f>
        <x:v>0</x:v>
      </x:c>
      <x:c r="E14" t="n">
        <x:f>E9-SUM(E10:E13)</x:f>
        <x:v>0</x:v>
      </x:c>
      <x:c r="F14" t="n">
        <x:f>F9-SUM(F10:F13)</x:f>
        <x:v>0</x:v>
      </x:c>
      <x:c r="G14" t="n">
        <x:f>G9-SUM(G10:G13)</x:f>
        <x:v>0</x:v>
      </x:c>
      <x:c r="H14" t="n">
        <x:f>H9-SUM(H10:H13)</x:f>
        <x:v>0</x:v>
      </x:c>
    </x:row>
    <x:row r="15">
      <x:c r="A15" t="str">
        <x:v>Check</x:v>
      </x:c>
    </x:row>
  </x:sheetData>
  <x:mergeCells>
    <x:mergeCell ref="A1:H1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Cash Flow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NOPAT</x:v>
      </x:c>
      <x:c r="B4" t="n">
        <x:f>'Income Statement'!B15</x:f>
        <x:v>2595.9424568461527</x:v>
      </x:c>
      <x:c r="C4" t="n">
        <x:f>'Income Statement'!C15</x:f>
        <x:v>2595.9424568461527</x:v>
      </x:c>
      <x:c r="D4" t="n">
        <x:f>'Income Statement'!D15</x:f>
        <x:v>2595.9424568461527</x:v>
      </x:c>
      <x:c r="E4" t="n">
        <x:f>'Income Statement'!E15</x:f>
        <x:v>2595.9424568461527</x:v>
      </x:c>
      <x:c r="F4" t="n">
        <x:f>'Income Statement'!F15</x:f>
        <x:v>2595.9424568461527</x:v>
      </x:c>
      <x:c r="G4" t="n">
        <x:f>'Income Statement'!G15</x:f>
        <x:v>2595.9424568461527</x:v>
      </x:c>
      <x:c r="H4" t="n">
        <x:f>'Income Statement'!H15</x:f>
        <x:v>2595.9424568461527</x:v>
      </x:c>
    </x:row>
    <x:row r="5">
      <x:c r="A5" t="str">
        <x:v>Depreciation</x:v>
      </x:c>
      <x:c r="B5" t="n">
        <x:f>'Depreciation'!B6</x:f>
        <x:v>2000</x:v>
      </x:c>
      <x:c r="C5" t="n">
        <x:f>'Depreciation'!C6</x:f>
        <x:v>1768.2712500000002</x:v>
      </x:c>
      <x:c r="D5" t="n">
        <x:f>'Depreciation'!D6</x:f>
        <x:v>1582.8882500000004</x:v>
      </x:c>
      <x:c r="E5" t="n">
        <x:f>'Depreciation'!E6</x:f>
        <x:v>1434.5818500000005</x:v>
      </x:c>
      <x:c r="F5" t="n">
        <x:f>'Depreciation'!F6</x:f>
        <x:v>1315.9367300000004</x:v>
      </x:c>
      <x:c r="G5" t="n">
        <x:f>'Depreciation'!G6</x:f>
        <x:v>1221.0206340000002</x:v>
      </x:c>
      <x:c r="H5" t="n">
        <x:f>'Depreciation'!H6</x:f>
        <x:v>1145.0877572000002</x:v>
      </x:c>
    </x:row>
    <x:row r="6">
      <x:c r="A6" t="str">
        <x:v>Stock Compensation</x:v>
      </x:c>
      <x:c r="B6" t="n">
        <x:f>'Stock Comp'!B4</x:f>
        <x:v>1322.13125</x:v>
      </x:c>
      <x:c r="C6" t="n">
        <x:f>'Stock Comp'!C4</x:f>
        <x:v>1322.13125</x:v>
      </x:c>
      <x:c r="D6" t="n">
        <x:f>'Stock Comp'!D4</x:f>
        <x:v>1322.13125</x:v>
      </x:c>
      <x:c r="E6" t="n">
        <x:f>'Stock Comp'!E4</x:f>
        <x:v>1322.13125</x:v>
      </x:c>
      <x:c r="F6" t="n">
        <x:f>'Stock Comp'!F4</x:f>
        <x:v>1322.13125</x:v>
      </x:c>
      <x:c r="G6" t="n">
        <x:f>'Stock Comp'!G4</x:f>
        <x:v>1322.13125</x:v>
      </x:c>
      <x:c r="H6" t="n">
        <x:f>'Stock Comp'!H4</x:f>
        <x:v>1322.13125</x:v>
      </x:c>
    </x:row>
    <x:row r="7">
      <x:c r="A7" t="str">
        <x:v>CapEx</x:v>
      </x:c>
      <x:c r="B7" t="n">
        <x:f>'CapEx'!B7</x:f>
        <x:v>841.35625</x:v>
      </x:c>
      <x:c r="C7" t="n">
        <x:f>'CapEx'!C7</x:f>
        <x:v>841.35625</x:v>
      </x:c>
      <x:c r="D7" t="n">
        <x:f>'CapEx'!D7</x:f>
        <x:v>841.35625</x:v>
      </x:c>
      <x:c r="E7" t="n">
        <x:f>'CapEx'!E7</x:f>
        <x:v>841.35625</x:v>
      </x:c>
      <x:c r="F7" t="n">
        <x:f>'CapEx'!F7</x:f>
        <x:v>841.35625</x:v>
      </x:c>
      <x:c r="G7" t="n">
        <x:f>'CapEx'!G7</x:f>
        <x:v>841.35625</x:v>
      </x:c>
      <x:c r="H7" t="n">
        <x:f>'CapEx'!H7</x:f>
        <x:v>841.35625</x:v>
      </x:c>
    </x:row>
    <x:row r="8">
      <x:c r="A8" t="str">
        <x:v>Change in NOWC</x:v>
      </x:c>
      <x:c r="B8" t="n">
        <x:f>'Working Capital'!B10</x:f>
        <x:v>0</x:v>
      </x:c>
      <x:c r="C8" t="n">
        <x:f>'Working Capital'!C10</x:f>
        <x:v>0</x:v>
      </x:c>
      <x:c r="D8" t="n">
        <x:f>'Working Capital'!D10</x:f>
        <x:v>0</x:v>
      </x:c>
      <x:c r="E8" t="n">
        <x:f>'Working Capital'!E10</x:f>
        <x:v>0</x:v>
      </x:c>
      <x:c r="F8" t="n">
        <x:f>'Working Capital'!F10</x:f>
        <x:v>0</x:v>
      </x:c>
      <x:c r="G8" t="n">
        <x:f>'Working Capital'!G10</x:f>
        <x:v>0</x:v>
      </x:c>
      <x:c r="H8" t="n">
        <x:f>'Working Capital'!H10</x:f>
        <x:v>0</x:v>
      </x:c>
    </x:row>
    <x:row r="9">
      <x:c r="A9" t="str">
        <x:v>Free Cash Flow</x:v>
      </x:c>
      <x:c r="B9" t="n">
        <x:f>B4+B5+B6-B7-B8</x:f>
        <x:v>5076.717456846153</x:v>
      </x:c>
      <x:c r="C9" t="n">
        <x:f>C4+C5+C6-C7-C8</x:f>
        <x:v>4844.988706846153</x:v>
      </x:c>
      <x:c r="D9" t="n">
        <x:f>D4+D5+D6-D7-D8</x:f>
        <x:v>4659.605706846153</x:v>
      </x:c>
      <x:c r="E9" t="n">
        <x:f>E4+E5+E6-E7-E8</x:f>
        <x:v>4511.299306846154</x:v>
      </x:c>
      <x:c r="F9" t="n">
        <x:f>F4+F5+F6-F7-F8</x:f>
        <x:v>4392.654186846153</x:v>
      </x:c>
      <x:c r="G9" t="n">
        <x:f>G4+G5+G6-G7-G8</x:f>
        <x:v>4297.738090846154</x:v>
      </x:c>
      <x:c r="H9" t="n">
        <x:f>H4+H5+H6-H7-H8</x:f>
        <x:v>4221.805214046152</x:v>
      </x:c>
    </x:row>
    <x:row r="10">
      <x:c r="A10" t="str">
        <x:v>FCF Margin</x:v>
      </x:c>
      <x:c r="B10" s="40" t="n">
        <x:f>B9/'Total Revenue'!B11</x:f>
        <x:v>0.21118891193785672</x:v>
      </x:c>
      <x:c r="C10" s="40" t="n">
        <x:f>C9/'Total Revenue'!C11</x:f>
        <x:v>0.20154911161546057</x:v>
      </x:c>
      <x:c r="D10" s="40" t="n">
        <x:f>D9/'Total Revenue'!D11</x:f>
        <x:v>0.1938372713575437</x:v>
      </x:c>
      <x:c r="E10" s="40" t="n">
        <x:f>E9/'Total Revenue'!E11</x:f>
        <x:v>0.18766779915121018</x:v>
      </x:c>
      <x:c r="F10" s="40" t="n">
        <x:f>F9/'Total Revenue'!F11</x:f>
        <x:v>0.1827322213861433</x:v>
      </x:c>
      <x:c r="G10" s="40" t="n">
        <x:f>G9/'Total Revenue'!G11</x:f>
        <x:v>0.1787837591740899</x:v>
      </x:c>
      <x:c r="H10" s="40" t="n">
        <x:f>H9/'Total Revenue'!H11</x:f>
        <x:v>0.17562498940444707</x:v>
      </x:c>
    </x:row>
  </x:sheetData>
  <x:mergeCells>
    <x:mergeCell ref="A1:H1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DCF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Free Cash Flow</x:v>
      </x:c>
      <x:c r="B4" t="n">
        <x:f>'Cash Flow'!B9</x:f>
        <x:v>5076.717456846153</x:v>
      </x:c>
      <x:c r="C4" t="n">
        <x:f>'Cash Flow'!C9</x:f>
        <x:v>4844.988706846153</x:v>
      </x:c>
      <x:c r="D4" t="n">
        <x:f>'Cash Flow'!D9</x:f>
        <x:v>4659.605706846153</x:v>
      </x:c>
      <x:c r="E4" t="n">
        <x:f>'Cash Flow'!E9</x:f>
        <x:v>4511.299306846154</x:v>
      </x:c>
      <x:c r="F4" t="n">
        <x:f>'Cash Flow'!F9</x:f>
        <x:v>4392.654186846153</x:v>
      </x:c>
      <x:c r="G4" t="n">
        <x:f>'Cash Flow'!G9</x:f>
        <x:v>4297.738090846154</x:v>
      </x:c>
      <x:c r="H4" t="n">
        <x:f>'Cash Flow'!H9</x:f>
        <x:v>4221.805214046152</x:v>
      </x:c>
    </x:row>
    <x:row r="5">
      <x:c r="A5" t="str">
        <x:v>Discount Period</x:v>
      </x:c>
      <x:c r="B5" t="n">
        <x:v>1</x:v>
      </x:c>
      <x:c r="C5" t="n">
        <x:v>2</x:v>
      </x:c>
      <x:c r="D5" t="n">
        <x:v>3</x:v>
      </x:c>
      <x:c r="E5" t="n">
        <x:v>4</x:v>
      </x:c>
      <x:c r="F5" t="n">
        <x:v>5</x:v>
      </x:c>
      <x:c r="G5" t="n">
        <x:v>6</x:v>
      </x:c>
      <x:c r="H5" t="n">
        <x:v>7</x:v>
      </x:c>
    </x:row>
    <x:row r="6">
      <x:c r="A6" t="str">
        <x:v>Discount Factor</x:v>
      </x:c>
      <x:c r="B6" t="n">
        <x:f>1/(1+'Control'!B59)^B5</x:f>
        <x:v>0.9174311926605504</x:v>
      </x:c>
      <x:c r="C6" t="n">
        <x:f>1/(1+'Control'!B59)^C5</x:f>
        <x:v>0.84167999326656</x:v>
      </x:c>
      <x:c r="D6" t="n">
        <x:f>1/(1+'Control'!B59)^D5</x:f>
        <x:v>0.7721834800610642</x:v>
      </x:c>
      <x:c r="E6" t="n">
        <x:f>1/(1+'Control'!B59)^E5</x:f>
        <x:v>0.7084252110651964</x:v>
      </x:c>
      <x:c r="F6" t="n">
        <x:f>1/(1+'Control'!B59)^F5</x:f>
        <x:v>0.6499313862983452</x:v>
      </x:c>
      <x:c r="G6" t="n">
        <x:f>1/(1+'Control'!B59)^G5</x:f>
        <x:v>0.5962673268792158</x:v>
      </x:c>
      <x:c r="H6" t="n">
        <x:f>1/(1+'Control'!B59)^H5</x:f>
        <x:v>0.5470342448433173</x:v>
      </x:c>
    </x:row>
    <x:row r="7">
      <x:c r="A7" t="str">
        <x:v>Present Value of FCF</x:v>
      </x:c>
      <x:c r="B7" t="n">
        <x:f>B4*B6</x:f>
        <x:v>4657.538951235003</x:v>
      </x:c>
      <x:c r="C7" t="n">
        <x:f>C4*C6</x:f>
        <x:v>4077.930062154829</x:v>
      </x:c>
      <x:c r="D7" t="n">
        <x:f>D4*D6</x:f>
        <x:v>3598.0705504248576</x:v>
      </x:c>
      <x:c r="E7" t="n">
        <x:f>E4*E6</x:f>
        <x:v>3195.918163630761</x:v>
      </x:c>
      <x:c r="F7" t="n">
        <x:f>F4*F6</x:f>
        <x:v>2854.92382518615</x:v>
      </x:c>
      <x:c r="G7" t="n">
        <x:f>G4*G6</x:f>
        <x:v>2562.6008030558205</x:v>
      </x:c>
      <x:c r="H7" t="n">
        <x:f>H4*H6</x:f>
        <x:v>2309.4720271413166</x:v>
      </x:c>
    </x:row>
    <x:row r="8">
      <x:c r="A8" t="str">
        <x:v>Terminal FCF</x:v>
      </x:c>
      <x:c r="B8"/>
      <x:c r="C8"/>
      <x:c r="D8"/>
      <x:c r="E8"/>
      <x:c r="F8"/>
      <x:c r="G8"/>
      <x:c r="H8" t="n">
        <x:f>H4*(1+'Control'!H60)</x:f>
        <x:v>4348.459370467537</x:v>
      </x:c>
    </x:row>
    <x:row r="9">
      <x:c r="A9" t="str">
        <x:v>Terminal Value</x:v>
      </x:c>
      <x:c r="B9"/>
      <x:c r="C9"/>
      <x:c r="D9"/>
      <x:c r="E9"/>
      <x:c r="F9"/>
      <x:c r="G9"/>
      <x:c r="H9" t="n">
        <x:f>H8/('Control'!H59-'Control'!H60)</x:f>
        <x:v>72474.32284112563</x:v>
      </x:c>
    </x:row>
    <x:row r="10">
      <x:c r="A10" t="str">
        <x:v>PV Terminal Value</x:v>
      </x:c>
      <x:c r="B10"/>
      <x:c r="C10"/>
      <x:c r="D10"/>
      <x:c r="E10"/>
      <x:c r="F10"/>
      <x:c r="G10"/>
      <x:c r="H10" t="n">
        <x:f>H9*H6</x:f>
        <x:v>39645.93646592594</x:v>
      </x:c>
    </x:row>
    <x:row r="11">
      <x:c r="A11" t="str">
        <x:v>Enterprise Value</x:v>
      </x:c>
      <x:c r="B11" t="n">
        <x:f>SUM(B7:H7)+H10</x:f>
        <x:v>62902.39084875468</x:v>
      </x:c>
    </x:row>
    <x:row r="12">
      <x:c r="A12" t="str">
        <x:v>Net Cash</x:v>
      </x:c>
      <x:c r="B12" t="n">
        <x:f>'Control'!B62</x:f>
        <x:v>100</x:v>
      </x:c>
    </x:row>
    <x:row r="13">
      <x:c r="A13" t="str">
        <x:v>Equity Value</x:v>
      </x:c>
      <x:c r="B13" t="n">
        <x:f>B11+B12</x:f>
        <x:v>63002.39084875468</x:v>
      </x:c>
    </x:row>
    <x:row r="14">
      <x:c r="A14" t="str">
        <x:v>Diluted Shares</x:v>
      </x:c>
      <x:c r="B14" t="n">
        <x:f>'Control'!B61</x:f>
        <x:v>24500</x:v>
      </x:c>
    </x:row>
    <x:row r="15">
      <x:c r="A15" t="str">
        <x:v>Implied Share Price</x:v>
      </x:c>
      <x:c r="B15" t="n">
        <x:f>B13/B14</x:f>
        <x:v>2.571526157092028</x:v>
      </x:c>
    </x:row>
    <x:row r="16">
      <x:c r="A16" t="str">
        <x:v>Current Share Price</x:v>
      </x:c>
      <x:c r="B16" t="n">
        <x:f>'Control'!B63</x:f>
        <x:v>100</x:v>
      </x:c>
    </x:row>
    <x:row r="17">
      <x:c r="A17" t="str">
        <x:v>Upside / Downside</x:v>
      </x:c>
      <x:c r="B17" s="40" t="n">
        <x:f>IFERROR(B15/B16-1,0)</x:f>
        <x:v>-0.9742847384290797</x:v>
      </x:c>
      <x:c r="C17" s="40"/>
      <x:c r="D17" s="40"/>
      <x:c r="E17" s="40"/>
      <x:c r="F17" s="40"/>
      <x:c r="G17" s="40"/>
      <x:c r="H17" s="40"/>
    </x:row>
  </x:sheetData>
  <x:mergeCells>
    <x:mergeCell ref="A1:H1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Trading Comps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Company</x:v>
      </x:c>
      <x:c r="B4" t="str">
        <x:v>Ticker</x:v>
      </x:c>
      <x:c r="C4" t="str">
        <x:v>Revenue</x:v>
      </x:c>
      <x:c r="D4" t="str">
        <x:v>EBIT</x:v>
      </x:c>
      <x:c r="E4" t="str">
        <x:v>Market Cap</x:v>
      </x:c>
      <x:c r="F4" t="str">
        <x:v>Enterprise Value</x:v>
      </x:c>
      <x:c r="G4" t="str">
        <x:v>EV / Revenue</x:v>
      </x:c>
      <x:c r="H4" t="str">
        <x:v>EV / EBIT</x:v>
      </x:c>
    </x:row>
    <x:row r="5">
      <x:c r="A5" t="str">
        <x:v>NVIDIA</x:v>
      </x:c>
      <x:c r="B5" t="str">
        <x:v>NVDA</x:v>
      </x:c>
      <x:c r="C5"/>
      <x:c r="D5"/>
      <x:c r="E5"/>
      <x:c r="F5"/>
      <x:c r="G5" s="46" t="n">
        <x:f>IFERROR(F5/C5,0)</x:f>
        <x:v>0</x:v>
      </x:c>
      <x:c r="H5" s="46" t="n">
        <x:f>IFERROR(F5/D5,0)</x:f>
        <x:v>0</x:v>
      </x:c>
    </x:row>
    <x:row r="6">
      <x:c r="A6" t="str">
        <x:v>AMD</x:v>
      </x:c>
      <x:c r="B6" t="str">
        <x:v>AMD</x:v>
      </x:c>
      <x:c r="C6"/>
      <x:c r="D6"/>
      <x:c r="E6"/>
      <x:c r="F6"/>
      <x:c r="G6" s="46" t="n">
        <x:f>IFERROR(F6/C6,0)</x:f>
        <x:v>0</x:v>
      </x:c>
      <x:c r="H6" s="46" t="n">
        <x:f>IFERROR(F6/D6,0)</x:f>
        <x:v>0</x:v>
      </x:c>
    </x:row>
    <x:row r="7">
      <x:c r="A7" t="str">
        <x:v>Broadcom</x:v>
      </x:c>
      <x:c r="B7" t="str">
        <x:v>AVGO</x:v>
      </x:c>
      <x:c r="C7"/>
      <x:c r="D7"/>
      <x:c r="E7"/>
      <x:c r="F7"/>
      <x:c r="G7" s="46" t="n">
        <x:f>IFERROR(F7/C7,0)</x:f>
        <x:v>0</x:v>
      </x:c>
      <x:c r="H7" s="46" t="n">
        <x:f>IFERROR(F7/D7,0)</x:f>
        <x:v>0</x:v>
      </x:c>
    </x:row>
    <x:row r="8">
      <x:c r="A8" t="str">
        <x:v>Marvell</x:v>
      </x:c>
      <x:c r="B8" t="str">
        <x:v>MRVL</x:v>
      </x:c>
      <x:c r="C8"/>
      <x:c r="D8"/>
      <x:c r="E8"/>
      <x:c r="F8"/>
      <x:c r="G8" s="46" t="n">
        <x:f>IFERROR(F8/C8,0)</x:f>
        <x:v>0</x:v>
      </x:c>
      <x:c r="H8" s="46" t="n">
        <x:f>IFERROR(F8/D8,0)</x:f>
        <x:v>0</x:v>
      </x:c>
    </x:row>
    <x:row r="9">
      <x:c r="A9" t="str">
        <x:v>Intel</x:v>
      </x:c>
      <x:c r="B9" t="str">
        <x:v>INTC</x:v>
      </x:c>
      <x:c r="C9"/>
      <x:c r="D9"/>
      <x:c r="E9"/>
      <x:c r="F9"/>
      <x:c r="G9" s="46" t="n">
        <x:f>IFERROR(F9/C9,0)</x:f>
        <x:v>0</x:v>
      </x:c>
      <x:c r="H9" s="46" t="n">
        <x:f>IFERROR(F9/D9,0)</x:f>
        <x:v>0</x:v>
      </x:c>
    </x:row>
    <x:row r="10">
      <x:c r="A10" t="str">
        <x:v>Arm</x:v>
      </x:c>
      <x:c r="B10" t="str">
        <x:v>ARM</x:v>
      </x:c>
      <x:c r="C10"/>
      <x:c r="D10"/>
      <x:c r="E10"/>
      <x:c r="F10"/>
      <x:c r="G10" s="46" t="n">
        <x:f>IFERROR(F10/C10,0)</x:f>
        <x:v>0</x:v>
      </x:c>
      <x:c r="H10" s="46" t="n">
        <x:f>IFERROR(F10/D10,0)</x:f>
        <x:v>0</x:v>
      </x:c>
    </x:row>
    <x:row r="11">
      <x:c r="A11" t="str">
        <x:v>Median</x:v>
      </x:c>
      <x:c r="B11" t="str"/>
      <x:c r="C11"/>
      <x:c r="D11"/>
      <x:c r="E11"/>
      <x:c r="F11"/>
      <x:c r="G11" s="46" t="n">
        <x:f>IFERROR(F11/C11,0)</x:f>
        <x:v>0</x:v>
      </x:c>
      <x:c r="H11" s="46" t="n">
        <x:f>IFERROR(F11/D11,0)</x:f>
        <x:v>0</x:v>
      </x:c>
    </x:row>
    <x:row r="12">
      <x:c r="A12" t="str">
        <x:v>Mean</x:v>
      </x:c>
      <x:c r="B12" t="str"/>
      <x:c r="C12" t="n">
        <x:f>IFERROR(AVERAGE(C5:C11),0)</x:f>
        <x:v>0</x:v>
      </x:c>
      <x:c r="D12" t="n">
        <x:f>IFERROR(AVERAGE(D5:D11),0)</x:f>
        <x:v>0</x:v>
      </x:c>
      <x:c r="E12" t="n">
        <x:f>IFERROR(AVERAGE(E5:E11),0)</x:f>
        <x:v>0</x:v>
      </x:c>
      <x:c r="F12" t="n">
        <x:f>IFERROR(AVERAGE(F5:F11),0)</x:f>
        <x:v>0</x:v>
      </x:c>
      <x:c r="G12" s="46" t="n">
        <x:f>AVERAGE(G5:G11)</x:f>
        <x:v>0</x:v>
      </x:c>
      <x:c r="H12" s="46" t="n">
        <x:f>AVERAGE(H5:H11)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Scenario Output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Scenario</x:v>
      </x:c>
      <x:c r="B4" t="str">
        <x:v>Implied Share Price</x:v>
      </x:c>
      <x:c r="C4" t="str">
        <x:v>Upside / Downside</x:v>
      </x:c>
      <x:c r="D4" t="str">
        <x:v>Enterprise Value</x:v>
      </x:c>
    </x:row>
    <x:row r="5">
      <x:c r="A5" t="str">
        <x:v>Bear</x:v>
      </x:c>
      <x:c r="B5" t="n">
        <x:f>'DCF'!B15</x:f>
        <x:v>2.571526157092028</x:v>
      </x:c>
      <x:c r="C5" t="n">
        <x:f>'DCF'!B17</x:f>
        <x:v>-0.9742847384290797</x:v>
      </x:c>
      <x:c r="D5" t="n">
        <x:f>'DCF'!B11</x:f>
        <x:v>62902.39084875468</x:v>
      </x:c>
    </x:row>
    <x:row r="6">
      <x:c r="A6" t="str">
        <x:v>Base</x:v>
      </x:c>
      <x:c r="B6" t="n">
        <x:f>'DCF'!B15</x:f>
        <x:v>2.571526157092028</x:v>
      </x:c>
      <x:c r="C6" t="n">
        <x:f>'DCF'!B17</x:f>
        <x:v>-0.9742847384290797</x:v>
      </x:c>
      <x:c r="D6" t="n">
        <x:f>'DCF'!B11</x:f>
        <x:v>62902.39084875468</x:v>
      </x:c>
    </x:row>
    <x:row r="7">
      <x:c r="A7" t="str">
        <x:v>Bull</x:v>
      </x:c>
      <x:c r="B7" t="n">
        <x:f>'DCF'!B15</x:f>
        <x:v>2.571526157092028</x:v>
      </x:c>
      <x:c r="C7" t="n">
        <x:f>'DCF'!B17</x:f>
        <x:v>-0.9742847384290797</x:v>
      </x:c>
      <x:c r="D7" t="n">
        <x:f>'DCF'!B11</x:f>
        <x:v>62902.39084875468</x:v>
      </x:c>
    </x:row>
    <x:row r="8">
      <x:c r="A8" t="str">
        <x:v>Selected</x:v>
      </x:c>
      <x:c r="B8" t="n">
        <x:f>'DCF'!B15</x:f>
        <x:v>2.571526157092028</x:v>
      </x:c>
      <x:c r="C8" t="n">
        <x:f>'DCF'!B17</x:f>
        <x:v>-0.9742847384290797</x:v>
      </x:c>
      <x:c r="D8" t="n">
        <x:f>'DCF'!B11</x:f>
        <x:v>62902.39084875468</x:v>
      </x:c>
    </x:row>
  </x:sheetData>
  <x:mergeCells>
    <x:mergeCell ref="A1:H1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Sensitivity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Terminal Growth / Discount Rate</x:v>
      </x:c>
      <x:c r="B4" t="n">
        <x:v>0.08</x:v>
      </x:c>
      <x:c r="C4" t="n">
        <x:v>0.09</x:v>
      </x:c>
      <x:c r="D4" t="n">
        <x:v>0.1</x:v>
      </x:c>
      <x:c r="E4" t="n">
        <x:v>0.11</x:v>
      </x:c>
      <x:c r="F4" t="n">
        <x:v>0.12</x:v>
      </x:c>
    </x:row>
    <x:row r="5">
      <x:c r="A5" t="n">
        <x:v>0.01</x:v>
      </x:c>
      <x:c r="B5" t="n">
        <x:f>'Cash Flow'!H9*(1+$A5)/(B$4-$A5)/(1+B$4)^7</x:f>
        <x:v>35543.09458563089</x:v>
      </x:c>
      <x:c r="C5" t="n">
        <x:f>'Cash Flow'!H9*(1+$A5)/(C$4-$A5)/(1+C$4)^7</x:f>
        <x:v>29157.08434265912</x:v>
      </x:c>
      <x:c r="D5" t="n">
        <x:f>'Cash Flow'!H9*(1+$A5)/(D$4-$A5)/(1+D$4)^7</x:f>
        <x:v>24312.42394853637</x:v>
      </x:c>
      <x:c r="E5" t="n">
        <x:f>'Cash Flow'!H9*(1+$A5)/(E$4-$A5)/(1+E$4)^7</x:f>
        <x:v>20538.026703928568</x:v>
      </x:c>
      <x:c r="F5" t="n">
        <x:f>'Cash Flow'!H9*(1+$A5)/(F$4-$A5)/(1+F$4)^7</x:f>
        <x:v>17534.796169434296</x:v>
      </x:c>
    </x:row>
    <x:row r="6">
      <x:c r="A6" t="n">
        <x:v>0.02</x:v>
      </x:c>
      <x:c r="B6" t="n">
        <x:f>'Cash Flow'!H9*(1+$A6)/(B$4-$A6)/(1+B$4)^7</x:f>
        <x:v>41877.50748207996</x:v>
      </x:c>
      <x:c r="C6" t="n">
        <x:f>'Cash Flow'!H9*(1+$A6)/(C$4-$A6)/(1+C$4)^7</x:f>
        <x:v>33652.30668120204</x:v>
      </x:c>
      <x:c r="D6" t="n">
        <x:f>'Cash Flow'!H9*(1+$A6)/(D$4-$A6)/(1+D$4)^7</x:f>
        <x:v>27622.283644500483</x:v>
      </x:c>
      <x:c r="E6" t="n">
        <x:f>'Cash Flow'!H9*(1+$A6)/(E$4-$A6)/(1+E$4)^7</x:f>
        <x:v>23045.97055886374</x:v>
      </x:c>
      <x:c r="F6" t="n">
        <x:f>'Cash Flow'!H9*(1+$A6)/(F$4-$A6)/(1+F$4)^7</x:f>
        <x:v>19479.248813965623</x:v>
      </x:c>
    </x:row>
    <x:row r="7">
      <x:c r="A7" t="n">
        <x:v>0.03</x:v>
      </x:c>
      <x:c r="B7" t="n">
        <x:f>'Cash Flow'!H9*(1+$A7)/(B$4-$A7)/(1+B$4)^7</x:f>
        <x:v>50745.68553710866</x:v>
      </x:c>
      <x:c r="C7" t="n">
        <x:f>'Cash Flow'!H9*(1+$A7)/(C$4-$A7)/(1+C$4)^7</x:f>
        <x:v>39645.93646592594</x:v>
      </x:c>
      <x:c r="D7" t="n">
        <x:f>'Cash Flow'!H9*(1+$A7)/(D$4-$A7)/(1+D$4)^7</x:f>
        <x:v>31877.817539311476</x:v>
      </x:c>
      <x:c r="E7" t="n">
        <x:f>'Cash Flow'!H9*(1+$A7)/(E$4-$A7)/(1+E$4)^7</x:f>
        <x:v>26180.900377532704</x:v>
      </x:c>
      <x:c r="F7" t="n">
        <x:f>'Cash Flow'!H9*(1+$A7)/(F$4-$A7)/(1+F$4)^7</x:f>
        <x:v>21855.80204617058</x:v>
      </x:c>
    </x:row>
    <x:row r="8">
      <x:c r="A8" t="n">
        <x:v>0.04</x:v>
      </x:c>
      <x:c r="B8" t="n">
        <x:f>'Cash Flow'!H9*(1+$A8)/(B$4-$A8)/(1+B$4)^7</x:f>
        <x:v>64047.9526196517</x:v>
      </x:c>
      <x:c r="C8" t="n">
        <x:f>'Cash Flow'!H9*(1+$A8)/(C$4-$A8)/(1+C$4)^7</x:f>
        <x:v>48037.01816453939</x:v>
      </x:c>
      <x:c r="D8" t="n">
        <x:f>'Cash Flow'!H9*(1+$A8)/(D$4-$A8)/(1+D$4)^7</x:f>
        <x:v>37551.86273239281</x:v>
      </x:c>
      <x:c r="E8" t="n">
        <x:f>'Cash Flow'!H9*(1+$A8)/(E$4-$A8)/(1+E$4)^7</x:f>
        <x:v>30211.524430107085</x:v>
      </x:c>
      <x:c r="F8" t="n">
        <x:f>'Cash Flow'!H9*(1+$A8)/(F$4-$A8)/(1+F$4)^7</x:f>
        <x:v>24826.493586426775</x:v>
      </x:c>
    </x:row>
    <x:row r="9">
      <x:c r="A9" t="n">
        <x:v>0.05</x:v>
      </x:c>
      <x:c r="B9" t="n">
        <x:f>'Cash Flow'!H9*(1+$A9)/(B$4-$A9)/(1+B$4)^7</x:f>
        <x:v>86218.39775722346</x:v>
      </x:c>
      <x:c r="C9" t="n">
        <x:f>'Cash Flow'!H9*(1+$A9)/(C$4-$A9)/(1+C$4)^7</x:f>
        <x:v>60623.64071245957</x:v>
      </x:c>
      <x:c r="D9" t="n">
        <x:f>'Cash Flow'!H9*(1+$A9)/(D$4-$A9)/(1+D$4)^7</x:f>
        <x:v>45495.52600270668</x:v>
      </x:c>
      <x:c r="E9" t="n">
        <x:f>'Cash Flow'!H9*(1+$A9)/(E$4-$A9)/(1+E$4)^7</x:f>
        <x:v>35585.6898335396</x:v>
      </x:c>
      <x:c r="F9" t="n">
        <x:f>'Cash Flow'!H9*(1+$A9)/(F$4-$A9)/(1+F$4)^7</x:f>
        <x:v>28645.954138184745</x:v>
      </x:c>
    </x:row>
    <x:row r="10">
      <x:c r="A10" t="str">
        <x:v>Formula uses terminal year FCF</x:v>
      </x:c>
      <x:c r="B10"/>
      <x:c r="C10"/>
      <x:c r="D10"/>
      <x:c r="E10"/>
      <x:c r="F10"/>
    </x:row>
  </x:sheetData>
  <x:mergeCells>
    <x:mergeCell ref="A1:H1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Checks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s="7" t="str">
        <x:v>Check</x:v>
      </x:c>
      <x:c r="B4" s="7" t="str">
        <x:v>Formula</x:v>
      </x:c>
      <x:c r="C4" s="7" t="str">
        <x:v>Status</x:v>
      </x:c>
    </x:row>
    <x:row r="5">
      <x:c r="A5" t="str">
        <x:v>Balance sheet balances</x:v>
      </x:c>
      <x:c r="B5" t="str">
        <x:v>Balance Sheet row 14 equals zero</x:v>
      </x:c>
      <x:c r="C5" t="str">
        <x:f>IF(ABS('Balance Sheet'!H14)&lt;1,"OK","Check")</x:f>
        <x:v>OK</x:v>
      </x:c>
    </x:row>
    <x:row r="6">
      <x:c r="A6" t="str">
        <x:v>Wafer capacity not negative</x:v>
      </x:c>
      <x:c r="B6" t="str">
        <x:v>Wafer Supply row 8 greater than or equal to zero</x:v>
      </x:c>
      <x:c r="C6" t="str">
        <x:f>IF('Wafer Supply'!H8&gt;=0,"OK","Deficit")</x:f>
        <x:v>Deficit</x:v>
      </x:c>
    </x:row>
    <x:row r="7">
      <x:c r="A7" t="str">
        <x:v>Gross margin valid</x:v>
      </x:c>
      <x:c r="B7" t="str">
        <x:v>Income Statement row 7 between 0 and 100%</x:v>
      </x:c>
      <x:c r="C7" t="str">
        <x:f>IF(AND('Income Statement'!H7&gt;0,'Income Statement'!H7&lt;1),"OK","Check")</x:f>
        <x:v>OK</x:v>
      </x:c>
    </x:row>
    <x:row r="8">
      <x:c r="A8" t="str">
        <x:v>Discount spread positive</x:v>
      </x:c>
      <x:c r="B8" t="str">
        <x:v>Discount rate greater than terminal growth</x:v>
      </x:c>
      <x:c r="C8" t="str">
        <x:f>IF('Control'!H59&gt;'Control'!H60,"OK","Check")</x:f>
        <x:v>OK</x:v>
      </x:c>
    </x:row>
    <x:row r="9">
      <x:c r="A9" t="str">
        <x:v>DCF share count positive</x:v>
      </x:c>
      <x:c r="B9" t="str">
        <x:v>Shares greater than zero</x:v>
      </x:c>
      <x:c r="C9" t="str">
        <x:f>IF('Control'!B61&gt;0,"OK","Check")</x:f>
        <x:v>OK</x:v>
      </x:c>
    </x:row>
    <x:row r="10">
      <x:c r="A10" t="str">
        <x:v>Revenue positive</x:v>
      </x:c>
      <x:c r="B10" t="str">
        <x:v>Revenue greater than zero</x:v>
      </x:c>
      <x:c r="C10" t="str">
        <x:f>IF('Total Revenue'!H11&gt;0,"OK","Check")</x:f>
        <x:v>OK</x:v>
      </x:c>
    </x:row>
    <x:row r="11">
      <x:c r="A11" t="str">
        <x:v>No negative FCF warning</x:v>
      </x:c>
      <x:c r="B11" t="str">
        <x:v>Free cash flow positive in terminal year</x:v>
      </x:c>
      <x:c r="C11" t="str">
        <x:f>IF('Cash Flow'!H9&gt;0,"OK","Warning")</x:f>
        <x:v>OK</x:v>
      </x:c>
    </x:row>
    <x:row r="12">
      <x:c r="A12" t="str">
        <x:v>Working capital linked</x:v>
      </x:c>
      <x:c r="B12" t="str">
        <x:v>Change in NOWC tied to balance sheet</x:v>
      </x:c>
      <x:c r="C12" t="str">
        <x:f>IF(ABS('Working Capital'!H10-('Working Capital'!H9-'Working Capital'!G9))&lt;1,"OK","Check")</x:f>
        <x:v>OK</x:v>
      </x:c>
    </x:row>
  </x:sheetData>
  <x:mergeCells>
    <x:mergeCell ref="A1:H1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Sources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s="7" t="str">
        <x:v>Source Area</x:v>
      </x:c>
      <x:c r="B4" s="7" t="str">
        <x:v>How to update</x:v>
      </x:c>
      <x:c r="C4" s="7" t="str">
        <x:v>Primary URL</x:v>
      </x:c>
    </x:row>
    <x:row r="5">
      <x:c r="A5" t="str">
        <x:v>NVIDIA filings</x:v>
      </x:c>
      <x:c r="B5" t="str">
        <x:v>Use latest Form 10-K and 10-Q for historical segment revenue, margins, cash flow, share count, inventory, and commitments.</x:v>
      </x:c>
      <x:c r="C5" t="str">
        <x:v>https://investor.nvidia.com/financial-info/sec-filings/default.aspx</x:v>
      </x:c>
    </x:row>
    <x:row r="6">
      <x:c r="A6" t="str">
        <x:v>NVIDIA investor relations</x:v>
      </x:c>
      <x:c r="B6" t="str">
        <x:v>Use quarterly earnings releases and CFO commentary for current revenue and margin drivers.</x:v>
      </x:c>
      <x:c r="C6" t="str">
        <x:v>https://investor.nvidia.com/financial-info/quarterly-results/default.aspx</x:v>
      </x:c>
    </x:row>
    <x:row r="7">
      <x:c r="A7" t="str">
        <x:v>TSMC</x:v>
      </x:c>
      <x:c r="B7" t="str">
        <x:v>Use annual report and monthly sales for foundry capacity context.</x:v>
      </x:c>
      <x:c r="C7" t="str">
        <x:v>https://investor.tsmc.com/english/annual-reports</x:v>
      </x:c>
    </x:row>
    <x:row r="8">
      <x:c r="A8" t="str">
        <x:v>SK hynix</x:v>
      </x:c>
      <x:c r="B8" t="str">
        <x:v>Use HBM supply commentary and annual reports.</x:v>
      </x:c>
      <x:c r="C8" t="str">
        <x:v>https://www.skhynix.com/ir/UI-FR-IR60</x:v>
      </x:c>
    </x:row>
    <x:row r="9">
      <x:c r="A9" t="str">
        <x:v>Micron</x:v>
      </x:c>
      <x:c r="B9" t="str">
        <x:v>Use HBM supply commentary and annual reports.</x:v>
      </x:c>
      <x:c r="C9" t="str">
        <x:v>https://investors.micron.com/financial-information/annual-reports</x:v>
      </x:c>
    </x:row>
    <x:row r="10">
      <x:c r="A10" t="str">
        <x:v>Samsung Electronics</x:v>
      </x:c>
      <x:c r="B10" t="str">
        <x:v>Use memory semiconductor commentary and annual reports.</x:v>
      </x:c>
      <x:c r="C10" t="str">
        <x:v>https://www.samsung.com/global/ir/reports-disclosures/business-report/</x:v>
      </x:c>
    </x:row>
    <x:row r="11">
      <x:c r="A11" t="str">
        <x:v>ASE / Amkor</x:v>
      </x:c>
      <x:c r="B11" t="str">
        <x:v>Use advanced packaging capacity disclosures and annual reports.</x:v>
      </x:c>
      <x:c r="C11" t="str">
        <x:v>https://ir.amkor.com/financial-information/annual-reports</x:v>
      </x:c>
    </x:row>
  </x:sheetData>
  <x:mergeCells>
    <x:mergeCell ref="A1:H1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Valuation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2">
      <x:c r="A2" s="8" t="str">
        <x:v>$mm except per-unit, units, percentages</x:v>
      </x:c>
      <x:c r="B2" s="8" t="n">
        <x:v>2026</x:v>
      </x:c>
      <x:c r="C2" s="8" t="n">
        <x:v>2027</x:v>
      </x:c>
      <x:c r="D2" s="8" t="n">
        <x:v>2028</x:v>
      </x:c>
      <x:c r="E2" s="8" t="n">
        <x:v>2029</x:v>
      </x:c>
      <x:c r="F2" s="8" t="n">
        <x:v>2030</x:v>
      </x:c>
      <x:c r="G2" s="8" t="n">
        <x:v>2031</x:v>
      </x:c>
      <x:c r="H2" s="8" t="n">
        <x:v>2032</x:v>
      </x:c>
    </x:row>
    <x:row r="4">
      <x:c r="A4" t="str">
        <x:v>Revenue</x:v>
      </x:c>
      <x:c r="B4" t="n">
        <x:f>'Total Revenue'!B11</x:f>
        <x:v>24038.75</x:v>
      </x:c>
      <x:c r="C4" t="n">
        <x:f>'Total Revenue'!C11</x:f>
        <x:v>24038.75</x:v>
      </x:c>
      <x:c r="D4" t="n">
        <x:f>'Total Revenue'!D11</x:f>
        <x:v>24038.75</x:v>
      </x:c>
      <x:c r="E4" t="n">
        <x:f>'Total Revenue'!E11</x:f>
        <x:v>24038.75</x:v>
      </x:c>
      <x:c r="F4" t="n">
        <x:f>'Total Revenue'!F11</x:f>
        <x:v>24038.75</x:v>
      </x:c>
      <x:c r="G4" t="n">
        <x:f>'Total Revenue'!G11</x:f>
        <x:v>24038.75</x:v>
      </x:c>
      <x:c r="H4" t="n">
        <x:f>'Total Revenue'!H11</x:f>
        <x:v>24038.75</x:v>
      </x:c>
    </x:row>
    <x:row r="5">
      <x:c r="A5" t="str">
        <x:v>Revenue Growth</x:v>
      </x:c>
      <x:c r="B5" s="40"/>
      <x:c r="C5" s="40" t="n">
        <x:f>C4/B4-1</x:f>
        <x:v>0</x:v>
      </x:c>
      <x:c r="D5" s="40" t="n">
        <x:f>D4/C4-1</x:f>
        <x:v>0</x:v>
      </x:c>
      <x:c r="E5" s="40" t="n">
        <x:f>E4/D4-1</x:f>
        <x:v>0</x:v>
      </x:c>
      <x:c r="F5" s="40" t="n">
        <x:f>F4/E4-1</x:f>
        <x:v>0</x:v>
      </x:c>
      <x:c r="G5" s="40" t="n">
        <x:f>G4/F4-1</x:f>
        <x:v>0</x:v>
      </x:c>
      <x:c r="H5" s="40" t="n">
        <x:f>H4/G4-1</x:f>
        <x:v>0</x:v>
      </x:c>
    </x:row>
    <x:row r="6">
      <x:c r="A6" t="str">
        <x:v>Gross Margin</x:v>
      </x:c>
      <x:c r="B6" s="40" t="n">
        <x:f>'Income Statement'!B7</x:f>
        <x:v>0.37504695332456006</x:v>
      </x:c>
      <x:c r="C6" s="40" t="n">
        <x:f>'Income Statement'!C7</x:f>
        <x:v>0.37504695332456006</x:v>
      </x:c>
      <x:c r="D6" s="40" t="n">
        <x:f>'Income Statement'!D7</x:f>
        <x:v>0.37504695332456006</x:v>
      </x:c>
      <x:c r="E6" s="40" t="n">
        <x:f>'Income Statement'!E7</x:f>
        <x:v>0.37504695332456006</x:v>
      </x:c>
      <x:c r="F6" s="40" t="n">
        <x:f>'Income Statement'!F7</x:f>
        <x:v>0.37504695332456006</x:v>
      </x:c>
      <x:c r="G6" s="40" t="n">
        <x:f>'Income Statement'!G7</x:f>
        <x:v>0.37504695332456006</x:v>
      </x:c>
      <x:c r="H6" s="40" t="n">
        <x:f>'Income Statement'!H7</x:f>
        <x:v>0.37504695332456006</x:v>
      </x:c>
    </x:row>
    <x:row r="7">
      <x:c r="A7" t="str">
        <x:v>EBIT Margin</x:v>
      </x:c>
      <x:c r="B7" s="40" t="n">
        <x:f>'Income Statement'!B13</x:f>
        <x:v>0.12704695332456006</x:v>
      </x:c>
      <x:c r="C7" s="40" t="n">
        <x:f>'Income Statement'!C13</x:f>
        <x:v>0.12704695332456006</x:v>
      </x:c>
      <x:c r="D7" s="40" t="n">
        <x:f>'Income Statement'!D13</x:f>
        <x:v>0.12704695332456006</x:v>
      </x:c>
      <x:c r="E7" s="40" t="n">
        <x:f>'Income Statement'!E13</x:f>
        <x:v>0.12704695332456006</x:v>
      </x:c>
      <x:c r="F7" s="40" t="n">
        <x:f>'Income Statement'!F13</x:f>
        <x:v>0.12704695332456006</x:v>
      </x:c>
      <x:c r="G7" s="40" t="n">
        <x:f>'Income Statement'!G13</x:f>
        <x:v>0.12704695332456006</x:v>
      </x:c>
      <x:c r="H7" s="40" t="n">
        <x:f>'Income Statement'!H13</x:f>
        <x:v>0.12704695332456006</x:v>
      </x:c>
    </x:row>
    <x:row r="8">
      <x:c r="A8" t="str">
        <x:v>FCF Margin</x:v>
      </x:c>
      <x:c r="B8" s="40" t="n">
        <x:f>'Cash Flow'!B10</x:f>
        <x:v>0.21118891193785672</x:v>
      </x:c>
      <x:c r="C8" s="40" t="n">
        <x:f>'Cash Flow'!C10</x:f>
        <x:v>0.20154911161546057</x:v>
      </x:c>
      <x:c r="D8" s="40" t="n">
        <x:f>'Cash Flow'!D10</x:f>
        <x:v>0.1938372713575437</x:v>
      </x:c>
      <x:c r="E8" s="40" t="n">
        <x:f>'Cash Flow'!E10</x:f>
        <x:v>0.18766779915121018</x:v>
      </x:c>
      <x:c r="F8" s="40" t="n">
        <x:f>'Cash Flow'!F10</x:f>
        <x:v>0.1827322213861433</x:v>
      </x:c>
      <x:c r="G8" s="40" t="n">
        <x:f>'Cash Flow'!G10</x:f>
        <x:v>0.1787837591740899</x:v>
      </x:c>
      <x:c r="H8" s="40" t="n">
        <x:f>'Cash Flow'!H10</x:f>
        <x:v>0.17562498940444707</x:v>
      </x:c>
    </x:row>
    <x:row r="9">
      <x:c r="A9" t="str">
        <x:v>Enterprise Value</x:v>
      </x:c>
      <x:c r="B9" t="n">
        <x:f>'DCF'!B11</x:f>
        <x:v>62902.39084875468</x:v>
      </x:c>
      <x:c r="C9" t="n">
        <x:f>'DCF'!B11</x:f>
        <x:v>62902.39084875468</x:v>
      </x:c>
      <x:c r="D9" t="n">
        <x:f>'DCF'!B11</x:f>
        <x:v>62902.39084875468</x:v>
      </x:c>
      <x:c r="E9" t="n">
        <x:f>'DCF'!B11</x:f>
        <x:v>62902.39084875468</x:v>
      </x:c>
      <x:c r="F9" t="n">
        <x:f>'DCF'!B11</x:f>
        <x:v>62902.39084875468</x:v>
      </x:c>
      <x:c r="G9" t="n">
        <x:f>'DCF'!B11</x:f>
        <x:v>62902.39084875468</x:v>
      </x:c>
      <x:c r="H9" t="n">
        <x:f>'DCF'!B11</x:f>
        <x:v>62902.39084875468</x:v>
      </x:c>
    </x:row>
    <x:row r="10">
      <x:c r="A10" t="str">
        <x:v>EV / Revenue</x:v>
      </x:c>
      <x:c r="B10" s="46" t="n">
        <x:f>IFERROR(B9/B4,0)</x:f>
        <x:v>2.616708058811489</x:v>
      </x:c>
      <x:c r="C10" s="46" t="n">
        <x:f>IFERROR(C9/C4,0)</x:f>
        <x:v>2.616708058811489</x:v>
      </x:c>
      <x:c r="D10" s="46" t="n">
        <x:f>IFERROR(D9/D4,0)</x:f>
        <x:v>2.616708058811489</x:v>
      </x:c>
      <x:c r="E10" s="46" t="n">
        <x:f>IFERROR(E9/E4,0)</x:f>
        <x:v>2.616708058811489</x:v>
      </x:c>
      <x:c r="F10" s="46" t="n">
        <x:f>IFERROR(F9/F4,0)</x:f>
        <x:v>2.616708058811489</x:v>
      </x:c>
      <x:c r="G10" s="46" t="n">
        <x:f>IFERROR(G9/G4,0)</x:f>
        <x:v>2.616708058811489</x:v>
      </x:c>
      <x:c r="H10" s="46" t="n">
        <x:f>IFERROR(H9/H4,0)</x:f>
        <x:v>2.616708058811489</x:v>
      </x:c>
    </x:row>
    <x:row r="11">
      <x:c r="A11" t="str">
        <x:v>EV / EBIT</x:v>
      </x:c>
      <x:c r="B11" s="46" t="n">
        <x:f>IFERROR(B9/'Income Statement'!B12,0)</x:f>
        <x:v>20.596385748241634</x:v>
      </x:c>
      <x:c r="C11" s="46" t="n">
        <x:f>IFERROR(C9/'Income Statement'!C12,0)</x:f>
        <x:v>20.596385748241634</x:v>
      </x:c>
      <x:c r="D11" s="46" t="n">
        <x:f>IFERROR(D9/'Income Statement'!D12,0)</x:f>
        <x:v>20.596385748241634</x:v>
      </x:c>
      <x:c r="E11" s="46" t="n">
        <x:f>IFERROR(E9/'Income Statement'!E12,0)</x:f>
        <x:v>20.596385748241634</x:v>
      </x:c>
      <x:c r="F11" s="46" t="n">
        <x:f>IFERROR(F9/'Income Statement'!F12,0)</x:f>
        <x:v>20.596385748241634</x:v>
      </x:c>
      <x:c r="G11" s="46" t="n">
        <x:f>IFERROR(G9/'Income Statement'!G12,0)</x:f>
        <x:v>20.596385748241634</x:v>
      </x:c>
      <x:c r="H11" s="46" t="n">
        <x:f>IFERROR(H9/'Income Statement'!H12,0)</x:f>
        <x:v>20.596385748241634</x:v>
      </x:c>
    </x:row>
    <x:row r="12">
      <x:c r="A12" t="str">
        <x:v>P / FCF</x:v>
      </x:c>
      <x:c r="B12" s="46" t="n">
        <x:f>IFERROR('DCF'!B13/'Cash Flow'!B9,0)</x:f>
        <x:v>12.410064452925871</x:v>
      </x:c>
      <x:c r="C12" s="46" t="n">
        <x:f>IFERROR('DCF'!B13/'Cash Flow'!C9,0)</x:f>
        <x:v>13.003619752452655</x:v>
      </x:c>
      <x:c r="D12" s="46" t="n">
        <x:f>IFERROR('DCF'!B13/'Cash Flow'!D9,0)</x:f>
        <x:v>13.52097040232139</x:v>
      </x:c>
      <x:c r="E12" s="46" t="n">
        <x:f>IFERROR('DCF'!B13/'Cash Flow'!E9,0)</x:f>
        <x:v>13.965464617509408</x:v>
      </x:c>
      <x:c r="F12" s="46" t="n">
        <x:f>IFERROR('DCF'!B13/'Cash Flow'!F9,0)</x:f>
        <x:v>14.342670323882079</x:v>
      </x:c>
      <x:c r="G12" s="46" t="n">
        <x:f>IFERROR('DCF'!B13/'Cash Flow'!G9,0)</x:f>
        <x:v>14.659430034358039</x:v>
      </x:c>
      <x:c r="H12" s="46" t="n">
        <x:f>IFERROR('DCF'!B13/'Cash Flow'!H9,0)</x:f>
        <x:v>14.923092765896126</x:v>
      </x:c>
    </x:row>
    <x:row r="13">
      <x:c r="A13" t="str">
        <x:v>Implied Share Price</x:v>
      </x:c>
      <x:c r="B13" t="n">
        <x:f>'DCF'!B15</x:f>
        <x:v>2.571526157092028</x:v>
      </x:c>
      <x:c r="C13" t="n">
        <x:f>'DCF'!B15</x:f>
        <x:v>2.571526157092028</x:v>
      </x:c>
      <x:c r="D13" t="n">
        <x:f>'DCF'!B15</x:f>
        <x:v>2.571526157092028</x:v>
      </x:c>
      <x:c r="E13" t="n">
        <x:f>'DCF'!B15</x:f>
        <x:v>2.571526157092028</x:v>
      </x:c>
      <x:c r="F13" t="n">
        <x:f>'DCF'!B15</x:f>
        <x:v>2.571526157092028</x:v>
      </x:c>
      <x:c r="G13" t="n">
        <x:f>'DCF'!B15</x:f>
        <x:v>2.571526157092028</x:v>
      </x:c>
      <x:c r="H13" t="n">
        <x:f>'DCF'!B15</x:f>
        <x:v>2.571526157092028</x:v>
      </x:c>
    </x:row>
  </x:sheetData>
  <x:mergeCells>
    <x:mergeCell ref="A1:H1"/>
  </x:mergeCells>
  <x:pageMargins left="0.7" right="0.7" top="0.75" bottom="0.75" header="0.3" footer="0.3"/>
</x:worksheet>
</file>