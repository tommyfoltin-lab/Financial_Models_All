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tress Test Log" sheetId="1" state="visible" r:id="rId3"/>
    <sheet name="Annual" sheetId="2" state="visible" r:id="rId4"/>
    <sheet name="Quarterly" sheetId="3" state="visible" r:id="rId5"/>
    <sheet name="Assumptions (Annual)" sheetId="4" state="visible" r:id="rId6"/>
    <sheet name="Assumptions (Quarterly)" sheetId="5" state="visible" r:id="rId7"/>
    <sheet name="Valu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Fundamental build-up (no beta): 4.4% RF + 5.0% ERP + 3.5% blended LatAm CRP + 0.75% co-specific = 13.65% Ke; clean WACC ~12.7%; +0.8% for un-haircut FX in USD cash flows. Source: US 10yr 4.4% (6/24/2026).</t>
        </r>
      </text>
    </comment>
    <comment ref="C9" authorId="0">
      <text>
        <r>
          <rPr>
            <sz val="10"/>
            <rFont val="Arial"/>
            <family val="2"/>
          </rPr>
          <t xml:space="preserve">Applied to operating income (Annual row 13), a true EBIT. Row 27 'EBIT' excludes credit provisions and overstates ~2x.</t>
        </r>
      </text>
    </comment>
  </commentList>
</comments>
</file>

<file path=xl/sharedStrings.xml><?xml version="1.0" encoding="utf-8"?>
<sst xmlns="http://schemas.openxmlformats.org/spreadsheetml/2006/main" count="595" uniqueCount="416">
  <si>
    <t xml:space="preserve">MercadoLibre (MELI)  |  Assumption Stress Test  -  changed to best-fit real-life case</t>
  </si>
  <si>
    <t xml:space="preserve">Source: MELI Q4 2025 8-K (filed Feb 24 2026) and Q1 2026 results (May 7 2026).  Edited cells = Probable (active) case and Valuation inputs.</t>
  </si>
  <si>
    <t xml:space="preserve">Item</t>
  </si>
  <si>
    <t xml:space="preserve">Driver</t>
  </si>
  <si>
    <t xml:space="preserve">Old</t>
  </si>
  <si>
    <t xml:space="preserve">New</t>
  </si>
  <si>
    <t xml:space="preserve">Why (real-life anchor)</t>
  </si>
  <si>
    <t xml:space="preserve">BASE ANCHORS (2025A)</t>
  </si>
  <si>
    <t xml:space="preserve">Fintech take rate</t>
  </si>
  <si>
    <t xml:space="preserve">B19</t>
  </si>
  <si>
    <t xml:space="preserve">4.58%</t>
  </si>
  <si>
    <t xml:space="preserve">4.54%</t>
  </si>
  <si>
    <t xml:space="preserve">Mercado Pago rev $12.6bn / TPV $277.8bn = 4.54%</t>
  </si>
  <si>
    <t xml:space="preserve">Credit portfolio</t>
  </si>
  <si>
    <t xml:space="preserve">B23</t>
  </si>
  <si>
    <t xml:space="preserve">$13,000mm</t>
  </si>
  <si>
    <t xml:space="preserve">$12,500mm</t>
  </si>
  <si>
    <t xml:space="preserve">Reported FY25 credit book = $12.5bn (+90% YoY)</t>
  </si>
  <si>
    <t xml:space="preserve">REVENUE BUILD (Probable case)</t>
  </si>
  <si>
    <t xml:space="preserve">Active buyer growth 2026</t>
  </si>
  <si>
    <t xml:space="preserve">D65</t>
  </si>
  <si>
    <t xml:space="preserve">23.0%</t>
  </si>
  <si>
    <t xml:space="preserve">24.0%</t>
  </si>
  <si>
    <t xml:space="preserve">Q1 26 Brazil buyer growth +32% YoY, fastest in 5 yrs</t>
  </si>
  <si>
    <t xml:space="preserve">Commerce take rate 26-30</t>
  </si>
  <si>
    <t xml:space="preserve">D70:P70</t>
  </si>
  <si>
    <t xml:space="preserve">25.0-&gt;25.4%</t>
  </si>
  <si>
    <t xml:space="preserve">25.2-&gt;26.0%</t>
  </si>
  <si>
    <t xml:space="preserve">Mercado Ads +67% YoY, near-zero marginal cost lifts take</t>
  </si>
  <si>
    <t xml:space="preserve">Fintech MAU growth 26/27</t>
  </si>
  <si>
    <t xml:space="preserve">D73,G73</t>
  </si>
  <si>
    <t xml:space="preserve">22%/17%</t>
  </si>
  <si>
    <t xml:space="preserve">24%/18%</t>
  </si>
  <si>
    <t xml:space="preserve">Actual fintech MAU growth ~27-30% in 2025</t>
  </si>
  <si>
    <t xml:space="preserve">Fintech take rate 26-30</t>
  </si>
  <si>
    <t xml:space="preserve">D78:P78</t>
  </si>
  <si>
    <t xml:space="preserve">4.55-&gt;4.48%</t>
  </si>
  <si>
    <t xml:space="preserve">4.58-&gt;4.74%</t>
  </si>
  <si>
    <t xml:space="preserve">Monetization RISING (4.37% in 24 -&gt; 4.54% in 25); model had it falling</t>
  </si>
  <si>
    <t xml:space="preserve">Credit portfolio growth</t>
  </si>
  <si>
    <t xml:space="preserve">D83:P83</t>
  </si>
  <si>
    <t xml:space="preserve">65-&gt;14%</t>
  </si>
  <si>
    <t xml:space="preserve">80-&gt;18%</t>
  </si>
  <si>
    <t xml:space="preserve">Book grew 90% in 25, 87% in Q1 26; near-term too low</t>
  </si>
  <si>
    <t xml:space="preserve">MARGIN DRIVERS (Probable case)</t>
  </si>
  <si>
    <t xml:space="preserve">Gross margin 29/30</t>
  </si>
  <si>
    <t xml:space="preserve">M85,P85</t>
  </si>
  <si>
    <t xml:space="preserve">43.8/44.2%</t>
  </si>
  <si>
    <t xml:space="preserve">43.6/44.0%</t>
  </si>
  <si>
    <t xml:space="preserve">Free-shipping investment keeps COGS elevated; slower recovery</t>
  </si>
  <si>
    <t xml:space="preserve">SG&amp;A % 27-30</t>
  </si>
  <si>
    <t xml:space="preserve">G86:P86</t>
  </si>
  <si>
    <t xml:space="preserve">15.1-&gt;13.6%</t>
  </si>
  <si>
    <t xml:space="preserve">15.2-&gt;14.0%</t>
  </si>
  <si>
    <t xml:space="preserve">Less operating leverage than modeled; reinvestment ongoing</t>
  </si>
  <si>
    <t xml:space="preserve">R&amp;D % 28-30</t>
  </si>
  <si>
    <t xml:space="preserve">J87:P87</t>
  </si>
  <si>
    <t xml:space="preserve">7.5-&gt;7.1%</t>
  </si>
  <si>
    <t xml:space="preserve">7.6-&gt;7.4%</t>
  </si>
  <si>
    <t xml:space="preserve">Heavy AI / tech spend held higher</t>
  </si>
  <si>
    <t xml:space="preserve">Other opex % 26-30</t>
  </si>
  <si>
    <t xml:space="preserve">D88:P88</t>
  </si>
  <si>
    <t xml:space="preserve">12.8-&gt;10.8%</t>
  </si>
  <si>
    <t xml:space="preserve">12.6-&gt;11.7%</t>
  </si>
  <si>
    <t xml:space="preserve">Bad-debt provisions stay elevated as credit book grows 80-90%</t>
  </si>
  <si>
    <t xml:space="preserve">  -&gt; Op margin 2030</t>
  </si>
  <si>
    <t xml:space="preserve">memo</t>
  </si>
  <si>
    <t xml:space="preserve">12.7%</t>
  </si>
  <si>
    <t xml:space="preserve">10.9%</t>
  </si>
  <si>
    <t xml:space="preserve">Recovers toward, not back to, the 2024 peak</t>
  </si>
  <si>
    <t xml:space="preserve">VALUATION</t>
  </si>
  <si>
    <t xml:space="preserve">Current share price</t>
  </si>
  <si>
    <t xml:space="preserve">C7</t>
  </si>
  <si>
    <t xml:space="preserve">$1,650.13</t>
  </si>
  <si>
    <t xml:space="preserve">$1,584</t>
  </si>
  <si>
    <t xml:space="preserve">MELI close 6/23/2026</t>
  </si>
  <si>
    <t xml:space="preserve">WACC</t>
  </si>
  <si>
    <t xml:space="preserve">C8</t>
  </si>
  <si>
    <t xml:space="preserve">14.0%</t>
  </si>
  <si>
    <t xml:space="preserve">13.5%</t>
  </si>
  <si>
    <t xml:space="preserve">Build-up (no beta): 4.4% RF + 5.0% ERP + 3.5% LatAm CRP + 0.75% co-specific = 13.65% Ke; clean WACC ~12.7%; +0.8% for un-haircut FX</t>
  </si>
  <si>
    <t xml:space="preserve">Terminal EV/EBIT</t>
  </si>
  <si>
    <t xml:space="preserve">C9</t>
  </si>
  <si>
    <t xml:space="preserve">10.0x  on row27</t>
  </si>
  <si>
    <t xml:space="preserve">15.0x on op income</t>
  </si>
  <si>
    <t xml:space="preserve">Re-pointed to TRUE operating income (row13); row27 EBIT excluded credit provisions (~2x). 15x = ~8% implied continuing growth at 13.5%</t>
  </si>
  <si>
    <t xml:space="preserve">RESULT</t>
  </si>
  <si>
    <t xml:space="preserve">Implied value / share</t>
  </si>
  <si>
    <t xml:space="preserve">C13</t>
  </si>
  <si>
    <t xml:space="preserve">--</t>
  </si>
  <si>
    <t xml:space="preserve">$2,163</t>
  </si>
  <si>
    <t xml:space="preserve">Refined case</t>
  </si>
  <si>
    <t xml:space="preserve">Upside to current</t>
  </si>
  <si>
    <t xml:space="preserve">C14</t>
  </si>
  <si>
    <t xml:space="preserve">+37%</t>
  </si>
  <si>
    <t xml:space="preserve">Essentially on top of street target ~$2,217</t>
  </si>
  <si>
    <t xml:space="preserve">MercadoLibre, Inc.  (NASDAQ: MELI)   |   Integrated Operating Model</t>
  </si>
  <si>
    <t xml:space="preserve">$ in millions, except per share data.  Shares in millions.  Fiscal year ends December 31.  Actuals 2005-2025  |  Estimates 2026E-2030E</t>
  </si>
  <si>
    <t xml:space="preserve">($ in millions)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</si>
  <si>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</si>
  <si>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</si>
  <si>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</si>
  <si>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</si>
  <si>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</si>
  <si>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</si>
  <si>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</si>
  <si>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</si>
  <si>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</si>
  <si>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</si>
  <si>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</si>
  <si>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</si>
  <si>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</si>
  <si>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</si>
  <si>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</si>
  <si>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</si>
  <si>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</si>
  <si>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</si>
  <si>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</si>
  <si>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</si>
  <si>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</si>
  <si>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</si>
  <si>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</si>
  <si>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</si>
  <si>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</si>
  <si>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</si>
  <si>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INCOME STATEMENT</t>
  </si>
  <si>
    <t xml:space="preserve">Revenue</t>
  </si>
  <si>
    <t xml:space="preserve">Cost of Revenue</t>
  </si>
  <si>
    <t xml:space="preserve">Gross Profit</t>
  </si>
  <si>
    <t xml:space="preserve">Selling, General &amp; Administrative</t>
  </si>
  <si>
    <t xml:space="preserve">Research &amp; Development</t>
  </si>
  <si>
    <t xml:space="preserve">Other Operating Expenses</t>
  </si>
  <si>
    <t xml:space="preserve">Total Operating Expenses</t>
  </si>
  <si>
    <t xml:space="preserve">Operating Income</t>
  </si>
  <si>
    <t xml:space="preserve">Interest Expense / (Income)</t>
  </si>
  <si>
    <t xml:space="preserve">Other Expense / (Income)</t>
  </si>
  <si>
    <t xml:space="preserve">Pretax Income</t>
  </si>
  <si>
    <t xml:space="preserve">Income Tax</t>
  </si>
  <si>
    <t xml:space="preserve">Net Income</t>
  </si>
  <si>
    <t xml:space="preserve">Preferred Dividends</t>
  </si>
  <si>
    <t xml:space="preserve">Net Income to Common</t>
  </si>
  <si>
    <t xml:space="preserve">Shares Outstanding (Basic)</t>
  </si>
  <si>
    <t xml:space="preserve">Shares Outstanding (Diluted)</t>
  </si>
  <si>
    <t xml:space="preserve">EPS (Basic)</t>
  </si>
  <si>
    <t xml:space="preserve">EPS (Diluted)</t>
  </si>
  <si>
    <t xml:space="preserve">EBIT</t>
  </si>
  <si>
    <t xml:space="preserve">Normalized Earnings</t>
  </si>
  <si>
    <t xml:space="preserve">Normalized EPS</t>
  </si>
  <si>
    <t xml:space="preserve">Sales Growth</t>
  </si>
  <si>
    <t xml:space="preserve">Gross Margin</t>
  </si>
  <si>
    <t xml:space="preserve">EBIT Margin</t>
  </si>
  <si>
    <t xml:space="preserve">Normalized Net Margin</t>
  </si>
  <si>
    <t xml:space="preserve">BALANCE SHEET</t>
  </si>
  <si>
    <t xml:space="preserve">Cash &amp; Equivalents</t>
  </si>
  <si>
    <t xml:space="preserve">Short-Term Investments</t>
  </si>
  <si>
    <t xml:space="preserve">Total Cash &amp; Short-Term Investments</t>
  </si>
  <si>
    <t xml:space="preserve">Receivables</t>
  </si>
  <si>
    <t xml:space="preserve">Inventory</t>
  </si>
  <si>
    <t xml:space="preserve">Other Current Assets</t>
  </si>
  <si>
    <t xml:space="preserve">Total Current Assets</t>
  </si>
  <si>
    <t xml:space="preserve">Property, Plant &amp; Equipment</t>
  </si>
  <si>
    <t xml:space="preserve">Long-Term Investments</t>
  </si>
  <si>
    <t xml:space="preserve">Goodwill &amp; Intangibles</t>
  </si>
  <si>
    <t xml:space="preserve">Other Long-Term Assets</t>
  </si>
  <si>
    <t xml:space="preserve">Total Long-Term Assets</t>
  </si>
  <si>
    <t xml:space="preserve">Total Assets</t>
  </si>
  <si>
    <t xml:space="preserve">Accounts Payable</t>
  </si>
  <si>
    <t xml:space="preserve">Deferred Revenue</t>
  </si>
  <si>
    <t xml:space="preserve">Current Debt</t>
  </si>
  <si>
    <t xml:space="preserve">Other Current Liabilities</t>
  </si>
  <si>
    <t xml:space="preserve">Total Current Liabilities</t>
  </si>
  <si>
    <t xml:space="preserve">Long-Term Debt</t>
  </si>
  <si>
    <t xml:space="preserve">Other Long-Term Liabilities</t>
  </si>
  <si>
    <t xml:space="preserve">Total Long-Term Liabilities</t>
  </si>
  <si>
    <t xml:space="preserve">Total Liabilities</t>
  </si>
  <si>
    <t xml:space="preserve">Shareholders' Equity</t>
  </si>
  <si>
    <t xml:space="preserve">Total Liabilities &amp; Equity</t>
  </si>
  <si>
    <t xml:space="preserve">Balance Check (Assets less L&amp;E)</t>
  </si>
  <si>
    <t xml:space="preserve">Memo:</t>
  </si>
  <si>
    <t xml:space="preserve">Total Debt</t>
  </si>
  <si>
    <t xml:space="preserve">Net Cash / (Debt)</t>
  </si>
  <si>
    <t xml:space="preserve">Working Capital</t>
  </si>
  <si>
    <t xml:space="preserve">NOWC</t>
  </si>
  <si>
    <t xml:space="preserve">Change in NOWC</t>
  </si>
  <si>
    <t xml:space="preserve">Operating Capital</t>
  </si>
  <si>
    <t xml:space="preserve">Operating Asset Turnover</t>
  </si>
  <si>
    <t xml:space="preserve">ROOA</t>
  </si>
  <si>
    <t xml:space="preserve">CASH FLOW STATEMENT</t>
  </si>
  <si>
    <t xml:space="preserve">Depreciation &amp; Amortization</t>
  </si>
  <si>
    <t xml:space="preserve">Share-Based Compensation</t>
  </si>
  <si>
    <t xml:space="preserve">Other Operating Activities</t>
  </si>
  <si>
    <t xml:space="preserve">Operating Cash Flow</t>
  </si>
  <si>
    <t xml:space="preserve">Capital Expenditures</t>
  </si>
  <si>
    <t xml:space="preserve">Acquisitions</t>
  </si>
  <si>
    <t xml:space="preserve">Change in Investments</t>
  </si>
  <si>
    <t xml:space="preserve">Other Investing Activities</t>
  </si>
  <si>
    <t xml:space="preserve">Investing Cash Flow</t>
  </si>
  <si>
    <t xml:space="preserve">Dividends Paid</t>
  </si>
  <si>
    <t xml:space="preserve">Share Issuance / (Repurchase)</t>
  </si>
  <si>
    <t xml:space="preserve">Debt Issued / (Repaid)</t>
  </si>
  <si>
    <t xml:space="preserve">Other Financing Activities</t>
  </si>
  <si>
    <t xml:space="preserve">Financing Cash Flow</t>
  </si>
  <si>
    <t xml:space="preserve">Effect of FX on Cash &amp; Other</t>
  </si>
  <si>
    <t xml:space="preserve">Net Change in Cash</t>
  </si>
  <si>
    <t xml:space="preserve">Free Cash Flow</t>
  </si>
  <si>
    <t xml:space="preserve">YoY Growth %</t>
  </si>
  <si>
    <t xml:space="preserve">CAGR</t>
  </si>
  <si>
    <t xml:space="preserve">LIQUIDITY &amp; REVOLVER</t>
  </si>
  <si>
    <t xml:space="preserve">Beginning cash</t>
  </si>
  <si>
    <t xml:space="preserve">Cash flow before revolver</t>
  </si>
  <si>
    <t xml:space="preserve">Minimum cash balance</t>
  </si>
  <si>
    <t xml:space="preserve">Revolver draw / (paydown)</t>
  </si>
  <si>
    <t xml:space="preserve">Revolver balance, beginning</t>
  </si>
  <si>
    <t xml:space="preserve">Revolver balance, ending</t>
  </si>
  <si>
    <t xml:space="preserve">Revolver interest (memo)</t>
  </si>
  <si>
    <t xml:space="preserve">Current debt - term (ex-revolver)</t>
  </si>
  <si>
    <t xml:space="preserve">MercadoLibre, Inc.  (NASDAQ: MELI)   |   Integrated Operating Model  -  Quarterly</t>
  </si>
  <si>
    <t xml:space="preserve">$ in millions, except per share data.  Shares in millions.  Actuals through Q1 2026  |  Estimates Q2 2026E-Q4 2027E</t>
  </si>
  <si>
    <t xml:space="preserve">Q4'06</t>
  </si>
  <si>
    <t xml:space="preserve">Q1'07</t>
  </si>
  <si>
    <t xml:space="preserve">Q2'07</t>
  </si>
  <si>
    <t xml:space="preserve">Q3'07</t>
  </si>
  <si>
    <t xml:space="preserve">Q4'07</t>
  </si>
  <si>
    <t xml:space="preserve">Q1'08</t>
  </si>
  <si>
    <t xml:space="preserve">Q2'08</t>
  </si>
  <si>
    <t xml:space="preserve">Q3'08</t>
  </si>
  <si>
    <t xml:space="preserve">Q4'08</t>
  </si>
  <si>
    <t xml:space="preserve">Q1'09</t>
  </si>
  <si>
    <t xml:space="preserve">Q2'09</t>
  </si>
  <si>
    <t xml:space="preserve">Q3'09</t>
  </si>
  <si>
    <t xml:space="preserve">Q4'09</t>
  </si>
  <si>
    <t xml:space="preserve">Q1'10</t>
  </si>
  <si>
    <t xml:space="preserve">Q2'10</t>
  </si>
  <si>
    <t xml:space="preserve">Q3'10</t>
  </si>
  <si>
    <t xml:space="preserve">Q4'10</t>
  </si>
  <si>
    <t xml:space="preserve">Q1'11</t>
  </si>
  <si>
    <t xml:space="preserve">Q2'11</t>
  </si>
  <si>
    <t xml:space="preserve">Q3'11</t>
  </si>
  <si>
    <t xml:space="preserve">Q4'11</t>
  </si>
  <si>
    <t xml:space="preserve">Q1'12</t>
  </si>
  <si>
    <t xml:space="preserve">Q2'12</t>
  </si>
  <si>
    <t xml:space="preserve">Q3'12</t>
  </si>
  <si>
    <t xml:space="preserve">Q4'12</t>
  </si>
  <si>
    <t xml:space="preserve">Q1'13</t>
  </si>
  <si>
    <t xml:space="preserve">Q2'13</t>
  </si>
  <si>
    <t xml:space="preserve">Q3'13</t>
  </si>
  <si>
    <t xml:space="preserve">Q4'13</t>
  </si>
  <si>
    <t xml:space="preserve">Q1'14</t>
  </si>
  <si>
    <t xml:space="preserve">Q2'14</t>
  </si>
  <si>
    <t xml:space="preserve">Q3'14</t>
  </si>
  <si>
    <t xml:space="preserve">Q4'14</t>
  </si>
  <si>
    <t xml:space="preserve">Q1'15</t>
  </si>
  <si>
    <t xml:space="preserve">Q2'15</t>
  </si>
  <si>
    <t xml:space="preserve">Q3'15</t>
  </si>
  <si>
    <t xml:space="preserve">Q4'15</t>
  </si>
  <si>
    <t xml:space="preserve">Q1'16</t>
  </si>
  <si>
    <t xml:space="preserve">Q2'16</t>
  </si>
  <si>
    <t xml:space="preserve">Q3'16</t>
  </si>
  <si>
    <t xml:space="preserve">Q4'16</t>
  </si>
  <si>
    <t xml:space="preserve">Q1'17</t>
  </si>
  <si>
    <t xml:space="preserve">Q2'17</t>
  </si>
  <si>
    <t xml:space="preserve">Q3'17</t>
  </si>
  <si>
    <t xml:space="preserve">Q4'17</t>
  </si>
  <si>
    <t xml:space="preserve">Q1'18</t>
  </si>
  <si>
    <t xml:space="preserve">Q2'18</t>
  </si>
  <si>
    <t xml:space="preserve">Q3'18</t>
  </si>
  <si>
    <t xml:space="preserve">Q4'18</t>
  </si>
  <si>
    <t xml:space="preserve">Q1'19</t>
  </si>
  <si>
    <t xml:space="preserve">Q2'19</t>
  </si>
  <si>
    <t xml:space="preserve">Q3'19</t>
  </si>
  <si>
    <t xml:space="preserve">Q4'19</t>
  </si>
  <si>
    <t xml:space="preserve">Q1'20</t>
  </si>
  <si>
    <t xml:space="preserve">Q2'20</t>
  </si>
  <si>
    <t xml:space="preserve">Q3'20</t>
  </si>
  <si>
    <t xml:space="preserve">Q4'20</t>
  </si>
  <si>
    <t xml:space="preserve">Q1'21</t>
  </si>
  <si>
    <t xml:space="preserve">Q2'21</t>
  </si>
  <si>
    <t xml:space="preserve">Q3'21</t>
  </si>
  <si>
    <t xml:space="preserve">Q4'21</t>
  </si>
  <si>
    <t xml:space="preserve">Q1'22</t>
  </si>
  <si>
    <t xml:space="preserve">Q2'22</t>
  </si>
  <si>
    <t xml:space="preserve">Q3'22</t>
  </si>
  <si>
    <t xml:space="preserve">Q4'22</t>
  </si>
  <si>
    <t xml:space="preserve">Q1'23</t>
  </si>
  <si>
    <t xml:space="preserve">Q2'23</t>
  </si>
  <si>
    <t xml:space="preserve">Q3'23</t>
  </si>
  <si>
    <t xml:space="preserve">Q4'23</t>
  </si>
  <si>
    <t xml:space="preserve">Q1'24</t>
  </si>
  <si>
    <t xml:space="preserve">Q2'24</t>
  </si>
  <si>
    <t xml:space="preserve">Q3'24</t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</si>
  <si>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</si>
  <si>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</si>
  <si>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</si>
  <si>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</si>
  <si>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</si>
  <si>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Q1'26</t>
  </si>
  <si>
    <t xml:space="preserve">Q2'26E</t>
  </si>
  <si>
    <t xml:space="preserve">Q3'26E</t>
  </si>
  <si>
    <t xml:space="preserve">Q4'26E</t>
  </si>
  <si>
    <t xml:space="preserve">Q1'27E</t>
  </si>
  <si>
    <t xml:space="preserve">Q2'27E</t>
  </si>
  <si>
    <t xml:space="preserve">Q3'27E</t>
  </si>
  <si>
    <t xml:space="preserve">Q4'27E</t>
  </si>
  <si>
    <t xml:space="preserve">FCF YoY Growth %</t>
  </si>
  <si>
    <t xml:space="preserve">MercadoLibre (MELI)   |   Forecast Assumptions  -  Annual</t>
  </si>
  <si>
    <t xml:space="preserve">Revenue is KPI-driven.  Active case (C:G) pulls the Probable scenario.  Possible / Plausible / Probable matrix at H:W.  $ in millions.</t>
  </si>
  <si>
    <t xml:space="preserve">Driver / KPI</t>
  </si>
  <si>
    <t xml:space="preserve">2025A</t>
  </si>
  <si>
    <t xml:space="preserve">KPI / REVENUE BUILD</t>
  </si>
  <si>
    <t xml:space="preserve">Unique active buyers (mn)</t>
  </si>
  <si>
    <t xml:space="preserve">   active buyer growth %</t>
  </si>
  <si>
    <t xml:space="preserve">GMV per active buyer ($)</t>
  </si>
  <si>
    <t xml:space="preserve">   GMV per buyer growth %</t>
  </si>
  <si>
    <t xml:space="preserve">GMV ($mm)</t>
  </si>
  <si>
    <t xml:space="preserve">   GMV growth % (memo)</t>
  </si>
  <si>
    <t xml:space="preserve">Commerce take rate %</t>
  </si>
  <si>
    <t xml:space="preserve">Commerce revenue ($mm)</t>
  </si>
  <si>
    <t xml:space="preserve">Fintech MAUs (mn)</t>
  </si>
  <si>
    <t xml:space="preserve">   MAU growth %</t>
  </si>
  <si>
    <t xml:space="preserve">TPV per MAU ($)</t>
  </si>
  <si>
    <t xml:space="preserve">   TPV per MAU growth %</t>
  </si>
  <si>
    <t xml:space="preserve">TPV ($mm)</t>
  </si>
  <si>
    <t xml:space="preserve">   TPV growth % (memo)</t>
  </si>
  <si>
    <t xml:space="preserve">Fintech take rate %</t>
  </si>
  <si>
    <t xml:space="preserve">Fintech revenue ($mm)</t>
  </si>
  <si>
    <t xml:space="preserve">Total revenue ($mm)</t>
  </si>
  <si>
    <t xml:space="preserve">   total revenue growth % (memo)</t>
  </si>
  <si>
    <t xml:space="preserve">Credit portfolio ($mm, memo)</t>
  </si>
  <si>
    <t xml:space="preserve">   credit portfolio growth %</t>
  </si>
  <si>
    <t xml:space="preserve">MARGIN &amp; INCOME STATEMENT DRIVERS</t>
  </si>
  <si>
    <t xml:space="preserve">Gross margin %</t>
  </si>
  <si>
    <t xml:space="preserve">SG&amp;A % of revenue</t>
  </si>
  <si>
    <t xml:space="preserve">R&amp;D % of revenue</t>
  </si>
  <si>
    <t xml:space="preserve">Other operating expense % of revenue</t>
  </si>
  <si>
    <t xml:space="preserve">Interest expense % of revenue (base)</t>
  </si>
  <si>
    <t xml:space="preserve">Other expense/(income) % of revenue</t>
  </si>
  <si>
    <t xml:space="preserve">Effective tax rate %</t>
  </si>
  <si>
    <t xml:space="preserve">Diluted share count change %</t>
  </si>
  <si>
    <t xml:space="preserve">Revolver interest rate %</t>
  </si>
  <si>
    <t xml:space="preserve">Minimum cash balance ($mm)</t>
  </si>
  <si>
    <t xml:space="preserve">CASH FLOW DRIVERS</t>
  </si>
  <si>
    <t xml:space="preserve">D&amp;A % of revenue</t>
  </si>
  <si>
    <t xml:space="preserve">Stock-based comp % of revenue</t>
  </si>
  <si>
    <t xml:space="preserve">Capex % of revenue</t>
  </si>
  <si>
    <t xml:space="preserve">Acquisitions ($, outflow negative)</t>
  </si>
  <si>
    <t xml:space="preserve">Share repurchase/(issuance) ($, buyback neg)</t>
  </si>
  <si>
    <t xml:space="preserve">Dividends paid ($, outflow negative)</t>
  </si>
  <si>
    <t xml:space="preserve">FX effect on cash ($)</t>
  </si>
  <si>
    <t xml:space="preserve">Preferred dividends ($)</t>
  </si>
  <si>
    <t xml:space="preserve">BALANCE SHEET DRIVERS</t>
  </si>
  <si>
    <t xml:space="preserve">Receivables % of revenue</t>
  </si>
  <si>
    <t xml:space="preserve">Inventory % of revenue</t>
  </si>
  <si>
    <t xml:space="preserve">Other current assets % of revenue</t>
  </si>
  <si>
    <t xml:space="preserve">Short-term investments % of revenue</t>
  </si>
  <si>
    <t xml:space="preserve">Accounts payable % of revenue</t>
  </si>
  <si>
    <t xml:space="preserve">Other current liabilities % of revenue</t>
  </si>
  <si>
    <t xml:space="preserve">Current debt (term) % of revenue</t>
  </si>
  <si>
    <t xml:space="preserve">Other long-term assets % of revenue</t>
  </si>
  <si>
    <t xml:space="preserve">Other long-term liabilities % of revenue</t>
  </si>
  <si>
    <t xml:space="preserve">Long-term investments growth %</t>
  </si>
  <si>
    <t xml:space="preserve">Long-term debt growth %</t>
  </si>
  <si>
    <t xml:space="preserve">Goodwill &amp; intangibles ($, flat)</t>
  </si>
  <si>
    <t xml:space="preserve">Possible / Plausible / Probable Annual Assumption Matrix</t>
  </si>
  <si>
    <t xml:space="preserve">Active forecast in C:G pulls from the Probable case. Possible and Plausible provide realistic upside ranges for every annual forecast cell.</t>
  </si>
  <si>
    <t xml:space="preserve">Metric / Driver</t>
  </si>
  <si>
    <t xml:space="preserve">2026 Possible</t>
  </si>
  <si>
    <t xml:space="preserve">2026 Plausible</t>
  </si>
  <si>
    <t xml:space="preserve">2026 Probable</t>
  </si>
  <si>
    <t xml:space="preserve">2027 Possible</t>
  </si>
  <si>
    <t xml:space="preserve">2027 Plausible</t>
  </si>
  <si>
    <t xml:space="preserve">2027 Probable</t>
  </si>
  <si>
    <t xml:space="preserve">2028 Possible</t>
  </si>
  <si>
    <t xml:space="preserve">2028 Plausible</t>
  </si>
  <si>
    <t xml:space="preserve">2028 Probable</t>
  </si>
  <si>
    <t xml:space="preserve">2029 Possible</t>
  </si>
  <si>
    <t xml:space="preserve">2029 Plausible</t>
  </si>
  <si>
    <t xml:space="preserve">2029 Probable</t>
  </si>
  <si>
    <t xml:space="preserve">2030 Possible</t>
  </si>
  <si>
    <t xml:space="preserve">2030 Plausible</t>
  </si>
  <si>
    <t xml:space="preserve">2030 Probable</t>
  </si>
  <si>
    <t xml:space="preserve">MercadoLibre (MELI)   |   Forecast Assumptions  -  Quarterly</t>
  </si>
  <si>
    <t xml:space="preserve">Quarterly revenue = GMV x commerce take rate + TPV x fintech take rate.  Cols B-E trailing actuals  |  F-L forecasts.  $ in millions.</t>
  </si>
  <si>
    <t xml:space="preserve">   GMV YoY growth %</t>
  </si>
  <si>
    <t xml:space="preserve">   TPV YoY growth %</t>
  </si>
  <si>
    <t xml:space="preserve">Diluted share count change % (q/q)</t>
  </si>
  <si>
    <t xml:space="preserve">Revolver interest rate % (quarterly)</t>
  </si>
  <si>
    <t xml:space="preserve">Share repurchase/(issuance) ($)</t>
  </si>
  <si>
    <t xml:space="preserve">Dividends paid ($)</t>
  </si>
  <si>
    <t xml:space="preserve">BALANCE SHEET DRIVERS (x quarterly revenue)</t>
  </si>
  <si>
    <t xml:space="preserve">Receivables / qtr revenue</t>
  </si>
  <si>
    <t xml:space="preserve">Inventory / qtr revenue</t>
  </si>
  <si>
    <t xml:space="preserve">Other current assets / qtr revenue</t>
  </si>
  <si>
    <t xml:space="preserve">Short-term investments / qtr revenue</t>
  </si>
  <si>
    <t xml:space="preserve">Accounts payable / qtr revenue</t>
  </si>
  <si>
    <t xml:space="preserve">Other current liabilities / qtr revenue</t>
  </si>
  <si>
    <t xml:space="preserve">Current debt (term) / qtr revenue</t>
  </si>
  <si>
    <t xml:space="preserve">Other long-term assets / qtr revenue</t>
  </si>
  <si>
    <t xml:space="preserve">Other long-term liabilities / qtr revenue</t>
  </si>
  <si>
    <t xml:space="preserve">Long-term investments growth % (q/q)</t>
  </si>
  <si>
    <t xml:space="preserve">Long-term debt growth % (q/q)</t>
  </si>
  <si>
    <t xml:space="preserve">Methodology:</t>
  </si>
  <si>
    <t xml:space="preserve">- Quarterly revenue = GMV x commerce take rate + TPV x fintech take rate. GMV and TPV grow off the same quarter a year earlier (seasonality).</t>
  </si>
  <si>
    <t xml:space="preserve">- Anchors (grey, cols B-E) are the trailing four quarters of GMV and TPV. Same indirect cash flow and revolver logic as the annual tab.</t>
  </si>
  <si>
    <t xml:space="preserve">- Forecast quarters reconcile to the independent annual forecast within ~1-2% for FY26 and FY27.</t>
  </si>
  <si>
    <t xml:space="preserve">MercadoLibre (MELI)   |   Discounted Cash Flow  -  Probable Case</t>
  </si>
  <si>
    <t xml:space="preserve">Discount period (yr 1 = 2026E ... yr 5 = 2030E)</t>
  </si>
  <si>
    <t xml:space="preserve">Free cash flow ($mm)</t>
  </si>
  <si>
    <t xml:space="preserve">PV of free cash flow ($mm)</t>
  </si>
  <si>
    <t xml:space="preserve">Current share price ($)</t>
  </si>
  <si>
    <t xml:space="preserve">Discount rate (WACC)</t>
  </si>
  <si>
    <t xml:space="preserve">Terminal EV / EBIT (x)  [on operating income]</t>
  </si>
  <si>
    <t xml:space="preserve">PV of terminal value ($mm)</t>
  </si>
  <si>
    <t xml:space="preserve">Enterprise value ($mm)</t>
  </si>
  <si>
    <t xml:space="preserve">Equity value ($mm)</t>
  </si>
  <si>
    <t xml:space="preserve">Implied value per share ($)</t>
  </si>
  <si>
    <t xml:space="preserve">Upside / (downside) to current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</si>
</sst>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;\(#,##0\);\-"/>
    <numFmt numFmtId="166" formatCode="#,##0.0"/>
    <numFmt numFmtId="167" formatCode="#,##0.00;\(#,##0.00\)"/>
    <numFmt numFmtId="168" formatCode="0.0%"/>
    <numFmt numFmtId="169" formatCode="0.0\x"/>
    <numFmt numFmtId="170" formatCode="#,##0"/>
    <numFmt numFmtId="171" formatCode="0.0%;[RED]\(0.0%\);\-"/>
    <numFmt numFmtId="172" formatCode="0.00%"/>
    <numFmt numFmtId="173" formatCode="#,##0.0;[RED]\(#,##0.0\);\-"/>
    <numFmt numFmtId="174" formatCode="0.00"/>
    <numFmt numFmtId="175" formatCode="0"/>
    <numFmt numFmtId="176" formatCode="\$#,##0.00"/>
  </numFmts>
  <fonts count="3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8"/>
      <color rgb="FFD9E1F2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404040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61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i val="true"/>
      <sz val="9"/>
      <color rgb="FF595959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2"/>
      <color rgb="FFFFFFFF"/>
      <name val="Calibri"/>
      <family val="0"/>
      <charset val="1"/>
    </font>
    <font>
      <i val="true"/>
      <sz val="11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8"/>
      <color rgb="FF59595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2E4D7B"/>
      </patternFill>
    </fill>
    <fill>
      <patternFill patternType="solid">
        <fgColor rgb="FFE8EDF5"/>
        <bgColor rgb="FFEDEDED"/>
      </patternFill>
    </fill>
    <fill>
      <patternFill patternType="solid">
        <fgColor rgb="FFD9E1F2"/>
        <bgColor rgb="FFD6DCE5"/>
      </patternFill>
    </fill>
    <fill>
      <patternFill patternType="solid">
        <fgColor rgb="FF8EAADB"/>
        <bgColor rgb="FF969696"/>
      </patternFill>
    </fill>
    <fill>
      <patternFill patternType="solid">
        <fgColor rgb="FF2E4D7B"/>
        <bgColor rgb="FF1F3864"/>
      </patternFill>
    </fill>
    <fill>
      <patternFill patternType="solid">
        <fgColor rgb="FFEAF1FB"/>
        <bgColor rgb="FFE8EDF5"/>
      </patternFill>
    </fill>
    <fill>
      <patternFill patternType="solid">
        <fgColor rgb="FFF2F2F2"/>
        <bgColor rgb="FFF2F6FC"/>
      </patternFill>
    </fill>
    <fill>
      <patternFill patternType="solid">
        <fgColor rgb="FFD6DCE5"/>
        <bgColor rgb="FFD9D9D9"/>
      </patternFill>
    </fill>
    <fill>
      <patternFill patternType="solid">
        <fgColor rgb="FFEDEDED"/>
        <bgColor rgb="FFE8EDF5"/>
      </patternFill>
    </fill>
    <fill>
      <patternFill patternType="solid">
        <fgColor rgb="FFFCE4D6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2F6FC"/>
        <bgColor rgb="FFF2F2F2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>
        <color rgb="FF8EAADB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>
        <color rgb="FFD9D9D9"/>
      </top>
      <bottom/>
      <diagonal/>
    </border>
    <border diagonalUp="false" diagonalDown="false">
      <left/>
      <right/>
      <top style="thin">
        <color rgb="FFD9D9D9"/>
      </top>
      <bottom style="thin">
        <color rgb="FF2E4D7B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>
        <color rgb="FF8EAADB"/>
      </left>
      <right/>
      <top/>
      <bottom style="medium">
        <color rgb="FF8EAADB"/>
      </bottom>
      <diagonal/>
    </border>
    <border diagonalUp="false" diagonalDown="false">
      <left style="medium">
        <color rgb="FF8EAADB"/>
      </left>
      <right/>
      <top/>
      <bottom/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medium">
        <color rgb="FF8EAADB"/>
      </left>
      <right/>
      <top style="medium">
        <color rgb="FF2E4D7B"/>
      </top>
      <bottom style="medium">
        <color rgb="FF2E4D7B"/>
      </bottom>
      <diagonal/>
    </border>
    <border diagonalUp="false" diagonalDown="false">
      <left/>
      <right style="medium">
        <color rgb="FF8EAADB"/>
      </right>
      <top style="medium">
        <color rgb="FF2E4D7B"/>
      </top>
      <bottom style="medium">
        <color rgb="FF2E4D7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17" fillId="8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9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7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8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8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8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2" shrinkToFit="false"/>
      <protection locked="true" hidden="false"/>
    </xf>
    <xf numFmtId="169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2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5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8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2" shrinkToFit="false"/>
      <protection locked="true" hidden="false"/>
    </xf>
    <xf numFmtId="171" fontId="18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8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5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5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8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8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11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6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24" fillId="0" borderId="9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7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25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7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25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25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5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7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5" fillId="7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5" fillId="7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5" fillId="7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5" fillId="7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5" fillId="7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2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8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13" borderId="1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6" fontId="15" fillId="13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13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13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3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3" borderId="1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17" fillId="13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8" fillId="13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6" fontId="29" fillId="4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0" fillId="4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006100"/>
        <sz val="9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  <sz val="10"/>
      </font>
    </dxf>
    <dxf>
      <font>
        <name val="Arial"/>
        <charset val="1"/>
        <family val="0"/>
        <b val="1"/>
        <color rgb="FF9C0006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E2EFDA"/>
      <rgbColor rgb="FFFF00FF"/>
      <rgbColor rgb="FF00FFFF"/>
      <rgbColor rgb="FF9C0006"/>
      <rgbColor rgb="FF006100"/>
      <rgbColor rgb="FF000080"/>
      <rgbColor rgb="FF808000"/>
      <rgbColor rgb="FF800080"/>
      <rgbColor rgb="FF2F6B57"/>
      <rgbColor rgb="FFD0D0D0"/>
      <rgbColor rgb="FF808080"/>
      <rgbColor rgb="FF8EAADB"/>
      <rgbColor rgb="FF993366"/>
      <rgbColor rgb="FFF2F2F2"/>
      <rgbColor rgb="FFEAF1FB"/>
      <rgbColor rgb="FF660066"/>
      <rgbColor rgb="FFFF8080"/>
      <rgbColor rgb="FF0066CC"/>
      <rgbColor rgb="FFD6DCE5"/>
      <rgbColor rgb="FF000080"/>
      <rgbColor rgb="FFFF00FF"/>
      <rgbColor rgb="FFF2F6FC"/>
      <rgbColor rgb="FF00FFFF"/>
      <rgbColor rgb="FF800080"/>
      <rgbColor rgb="FF800000"/>
      <rgbColor rgb="FF008080"/>
      <rgbColor rgb="FF0000FF"/>
      <rgbColor rgb="FF00CCFF"/>
      <rgbColor rgb="FFE8EDF5"/>
      <rgbColor rgb="FFC6EFCE"/>
      <rgbColor rgb="FFFCE4D6"/>
      <rgbColor rgb="FFD9D9D9"/>
      <rgbColor rgb="FFEDEDED"/>
      <rgbColor rgb="FFD9E1F2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B45F06"/>
      <rgbColor rgb="FF993366"/>
      <rgbColor rgb="FF2E4D7B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2"/>
    <col collapsed="false" customWidth="true" hidden="false" outlineLevel="0" max="4" min="3" style="1" width="13"/>
    <col collapsed="false" customWidth="true" hidden="false" outlineLevel="0" max="5" min="5" style="1" width="56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true" outlineLevel="0" collapsed="false">
      <c r="A5" s="5" t="s">
        <v>7</v>
      </c>
      <c r="B5" s="6"/>
      <c r="C5" s="6"/>
      <c r="D5" s="6"/>
      <c r="E5" s="6"/>
    </row>
    <row r="6" customFormat="false" ht="15" hidden="false" customHeight="true" outlineLevel="0" collapsed="false">
      <c r="A6" s="7" t="s">
        <v>8</v>
      </c>
      <c r="B6" s="7" t="s">
        <v>9</v>
      </c>
      <c r="C6" s="8" t="s">
        <v>10</v>
      </c>
      <c r="D6" s="8" t="s">
        <v>11</v>
      </c>
      <c r="E6" s="7" t="s">
        <v>12</v>
      </c>
    </row>
    <row r="7" customFormat="false" ht="15" hidden="false" customHeight="true" outlineLevel="0" collapsed="false">
      <c r="A7" s="7" t="s">
        <v>13</v>
      </c>
      <c r="B7" s="7" t="s">
        <v>14</v>
      </c>
      <c r="C7" s="8" t="s">
        <v>15</v>
      </c>
      <c r="D7" s="8" t="s">
        <v>16</v>
      </c>
      <c r="E7" s="7" t="s">
        <v>17</v>
      </c>
    </row>
    <row r="8" customFormat="false" ht="15" hidden="false" customHeight="true" outlineLevel="0" collapsed="false">
      <c r="A8" s="5" t="s">
        <v>18</v>
      </c>
      <c r="B8" s="6"/>
      <c r="C8" s="6"/>
      <c r="D8" s="6"/>
      <c r="E8" s="6"/>
    </row>
    <row r="9" customFormat="false" ht="15" hidden="false" customHeight="true" outlineLevel="0" collapsed="false">
      <c r="A9" s="7" t="s">
        <v>19</v>
      </c>
      <c r="B9" s="7" t="s">
        <v>20</v>
      </c>
      <c r="C9" s="8" t="s">
        <v>21</v>
      </c>
      <c r="D9" s="8" t="s">
        <v>22</v>
      </c>
      <c r="E9" s="7" t="s">
        <v>23</v>
      </c>
    </row>
    <row r="10" customFormat="false" ht="15" hidden="false" customHeight="true" outlineLevel="0" collapsed="false">
      <c r="A10" s="7" t="s">
        <v>24</v>
      </c>
      <c r="B10" s="7" t="s">
        <v>25</v>
      </c>
      <c r="C10" s="8" t="s">
        <v>26</v>
      </c>
      <c r="D10" s="8" t="s">
        <v>27</v>
      </c>
      <c r="E10" s="7" t="s">
        <v>28</v>
      </c>
    </row>
    <row r="11" customFormat="false" ht="15" hidden="false" customHeight="true" outlineLevel="0" collapsed="false">
      <c r="A11" s="7" t="s">
        <v>29</v>
      </c>
      <c r="B11" s="7" t="s">
        <v>30</v>
      </c>
      <c r="C11" s="8" t="s">
        <v>31</v>
      </c>
      <c r="D11" s="8" t="s">
        <v>32</v>
      </c>
      <c r="E11" s="7" t="s">
        <v>33</v>
      </c>
    </row>
    <row r="12" customFormat="false" ht="23.25" hidden="false" customHeight="true" outlineLevel="0" collapsed="false">
      <c r="A12" s="7" t="s">
        <v>34</v>
      </c>
      <c r="B12" s="7" t="s">
        <v>35</v>
      </c>
      <c r="C12" s="8" t="s">
        <v>36</v>
      </c>
      <c r="D12" s="8" t="s">
        <v>37</v>
      </c>
      <c r="E12" s="7" t="s">
        <v>38</v>
      </c>
    </row>
    <row r="13" customFormat="false" ht="15" hidden="false" customHeight="true" outlineLevel="0" collapsed="false">
      <c r="A13" s="7" t="s">
        <v>39</v>
      </c>
      <c r="B13" s="7" t="s">
        <v>40</v>
      </c>
      <c r="C13" s="8" t="s">
        <v>41</v>
      </c>
      <c r="D13" s="8" t="s">
        <v>42</v>
      </c>
      <c r="E13" s="7" t="s">
        <v>43</v>
      </c>
    </row>
    <row r="14" customFormat="false" ht="15" hidden="false" customHeight="true" outlineLevel="0" collapsed="false">
      <c r="A14" s="5" t="s">
        <v>44</v>
      </c>
      <c r="B14" s="6"/>
      <c r="C14" s="6"/>
      <c r="D14" s="6"/>
      <c r="E14" s="6"/>
    </row>
    <row r="15" customFormat="false" ht="15" hidden="false" customHeight="true" outlineLevel="0" collapsed="false">
      <c r="A15" s="7" t="s">
        <v>45</v>
      </c>
      <c r="B15" s="7" t="s">
        <v>46</v>
      </c>
      <c r="C15" s="8" t="s">
        <v>47</v>
      </c>
      <c r="D15" s="8" t="s">
        <v>48</v>
      </c>
      <c r="E15" s="7" t="s">
        <v>49</v>
      </c>
    </row>
    <row r="16" customFormat="false" ht="15" hidden="false" customHeight="true" outlineLevel="0" collapsed="false">
      <c r="A16" s="7" t="s">
        <v>50</v>
      </c>
      <c r="B16" s="7" t="s">
        <v>51</v>
      </c>
      <c r="C16" s="8" t="s">
        <v>52</v>
      </c>
      <c r="D16" s="8" t="s">
        <v>53</v>
      </c>
      <c r="E16" s="7" t="s">
        <v>54</v>
      </c>
    </row>
    <row r="17" customFormat="false" ht="15" hidden="false" customHeight="true" outlineLevel="0" collapsed="false">
      <c r="A17" s="7" t="s">
        <v>55</v>
      </c>
      <c r="B17" s="7" t="s">
        <v>56</v>
      </c>
      <c r="C17" s="8" t="s">
        <v>57</v>
      </c>
      <c r="D17" s="8" t="s">
        <v>58</v>
      </c>
      <c r="E17" s="7" t="s">
        <v>59</v>
      </c>
    </row>
    <row r="18" customFormat="false" ht="15" hidden="false" customHeight="true" outlineLevel="0" collapsed="false">
      <c r="A18" s="7" t="s">
        <v>60</v>
      </c>
      <c r="B18" s="7" t="s">
        <v>61</v>
      </c>
      <c r="C18" s="8" t="s">
        <v>62</v>
      </c>
      <c r="D18" s="8" t="s">
        <v>63</v>
      </c>
      <c r="E18" s="7" t="s">
        <v>64</v>
      </c>
    </row>
    <row r="19" customFormat="false" ht="15" hidden="false" customHeight="true" outlineLevel="0" collapsed="false">
      <c r="A19" s="7" t="s">
        <v>65</v>
      </c>
      <c r="B19" s="7" t="s">
        <v>66</v>
      </c>
      <c r="C19" s="8" t="s">
        <v>67</v>
      </c>
      <c r="D19" s="8" t="s">
        <v>68</v>
      </c>
      <c r="E19" s="7" t="s">
        <v>69</v>
      </c>
    </row>
    <row r="20" customFormat="false" ht="15" hidden="false" customHeight="true" outlineLevel="0" collapsed="false">
      <c r="A20" s="5" t="s">
        <v>70</v>
      </c>
      <c r="B20" s="6"/>
      <c r="C20" s="6"/>
      <c r="D20" s="6"/>
      <c r="E20" s="6"/>
    </row>
    <row r="21" customFormat="false" ht="15" hidden="false" customHeight="true" outlineLevel="0" collapsed="false">
      <c r="A21" s="7" t="s">
        <v>71</v>
      </c>
      <c r="B21" s="7" t="s">
        <v>72</v>
      </c>
      <c r="C21" s="8" t="s">
        <v>73</v>
      </c>
      <c r="D21" s="8" t="s">
        <v>74</v>
      </c>
      <c r="E21" s="7" t="s">
        <v>75</v>
      </c>
    </row>
    <row r="22" customFormat="false" ht="15" hidden="false" customHeight="true" outlineLevel="0" collapsed="false">
      <c r="A22" s="7" t="s">
        <v>76</v>
      </c>
      <c r="B22" s="7" t="s">
        <v>77</v>
      </c>
      <c r="C22" s="8" t="s">
        <v>78</v>
      </c>
      <c r="D22" s="8" t="s">
        <v>79</v>
      </c>
      <c r="E22" s="7" t="s">
        <v>80</v>
      </c>
    </row>
    <row r="23" customFormat="false" ht="23.25" hidden="false" customHeight="true" outlineLevel="0" collapsed="false">
      <c r="A23" s="7" t="s">
        <v>81</v>
      </c>
      <c r="B23" s="7" t="s">
        <v>82</v>
      </c>
      <c r="C23" s="8" t="s">
        <v>83</v>
      </c>
      <c r="D23" s="8" t="s">
        <v>84</v>
      </c>
      <c r="E23" s="7" t="s">
        <v>85</v>
      </c>
    </row>
    <row r="24" customFormat="false" ht="15" hidden="false" customHeight="true" outlineLevel="0" collapsed="false">
      <c r="A24" s="5" t="s">
        <v>86</v>
      </c>
      <c r="B24" s="6"/>
      <c r="C24" s="6"/>
      <c r="D24" s="6"/>
      <c r="E24" s="6"/>
    </row>
    <row r="25" customFormat="false" ht="15" hidden="false" customHeight="true" outlineLevel="0" collapsed="false">
      <c r="A25" s="7" t="s">
        <v>87</v>
      </c>
      <c r="B25" s="7" t="s">
        <v>88</v>
      </c>
      <c r="C25" s="8" t="s">
        <v>89</v>
      </c>
      <c r="D25" s="8" t="s">
        <v>90</v>
      </c>
      <c r="E25" s="7" t="s">
        <v>91</v>
      </c>
    </row>
    <row r="26" customFormat="false" ht="15" hidden="false" customHeight="true" outlineLevel="0" collapsed="false">
      <c r="A26" s="7" t="s">
        <v>92</v>
      </c>
      <c r="B26" s="7" t="s">
        <v>93</v>
      </c>
      <c r="C26" s="8" t="s">
        <v>89</v>
      </c>
      <c r="D26" s="8" t="s">
        <v>94</v>
      </c>
      <c r="E26" s="7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AA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G28" activePane="bottomRight" state="frozen"/>
      <selection pane="topLeft" activeCell="A1" activeCellId="0" sqref="A1"/>
      <selection pane="topRight" activeCell="G1" activeCellId="0" sqref="G1"/>
      <selection pane="bottomLeft" activeCell="A28" activeCellId="0" sqref="A28"/>
      <selection pane="bottomRight" activeCell="C8" activeCellId="0" sqref="C8"/>
    </sheetView>
  </sheetViews>
  <sheetFormatPr defaultColWidth="8.71484375" defaultRowHeight="15" zeroHeight="false" outlineLevelRow="0" outlineLevelCol="0"/>
  <cols>
    <col collapsed="false" customWidth="true" hidden="false" outlineLevel="0" max="1" min="1" style="9" width="34"/>
    <col collapsed="false" customWidth="true" hidden="false" outlineLevel="0" max="21" min="2" style="9" width="11"/>
    <col collapsed="false" customWidth="true" hidden="false" outlineLevel="0" max="22" min="22" style="10" width="11"/>
    <col collapsed="false" customWidth="true" hidden="false" outlineLevel="0" max="27" min="23" style="9" width="11"/>
  </cols>
  <sheetData>
    <row r="1" customFormat="false" ht="24" hidden="false" customHeight="true" outlineLevel="0" collapsed="false">
      <c r="A1" s="11" t="s">
        <v>96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customFormat="false" ht="13.5" hidden="false" customHeight="true" outlineLevel="0" collapsed="false">
      <c r="A2" s="12" t="s">
        <v>97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4" customFormat="false" ht="15.75" hidden="false" customHeight="true" outlineLevel="0" collapsed="false">
      <c r="A4" s="13" t="s">
        <v>98</v>
      </c>
      <c r="B4" s="14" t="s">
        <v>99</v>
      </c>
      <c r="C4" s="14" t="s">
        <v>100</v>
      </c>
      <c r="D4" s="14" t="s">
        <v>101</v>
      </c>
      <c r="E4" s="14" t="s">
        <v>102</v>
      </c>
      <c r="F4" s="14" t="s">
        <v>103</v>
      </c>
      <c r="G4" s="14" t="s">
        <v>104</v>
      </c>
      <c r="H4" s="14" t="s">
        <v>105</v>
      </c>
      <c r="I4" s="14" t="s">
        <v>106</v>
      </c>
      <c r="J4" s="14" t="s">
        <v>107</v>
      </c>
      <c r="K4" s="14" t="s">
        <v>108</v>
      </c>
      <c r="L4" s="14" t="s">
        <v>109</v>
      </c>
      <c r="M4" s="14" t="s">
        <v>110</v>
      </c>
      <c r="N4" s="14" t="s">
        <v>111</v>
      </c>
      <c r="O4" s="14" t="s">
        <v>112</v>
      </c>
      <c r="P4" s="14" t="s">
        <v>113</v>
      </c>
      <c r="Q4" s="14" t="s">
        <v>114</v>
      </c>
      <c r="R4" s="14" t="s">
        <v>115</v>
      </c>
      <c r="S4" s="14" t="s">
        <v>116</v>
      </c>
      <c r="T4" s="14" t="s">
        <v>117</v>
      </c>
      <c r="U4" s="14" t="s">
        <v>118</v>
      </c>
      <c r="V4" s="14" t="s">
        <v>119</v>
      </c>
      <c r="W4" s="15" t="s">
        <v>120</v>
      </c>
      <c r="X4" s="15" t="s">
        <v>121</v>
      </c>
      <c r="Y4" s="15" t="s">
        <v>122</v>
      </c>
      <c r="Z4" s="15" t="s">
        <v>123</v>
      </c>
      <c r="AA4" s="15" t="s">
        <v>124</v>
      </c>
    </row>
    <row r="5" customFormat="false" ht="18" hidden="false" customHeight="true" outlineLevel="0" collapsed="false">
      <c r="A5" s="16" t="s">
        <v>125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customFormat="false" ht="15" hidden="false" customHeight="true" outlineLevel="0" collapsed="false">
      <c r="A6" s="17" t="s">
        <v>126</v>
      </c>
      <c r="B6" s="18" t="n">
        <v>28.249677</v>
      </c>
      <c r="C6" s="18" t="n">
        <v>52.05889</v>
      </c>
      <c r="D6" s="18" t="n">
        <v>85.126341</v>
      </c>
      <c r="E6" s="18" t="n">
        <v>137.02262</v>
      </c>
      <c r="F6" s="18" t="n">
        <v>172.843621</v>
      </c>
      <c r="G6" s="18" t="n">
        <v>216.715713</v>
      </c>
      <c r="H6" s="18" t="n">
        <v>298.931625</v>
      </c>
      <c r="I6" s="18" t="n">
        <v>373.601494</v>
      </c>
      <c r="J6" s="18" t="n">
        <v>472.595</v>
      </c>
      <c r="K6" s="18" t="n">
        <v>556.536</v>
      </c>
      <c r="L6" s="18" t="n">
        <v>651.79</v>
      </c>
      <c r="M6" s="18" t="n">
        <v>844.396</v>
      </c>
      <c r="N6" s="18" t="n">
        <v>1216.542</v>
      </c>
      <c r="O6" s="18" t="n">
        <v>1439.653</v>
      </c>
      <c r="P6" s="18" t="n">
        <v>2296.314</v>
      </c>
      <c r="Q6" s="18" t="n">
        <v>3974</v>
      </c>
      <c r="R6" s="18" t="n">
        <v>7069</v>
      </c>
      <c r="S6" s="18" t="n">
        <v>10780</v>
      </c>
      <c r="T6" s="18" t="n">
        <v>15107</v>
      </c>
      <c r="U6" s="18" t="n">
        <v>20777</v>
      </c>
      <c r="V6" s="19" t="n">
        <v>28893</v>
      </c>
      <c r="W6" s="20" t="n">
        <f aca="false">'Assumptions (Annual)'!C21</f>
        <v>39916.23680448</v>
      </c>
      <c r="X6" s="20" t="n">
        <f aca="false">'Assumptions (Annual)'!D21</f>
        <v>51458.6634431443</v>
      </c>
      <c r="Y6" s="20" t="n">
        <f aca="false">'Assumptions (Annual)'!E21</f>
        <v>63236.2286141243</v>
      </c>
      <c r="Z6" s="20" t="n">
        <f aca="false">'Assumptions (Annual)'!F21</f>
        <v>74631.3548448502</v>
      </c>
      <c r="AA6" s="20" t="n">
        <f aca="false">'Assumptions (Annual)'!G21</f>
        <v>85669.3367420134</v>
      </c>
    </row>
    <row r="7" customFormat="false" ht="15" hidden="false" customHeight="true" outlineLevel="0" collapsed="false">
      <c r="A7" s="17" t="s">
        <v>127</v>
      </c>
      <c r="B7" s="18" t="n">
        <v>6.138732</v>
      </c>
      <c r="C7" s="18" t="n">
        <v>12.085648</v>
      </c>
      <c r="D7" s="18" t="n">
        <v>18.27294</v>
      </c>
      <c r="E7" s="18" t="n">
        <v>27.536573</v>
      </c>
      <c r="F7" s="18" t="n">
        <v>35.95805</v>
      </c>
      <c r="G7" s="18" t="n">
        <v>46.549845</v>
      </c>
      <c r="H7" s="18" t="n">
        <v>72.055835</v>
      </c>
      <c r="I7" s="18" t="n">
        <v>98.085644</v>
      </c>
      <c r="J7" s="18" t="n">
        <v>130.077</v>
      </c>
      <c r="K7" s="18" t="n">
        <v>158.978</v>
      </c>
      <c r="L7" s="18" t="n">
        <v>214.994</v>
      </c>
      <c r="M7" s="18" t="n">
        <v>307.538</v>
      </c>
      <c r="N7" s="18" t="n">
        <v>496.942</v>
      </c>
      <c r="O7" s="18" t="n">
        <v>742.645</v>
      </c>
      <c r="P7" s="18" t="n">
        <v>1194.191</v>
      </c>
      <c r="Q7" s="18" t="n">
        <v>2265</v>
      </c>
      <c r="R7" s="18" t="n">
        <v>4064</v>
      </c>
      <c r="S7" s="18" t="n">
        <v>5582</v>
      </c>
      <c r="T7" s="18" t="n">
        <v>7517</v>
      </c>
      <c r="U7" s="18" t="n">
        <v>11200</v>
      </c>
      <c r="V7" s="19" t="n">
        <v>16035</v>
      </c>
      <c r="W7" s="20" t="n">
        <f aca="false">W6*(1-'Assumptions (Annual)'!C26)</f>
        <v>22951.836162576</v>
      </c>
      <c r="X7" s="20" t="n">
        <f aca="false">X6*(1-'Assumptions (Annual)'!D26)</f>
        <v>29434.3554894786</v>
      </c>
      <c r="Y7" s="20" t="n">
        <f aca="false">Y6*(1-'Assumptions (Annual)'!E26)</f>
        <v>35918.1778528226</v>
      </c>
      <c r="Z7" s="20" t="n">
        <f aca="false">Z6*(1-'Assumptions (Annual)'!F26)</f>
        <v>42092.0841324955</v>
      </c>
      <c r="AA7" s="20" t="n">
        <f aca="false">AA6*(1-'Assumptions (Annual)'!G26)</f>
        <v>47974.8285755275</v>
      </c>
    </row>
    <row r="8" customFormat="false" ht="15" hidden="false" customHeight="true" outlineLevel="0" collapsed="false">
      <c r="A8" s="21" t="s">
        <v>128</v>
      </c>
      <c r="B8" s="22" t="n">
        <f aca="false">B6-B7</f>
        <v>22.110945</v>
      </c>
      <c r="C8" s="22" t="n">
        <f aca="false">C6-C7</f>
        <v>39.973242</v>
      </c>
      <c r="D8" s="22" t="n">
        <f aca="false">D6-D7</f>
        <v>66.853401</v>
      </c>
      <c r="E8" s="22" t="n">
        <f aca="false">E6-E7</f>
        <v>109.486047</v>
      </c>
      <c r="F8" s="22" t="n">
        <f aca="false">F6-F7</f>
        <v>136.885571</v>
      </c>
      <c r="G8" s="22" t="n">
        <f aca="false">G6-G7</f>
        <v>170.165868</v>
      </c>
      <c r="H8" s="22" t="n">
        <f aca="false">H6-H7</f>
        <v>226.87579</v>
      </c>
      <c r="I8" s="22" t="n">
        <f aca="false">I6-I7</f>
        <v>275.51585</v>
      </c>
      <c r="J8" s="22" t="n">
        <f aca="false">J6-J7</f>
        <v>342.518</v>
      </c>
      <c r="K8" s="22" t="n">
        <f aca="false">K6-K7</f>
        <v>397.558</v>
      </c>
      <c r="L8" s="22" t="n">
        <f aca="false">L6-L7</f>
        <v>436.796</v>
      </c>
      <c r="M8" s="22" t="n">
        <f aca="false">M6-M7</f>
        <v>536.858</v>
      </c>
      <c r="N8" s="22" t="n">
        <f aca="false">N6-N7</f>
        <v>719.6</v>
      </c>
      <c r="O8" s="22" t="n">
        <f aca="false">O6-O7</f>
        <v>697.008</v>
      </c>
      <c r="P8" s="22" t="n">
        <f aca="false">P6-P7</f>
        <v>1102.123</v>
      </c>
      <c r="Q8" s="22" t="n">
        <f aca="false">Q6-Q7</f>
        <v>1709</v>
      </c>
      <c r="R8" s="22" t="n">
        <f aca="false">R6-R7</f>
        <v>3005</v>
      </c>
      <c r="S8" s="22" t="n">
        <f aca="false">S6-S7</f>
        <v>5198</v>
      </c>
      <c r="T8" s="22" t="n">
        <f aca="false">T6-T7</f>
        <v>7590</v>
      </c>
      <c r="U8" s="22" t="n">
        <f aca="false">U6-U7</f>
        <v>9577</v>
      </c>
      <c r="V8" s="22" t="n">
        <f aca="false">V6-V7</f>
        <v>12858</v>
      </c>
      <c r="W8" s="22" t="n">
        <f aca="false">W6-W7</f>
        <v>16964.400641904</v>
      </c>
      <c r="X8" s="22" t="n">
        <f aca="false">X6-X7</f>
        <v>22024.3079536658</v>
      </c>
      <c r="Y8" s="22" t="n">
        <f aca="false">Y6-Y7</f>
        <v>27318.0507613017</v>
      </c>
      <c r="Z8" s="22" t="n">
        <f aca="false">Z6-Z7</f>
        <v>32539.2707123547</v>
      </c>
      <c r="AA8" s="22" t="n">
        <f aca="false">AA6-AA7</f>
        <v>37694.5081664859</v>
      </c>
    </row>
    <row r="9" customFormat="false" ht="15" hidden="false" customHeight="true" outlineLevel="0" collapsed="false">
      <c r="A9" s="17" t="s">
        <v>129</v>
      </c>
      <c r="B9" s="18" t="n">
        <v>19.112863</v>
      </c>
      <c r="C9" s="18" t="n">
        <v>31.509009</v>
      </c>
      <c r="D9" s="18" t="n">
        <v>40.822205</v>
      </c>
      <c r="E9" s="18" t="n">
        <v>62.735238</v>
      </c>
      <c r="F9" s="18" t="n">
        <v>68.711331</v>
      </c>
      <c r="G9" s="18" t="n">
        <v>79.711313</v>
      </c>
      <c r="H9" s="18" t="n">
        <v>103.753838</v>
      </c>
      <c r="I9" s="18" t="n">
        <v>117.231099</v>
      </c>
      <c r="J9" s="18" t="n">
        <v>148.091</v>
      </c>
      <c r="K9" s="18" t="n">
        <v>173.991</v>
      </c>
      <c r="L9" s="18" t="n">
        <v>204.951</v>
      </c>
      <c r="M9" s="18" t="n">
        <v>243.606</v>
      </c>
      <c r="N9" s="18" t="n">
        <v>447.569</v>
      </c>
      <c r="O9" s="18" t="n">
        <v>620.217</v>
      </c>
      <c r="P9" s="18" t="n">
        <v>1031.477</v>
      </c>
      <c r="Q9" s="18" t="n">
        <v>1095</v>
      </c>
      <c r="R9" s="18" t="n">
        <v>1539</v>
      </c>
      <c r="S9" s="18" t="n">
        <v>1957</v>
      </c>
      <c r="T9" s="18" t="n">
        <v>2502</v>
      </c>
      <c r="U9" s="18" t="n">
        <v>3154</v>
      </c>
      <c r="V9" s="19" t="n">
        <v>4297</v>
      </c>
      <c r="W9" s="20" t="n">
        <f aca="false">W6*'Assumptions (Annual)'!C27</f>
        <v>6187.0167046944</v>
      </c>
      <c r="X9" s="20" t="n">
        <f aca="false">X6*'Assumptions (Annual)'!D27</f>
        <v>7821.71684335794</v>
      </c>
      <c r="Y9" s="20" t="n">
        <f aca="false">Y6*'Assumptions (Annual)'!E27</f>
        <v>9358.96183489039</v>
      </c>
      <c r="Z9" s="20" t="n">
        <f aca="false">Z6*'Assumptions (Annual)'!F27</f>
        <v>10746.9150976584</v>
      </c>
      <c r="AA9" s="20" t="n">
        <f aca="false">AA6*'Assumptions (Annual)'!G27</f>
        <v>11993.7071438819</v>
      </c>
    </row>
    <row r="10" customFormat="false" ht="15" hidden="false" customHeight="true" outlineLevel="0" collapsed="false">
      <c r="A10" s="17" t="s">
        <v>130</v>
      </c>
      <c r="B10" s="18" t="n">
        <v>2.18622</v>
      </c>
      <c r="C10" s="18" t="n">
        <v>3.066304</v>
      </c>
      <c r="D10" s="18" t="n">
        <v>4.369376</v>
      </c>
      <c r="E10" s="18" t="n">
        <v>7.307008</v>
      </c>
      <c r="F10" s="18" t="n">
        <v>12.140521</v>
      </c>
      <c r="G10" s="18" t="n">
        <v>15.855992</v>
      </c>
      <c r="H10" s="18" t="n">
        <v>23.349787</v>
      </c>
      <c r="I10" s="18" t="n">
        <v>28.62688</v>
      </c>
      <c r="J10" s="18" t="n">
        <v>40.888</v>
      </c>
      <c r="K10" s="18" t="n">
        <v>53.6</v>
      </c>
      <c r="L10" s="18" t="n">
        <v>76.423</v>
      </c>
      <c r="M10" s="18" t="n">
        <v>98.479</v>
      </c>
      <c r="N10" s="18" t="n">
        <v>127.16</v>
      </c>
      <c r="O10" s="18" t="n">
        <v>146.273</v>
      </c>
      <c r="P10" s="18" t="n">
        <v>223.807</v>
      </c>
      <c r="Q10" s="18" t="n">
        <v>353</v>
      </c>
      <c r="R10" s="18" t="n">
        <v>590</v>
      </c>
      <c r="S10" s="18" t="n">
        <v>1099</v>
      </c>
      <c r="T10" s="18" t="n">
        <v>1831</v>
      </c>
      <c r="U10" s="18" t="n">
        <v>1934</v>
      </c>
      <c r="V10" s="19" t="n">
        <v>2269</v>
      </c>
      <c r="W10" s="20" t="n">
        <f aca="false">W6*'Assumptions (Annual)'!C28</f>
        <v>3113.46647074944</v>
      </c>
      <c r="X10" s="20" t="n">
        <f aca="false">X6*'Assumptions (Annual)'!D28</f>
        <v>3962.31708512211</v>
      </c>
      <c r="Y10" s="20" t="n">
        <f aca="false">Y6*'Assumptions (Annual)'!E28</f>
        <v>4805.95337467344</v>
      </c>
      <c r="Z10" s="20" t="n">
        <f aca="false">Z6*'Assumptions (Annual)'!F28</f>
        <v>5597.35161336377</v>
      </c>
      <c r="AA10" s="20" t="n">
        <f aca="false">AA6*'Assumptions (Annual)'!G28</f>
        <v>6339.53091890899</v>
      </c>
    </row>
    <row r="11" customFormat="false" ht="15" hidden="false" customHeight="true" outlineLevel="0" collapsed="false">
      <c r="A11" s="17" t="s">
        <v>131</v>
      </c>
      <c r="B11" s="18" t="n">
        <v>0</v>
      </c>
      <c r="C11" s="18" t="n">
        <v>0</v>
      </c>
      <c r="D11" s="18" t="n">
        <v>0</v>
      </c>
      <c r="E11" s="18" t="n">
        <v>1.91987</v>
      </c>
      <c r="F11" s="18" t="n">
        <v>0</v>
      </c>
      <c r="G11" s="18" t="n">
        <v>0</v>
      </c>
      <c r="H11" s="18" t="n">
        <v>0</v>
      </c>
      <c r="I11" s="18" t="n">
        <v>0</v>
      </c>
      <c r="J11" s="18" t="n">
        <v>0</v>
      </c>
      <c r="K11" s="18" t="n">
        <v>49.496</v>
      </c>
      <c r="L11" s="18" t="n">
        <v>16.226</v>
      </c>
      <c r="M11" s="18" t="n">
        <v>13.717</v>
      </c>
      <c r="N11" s="18" t="n">
        <v>88.598</v>
      </c>
      <c r="O11" s="18" t="n">
        <v>0</v>
      </c>
      <c r="P11" s="18" t="n">
        <v>0</v>
      </c>
      <c r="Q11" s="18" t="n">
        <v>133</v>
      </c>
      <c r="R11" s="18" t="n">
        <v>435</v>
      </c>
      <c r="S11" s="18" t="n">
        <v>1073</v>
      </c>
      <c r="T11" s="18" t="n">
        <v>1050</v>
      </c>
      <c r="U11" s="18" t="n">
        <v>1858</v>
      </c>
      <c r="V11" s="19" t="n">
        <v>3091</v>
      </c>
      <c r="W11" s="20" t="n">
        <f aca="false">W6*'Assumptions (Annual)'!C29</f>
        <v>5029.44583736448</v>
      </c>
      <c r="X11" s="20" t="n">
        <f aca="false">X6*'Assumptions (Annual)'!D29</f>
        <v>6380.8742669499</v>
      </c>
      <c r="Y11" s="20" t="n">
        <f aca="false">Y6*'Assumptions (Annual)'!E29</f>
        <v>7714.81989092316</v>
      </c>
      <c r="Z11" s="20" t="n">
        <f aca="false">Z6*'Assumptions (Annual)'!F29</f>
        <v>8955.76258138203</v>
      </c>
      <c r="AA11" s="20" t="n">
        <f aca="false">AA6*'Assumptions (Annual)'!G29</f>
        <v>10023.3123988156</v>
      </c>
    </row>
    <row r="12" customFormat="false" ht="15" hidden="false" customHeight="true" outlineLevel="0" collapsed="false">
      <c r="A12" s="21" t="s">
        <v>132</v>
      </c>
      <c r="B12" s="22" t="n">
        <f aca="false">B9+B10+B11</f>
        <v>21.299083</v>
      </c>
      <c r="C12" s="22" t="n">
        <f aca="false">C9+C10+C11</f>
        <v>34.575313</v>
      </c>
      <c r="D12" s="22" t="n">
        <f aca="false">D9+D10+D11</f>
        <v>45.191581</v>
      </c>
      <c r="E12" s="22" t="n">
        <f aca="false">E9+E10+E11</f>
        <v>71.962116</v>
      </c>
      <c r="F12" s="22" t="n">
        <f aca="false">F9+F10+F11</f>
        <v>80.851852</v>
      </c>
      <c r="G12" s="22" t="n">
        <f aca="false">G9+G10+G11</f>
        <v>95.567305</v>
      </c>
      <c r="H12" s="22" t="n">
        <f aca="false">H9+H10+H11</f>
        <v>127.103625</v>
      </c>
      <c r="I12" s="22" t="n">
        <f aca="false">I9+I10+I11</f>
        <v>145.857979</v>
      </c>
      <c r="J12" s="22" t="n">
        <f aca="false">J9+J10+J11</f>
        <v>188.979</v>
      </c>
      <c r="K12" s="22" t="n">
        <f aca="false">K9+K10+K11</f>
        <v>277.087</v>
      </c>
      <c r="L12" s="22" t="n">
        <f aca="false">L9+L10+L11</f>
        <v>297.6</v>
      </c>
      <c r="M12" s="22" t="n">
        <f aca="false">M9+M10+M11</f>
        <v>355.802</v>
      </c>
      <c r="N12" s="22" t="n">
        <f aca="false">N9+N10+N11</f>
        <v>663.327</v>
      </c>
      <c r="O12" s="22" t="n">
        <f aca="false">O9+O10+O11</f>
        <v>766.49</v>
      </c>
      <c r="P12" s="22" t="n">
        <f aca="false">P9+P10+P11</f>
        <v>1255.284</v>
      </c>
      <c r="Q12" s="22" t="n">
        <f aca="false">Q9+Q10+Q11</f>
        <v>1581</v>
      </c>
      <c r="R12" s="22" t="n">
        <f aca="false">R9+R10+R11</f>
        <v>2564</v>
      </c>
      <c r="S12" s="22" t="n">
        <f aca="false">S9+S10+S11</f>
        <v>4129</v>
      </c>
      <c r="T12" s="22" t="n">
        <f aca="false">T9+T10+T11</f>
        <v>5383</v>
      </c>
      <c r="U12" s="22" t="n">
        <f aca="false">U9+U10+U11</f>
        <v>6946</v>
      </c>
      <c r="V12" s="22" t="n">
        <f aca="false">V9+V10+V11</f>
        <v>9657</v>
      </c>
      <c r="W12" s="22" t="n">
        <f aca="false">W9+W10+W11</f>
        <v>14329.9290128083</v>
      </c>
      <c r="X12" s="22" t="n">
        <f aca="false">X9+X10+X11</f>
        <v>18164.9081954299</v>
      </c>
      <c r="Y12" s="22" t="n">
        <f aca="false">Y9+Y10+Y11</f>
        <v>21879.735100487</v>
      </c>
      <c r="Z12" s="22" t="n">
        <f aca="false">Z9+Z10+Z11</f>
        <v>25300.0292924042</v>
      </c>
      <c r="AA12" s="22" t="n">
        <f aca="false">AA9+AA10+AA11</f>
        <v>28356.5504616064</v>
      </c>
    </row>
    <row r="13" customFormat="false" ht="15" hidden="false" customHeight="true" outlineLevel="0" collapsed="false">
      <c r="A13" s="21" t="s">
        <v>133</v>
      </c>
      <c r="B13" s="23" t="n">
        <f aca="false">B8-B12</f>
        <v>0.811861999999998</v>
      </c>
      <c r="C13" s="23" t="n">
        <f aca="false">C8-C12</f>
        <v>5.397929</v>
      </c>
      <c r="D13" s="23" t="n">
        <f aca="false">D8-D12</f>
        <v>21.66182</v>
      </c>
      <c r="E13" s="23" t="n">
        <f aca="false">E8-E12</f>
        <v>37.523931</v>
      </c>
      <c r="F13" s="23" t="n">
        <f aca="false">F8-F12</f>
        <v>56.033719</v>
      </c>
      <c r="G13" s="23" t="n">
        <f aca="false">G8-G12</f>
        <v>74.598563</v>
      </c>
      <c r="H13" s="23" t="n">
        <f aca="false">H8-H12</f>
        <v>99.772165</v>
      </c>
      <c r="I13" s="23" t="n">
        <f aca="false">I8-I12</f>
        <v>129.657871</v>
      </c>
      <c r="J13" s="23" t="n">
        <f aca="false">J8-J12</f>
        <v>153.539</v>
      </c>
      <c r="K13" s="23" t="n">
        <f aca="false">K8-K12</f>
        <v>120.471</v>
      </c>
      <c r="L13" s="23" t="n">
        <f aca="false">L8-L12</f>
        <v>139.196</v>
      </c>
      <c r="M13" s="23" t="n">
        <f aca="false">M8-M12</f>
        <v>181.056</v>
      </c>
      <c r="N13" s="23" t="n">
        <f aca="false">N8-N12</f>
        <v>56.2729999999999</v>
      </c>
      <c r="O13" s="23" t="n">
        <f aca="false">O8-O12</f>
        <v>-69.482</v>
      </c>
      <c r="P13" s="23" t="n">
        <f aca="false">P8-P12</f>
        <v>-153.161</v>
      </c>
      <c r="Q13" s="23" t="n">
        <f aca="false">Q8-Q12</f>
        <v>128</v>
      </c>
      <c r="R13" s="23" t="n">
        <f aca="false">R8-R12</f>
        <v>441</v>
      </c>
      <c r="S13" s="23" t="n">
        <f aca="false">S8-S12</f>
        <v>1069</v>
      </c>
      <c r="T13" s="23" t="n">
        <f aca="false">T8-T12</f>
        <v>2207</v>
      </c>
      <c r="U13" s="23" t="n">
        <f aca="false">U8-U12</f>
        <v>2631</v>
      </c>
      <c r="V13" s="23" t="n">
        <f aca="false">V8-V12</f>
        <v>3201</v>
      </c>
      <c r="W13" s="23" t="n">
        <f aca="false">W8-W12</f>
        <v>2634.47162909568</v>
      </c>
      <c r="X13" s="23" t="n">
        <f aca="false">X8-X12</f>
        <v>3859.39975823582</v>
      </c>
      <c r="Y13" s="23" t="n">
        <f aca="false">Y8-Y12</f>
        <v>5438.31566081468</v>
      </c>
      <c r="Z13" s="23" t="n">
        <f aca="false">Z8-Z12</f>
        <v>7239.24141995047</v>
      </c>
      <c r="AA13" s="23" t="n">
        <f aca="false">AA8-AA12</f>
        <v>9337.95770487945</v>
      </c>
    </row>
    <row r="14" customFormat="false" ht="15" hidden="false" customHeight="true" outlineLevel="0" collapsed="false">
      <c r="A14" s="17" t="s">
        <v>134</v>
      </c>
      <c r="B14" s="18" t="n">
        <v>0.45643</v>
      </c>
      <c r="C14" s="18" t="n">
        <v>1.743315</v>
      </c>
      <c r="D14" s="18" t="n">
        <v>2.737901</v>
      </c>
      <c r="E14" s="18" t="n">
        <v>8.442427</v>
      </c>
      <c r="F14" s="18" t="n">
        <v>13.357554</v>
      </c>
      <c r="G14" s="18" t="n">
        <v>7.601671</v>
      </c>
      <c r="H14" s="18" t="n">
        <v>3.648733</v>
      </c>
      <c r="I14" s="18" t="n">
        <v>1.138379</v>
      </c>
      <c r="J14" s="18" t="n">
        <v>2.356</v>
      </c>
      <c r="K14" s="18" t="n">
        <v>11.659</v>
      </c>
      <c r="L14" s="18" t="n">
        <v>20.391</v>
      </c>
      <c r="M14" s="18" t="n">
        <v>25.605</v>
      </c>
      <c r="N14" s="18" t="n">
        <v>26.469</v>
      </c>
      <c r="O14" s="18" t="n">
        <v>56.249</v>
      </c>
      <c r="P14" s="18" t="n">
        <v>65.876</v>
      </c>
      <c r="Q14" s="18" t="n">
        <v>107</v>
      </c>
      <c r="R14" s="18" t="n">
        <v>229</v>
      </c>
      <c r="S14" s="18" t="n">
        <v>135</v>
      </c>
      <c r="T14" s="18" t="n">
        <v>174</v>
      </c>
      <c r="U14" s="18" t="n">
        <v>165</v>
      </c>
      <c r="V14" s="19" t="n">
        <v>160</v>
      </c>
      <c r="W14" s="20" t="n">
        <f aca="false">W6*'Assumptions (Annual)'!C30+'Assumptions (Annual)'!C34*0</f>
        <v>339.28801283808</v>
      </c>
      <c r="X14" s="20" t="n">
        <f aca="false">X6*'Assumptions (Annual)'!D30+'Assumptions (Annual)'!D34*W110</f>
        <v>411.669307545155</v>
      </c>
      <c r="Y14" s="20" t="n">
        <f aca="false">Y6*'Assumptions (Annual)'!E30+'Assumptions (Annual)'!E34*X110</f>
        <v>474.271714605932</v>
      </c>
      <c r="Z14" s="20" t="n">
        <f aca="false">Z6*'Assumptions (Annual)'!F30+'Assumptions (Annual)'!F34*Y110</f>
        <v>522.419483913952</v>
      </c>
      <c r="AA14" s="20" t="n">
        <f aca="false">AA6*'Assumptions (Annual)'!G30+'Assumptions (Annual)'!G34*Z110</f>
        <v>556.850688823087</v>
      </c>
    </row>
    <row r="15" customFormat="false" ht="15" hidden="false" customHeight="true" outlineLevel="0" collapsed="false">
      <c r="A15" s="17" t="s">
        <v>135</v>
      </c>
      <c r="B15" s="18" t="n">
        <v>-0.629342</v>
      </c>
      <c r="C15" s="18" t="n">
        <v>1.339693</v>
      </c>
      <c r="D15" s="18" t="n">
        <v>4.503528</v>
      </c>
      <c r="E15" s="18" t="n">
        <v>-0.3644</v>
      </c>
      <c r="F15" s="18" t="n">
        <v>-0.036633</v>
      </c>
      <c r="G15" s="18" t="n">
        <v>-4.868768</v>
      </c>
      <c r="H15" s="18" t="n">
        <v>-12.316442</v>
      </c>
      <c r="I15" s="18" t="n">
        <v>-11.599185</v>
      </c>
      <c r="J15" s="18" t="n">
        <v>-11.907</v>
      </c>
      <c r="K15" s="18" t="n">
        <v>-12.912</v>
      </c>
      <c r="L15" s="18" t="n">
        <v>-31.686</v>
      </c>
      <c r="M15" s="18" t="n">
        <v>-29.877</v>
      </c>
      <c r="N15" s="18" t="n">
        <v>-24.266</v>
      </c>
      <c r="O15" s="18" t="n">
        <v>-60.279</v>
      </c>
      <c r="P15" s="18" t="n">
        <v>-111.791</v>
      </c>
      <c r="Q15" s="18" t="n">
        <v>-60</v>
      </c>
      <c r="R15" s="18" t="n">
        <v>-20</v>
      </c>
      <c r="S15" s="18" t="n">
        <v>154</v>
      </c>
      <c r="T15" s="18" t="n">
        <v>477</v>
      </c>
      <c r="U15" s="18" t="n">
        <v>34</v>
      </c>
      <c r="V15" s="19" t="n">
        <v>199</v>
      </c>
      <c r="W15" s="20" t="n">
        <f aca="false">W6*'Assumptions (Annual)'!C31</f>
        <v>199.5811840224</v>
      </c>
      <c r="X15" s="20" t="n">
        <f aca="false">X6*'Assumptions (Annual)'!D31</f>
        <v>257.293317215722</v>
      </c>
      <c r="Y15" s="20" t="n">
        <f aca="false">Y6*'Assumptions (Annual)'!E31</f>
        <v>316.181143070621</v>
      </c>
      <c r="Z15" s="20" t="n">
        <f aca="false">Z6*'Assumptions (Annual)'!F31</f>
        <v>373.156774224251</v>
      </c>
      <c r="AA15" s="20" t="n">
        <f aca="false">AA6*'Assumptions (Annual)'!G31</f>
        <v>428.346683710067</v>
      </c>
    </row>
    <row r="16" customFormat="false" ht="15" hidden="false" customHeight="true" outlineLevel="0" collapsed="false">
      <c r="A16" s="21" t="s">
        <v>136</v>
      </c>
      <c r="B16" s="22" t="n">
        <f aca="false">B13-B14-B15</f>
        <v>0.984773999999998</v>
      </c>
      <c r="C16" s="22" t="n">
        <f aca="false">C13-C14-C15</f>
        <v>2.314921</v>
      </c>
      <c r="D16" s="22" t="n">
        <f aca="false">D13-D14-D15</f>
        <v>14.420391</v>
      </c>
      <c r="E16" s="22" t="n">
        <f aca="false">E13-E14-E15</f>
        <v>29.445904</v>
      </c>
      <c r="F16" s="22" t="n">
        <f aca="false">F13-F14-F15</f>
        <v>42.712798</v>
      </c>
      <c r="G16" s="22" t="n">
        <f aca="false">G13-G14-G15</f>
        <v>71.86566</v>
      </c>
      <c r="H16" s="22" t="n">
        <f aca="false">H13-H14-H15</f>
        <v>108.439874</v>
      </c>
      <c r="I16" s="22" t="n">
        <f aca="false">I13-I14-I15</f>
        <v>140.118677</v>
      </c>
      <c r="J16" s="22" t="n">
        <f aca="false">J13-J14-J15</f>
        <v>163.09</v>
      </c>
      <c r="K16" s="22" t="n">
        <f aca="false">K13-K14-K15</f>
        <v>121.724</v>
      </c>
      <c r="L16" s="22" t="n">
        <f aca="false">L13-L14-L15</f>
        <v>150.491</v>
      </c>
      <c r="M16" s="22" t="n">
        <f aca="false">M13-M14-M15</f>
        <v>185.328</v>
      </c>
      <c r="N16" s="22" t="n">
        <f aca="false">N13-N14-N15</f>
        <v>54.0699999999999</v>
      </c>
      <c r="O16" s="22" t="n">
        <f aca="false">O13-O14-O15</f>
        <v>-65.452</v>
      </c>
      <c r="P16" s="22" t="n">
        <f aca="false">P13-P14-P15</f>
        <v>-107.246</v>
      </c>
      <c r="Q16" s="22" t="n">
        <f aca="false">Q13-Q14-Q15</f>
        <v>81</v>
      </c>
      <c r="R16" s="22" t="n">
        <f aca="false">R13-R14-R15</f>
        <v>232</v>
      </c>
      <c r="S16" s="22" t="n">
        <f aca="false">S13-S14-S15</f>
        <v>780</v>
      </c>
      <c r="T16" s="22" t="n">
        <f aca="false">T13-T14-T15</f>
        <v>1556</v>
      </c>
      <c r="U16" s="22" t="n">
        <f aca="false">U13-U14-U15</f>
        <v>2432</v>
      </c>
      <c r="V16" s="22" t="n">
        <f aca="false">V13-V14-V15</f>
        <v>2842</v>
      </c>
      <c r="W16" s="22" t="n">
        <f aca="false">W13-W14-W15</f>
        <v>2095.6024322352</v>
      </c>
      <c r="X16" s="22" t="n">
        <f aca="false">X13-X14-X15</f>
        <v>3190.43713347494</v>
      </c>
      <c r="Y16" s="22" t="n">
        <f aca="false">Y13-Y14-Y15</f>
        <v>4647.86280313813</v>
      </c>
      <c r="Z16" s="22" t="n">
        <f aca="false">Z13-Z14-Z15</f>
        <v>6343.66516181226</v>
      </c>
      <c r="AA16" s="22" t="n">
        <f aca="false">AA13-AA14-AA15</f>
        <v>8352.76033234629</v>
      </c>
    </row>
    <row r="17" customFormat="false" ht="15" hidden="false" customHeight="true" outlineLevel="0" collapsed="false">
      <c r="A17" s="17" t="s">
        <v>137</v>
      </c>
      <c r="B17" s="18" t="n">
        <v>-1.369362</v>
      </c>
      <c r="C17" s="18" t="n">
        <v>1.242838</v>
      </c>
      <c r="D17" s="18" t="n">
        <v>4.727451</v>
      </c>
      <c r="E17" s="18" t="n">
        <v>10.634243</v>
      </c>
      <c r="F17" s="18" t="n">
        <v>9.504005</v>
      </c>
      <c r="G17" s="18" t="n">
        <v>15.840641</v>
      </c>
      <c r="H17" s="18" t="n">
        <v>31.659821</v>
      </c>
      <c r="I17" s="18" t="n">
        <v>38.871379</v>
      </c>
      <c r="J17" s="18" t="n">
        <v>45.583</v>
      </c>
      <c r="K17" s="18" t="n">
        <v>49.143</v>
      </c>
      <c r="L17" s="18" t="n">
        <v>44.702</v>
      </c>
      <c r="M17" s="18" t="n">
        <v>48.962</v>
      </c>
      <c r="N17" s="18" t="n">
        <v>40.29</v>
      </c>
      <c r="O17" s="18" t="n">
        <v>-28.867</v>
      </c>
      <c r="P17" s="18" t="n">
        <v>64.753</v>
      </c>
      <c r="Q17" s="18" t="n">
        <v>82</v>
      </c>
      <c r="R17" s="18" t="n">
        <v>149</v>
      </c>
      <c r="S17" s="18" t="n">
        <v>298</v>
      </c>
      <c r="T17" s="18" t="n">
        <v>569</v>
      </c>
      <c r="U17" s="18" t="n">
        <v>521</v>
      </c>
      <c r="V17" s="19" t="n">
        <v>845</v>
      </c>
      <c r="W17" s="20" t="n">
        <f aca="false">W16*'Assumptions (Annual)'!C32</f>
        <v>618.202717509383</v>
      </c>
      <c r="X17" s="20" t="n">
        <f aca="false">X16*'Assumptions (Annual)'!D32</f>
        <v>941.178954375109</v>
      </c>
      <c r="Y17" s="20" t="n">
        <f aca="false">Y16*'Assumptions (Annual)'!E32</f>
        <v>1371.11952692575</v>
      </c>
      <c r="Z17" s="20" t="n">
        <f aca="false">Z16*'Assumptions (Annual)'!F32</f>
        <v>1871.38122273462</v>
      </c>
      <c r="AA17" s="20" t="n">
        <f aca="false">AA16*'Assumptions (Annual)'!G32</f>
        <v>2464.06429804216</v>
      </c>
    </row>
    <row r="18" customFormat="false" ht="15" hidden="false" customHeight="true" outlineLevel="0" collapsed="false">
      <c r="A18" s="21" t="s">
        <v>138</v>
      </c>
      <c r="B18" s="23" t="n">
        <f aca="false">B16-B17</f>
        <v>2.354136</v>
      </c>
      <c r="C18" s="23" t="n">
        <f aca="false">C16-C17</f>
        <v>1.072083</v>
      </c>
      <c r="D18" s="23" t="n">
        <f aca="false">D16-D17</f>
        <v>9.69293999999999</v>
      </c>
      <c r="E18" s="23" t="n">
        <f aca="false">E16-E17</f>
        <v>18.811661</v>
      </c>
      <c r="F18" s="23" t="n">
        <f aca="false">F16-F17</f>
        <v>33.208793</v>
      </c>
      <c r="G18" s="23" t="n">
        <f aca="false">G16-G17</f>
        <v>56.025019</v>
      </c>
      <c r="H18" s="23" t="n">
        <f aca="false">H16-H17</f>
        <v>76.780053</v>
      </c>
      <c r="I18" s="23" t="n">
        <f aca="false">I16-I17</f>
        <v>101.247298</v>
      </c>
      <c r="J18" s="23" t="n">
        <f aca="false">J16-J17</f>
        <v>117.507</v>
      </c>
      <c r="K18" s="23" t="n">
        <f aca="false">K16-K17</f>
        <v>72.581</v>
      </c>
      <c r="L18" s="23" t="n">
        <f aca="false">L16-L17</f>
        <v>105.789</v>
      </c>
      <c r="M18" s="23" t="n">
        <f aca="false">M16-M17</f>
        <v>136.366</v>
      </c>
      <c r="N18" s="23" t="n">
        <f aca="false">N16-N17</f>
        <v>13.7799999999999</v>
      </c>
      <c r="O18" s="23" t="n">
        <f aca="false">O16-O17</f>
        <v>-36.585</v>
      </c>
      <c r="P18" s="23" t="n">
        <f aca="false">P16-P17</f>
        <v>-171.999</v>
      </c>
      <c r="Q18" s="23" t="n">
        <f aca="false">Q16-Q17</f>
        <v>-1</v>
      </c>
      <c r="R18" s="23" t="n">
        <f aca="false">R16-R17</f>
        <v>83</v>
      </c>
      <c r="S18" s="23" t="n">
        <f aca="false">S16-S17</f>
        <v>482</v>
      </c>
      <c r="T18" s="23" t="n">
        <f aca="false">T16-T17</f>
        <v>987</v>
      </c>
      <c r="U18" s="23" t="n">
        <f aca="false">U16-U17</f>
        <v>1911</v>
      </c>
      <c r="V18" s="23" t="n">
        <f aca="false">V16-V17</f>
        <v>1997</v>
      </c>
      <c r="W18" s="23" t="n">
        <f aca="false">W16-W17</f>
        <v>1477.39971472581</v>
      </c>
      <c r="X18" s="23" t="n">
        <f aca="false">X16-X17</f>
        <v>2249.25817909984</v>
      </c>
      <c r="Y18" s="23" t="n">
        <f aca="false">Y16-Y17</f>
        <v>3276.74327621238</v>
      </c>
      <c r="Z18" s="23" t="n">
        <f aca="false">Z16-Z17</f>
        <v>4472.28393907765</v>
      </c>
      <c r="AA18" s="23" t="n">
        <f aca="false">AA16-AA17</f>
        <v>5888.69603430414</v>
      </c>
    </row>
    <row r="19" customFormat="false" ht="15" hidden="false" customHeight="true" outlineLevel="0" collapsed="false">
      <c r="A19" s="17" t="s">
        <v>139</v>
      </c>
      <c r="B19" s="18" t="n">
        <v>0.494878</v>
      </c>
      <c r="C19" s="18" t="n">
        <v>0.494878</v>
      </c>
      <c r="D19" s="18" t="n">
        <v>0.309299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18" t="n">
        <v>0</v>
      </c>
      <c r="K19" s="18" t="n">
        <v>0</v>
      </c>
      <c r="L19" s="18" t="n">
        <v>0</v>
      </c>
      <c r="M19" s="18" t="n">
        <v>0</v>
      </c>
      <c r="N19" s="18" t="n">
        <v>0</v>
      </c>
      <c r="O19" s="18" t="n">
        <v>0</v>
      </c>
      <c r="P19" s="18" t="n">
        <v>0</v>
      </c>
      <c r="Q19" s="18" t="n">
        <v>0</v>
      </c>
      <c r="R19" s="18" t="n">
        <v>0</v>
      </c>
      <c r="S19" s="18" t="n">
        <v>0</v>
      </c>
      <c r="T19" s="18" t="n">
        <v>0</v>
      </c>
      <c r="U19" s="18" t="n">
        <v>0</v>
      </c>
      <c r="V19" s="19" t="n">
        <v>0</v>
      </c>
      <c r="W19" s="20" t="n">
        <f aca="false">'Assumptions (Annual)'!C44</f>
        <v>0</v>
      </c>
      <c r="X19" s="20" t="n">
        <f aca="false">'Assumptions (Annual)'!D44</f>
        <v>0</v>
      </c>
      <c r="Y19" s="20" t="n">
        <f aca="false">'Assumptions (Annual)'!E44</f>
        <v>0</v>
      </c>
      <c r="Z19" s="20" t="n">
        <f aca="false">'Assumptions (Annual)'!F44</f>
        <v>0</v>
      </c>
      <c r="AA19" s="20" t="n">
        <f aca="false">'Assumptions (Annual)'!G44</f>
        <v>0</v>
      </c>
    </row>
    <row r="20" customFormat="false" ht="15.75" hidden="false" customHeight="true" outlineLevel="0" collapsed="false">
      <c r="A20" s="24" t="s">
        <v>140</v>
      </c>
      <c r="B20" s="22" t="n">
        <f aca="false">B18-B19</f>
        <v>1.859258</v>
      </c>
      <c r="C20" s="22" t="n">
        <f aca="false">C18-C19</f>
        <v>0.577204999999998</v>
      </c>
      <c r="D20" s="22" t="n">
        <f aca="false">D18-D19</f>
        <v>9.38364099999999</v>
      </c>
      <c r="E20" s="22" t="n">
        <f aca="false">E18-E19</f>
        <v>18.811661</v>
      </c>
      <c r="F20" s="22" t="n">
        <f aca="false">F18-F19</f>
        <v>33.208793</v>
      </c>
      <c r="G20" s="22" t="n">
        <f aca="false">G18-G19</f>
        <v>56.025019</v>
      </c>
      <c r="H20" s="22" t="n">
        <f aca="false">H18-H19</f>
        <v>76.780053</v>
      </c>
      <c r="I20" s="22" t="n">
        <f aca="false">I18-I19</f>
        <v>101.247298</v>
      </c>
      <c r="J20" s="22" t="n">
        <f aca="false">J18-J19</f>
        <v>117.507</v>
      </c>
      <c r="K20" s="22" t="n">
        <f aca="false">K18-K19</f>
        <v>72.581</v>
      </c>
      <c r="L20" s="22" t="n">
        <f aca="false">L18-L19</f>
        <v>105.789</v>
      </c>
      <c r="M20" s="22" t="n">
        <f aca="false">M18-M19</f>
        <v>136.366</v>
      </c>
      <c r="N20" s="22" t="n">
        <f aca="false">N18-N19</f>
        <v>13.7799999999999</v>
      </c>
      <c r="O20" s="22" t="n">
        <f aca="false">O18-O19</f>
        <v>-36.585</v>
      </c>
      <c r="P20" s="22" t="n">
        <f aca="false">P18-P19</f>
        <v>-171.999</v>
      </c>
      <c r="Q20" s="22" t="n">
        <f aca="false">Q18-Q19</f>
        <v>-1</v>
      </c>
      <c r="R20" s="22" t="n">
        <f aca="false">R18-R19</f>
        <v>83</v>
      </c>
      <c r="S20" s="22" t="n">
        <f aca="false">S18-S19</f>
        <v>482</v>
      </c>
      <c r="T20" s="22" t="n">
        <f aca="false">T18-T19</f>
        <v>987</v>
      </c>
      <c r="U20" s="22" t="n">
        <f aca="false">U18-U19</f>
        <v>1911</v>
      </c>
      <c r="V20" s="22" t="n">
        <f aca="false">V18-V19</f>
        <v>1997</v>
      </c>
      <c r="W20" s="22" t="n">
        <f aca="false">W18-W19</f>
        <v>1477.39971472581</v>
      </c>
      <c r="X20" s="22" t="n">
        <f aca="false">X18-X19</f>
        <v>2249.25817909984</v>
      </c>
      <c r="Y20" s="22" t="n">
        <f aca="false">Y18-Y19</f>
        <v>3276.74327621238</v>
      </c>
      <c r="Z20" s="22" t="n">
        <f aca="false">Z18-Z19</f>
        <v>4472.28393907765</v>
      </c>
      <c r="AA20" s="22" t="n">
        <f aca="false">AA18-AA19</f>
        <v>5888.69603430414</v>
      </c>
    </row>
    <row r="21" customFormat="false" ht="15.75" hidden="false" customHeight="true" outlineLevel="0" collapsed="false">
      <c r="A21" s="17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6"/>
      <c r="X21" s="26"/>
      <c r="Y21" s="26"/>
      <c r="Z21" s="26"/>
      <c r="AA21" s="26"/>
    </row>
    <row r="22" customFormat="false" ht="15" hidden="false" customHeight="true" outlineLevel="0" collapsed="false">
      <c r="A22" s="17" t="s">
        <v>141</v>
      </c>
      <c r="B22" s="27" t="n">
        <v>13.065496</v>
      </c>
      <c r="C22" s="27" t="n">
        <v>13.149139</v>
      </c>
      <c r="D22" s="27" t="n">
        <v>25.149405</v>
      </c>
      <c r="E22" s="27" t="n">
        <v>44.239443</v>
      </c>
      <c r="F22" s="27" t="n">
        <v>44.086892</v>
      </c>
      <c r="G22" s="27" t="n">
        <v>44.124018</v>
      </c>
      <c r="H22" s="27" t="n">
        <v>44.138397</v>
      </c>
      <c r="I22" s="27" t="n">
        <v>44.147861</v>
      </c>
      <c r="J22" s="27" t="n">
        <v>44.1526</v>
      </c>
      <c r="K22" s="27" t="n">
        <v>44.153884</v>
      </c>
      <c r="L22" s="27" t="n">
        <v>44.15568</v>
      </c>
      <c r="M22" s="27" t="n">
        <v>44.157251</v>
      </c>
      <c r="N22" s="27" t="n">
        <v>44.157364</v>
      </c>
      <c r="O22" s="27" t="n">
        <v>44.529614</v>
      </c>
      <c r="P22" s="27" t="n">
        <v>48.692906</v>
      </c>
      <c r="Q22" s="27" t="n">
        <v>49.740407</v>
      </c>
      <c r="R22" s="27" t="n">
        <v>49.802993</v>
      </c>
      <c r="S22" s="27" t="n">
        <v>50.345353</v>
      </c>
      <c r="T22" s="27" t="n">
        <v>50.262302</v>
      </c>
      <c r="U22" s="27" t="n">
        <v>50.697428</v>
      </c>
      <c r="V22" s="28" t="n">
        <v>50.697299</v>
      </c>
      <c r="W22" s="29" t="n">
        <f aca="false">V22*(1+'Assumptions (Annual)'!C33)</f>
        <v>50.595904402</v>
      </c>
      <c r="X22" s="29" t="n">
        <f aca="false">W22*(1+'Assumptions (Annual)'!D33)</f>
        <v>50.494712593196</v>
      </c>
      <c r="Y22" s="29" t="n">
        <f aca="false">X22*(1+'Assumptions (Annual)'!E33)</f>
        <v>50.3937231680096</v>
      </c>
      <c r="Z22" s="29" t="n">
        <f aca="false">Y22*(1+'Assumptions (Annual)'!F33)</f>
        <v>50.2929357216736</v>
      </c>
      <c r="AA22" s="29" t="n">
        <f aca="false">Z22*(1+'Assumptions (Annual)'!G33)</f>
        <v>50.1923498502302</v>
      </c>
    </row>
    <row r="23" customFormat="false" ht="15" hidden="false" customHeight="true" outlineLevel="0" collapsed="false">
      <c r="A23" s="17" t="s">
        <v>142</v>
      </c>
      <c r="B23" s="27" t="n">
        <v>13.671359</v>
      </c>
      <c r="C23" s="30" t="n">
        <f aca="false">C22</f>
        <v>13.149139</v>
      </c>
      <c r="D23" s="27" t="n">
        <v>25.478336</v>
      </c>
      <c r="E23" s="27" t="n">
        <v>44.34895</v>
      </c>
      <c r="F23" s="27" t="n">
        <v>44.144368</v>
      </c>
      <c r="G23" s="27" t="n">
        <v>44.146858</v>
      </c>
      <c r="H23" s="27" t="n">
        <v>44.151437</v>
      </c>
      <c r="I23" s="27" t="n">
        <v>44.149838</v>
      </c>
      <c r="J23" s="27" t="n">
        <v>44.1526</v>
      </c>
      <c r="K23" s="27" t="n">
        <v>44.153884</v>
      </c>
      <c r="L23" s="27" t="n">
        <v>44.15568</v>
      </c>
      <c r="M23" s="27" t="n">
        <v>44.157251</v>
      </c>
      <c r="N23" s="27" t="n">
        <v>44.157364</v>
      </c>
      <c r="O23" s="27" t="n">
        <v>44.529614</v>
      </c>
      <c r="P23" s="27" t="n">
        <v>48.692906</v>
      </c>
      <c r="Q23" s="27" t="n">
        <v>49.740407</v>
      </c>
      <c r="R23" s="27" t="n">
        <v>49.802993</v>
      </c>
      <c r="S23" s="27" t="n">
        <v>51.335621</v>
      </c>
      <c r="T23" s="27" t="n">
        <v>51.00686</v>
      </c>
      <c r="U23" s="27" t="n">
        <v>50.697428</v>
      </c>
      <c r="V23" s="28" t="n">
        <v>50.69732</v>
      </c>
      <c r="W23" s="29" t="n">
        <f aca="false">V23*(1+'Assumptions (Annual)'!C33)</f>
        <v>50.59592536</v>
      </c>
      <c r="X23" s="29" t="n">
        <f aca="false">W23*(1+'Assumptions (Annual)'!D33)</f>
        <v>50.49473350928</v>
      </c>
      <c r="Y23" s="29" t="n">
        <f aca="false">X23*(1+'Assumptions (Annual)'!E33)</f>
        <v>50.3937440422614</v>
      </c>
      <c r="Z23" s="29" t="n">
        <f aca="false">Y23*(1+'Assumptions (Annual)'!F33)</f>
        <v>50.2929565541769</v>
      </c>
      <c r="AA23" s="29" t="n">
        <f aca="false">Z23*(1+'Assumptions (Annual)'!G33)</f>
        <v>50.1923706410686</v>
      </c>
    </row>
    <row r="24" customFormat="false" ht="15" hidden="false" customHeight="true" outlineLevel="0" collapsed="false">
      <c r="A24" s="17" t="s">
        <v>143</v>
      </c>
      <c r="B24" s="31" t="n">
        <f aca="false">IF(B22=0,"",B20/B22)</f>
        <v>0.142302902239609</v>
      </c>
      <c r="C24" s="31" t="n">
        <f aca="false">IF(C22=0,"",C20/C22)</f>
        <v>0.0438967905046861</v>
      </c>
      <c r="D24" s="31" t="n">
        <f aca="false">IF(D22=0,"",D20/D22)</f>
        <v>0.373115825205407</v>
      </c>
      <c r="E24" s="31" t="n">
        <f aca="false">IF(E22=0,"",E20/E22)</f>
        <v>0.425223730777984</v>
      </c>
      <c r="F24" s="31" t="n">
        <f aca="false">IF(F22=0,"",F20/F22)</f>
        <v>0.753257748357494</v>
      </c>
      <c r="G24" s="31" t="n">
        <f aca="false">IF(G22=0,"",G20/G22)</f>
        <v>1.26971707336354</v>
      </c>
      <c r="H24" s="31" t="n">
        <f aca="false">IF(H22=0,"",H20/H22)</f>
        <v>1.73952971151173</v>
      </c>
      <c r="I24" s="31" t="n">
        <f aca="false">IF(I22=0,"",I20/I22)</f>
        <v>2.29336814302283</v>
      </c>
      <c r="J24" s="31" t="n">
        <f aca="false">IF(J22=0,"",J20/J22)</f>
        <v>2.66138347458587</v>
      </c>
      <c r="K24" s="31" t="n">
        <f aca="false">IF(K22=0,"",K20/K22)</f>
        <v>1.64381914850345</v>
      </c>
      <c r="L24" s="31" t="n">
        <f aca="false">IF(L22=0,"",L20/L22)</f>
        <v>2.39581861269037</v>
      </c>
      <c r="M24" s="31" t="n">
        <f aca="false">IF(M22=0,"",M20/M22)</f>
        <v>3.0881904310574</v>
      </c>
      <c r="N24" s="31" t="n">
        <f aca="false">IF(N22=0,"",N20/N22)</f>
        <v>0.312065729285831</v>
      </c>
      <c r="O24" s="31" t="n">
        <f aca="false">IF(O22=0,"",O20/O22)</f>
        <v>-0.821588078441461</v>
      </c>
      <c r="P24" s="31" t="n">
        <f aca="false">IF(P22=0,"",P20/P22)</f>
        <v>-3.53232152543946</v>
      </c>
      <c r="Q24" s="31" t="n">
        <f aca="false">IF(Q22=0,"",Q20/Q22)</f>
        <v>-0.0201043791217872</v>
      </c>
      <c r="R24" s="31" t="n">
        <f aca="false">IF(R22=0,"",R20/R22)</f>
        <v>1.66656650535039</v>
      </c>
      <c r="S24" s="31" t="n">
        <f aca="false">IF(S22=0,"",S20/S22)</f>
        <v>9.57387268691909</v>
      </c>
      <c r="T24" s="31" t="n">
        <f aca="false">IF(T22=0,"",T20/T22)</f>
        <v>19.6369835985626</v>
      </c>
      <c r="U24" s="31" t="n">
        <f aca="false">IF(U22=0,"",U20/U22)</f>
        <v>37.6942199119056</v>
      </c>
      <c r="V24" s="32" t="n">
        <f aca="false">IF(V22=0,"",V20/V22)</f>
        <v>39.3906586621114</v>
      </c>
      <c r="W24" s="33" t="n">
        <f aca="false">W20/W22</f>
        <v>29.1999862871789</v>
      </c>
      <c r="X24" s="33" t="n">
        <f aca="false">X20/X22</f>
        <v>44.5444297746714</v>
      </c>
      <c r="Y24" s="33" t="n">
        <f aca="false">Y20/Y22</f>
        <v>65.022845509706</v>
      </c>
      <c r="Z24" s="33" t="n">
        <f aca="false">Z20/Z22</f>
        <v>88.9246943910321</v>
      </c>
      <c r="AA24" s="33" t="n">
        <f aca="false">AA20/AA22</f>
        <v>117.322581068141</v>
      </c>
    </row>
    <row r="25" customFormat="false" ht="15" hidden="false" customHeight="true" outlineLevel="0" collapsed="false">
      <c r="A25" s="17" t="s">
        <v>144</v>
      </c>
      <c r="B25" s="31" t="n">
        <f aca="false">IF(B23=0,"",B20/B23)</f>
        <v>0.135996575029593</v>
      </c>
      <c r="C25" s="31" t="n">
        <f aca="false">IF(C23=0,"",C20/C23)</f>
        <v>0.0438967905046861</v>
      </c>
      <c r="D25" s="31" t="n">
        <f aca="false">IF(D23=0,"",D20/D23)</f>
        <v>0.368298816688813</v>
      </c>
      <c r="E25" s="31" t="n">
        <f aca="false">IF(E23=0,"",E20/E23)</f>
        <v>0.424173762851206</v>
      </c>
      <c r="F25" s="31" t="n">
        <f aca="false">IF(F23=0,"",F20/F23)</f>
        <v>0.752277006208358</v>
      </c>
      <c r="G25" s="31" t="n">
        <f aca="false">IF(G23=0,"",G20/G23)</f>
        <v>1.269060167317</v>
      </c>
      <c r="H25" s="31" t="n">
        <f aca="false">IF(H23=0,"",H20/H23)</f>
        <v>1.73901594641189</v>
      </c>
      <c r="I25" s="31" t="n">
        <f aca="false">IF(I23=0,"",I20/I23)</f>
        <v>2.29326544754253</v>
      </c>
      <c r="J25" s="31" t="n">
        <f aca="false">IF(J23=0,"",J20/J23)</f>
        <v>2.66138347458587</v>
      </c>
      <c r="K25" s="31" t="n">
        <f aca="false">IF(K23=0,"",K20/K23)</f>
        <v>1.64381914850345</v>
      </c>
      <c r="L25" s="31" t="n">
        <f aca="false">IF(L23=0,"",L20/L23)</f>
        <v>2.39581861269037</v>
      </c>
      <c r="M25" s="31" t="n">
        <f aca="false">IF(M23=0,"",M20/M23)</f>
        <v>3.0881904310574</v>
      </c>
      <c r="N25" s="31" t="n">
        <f aca="false">IF(N23=0,"",N20/N23)</f>
        <v>0.312065729285831</v>
      </c>
      <c r="O25" s="31" t="n">
        <f aca="false">IF(O23=0,"",O20/O23)</f>
        <v>-0.821588078441461</v>
      </c>
      <c r="P25" s="31" t="n">
        <f aca="false">IF(P23=0,"",P20/P23)</f>
        <v>-3.53232152543946</v>
      </c>
      <c r="Q25" s="31" t="n">
        <f aca="false">IF(Q23=0,"",Q20/Q23)</f>
        <v>-0.0201043791217872</v>
      </c>
      <c r="R25" s="31" t="n">
        <f aca="false">IF(R23=0,"",R20/R23)</f>
        <v>1.66656650535039</v>
      </c>
      <c r="S25" s="31" t="n">
        <f aca="false">IF(S23=0,"",S20/S23)</f>
        <v>9.38919196088034</v>
      </c>
      <c r="T25" s="31" t="n">
        <f aca="false">IF(T23=0,"",T20/T23)</f>
        <v>19.3503383662511</v>
      </c>
      <c r="U25" s="31" t="n">
        <f aca="false">IF(U23=0,"",U20/U23)</f>
        <v>37.6942199119056</v>
      </c>
      <c r="V25" s="32" t="n">
        <f aca="false">IF(V23=0,"",V20/V23)</f>
        <v>39.3906423455914</v>
      </c>
      <c r="W25" s="33" t="n">
        <f aca="false">W20/W23</f>
        <v>29.1999741918707</v>
      </c>
      <c r="X25" s="33" t="n">
        <f aca="false">X20/X23</f>
        <v>44.5444113233406</v>
      </c>
      <c r="Y25" s="33" t="n">
        <f aca="false">Y20/Y23</f>
        <v>65.0228185757427</v>
      </c>
      <c r="Z25" s="33" t="n">
        <f aca="false">Z20/Z23</f>
        <v>88.9246575563714</v>
      </c>
      <c r="AA25" s="33" t="n">
        <f aca="false">AA20/AA23</f>
        <v>117.32253247042</v>
      </c>
    </row>
    <row r="26" customFormat="false" ht="15" hidden="false" customHeight="true" outlineLevel="0" collapsed="false">
      <c r="A26" s="17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34"/>
      <c r="W26" s="26"/>
      <c r="X26" s="26"/>
      <c r="Y26" s="26"/>
      <c r="Z26" s="26"/>
      <c r="AA26" s="26"/>
    </row>
    <row r="27" customFormat="false" ht="15" hidden="false" customHeight="true" outlineLevel="0" collapsed="false">
      <c r="A27" s="35" t="s">
        <v>145</v>
      </c>
      <c r="B27" s="22" t="n">
        <f aca="false">B8-B9-B10</f>
        <v>0.811861999999997</v>
      </c>
      <c r="C27" s="22" t="n">
        <f aca="false">C8-C9-C10</f>
        <v>5.397929</v>
      </c>
      <c r="D27" s="22" t="n">
        <f aca="false">D8-D9-D10</f>
        <v>21.66182</v>
      </c>
      <c r="E27" s="22" t="n">
        <f aca="false">E8-E9-E10</f>
        <v>39.443801</v>
      </c>
      <c r="F27" s="22" t="n">
        <f aca="false">F8-F9-F10</f>
        <v>56.033719</v>
      </c>
      <c r="G27" s="22" t="n">
        <f aca="false">G8-G9-G10</f>
        <v>74.598563</v>
      </c>
      <c r="H27" s="22" t="n">
        <f aca="false">H8-H9-H10</f>
        <v>99.772165</v>
      </c>
      <c r="I27" s="22" t="n">
        <f aca="false">I8-I9-I10</f>
        <v>129.657871</v>
      </c>
      <c r="J27" s="22" t="n">
        <f aca="false">J8-J9-J10</f>
        <v>153.539</v>
      </c>
      <c r="K27" s="22" t="n">
        <f aca="false">K8-K9-K10</f>
        <v>169.967</v>
      </c>
      <c r="L27" s="22" t="n">
        <f aca="false">L8-L9-L10</f>
        <v>155.422</v>
      </c>
      <c r="M27" s="22" t="n">
        <f aca="false">M8-M9-M10</f>
        <v>194.773</v>
      </c>
      <c r="N27" s="22" t="n">
        <f aca="false">N8-N9-N10</f>
        <v>144.871</v>
      </c>
      <c r="O27" s="22" t="n">
        <f aca="false">O8-O9-O10</f>
        <v>-69.4819999999999</v>
      </c>
      <c r="P27" s="22" t="n">
        <f aca="false">P8-P9-P10</f>
        <v>-153.161</v>
      </c>
      <c r="Q27" s="22" t="n">
        <f aca="false">Q8-Q9-Q10</f>
        <v>261</v>
      </c>
      <c r="R27" s="22" t="n">
        <f aca="false">R8-R9-R10</f>
        <v>876</v>
      </c>
      <c r="S27" s="22" t="n">
        <f aca="false">S8-S9-S10</f>
        <v>2142</v>
      </c>
      <c r="T27" s="22" t="n">
        <f aca="false">T8-T9-T10</f>
        <v>3257</v>
      </c>
      <c r="U27" s="22" t="n">
        <f aca="false">U8-U9-U10</f>
        <v>4489</v>
      </c>
      <c r="V27" s="22" t="n">
        <f aca="false">V8-V9-V10</f>
        <v>6292</v>
      </c>
      <c r="W27" s="22" t="n">
        <f aca="false">W8-W9-W10</f>
        <v>7663.91746646016</v>
      </c>
      <c r="X27" s="22" t="n">
        <f aca="false">X8-X9-X10</f>
        <v>10240.2740251857</v>
      </c>
      <c r="Y27" s="22" t="n">
        <f aca="false">Y8-Y9-Y10</f>
        <v>13153.1355517378</v>
      </c>
      <c r="Z27" s="22" t="n">
        <f aca="false">Z8-Z9-Z10</f>
        <v>16195.0040013325</v>
      </c>
      <c r="AA27" s="22" t="n">
        <f aca="false">AA8-AA9-AA10</f>
        <v>19361.270103695</v>
      </c>
    </row>
    <row r="28" customFormat="false" ht="15" hidden="false" customHeight="true" outlineLevel="0" collapsed="false">
      <c r="A28" s="17" t="s">
        <v>146</v>
      </c>
      <c r="B28" s="25" t="n">
        <f aca="false">B27+B14-B17-B19</f>
        <v>2.142776</v>
      </c>
      <c r="C28" s="25" t="n">
        <f aca="false">C27+C14-C17-C19</f>
        <v>5.403528</v>
      </c>
      <c r="D28" s="25" t="n">
        <f aca="false">D27+D14-D17-D19</f>
        <v>19.362971</v>
      </c>
      <c r="E28" s="25" t="n">
        <f aca="false">E27+E14-E17-E19</f>
        <v>37.251985</v>
      </c>
      <c r="F28" s="25" t="n">
        <f aca="false">F27+F14-F17-F19</f>
        <v>59.887268</v>
      </c>
      <c r="G28" s="25" t="n">
        <f aca="false">G27+G14-G17-G19</f>
        <v>66.359593</v>
      </c>
      <c r="H28" s="25" t="n">
        <f aca="false">H27+H14-H17-H19</f>
        <v>71.761077</v>
      </c>
      <c r="I28" s="25" t="n">
        <f aca="false">I27+I14-I17-I19</f>
        <v>91.924871</v>
      </c>
      <c r="J28" s="25" t="n">
        <f aca="false">J27+J14-J17-J19</f>
        <v>110.312</v>
      </c>
      <c r="K28" s="25" t="n">
        <f aca="false">K27+K14-K17-K19</f>
        <v>132.483</v>
      </c>
      <c r="L28" s="25" t="n">
        <f aca="false">L27+L14-L17-L19</f>
        <v>131.111</v>
      </c>
      <c r="M28" s="25" t="n">
        <f aca="false">M27+M14-M17-M19</f>
        <v>171.416</v>
      </c>
      <c r="N28" s="25" t="n">
        <f aca="false">N27+N14-N17-N19</f>
        <v>131.05</v>
      </c>
      <c r="O28" s="25" t="n">
        <f aca="false">O27+O14-O17-O19</f>
        <v>15.6340000000001</v>
      </c>
      <c r="P28" s="25" t="n">
        <f aca="false">P27+P14-P17-P19</f>
        <v>-152.038</v>
      </c>
      <c r="Q28" s="25" t="n">
        <f aca="false">Q27+Q14-Q17-Q19</f>
        <v>286</v>
      </c>
      <c r="R28" s="25" t="n">
        <f aca="false">R27+R14-R17-R19</f>
        <v>956</v>
      </c>
      <c r="S28" s="25" t="n">
        <f aca="false">S27+S14-S17-S19</f>
        <v>1979</v>
      </c>
      <c r="T28" s="25" t="n">
        <f aca="false">T27+T14-T17-T19</f>
        <v>2862</v>
      </c>
      <c r="U28" s="25" t="n">
        <f aca="false">U27+U14-U17-U19</f>
        <v>4133</v>
      </c>
      <c r="V28" s="34" t="n">
        <f aca="false">V27+V14-V17-V19</f>
        <v>5607</v>
      </c>
      <c r="W28" s="20" t="n">
        <f aca="false">W27*(1-'Assumptions (Annual)'!C32)</f>
        <v>5403.06181385441</v>
      </c>
      <c r="X28" s="20" t="n">
        <f aca="false">X27*(1-'Assumptions (Annual)'!D32)</f>
        <v>7219.39318775593</v>
      </c>
      <c r="Y28" s="20" t="n">
        <f aca="false">Y27*(1-'Assumptions (Annual)'!E32)</f>
        <v>9272.96056397518</v>
      </c>
      <c r="Z28" s="20" t="n">
        <f aca="false">Z27*(1-'Assumptions (Annual)'!F32)</f>
        <v>11417.4778209394</v>
      </c>
      <c r="AA28" s="20" t="n">
        <f aca="false">AA27*(1-'Assumptions (Annual)'!G32)</f>
        <v>13649.695423105</v>
      </c>
    </row>
    <row r="29" customFormat="false" ht="15" hidden="false" customHeight="true" outlineLevel="0" collapsed="false">
      <c r="A29" s="17" t="s">
        <v>147</v>
      </c>
      <c r="B29" s="31" t="n">
        <f aca="false">B28/B23</f>
        <v>0.156734674292438</v>
      </c>
      <c r="C29" s="31" t="n">
        <f aca="false">C28/C23</f>
        <v>0.41094158332344</v>
      </c>
      <c r="D29" s="31" t="n">
        <f aca="false">D28/D23</f>
        <v>0.759977849416854</v>
      </c>
      <c r="E29" s="31" t="n">
        <f aca="false">E28/E23</f>
        <v>0.839974452608235</v>
      </c>
      <c r="F29" s="31" t="n">
        <f aca="false">F28/F23</f>
        <v>1.35662306910816</v>
      </c>
      <c r="G29" s="31" t="n">
        <f aca="false">G28/G23</f>
        <v>1.50315551335499</v>
      </c>
      <c r="H29" s="31" t="n">
        <f aca="false">H28/H23</f>
        <v>1.62533955576576</v>
      </c>
      <c r="I29" s="31" t="n">
        <f aca="false">I28/I23</f>
        <v>2.08211117331846</v>
      </c>
      <c r="J29" s="31" t="n">
        <f aca="false">J28/J23</f>
        <v>2.49842591376272</v>
      </c>
      <c r="K29" s="31" t="n">
        <f aca="false">K28/K23</f>
        <v>3.00048349087478</v>
      </c>
      <c r="L29" s="31" t="n">
        <f aca="false">L28/L23</f>
        <v>2.96928956818239</v>
      </c>
      <c r="M29" s="31" t="n">
        <f aca="false">M28/M23</f>
        <v>3.88194455311541</v>
      </c>
      <c r="N29" s="31" t="n">
        <f aca="false">N28/N23</f>
        <v>2.96779490732282</v>
      </c>
      <c r="O29" s="31" t="n">
        <f aca="false">O28/O23</f>
        <v>0.351092196756973</v>
      </c>
      <c r="P29" s="31" t="n">
        <f aca="false">P28/P23</f>
        <v>-3.12238501435918</v>
      </c>
      <c r="Q29" s="31" t="n">
        <f aca="false">Q28/Q23</f>
        <v>5.74985242883115</v>
      </c>
      <c r="R29" s="31" t="n">
        <f aca="false">R28/R23</f>
        <v>19.1956334833129</v>
      </c>
      <c r="S29" s="31" t="n">
        <f aca="false">S28/S23</f>
        <v>38.5502300634485</v>
      </c>
      <c r="T29" s="31" t="n">
        <f aca="false">T28/T23</f>
        <v>56.1100997003148</v>
      </c>
      <c r="U29" s="31" t="n">
        <f aca="false">U28/U23</f>
        <v>81.5228733102594</v>
      </c>
      <c r="V29" s="32" t="n">
        <f aca="false">V28/V23</f>
        <v>110.597562159104</v>
      </c>
      <c r="W29" s="33" t="n">
        <f aca="false">W28/W23</f>
        <v>106.788477044556</v>
      </c>
      <c r="X29" s="33" t="n">
        <f aca="false">X28/X23</f>
        <v>142.97319118298</v>
      </c>
      <c r="Y29" s="33" t="n">
        <f aca="false">Y28/Y23</f>
        <v>184.01015324836</v>
      </c>
      <c r="Z29" s="33" t="n">
        <f aca="false">Z28/Z23</f>
        <v>227.019419879207</v>
      </c>
      <c r="AA29" s="33" t="n">
        <f aca="false">AA28/AA23</f>
        <v>271.947613726308</v>
      </c>
    </row>
    <row r="30" customFormat="false" ht="15" hidden="false" customHeight="true" outlineLevel="0" collapsed="false">
      <c r="A30" s="17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34"/>
      <c r="W30" s="26"/>
      <c r="X30" s="26"/>
      <c r="Y30" s="26"/>
      <c r="Z30" s="26"/>
      <c r="AA30" s="26"/>
    </row>
    <row r="31" customFormat="false" ht="15" hidden="false" customHeight="true" outlineLevel="0" collapsed="false">
      <c r="A31" s="17" t="s">
        <v>148</v>
      </c>
      <c r="B31" s="36"/>
      <c r="C31" s="36" t="n">
        <f aca="false">C6/B6-1</f>
        <v>0.842813636417861</v>
      </c>
      <c r="D31" s="36" t="n">
        <f aca="false">D6/C6-1</f>
        <v>0.635193162973702</v>
      </c>
      <c r="E31" s="36" t="n">
        <f aca="false">E6/D6-1</f>
        <v>0.60963831395032</v>
      </c>
      <c r="F31" s="36" t="n">
        <f aca="false">F6/E6-1</f>
        <v>0.261423997001371</v>
      </c>
      <c r="G31" s="36" t="n">
        <f aca="false">G6/F6-1</f>
        <v>0.253825346554155</v>
      </c>
      <c r="H31" s="36" t="n">
        <f aca="false">H6/G6-1</f>
        <v>0.379372177780206</v>
      </c>
      <c r="I31" s="36" t="n">
        <f aca="false">I6/H6-1</f>
        <v>0.249789124854221</v>
      </c>
      <c r="J31" s="36" t="n">
        <f aca="false">J6/I6-1</f>
        <v>0.264970851535192</v>
      </c>
      <c r="K31" s="36" t="n">
        <f aca="false">K6/J6-1</f>
        <v>0.177617198658471</v>
      </c>
      <c r="L31" s="36" t="n">
        <f aca="false">L6/K6-1</f>
        <v>0.171155145399399</v>
      </c>
      <c r="M31" s="36" t="n">
        <f aca="false">M6/L6-1</f>
        <v>0.295503152855981</v>
      </c>
      <c r="N31" s="36" t="n">
        <f aca="false">N6/M6-1</f>
        <v>0.440724494194667</v>
      </c>
      <c r="O31" s="36" t="n">
        <f aca="false">O6/N6-1</f>
        <v>0.183397696092696</v>
      </c>
      <c r="P31" s="36" t="n">
        <f aca="false">P6/O6-1</f>
        <v>0.595046861986881</v>
      </c>
      <c r="Q31" s="36" t="n">
        <f aca="false">Q6/P6-1</f>
        <v>0.73059956086145</v>
      </c>
      <c r="R31" s="36" t="n">
        <f aca="false">R6/Q6-1</f>
        <v>0.778812279818822</v>
      </c>
      <c r="S31" s="36" t="n">
        <f aca="false">S6/R6-1</f>
        <v>0.524968170886971</v>
      </c>
      <c r="T31" s="36" t="n">
        <f aca="false">T6/S6-1</f>
        <v>0.40139146567718</v>
      </c>
      <c r="U31" s="36" t="n">
        <f aca="false">U6/T6-1</f>
        <v>0.37532269808698</v>
      </c>
      <c r="V31" s="37" t="n">
        <f aca="false">V6/U6-1</f>
        <v>0.390624247966501</v>
      </c>
      <c r="W31" s="38" t="n">
        <f aca="false">W6/V6-1</f>
        <v>0.381519288564012</v>
      </c>
      <c r="X31" s="38" t="n">
        <f aca="false">X6/W6-1</f>
        <v>0.289166203096802</v>
      </c>
      <c r="Y31" s="38" t="n">
        <f aca="false">Y6/X6-1</f>
        <v>0.228874292158652</v>
      </c>
      <c r="Z31" s="38" t="n">
        <f aca="false">Z6/Y6-1</f>
        <v>0.180199333205978</v>
      </c>
      <c r="AA31" s="38" t="n">
        <f aca="false">AA6/Z6-1</f>
        <v>0.147900060505531</v>
      </c>
    </row>
    <row r="32" customFormat="false" ht="15" hidden="false" customHeight="true" outlineLevel="0" collapsed="false">
      <c r="A32" s="17" t="s">
        <v>149</v>
      </c>
      <c r="B32" s="36" t="n">
        <f aca="false">B8/B6</f>
        <v>0.782697267653715</v>
      </c>
      <c r="C32" s="36" t="n">
        <f aca="false">C8/C6</f>
        <v>0.767846606026368</v>
      </c>
      <c r="D32" s="36" t="n">
        <f aca="false">D8/D6</f>
        <v>0.78534329344662</v>
      </c>
      <c r="E32" s="36" t="n">
        <f aca="false">E8/E6</f>
        <v>0.799036297802509</v>
      </c>
      <c r="F32" s="36" t="n">
        <f aca="false">F8/F6</f>
        <v>0.791961949235026</v>
      </c>
      <c r="G32" s="36" t="n">
        <f aca="false">G8/G6</f>
        <v>0.785203184597879</v>
      </c>
      <c r="H32" s="36" t="n">
        <f aca="false">H8/H6</f>
        <v>0.758955463477643</v>
      </c>
      <c r="I32" s="36" t="n">
        <f aca="false">I8/I6</f>
        <v>0.737459176220532</v>
      </c>
      <c r="J32" s="36" t="n">
        <f aca="false">J8/J6</f>
        <v>0.724760101143685</v>
      </c>
      <c r="K32" s="36" t="n">
        <f aca="false">K8/K6</f>
        <v>0.714343726192016</v>
      </c>
      <c r="L32" s="36" t="n">
        <f aca="false">L8/L6</f>
        <v>0.670148360668313</v>
      </c>
      <c r="M32" s="36" t="n">
        <f aca="false">M8/M6</f>
        <v>0.635789368969062</v>
      </c>
      <c r="N32" s="36" t="n">
        <f aca="false">N8/N6</f>
        <v>0.591512664585358</v>
      </c>
      <c r="O32" s="36" t="n">
        <f aca="false">O8/O6</f>
        <v>0.484150000034731</v>
      </c>
      <c r="P32" s="36" t="n">
        <f aca="false">P8/P6</f>
        <v>0.47995309003908</v>
      </c>
      <c r="Q32" s="36" t="n">
        <f aca="false">Q8/Q6</f>
        <v>0.430045294413689</v>
      </c>
      <c r="R32" s="36" t="n">
        <f aca="false">R8/R6</f>
        <v>0.425095487339086</v>
      </c>
      <c r="S32" s="36" t="n">
        <f aca="false">S8/S6</f>
        <v>0.482189239332096</v>
      </c>
      <c r="T32" s="36" t="n">
        <f aca="false">T8/T6</f>
        <v>0.502416098497385</v>
      </c>
      <c r="U32" s="36" t="n">
        <f aca="false">U8/U6</f>
        <v>0.460942388217741</v>
      </c>
      <c r="V32" s="37" t="n">
        <f aca="false">V8/V6</f>
        <v>0.445021285432458</v>
      </c>
      <c r="W32" s="38" t="n">
        <f aca="false">W8/W6</f>
        <v>0.425</v>
      </c>
      <c r="X32" s="38" t="n">
        <f aca="false">X8/X6</f>
        <v>0.428</v>
      </c>
      <c r="Y32" s="38" t="n">
        <f aca="false">Y8/Y6</f>
        <v>0.432</v>
      </c>
      <c r="Z32" s="38" t="n">
        <f aca="false">Z8/Z6</f>
        <v>0.436</v>
      </c>
      <c r="AA32" s="38" t="n">
        <f aca="false">AA8/AA6</f>
        <v>0.44</v>
      </c>
    </row>
    <row r="33" customFormat="false" ht="15" hidden="false" customHeight="true" outlineLevel="0" collapsed="false">
      <c r="A33" s="17" t="s">
        <v>150</v>
      </c>
      <c r="B33" s="36" t="n">
        <f aca="false">B27/B6</f>
        <v>0.0287388064649375</v>
      </c>
      <c r="C33" s="36" t="n">
        <f aca="false">C27/C6</f>
        <v>0.103688899244682</v>
      </c>
      <c r="D33" s="36" t="n">
        <f aca="false">D27/D6</f>
        <v>0.254466710838658</v>
      </c>
      <c r="E33" s="36" t="n">
        <f aca="false">E27/E6</f>
        <v>0.287863427220994</v>
      </c>
      <c r="F33" s="36" t="n">
        <f aca="false">F27/F6</f>
        <v>0.324187370501802</v>
      </c>
      <c r="G33" s="36" t="n">
        <f aca="false">G27/G6</f>
        <v>0.344223139002385</v>
      </c>
      <c r="H33" s="36" t="n">
        <f aca="false">H27/H6</f>
        <v>0.333762495018719</v>
      </c>
      <c r="I33" s="36" t="n">
        <f aca="false">I27/I6</f>
        <v>0.347048588087284</v>
      </c>
      <c r="J33" s="36" t="n">
        <f aca="false">J27/J6</f>
        <v>0.32488494376792</v>
      </c>
      <c r="K33" s="36" t="n">
        <f aca="false">K27/K6</f>
        <v>0.305401627208303</v>
      </c>
      <c r="L33" s="36" t="n">
        <f aca="false">L27/L6</f>
        <v>0.238454103315485</v>
      </c>
      <c r="M33" s="36" t="n">
        <f aca="false">M27/M6</f>
        <v>0.230665469755897</v>
      </c>
      <c r="N33" s="36" t="n">
        <f aca="false">N27/N6</f>
        <v>0.11908425685262</v>
      </c>
      <c r="O33" s="36" t="n">
        <f aca="false">O27/O6</f>
        <v>-0.048263018935813</v>
      </c>
      <c r="P33" s="36" t="n">
        <f aca="false">P27/P6</f>
        <v>-0.0666986309363616</v>
      </c>
      <c r="Q33" s="36" t="n">
        <f aca="false">Q27/Q6</f>
        <v>0.0656768998490186</v>
      </c>
      <c r="R33" s="36" t="n">
        <f aca="false">R27/R6</f>
        <v>0.123921346725138</v>
      </c>
      <c r="S33" s="36" t="n">
        <f aca="false">S27/S6</f>
        <v>0.198701298701299</v>
      </c>
      <c r="T33" s="36" t="n">
        <f aca="false">T27/T6</f>
        <v>0.215595419342027</v>
      </c>
      <c r="U33" s="36" t="n">
        <f aca="false">U27/U6</f>
        <v>0.216056216008086</v>
      </c>
      <c r="V33" s="37" t="n">
        <f aca="false">V27/V6</f>
        <v>0.21776900979476</v>
      </c>
      <c r="W33" s="38" t="n">
        <f aca="false">W27/W6</f>
        <v>0.192</v>
      </c>
      <c r="X33" s="38" t="n">
        <f aca="false">X27/X6</f>
        <v>0.199</v>
      </c>
      <c r="Y33" s="38" t="n">
        <f aca="false">Y27/Y6</f>
        <v>0.208</v>
      </c>
      <c r="Z33" s="38" t="n">
        <f aca="false">Z27/Z6</f>
        <v>0.217</v>
      </c>
      <c r="AA33" s="38" t="n">
        <f aca="false">AA27/AA6</f>
        <v>0.226</v>
      </c>
    </row>
    <row r="34" customFormat="false" ht="15" hidden="false" customHeight="true" outlineLevel="0" collapsed="false">
      <c r="A34" s="17" t="s">
        <v>151</v>
      </c>
      <c r="B34" s="36" t="n">
        <f aca="false">B28/B6</f>
        <v>0.0758513451321938</v>
      </c>
      <c r="C34" s="36" t="n">
        <f aca="false">C28/C6</f>
        <v>0.103796450519786</v>
      </c>
      <c r="D34" s="36" t="n">
        <f aca="false">D28/D6</f>
        <v>0.227461567976944</v>
      </c>
      <c r="E34" s="36" t="n">
        <f aca="false">E28/E6</f>
        <v>0.27186741138069</v>
      </c>
      <c r="F34" s="36" t="n">
        <f aca="false">F28/F6</f>
        <v>0.346482373219895</v>
      </c>
      <c r="G34" s="36" t="n">
        <f aca="false">G28/G6</f>
        <v>0.306205729531019</v>
      </c>
      <c r="H34" s="36" t="n">
        <f aca="false">H28/H6</f>
        <v>0.240058498327168</v>
      </c>
      <c r="I34" s="36" t="n">
        <f aca="false">I28/I6</f>
        <v>0.246050597966827</v>
      </c>
      <c r="J34" s="36" t="n">
        <f aca="false">J28/J6</f>
        <v>0.233417619737831</v>
      </c>
      <c r="K34" s="36" t="n">
        <f aca="false">K28/K6</f>
        <v>0.238049290611928</v>
      </c>
      <c r="L34" s="36" t="n">
        <f aca="false">L28/L6</f>
        <v>0.201155280074871</v>
      </c>
      <c r="M34" s="36" t="n">
        <f aca="false">M28/M6</f>
        <v>0.203004277613821</v>
      </c>
      <c r="N34" s="36" t="n">
        <f aca="false">N28/N6</f>
        <v>0.107723366723056</v>
      </c>
      <c r="O34" s="36" t="n">
        <f aca="false">O28/O6</f>
        <v>0.0108595612970626</v>
      </c>
      <c r="P34" s="36" t="n">
        <f aca="false">P28/P6</f>
        <v>-0.0662095863196411</v>
      </c>
      <c r="Q34" s="36" t="n">
        <f aca="false">Q28/Q6</f>
        <v>0.0719677906391545</v>
      </c>
      <c r="R34" s="36" t="n">
        <f aca="false">R28/R6</f>
        <v>0.135238364690904</v>
      </c>
      <c r="S34" s="36" t="n">
        <f aca="false">S28/S6</f>
        <v>0.183580705009276</v>
      </c>
      <c r="T34" s="36" t="n">
        <f aca="false">T28/T6</f>
        <v>0.189448599986761</v>
      </c>
      <c r="U34" s="36" t="n">
        <f aca="false">U28/U6</f>
        <v>0.198921884776436</v>
      </c>
      <c r="V34" s="37" t="n">
        <f aca="false">V28/V6</f>
        <v>0.194060845187416</v>
      </c>
      <c r="W34" s="38" t="n">
        <f aca="false">W28/W6</f>
        <v>0.13536</v>
      </c>
      <c r="X34" s="38" t="n">
        <f aca="false">X28/X6</f>
        <v>0.140295</v>
      </c>
      <c r="Y34" s="38" t="n">
        <f aca="false">Y28/Y6</f>
        <v>0.14664</v>
      </c>
      <c r="Z34" s="38" t="n">
        <f aca="false">Z28/Z6</f>
        <v>0.152985</v>
      </c>
      <c r="AA34" s="38" t="n">
        <f aca="false">AA28/AA6</f>
        <v>0.15933</v>
      </c>
    </row>
    <row r="35" customFormat="false" ht="15" hidden="false" customHeight="true" outlineLevel="0" collapsed="false">
      <c r="A35" s="17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6"/>
      <c r="X35" s="26"/>
      <c r="Y35" s="26"/>
      <c r="Z35" s="26"/>
      <c r="AA35" s="26"/>
    </row>
    <row r="36" customFormat="false" ht="18" hidden="false" customHeight="true" outlineLevel="0" collapsed="false">
      <c r="A36" s="16" t="s">
        <v>152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customFormat="false" ht="15" hidden="false" customHeight="true" outlineLevel="0" collapsed="false">
      <c r="A37" s="17" t="s">
        <v>153</v>
      </c>
      <c r="B37" s="18" t="n">
        <v>8.979838</v>
      </c>
      <c r="C37" s="18" t="n">
        <v>7.143027</v>
      </c>
      <c r="D37" s="18" t="n">
        <v>15.677407</v>
      </c>
      <c r="E37" s="18" t="n">
        <v>17.474112</v>
      </c>
      <c r="F37" s="18" t="n">
        <v>49.803402</v>
      </c>
      <c r="G37" s="18" t="n">
        <v>56.830466</v>
      </c>
      <c r="H37" s="18" t="n">
        <v>67.381677</v>
      </c>
      <c r="I37" s="18" t="n">
        <v>101.489002</v>
      </c>
      <c r="J37" s="18" t="n">
        <v>140.285104</v>
      </c>
      <c r="K37" s="18" t="n">
        <v>223.144</v>
      </c>
      <c r="L37" s="18" t="n">
        <v>166.881</v>
      </c>
      <c r="M37" s="18" t="n">
        <v>234.14</v>
      </c>
      <c r="N37" s="18" t="n">
        <v>388.26</v>
      </c>
      <c r="O37" s="18" t="n">
        <v>464.695</v>
      </c>
      <c r="P37" s="18" t="n">
        <v>1451.424</v>
      </c>
      <c r="Q37" s="18" t="n">
        <v>2508.224</v>
      </c>
      <c r="R37" s="18" t="n">
        <v>3648</v>
      </c>
      <c r="S37" s="18" t="n">
        <v>3363</v>
      </c>
      <c r="T37" s="18" t="n">
        <v>3848</v>
      </c>
      <c r="U37" s="18" t="n">
        <v>4699</v>
      </c>
      <c r="V37" s="19" t="n">
        <v>13537</v>
      </c>
      <c r="W37" s="26" t="n">
        <f aca="false">V37+W97</f>
        <v>17418.8052582145</v>
      </c>
      <c r="X37" s="26" t="n">
        <f aca="false">W37+X97</f>
        <v>21094.1850465433</v>
      </c>
      <c r="Y37" s="26" t="n">
        <f aca="false">X37+Y97</f>
        <v>25929.5295595296</v>
      </c>
      <c r="Z37" s="26" t="n">
        <f aca="false">Y37+Z97</f>
        <v>31441.8129230633</v>
      </c>
      <c r="AA37" s="26" t="n">
        <f aca="false">Z37+AA97</f>
        <v>38245.4478879146</v>
      </c>
    </row>
    <row r="38" customFormat="false" ht="15" hidden="false" customHeight="true" outlineLevel="0" collapsed="false">
      <c r="A38" s="17" t="s">
        <v>154</v>
      </c>
      <c r="B38" s="18" t="n">
        <v>3.411266</v>
      </c>
      <c r="C38" s="18" t="n">
        <v>6.320656</v>
      </c>
      <c r="D38" s="18" t="n">
        <v>52.300007</v>
      </c>
      <c r="E38" s="18" t="n">
        <v>31.6394</v>
      </c>
      <c r="F38" s="18" t="n">
        <v>14.580185</v>
      </c>
      <c r="G38" s="18" t="n">
        <v>5.342766</v>
      </c>
      <c r="H38" s="18" t="n">
        <v>74.92862</v>
      </c>
      <c r="I38" s="18" t="n">
        <v>93.694805</v>
      </c>
      <c r="J38" s="18" t="n">
        <v>76.593214</v>
      </c>
      <c r="K38" s="18" t="n">
        <v>148.81</v>
      </c>
      <c r="L38" s="18" t="n">
        <v>202.112</v>
      </c>
      <c r="M38" s="18" t="n">
        <v>259.604</v>
      </c>
      <c r="N38" s="18" t="n">
        <v>282.841</v>
      </c>
      <c r="O38" s="18" t="n">
        <v>557.319</v>
      </c>
      <c r="P38" s="18" t="n">
        <v>1779.346</v>
      </c>
      <c r="Q38" s="18" t="n">
        <v>1626.342</v>
      </c>
      <c r="R38" s="18" t="n">
        <v>2009</v>
      </c>
      <c r="S38" s="18" t="n">
        <v>4043</v>
      </c>
      <c r="T38" s="18" t="n">
        <v>6109</v>
      </c>
      <c r="U38" s="18" t="n">
        <v>9201</v>
      </c>
      <c r="V38" s="19" t="n">
        <v>11484</v>
      </c>
      <c r="W38" s="20" t="n">
        <f aca="false">W6*'Assumptions (Annual)'!C49</f>
        <v>13571.5205135232</v>
      </c>
      <c r="X38" s="20" t="n">
        <f aca="false">X6*'Assumptions (Annual)'!D49</f>
        <v>16981.3589362376</v>
      </c>
      <c r="Y38" s="20" t="n">
        <f aca="false">Y6*'Assumptions (Annual)'!E49</f>
        <v>20235.5931565198</v>
      </c>
      <c r="Z38" s="20" t="n">
        <f aca="false">Z6*'Assumptions (Annual)'!F49</f>
        <v>23135.7200019036</v>
      </c>
      <c r="AA38" s="20" t="n">
        <f aca="false">AA6*'Assumptions (Annual)'!G49</f>
        <v>25700.801022604</v>
      </c>
    </row>
    <row r="39" customFormat="false" ht="15" hidden="false" customHeight="true" outlineLevel="0" collapsed="false">
      <c r="A39" s="21" t="s">
        <v>155</v>
      </c>
      <c r="B39" s="22" t="n">
        <f aca="false">B37+B38</f>
        <v>12.391104</v>
      </c>
      <c r="C39" s="22" t="n">
        <f aca="false">C37+C38</f>
        <v>13.463683</v>
      </c>
      <c r="D39" s="22" t="n">
        <f aca="false">D37+D38</f>
        <v>67.977414</v>
      </c>
      <c r="E39" s="22" t="n">
        <f aca="false">E37+E38</f>
        <v>49.113512</v>
      </c>
      <c r="F39" s="22" t="n">
        <f aca="false">F37+F38</f>
        <v>64.383587</v>
      </c>
      <c r="G39" s="22" t="n">
        <f aca="false">G37+G38</f>
        <v>62.173232</v>
      </c>
      <c r="H39" s="22" t="n">
        <f aca="false">H37+H38</f>
        <v>142.310297</v>
      </c>
      <c r="I39" s="22" t="n">
        <f aca="false">I37+I38</f>
        <v>195.183807</v>
      </c>
      <c r="J39" s="22" t="n">
        <f aca="false">J37+J38</f>
        <v>216.878318</v>
      </c>
      <c r="K39" s="22" t="n">
        <f aca="false">K37+K38</f>
        <v>371.954</v>
      </c>
      <c r="L39" s="22" t="n">
        <f aca="false">L37+L38</f>
        <v>368.993</v>
      </c>
      <c r="M39" s="22" t="n">
        <f aca="false">M37+M38</f>
        <v>493.744</v>
      </c>
      <c r="N39" s="22" t="n">
        <f aca="false">N37+N38</f>
        <v>671.101</v>
      </c>
      <c r="O39" s="22" t="n">
        <f aca="false">O37+O38</f>
        <v>1022.014</v>
      </c>
      <c r="P39" s="22" t="n">
        <f aca="false">P37+P38</f>
        <v>3230.77</v>
      </c>
      <c r="Q39" s="22" t="n">
        <f aca="false">Q37+Q38</f>
        <v>4134.566</v>
      </c>
      <c r="R39" s="22" t="n">
        <f aca="false">R37+R38</f>
        <v>5657</v>
      </c>
      <c r="S39" s="22" t="n">
        <f aca="false">S37+S38</f>
        <v>7406</v>
      </c>
      <c r="T39" s="22" t="n">
        <f aca="false">T37+T38</f>
        <v>9957</v>
      </c>
      <c r="U39" s="22" t="n">
        <f aca="false">U37+U38</f>
        <v>13900</v>
      </c>
      <c r="V39" s="22" t="n">
        <f aca="false">V37+V38</f>
        <v>25021</v>
      </c>
      <c r="W39" s="22" t="n">
        <f aca="false">W37+W38</f>
        <v>30990.3257717377</v>
      </c>
      <c r="X39" s="22" t="n">
        <f aca="false">X37+X38</f>
        <v>38075.543982781</v>
      </c>
      <c r="Y39" s="22" t="n">
        <f aca="false">Y37+Y38</f>
        <v>46165.1227160494</v>
      </c>
      <c r="Z39" s="22" t="n">
        <f aca="false">Z37+Z38</f>
        <v>54577.5329249669</v>
      </c>
      <c r="AA39" s="22" t="n">
        <f aca="false">AA37+AA38</f>
        <v>63946.2489105186</v>
      </c>
    </row>
    <row r="40" customFormat="false" ht="15" hidden="false" customHeight="true" outlineLevel="0" collapsed="false">
      <c r="A40" s="17" t="s">
        <v>156</v>
      </c>
      <c r="B40" s="18" t="n">
        <v>6.548564</v>
      </c>
      <c r="C40" s="18" t="n">
        <v>12.171715</v>
      </c>
      <c r="D40" s="18" t="n">
        <v>32.374015</v>
      </c>
      <c r="E40" s="18" t="n">
        <v>6.178808</v>
      </c>
      <c r="F40" s="18" t="n">
        <v>8.654179</v>
      </c>
      <c r="G40" s="18" t="n">
        <v>18.769691</v>
      </c>
      <c r="H40" s="18" t="n">
        <v>40.670776</v>
      </c>
      <c r="I40" s="18" t="n">
        <v>55.653528</v>
      </c>
      <c r="J40" s="18" t="n">
        <v>77.930111</v>
      </c>
      <c r="K40" s="18" t="n">
        <v>131.834</v>
      </c>
      <c r="L40" s="18" t="n">
        <v>160.374</v>
      </c>
      <c r="M40" s="18" t="n">
        <v>333.339</v>
      </c>
      <c r="N40" s="18" t="n">
        <v>549.298</v>
      </c>
      <c r="O40" s="18" t="n">
        <v>395.451</v>
      </c>
      <c r="P40" s="18" t="n">
        <v>415.415</v>
      </c>
      <c r="Q40" s="18" t="n">
        <v>912.764</v>
      </c>
      <c r="R40" s="18" t="n">
        <v>1937</v>
      </c>
      <c r="S40" s="18" t="n">
        <v>3076</v>
      </c>
      <c r="T40" s="18" t="n">
        <v>3788</v>
      </c>
      <c r="U40" s="18" t="n">
        <v>5543</v>
      </c>
      <c r="V40" s="19" t="n">
        <v>7415</v>
      </c>
      <c r="W40" s="20" t="n">
        <f aca="false">W6*'Assumptions (Annual)'!C46</f>
        <v>11974.871041344</v>
      </c>
      <c r="X40" s="20" t="n">
        <f aca="false">X6*'Assumptions (Annual)'!D46</f>
        <v>16466.7723018062</v>
      </c>
      <c r="Y40" s="20" t="n">
        <f aca="false">Y6*'Assumptions (Annual)'!E46</f>
        <v>20867.955442661</v>
      </c>
      <c r="Z40" s="20" t="n">
        <f aca="false">Z6*'Assumptions (Annual)'!F46</f>
        <v>25374.6606472491</v>
      </c>
      <c r="AA40" s="20" t="n">
        <f aca="false">AA6*'Assumptions (Annual)'!G46</f>
        <v>29984.2678597047</v>
      </c>
    </row>
    <row r="41" customFormat="false" ht="15" hidden="false" customHeight="true" outlineLevel="0" collapsed="false">
      <c r="A41" s="17" t="s">
        <v>157</v>
      </c>
      <c r="B41" s="18" t="n">
        <v>0</v>
      </c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18" t="n">
        <v>0</v>
      </c>
      <c r="K41" s="18" t="n">
        <v>0</v>
      </c>
      <c r="L41" s="18" t="n">
        <v>0.222</v>
      </c>
      <c r="M41" s="18" t="n">
        <v>1.103</v>
      </c>
      <c r="N41" s="18" t="n">
        <v>2.549</v>
      </c>
      <c r="O41" s="18" t="n">
        <v>4.612</v>
      </c>
      <c r="P41" s="18" t="n">
        <v>8.626</v>
      </c>
      <c r="Q41" s="18" t="n">
        <v>118.14</v>
      </c>
      <c r="R41" s="18" t="n">
        <v>253</v>
      </c>
      <c r="S41" s="18" t="n">
        <v>152</v>
      </c>
      <c r="T41" s="18" t="n">
        <v>238</v>
      </c>
      <c r="U41" s="18" t="n">
        <v>296</v>
      </c>
      <c r="V41" s="19" t="n">
        <v>570</v>
      </c>
      <c r="W41" s="20" t="n">
        <f aca="false">W6*'Assumptions (Annual)'!C47</f>
        <v>997.905920112</v>
      </c>
      <c r="X41" s="20" t="n">
        <f aca="false">X6*'Assumptions (Annual)'!D47</f>
        <v>1389.3839129649</v>
      </c>
      <c r="Y41" s="20" t="n">
        <f aca="false">Y6*'Assumptions (Annual)'!E47</f>
        <v>1833.8506298096</v>
      </c>
      <c r="Z41" s="20" t="n">
        <f aca="false">Z6*'Assumptions (Annual)'!F47</f>
        <v>2238.94064534551</v>
      </c>
      <c r="AA41" s="20" t="n">
        <f aca="false">AA6*'Assumptions (Annual)'!G47</f>
        <v>2741.41877574443</v>
      </c>
    </row>
    <row r="42" customFormat="false" ht="15" hidden="false" customHeight="true" outlineLevel="0" collapsed="false">
      <c r="A42" s="17" t="s">
        <v>158</v>
      </c>
      <c r="B42" s="18" t="n">
        <v>1.159354</v>
      </c>
      <c r="C42" s="18" t="n">
        <v>3.48448</v>
      </c>
      <c r="D42" s="18" t="n">
        <v>4.622741</v>
      </c>
      <c r="E42" s="18" t="n">
        <v>5.008904</v>
      </c>
      <c r="F42" s="18" t="n">
        <v>9.09725</v>
      </c>
      <c r="G42" s="18" t="n">
        <v>20.692285</v>
      </c>
      <c r="H42" s="18" t="n">
        <v>17.264482</v>
      </c>
      <c r="I42" s="18" t="n">
        <v>24.52384</v>
      </c>
      <c r="J42" s="18" t="n">
        <v>31.355806</v>
      </c>
      <c r="K42" s="18" t="n">
        <v>28.962</v>
      </c>
      <c r="L42" s="18" t="n">
        <v>15.584</v>
      </c>
      <c r="M42" s="18" t="n">
        <v>41.275</v>
      </c>
      <c r="N42" s="18" t="n">
        <v>63.971</v>
      </c>
      <c r="O42" s="18" t="n">
        <v>89.046</v>
      </c>
      <c r="P42" s="18" t="n">
        <v>134.045</v>
      </c>
      <c r="Q42" s="18" t="n">
        <v>181.337</v>
      </c>
      <c r="R42" s="18" t="n">
        <v>328</v>
      </c>
      <c r="S42" s="18" t="n">
        <v>319</v>
      </c>
      <c r="T42" s="18" t="n">
        <v>277</v>
      </c>
      <c r="U42" s="18" t="n">
        <v>403</v>
      </c>
      <c r="V42" s="19" t="n">
        <v>567</v>
      </c>
      <c r="W42" s="20" t="n">
        <f aca="false">W6*'Assumptions (Annual)'!C48</f>
        <v>798.3247360896</v>
      </c>
      <c r="X42" s="20" t="n">
        <f aca="false">X6*'Assumptions (Annual)'!D48</f>
        <v>1029.17326886289</v>
      </c>
      <c r="Y42" s="20" t="n">
        <f aca="false">Y6*'Assumptions (Annual)'!E48</f>
        <v>1264.72457228249</v>
      </c>
      <c r="Z42" s="20" t="n">
        <f aca="false">Z6*'Assumptions (Annual)'!F48</f>
        <v>1492.627096897</v>
      </c>
      <c r="AA42" s="20" t="n">
        <f aca="false">AA6*'Assumptions (Annual)'!G48</f>
        <v>1713.38673484027</v>
      </c>
    </row>
    <row r="43" customFormat="false" ht="15" hidden="false" customHeight="true" outlineLevel="0" collapsed="false">
      <c r="A43" s="21" t="s">
        <v>159</v>
      </c>
      <c r="B43" s="22" t="n">
        <f aca="false">B39+B40+B41+B42</f>
        <v>20.099022</v>
      </c>
      <c r="C43" s="22" t="n">
        <f aca="false">C39+C40+C41+C42</f>
        <v>29.119878</v>
      </c>
      <c r="D43" s="22" t="n">
        <f aca="false">D39+D40+D41+D42</f>
        <v>104.97417</v>
      </c>
      <c r="E43" s="22" t="n">
        <f aca="false">E39+E40+E41+E42</f>
        <v>60.301224</v>
      </c>
      <c r="F43" s="22" t="n">
        <f aca="false">F39+F40+F41+F42</f>
        <v>82.135016</v>
      </c>
      <c r="G43" s="22" t="n">
        <f aca="false">G39+G40+G41+G42</f>
        <v>101.635208</v>
      </c>
      <c r="H43" s="22" t="n">
        <f aca="false">H39+H40+H41+H42</f>
        <v>200.245555</v>
      </c>
      <c r="I43" s="22" t="n">
        <f aca="false">I39+I40+I41+I42</f>
        <v>275.361175</v>
      </c>
      <c r="J43" s="22" t="n">
        <f aca="false">J39+J40+J41+J42</f>
        <v>326.164235</v>
      </c>
      <c r="K43" s="22" t="n">
        <f aca="false">K39+K40+K41+K42</f>
        <v>532.75</v>
      </c>
      <c r="L43" s="22" t="n">
        <f aca="false">L39+L40+L41+L42</f>
        <v>545.173</v>
      </c>
      <c r="M43" s="22" t="n">
        <f aca="false">M39+M40+M41+M42</f>
        <v>869.461</v>
      </c>
      <c r="N43" s="22" t="n">
        <f aca="false">N39+N40+N41+N42</f>
        <v>1286.919</v>
      </c>
      <c r="O43" s="22" t="n">
        <f aca="false">O39+O40+O41+O42</f>
        <v>1511.123</v>
      </c>
      <c r="P43" s="22" t="n">
        <f aca="false">P39+P40+P41+P42</f>
        <v>3788.856</v>
      </c>
      <c r="Q43" s="22" t="n">
        <f aca="false">Q39+Q40+Q41+Q42</f>
        <v>5346.807</v>
      </c>
      <c r="R43" s="22" t="n">
        <f aca="false">R39+R40+R41+R42</f>
        <v>8175</v>
      </c>
      <c r="S43" s="22" t="n">
        <f aca="false">S39+S40+S41+S42</f>
        <v>10953</v>
      </c>
      <c r="T43" s="22" t="n">
        <f aca="false">T39+T40+T41+T42</f>
        <v>14260</v>
      </c>
      <c r="U43" s="22" t="n">
        <f aca="false">U39+U40+U41+U42</f>
        <v>20142</v>
      </c>
      <c r="V43" s="22" t="n">
        <f aca="false">V39+V40+V41+V42</f>
        <v>33573</v>
      </c>
      <c r="W43" s="22" t="n">
        <f aca="false">W39+W40+W41+W42</f>
        <v>44761.4274692833</v>
      </c>
      <c r="X43" s="22" t="n">
        <f aca="false">X39+X40+X41+X42</f>
        <v>56960.8734664149</v>
      </c>
      <c r="Y43" s="22" t="n">
        <f aca="false">Y39+Y40+Y41+Y42</f>
        <v>70131.6533608025</v>
      </c>
      <c r="Z43" s="22" t="n">
        <f aca="false">Z39+Z40+Z41+Z42</f>
        <v>83683.7613144585</v>
      </c>
      <c r="AA43" s="22" t="n">
        <f aca="false">AA39+AA40+AA41+AA42</f>
        <v>98385.322280808</v>
      </c>
    </row>
    <row r="44" customFormat="false" ht="15" hidden="false" customHeight="true" outlineLevel="0" collapsed="false">
      <c r="A44" s="17" t="s">
        <v>160</v>
      </c>
      <c r="B44" s="18" t="n">
        <v>2.343623</v>
      </c>
      <c r="C44" s="18" t="n">
        <v>2.93147</v>
      </c>
      <c r="D44" s="18" t="n">
        <v>4.143204</v>
      </c>
      <c r="E44" s="18" t="n">
        <v>5.94016</v>
      </c>
      <c r="F44" s="18" t="n">
        <v>5.948276</v>
      </c>
      <c r="G44" s="18" t="n">
        <v>20.817712</v>
      </c>
      <c r="H44" s="18" t="n">
        <v>30.877719</v>
      </c>
      <c r="I44" s="18" t="n">
        <v>37.726222</v>
      </c>
      <c r="J44" s="18" t="n">
        <v>131.371909</v>
      </c>
      <c r="K44" s="18" t="n">
        <v>91.545</v>
      </c>
      <c r="L44" s="18" t="n">
        <v>81.633</v>
      </c>
      <c r="M44" s="18" t="n">
        <v>124.261</v>
      </c>
      <c r="N44" s="18" t="n">
        <v>114.837</v>
      </c>
      <c r="O44" s="18" t="n">
        <v>165.614</v>
      </c>
      <c r="P44" s="18" t="n">
        <v>444.706</v>
      </c>
      <c r="Q44" s="18" t="n">
        <v>694.898</v>
      </c>
      <c r="R44" s="18" t="n">
        <v>1268</v>
      </c>
      <c r="S44" s="18" t="n">
        <v>1649</v>
      </c>
      <c r="T44" s="18" t="n">
        <v>2149</v>
      </c>
      <c r="U44" s="18" t="n">
        <v>2478</v>
      </c>
      <c r="V44" s="19" t="n">
        <v>4504</v>
      </c>
      <c r="W44" s="20" t="n">
        <f aca="false">V44+W6*'Assumptions (Annual)'!C39-W6*'Assumptions (Annual)'!C37</f>
        <v>5901.0682881568</v>
      </c>
      <c r="X44" s="20" t="n">
        <f aca="false">W44+X6*'Assumptions (Annual)'!D39-X6*'Assumptions (Annual)'!D37</f>
        <v>7393.36952800799</v>
      </c>
      <c r="Y44" s="20" t="n">
        <f aca="false">X44+Y6*'Assumptions (Annual)'!E39-Y6*'Assumptions (Annual)'!E37</f>
        <v>8911.03901474697</v>
      </c>
      <c r="Z44" s="20" t="n">
        <f aca="false">Y44+Z6*'Assumptions (Annual)'!F39-Z6*'Assumptions (Annual)'!F37</f>
        <v>10403.666111644</v>
      </c>
      <c r="AA44" s="20" t="n">
        <f aca="false">Z44+AA6*'Assumptions (Annual)'!G39-AA6*'Assumptions (Annual)'!G37</f>
        <v>11860.0448362582</v>
      </c>
    </row>
    <row r="45" customFormat="false" ht="15" hidden="false" customHeight="true" outlineLevel="0" collapsed="false">
      <c r="A45" s="17" t="s">
        <v>161</v>
      </c>
      <c r="B45" s="18" t="n">
        <v>0</v>
      </c>
      <c r="C45" s="18" t="n">
        <v>0</v>
      </c>
      <c r="D45" s="18" t="n">
        <v>1.323789</v>
      </c>
      <c r="E45" s="18" t="n">
        <v>9.218153</v>
      </c>
      <c r="F45" s="18" t="n">
        <v>26.627357</v>
      </c>
      <c r="G45" s="18" t="n">
        <v>78.846281</v>
      </c>
      <c r="H45" s="18" t="n">
        <v>43.933316</v>
      </c>
      <c r="I45" s="18" t="n">
        <v>85.955584</v>
      </c>
      <c r="J45" s="18" t="n">
        <v>45.719737</v>
      </c>
      <c r="K45" s="18" t="n">
        <v>205.265</v>
      </c>
      <c r="L45" s="18" t="n">
        <v>187.621</v>
      </c>
      <c r="M45" s="18" t="n">
        <v>153.803</v>
      </c>
      <c r="N45" s="18" t="n">
        <v>34.72</v>
      </c>
      <c r="O45" s="18" t="n">
        <v>276.136</v>
      </c>
      <c r="P45" s="18" t="n">
        <v>270.422</v>
      </c>
      <c r="Q45" s="18" t="n">
        <v>182.73</v>
      </c>
      <c r="R45" s="18" t="n">
        <v>150</v>
      </c>
      <c r="S45" s="18" t="n">
        <v>354</v>
      </c>
      <c r="T45" s="18" t="n">
        <v>227</v>
      </c>
      <c r="U45" s="18" t="n">
        <v>1382</v>
      </c>
      <c r="V45" s="19" t="n">
        <v>2274</v>
      </c>
      <c r="W45" s="20" t="n">
        <f aca="false">V45*(1+'Assumptions (Annual)'!C55)</f>
        <v>2455.92</v>
      </c>
      <c r="X45" s="20" t="n">
        <f aca="false">W45*(1+'Assumptions (Annual)'!D55)</f>
        <v>2627.8344</v>
      </c>
      <c r="Y45" s="20" t="n">
        <f aca="false">X45*(1+'Assumptions (Annual)'!E55)</f>
        <v>2785.504464</v>
      </c>
      <c r="Z45" s="20" t="n">
        <f aca="false">Y45*(1+'Assumptions (Annual)'!F55)</f>
        <v>2924.7796872</v>
      </c>
      <c r="AA45" s="20" t="n">
        <f aca="false">Z45*(1+'Assumptions (Annual)'!G55)</f>
        <v>3071.01867156</v>
      </c>
    </row>
    <row r="46" customFormat="false" ht="15" hidden="false" customHeight="true" outlineLevel="0" collapsed="false">
      <c r="A46" s="17" t="s">
        <v>162</v>
      </c>
      <c r="B46" s="18" t="n">
        <v>20.564179</v>
      </c>
      <c r="C46" s="18" t="n">
        <v>21.342315</v>
      </c>
      <c r="D46" s="18" t="n">
        <v>23.428646</v>
      </c>
      <c r="E46" s="18" t="n">
        <v>72.911546</v>
      </c>
      <c r="F46" s="18" t="n">
        <v>64.338564</v>
      </c>
      <c r="G46" s="18" t="n">
        <v>64.637481</v>
      </c>
      <c r="H46" s="18" t="n">
        <v>68.588805</v>
      </c>
      <c r="I46" s="18" t="n">
        <v>67.645928</v>
      </c>
      <c r="J46" s="18" t="n">
        <v>61.692803</v>
      </c>
      <c r="K46" s="18" t="n">
        <v>92</v>
      </c>
      <c r="L46" s="18" t="n">
        <v>115.536</v>
      </c>
      <c r="M46" s="18" t="n">
        <v>118.074</v>
      </c>
      <c r="N46" s="18" t="n">
        <v>115.453</v>
      </c>
      <c r="O46" s="18" t="n">
        <v>107.464</v>
      </c>
      <c r="P46" s="18" t="n">
        <v>101.884</v>
      </c>
      <c r="Q46" s="18" t="n">
        <v>99.366</v>
      </c>
      <c r="R46" s="18" t="n">
        <v>193</v>
      </c>
      <c r="S46" s="18" t="n">
        <v>178</v>
      </c>
      <c r="T46" s="18" t="n">
        <v>198</v>
      </c>
      <c r="U46" s="18" t="n">
        <v>210</v>
      </c>
      <c r="V46" s="19" t="n">
        <v>196</v>
      </c>
      <c r="W46" s="20" t="n">
        <f aca="false">'Assumptions (Annual)'!C57</f>
        <v>196</v>
      </c>
      <c r="X46" s="20" t="n">
        <f aca="false">'Assumptions (Annual)'!D57</f>
        <v>196</v>
      </c>
      <c r="Y46" s="20" t="n">
        <f aca="false">'Assumptions (Annual)'!E57</f>
        <v>196</v>
      </c>
      <c r="Z46" s="20" t="n">
        <f aca="false">'Assumptions (Annual)'!F57</f>
        <v>196</v>
      </c>
      <c r="AA46" s="20" t="n">
        <f aca="false">'Assumptions (Annual)'!G57</f>
        <v>196</v>
      </c>
    </row>
    <row r="47" customFormat="false" ht="15" hidden="false" customHeight="true" outlineLevel="0" collapsed="false">
      <c r="A47" s="17" t="s">
        <v>163</v>
      </c>
      <c r="B47" s="18" t="n">
        <v>1.412949</v>
      </c>
      <c r="C47" s="18" t="n">
        <v>0.418909</v>
      </c>
      <c r="D47" s="18" t="n">
        <v>0.622991</v>
      </c>
      <c r="E47" s="18" t="n">
        <v>8.367666</v>
      </c>
      <c r="F47" s="18" t="n">
        <v>3.565436</v>
      </c>
      <c r="G47" s="18" t="n">
        <v>3.746341</v>
      </c>
      <c r="H47" s="18" t="n">
        <v>12.286041</v>
      </c>
      <c r="I47" s="18" t="n">
        <v>11.980367</v>
      </c>
      <c r="J47" s="18" t="n">
        <v>27.414089</v>
      </c>
      <c r="K47" s="18" t="n">
        <v>45.288</v>
      </c>
      <c r="L47" s="18" t="n">
        <v>73.643</v>
      </c>
      <c r="M47" s="18" t="n">
        <v>101.836</v>
      </c>
      <c r="N47" s="18" t="n">
        <v>121.258</v>
      </c>
      <c r="O47" s="18" t="n">
        <v>179.182</v>
      </c>
      <c r="P47" s="18" t="n">
        <v>175.823</v>
      </c>
      <c r="Q47" s="18" t="n">
        <v>202.531</v>
      </c>
      <c r="R47" s="18" t="n">
        <v>315</v>
      </c>
      <c r="S47" s="18" t="n">
        <v>602</v>
      </c>
      <c r="T47" s="18" t="n">
        <v>778</v>
      </c>
      <c r="U47" s="18" t="n">
        <v>984</v>
      </c>
      <c r="V47" s="19" t="n">
        <v>2120</v>
      </c>
      <c r="W47" s="20" t="n">
        <f aca="false">W6*'Assumptions (Annual)'!C53</f>
        <v>2913.88528672704</v>
      </c>
      <c r="X47" s="20" t="n">
        <f aca="false">X6*'Assumptions (Annual)'!D53</f>
        <v>3756.48243134954</v>
      </c>
      <c r="Y47" s="20" t="n">
        <f aca="false">Y6*'Assumptions (Annual)'!E53</f>
        <v>4616.24468883107</v>
      </c>
      <c r="Z47" s="20" t="n">
        <f aca="false">Z6*'Assumptions (Annual)'!F53</f>
        <v>5448.08890367407</v>
      </c>
      <c r="AA47" s="20" t="n">
        <f aca="false">AA6*'Assumptions (Annual)'!G53</f>
        <v>6253.86158216698</v>
      </c>
    </row>
    <row r="48" customFormat="false" ht="15" hidden="false" customHeight="true" outlineLevel="0" collapsed="false">
      <c r="A48" s="21" t="s">
        <v>164</v>
      </c>
      <c r="B48" s="22" t="n">
        <f aca="false">B44+B45+B46+B47</f>
        <v>24.320751</v>
      </c>
      <c r="C48" s="22" t="n">
        <f aca="false">C44+C45+C46+C47</f>
        <v>24.692694</v>
      </c>
      <c r="D48" s="22" t="n">
        <f aca="false">D44+D45+D46+D47</f>
        <v>29.51863</v>
      </c>
      <c r="E48" s="22" t="n">
        <f aca="false">E44+E45+E46+E47</f>
        <v>96.437525</v>
      </c>
      <c r="F48" s="22" t="n">
        <f aca="false">F44+F45+F46+F47</f>
        <v>100.479633</v>
      </c>
      <c r="G48" s="22" t="n">
        <f aca="false">G44+G45+G46+G47</f>
        <v>168.047815</v>
      </c>
      <c r="H48" s="22" t="n">
        <f aca="false">H44+H45+H46+H47</f>
        <v>155.685881</v>
      </c>
      <c r="I48" s="22" t="n">
        <f aca="false">I44+I45+I46+I47</f>
        <v>203.308101</v>
      </c>
      <c r="J48" s="22" t="n">
        <f aca="false">J44+J45+J46+J47</f>
        <v>266.198538</v>
      </c>
      <c r="K48" s="22" t="n">
        <f aca="false">K44+K45+K46+K47</f>
        <v>434.098</v>
      </c>
      <c r="L48" s="22" t="n">
        <f aca="false">L44+L45+L46+L47</f>
        <v>458.433</v>
      </c>
      <c r="M48" s="22" t="n">
        <f aca="false">M44+M45+M46+M47</f>
        <v>497.974</v>
      </c>
      <c r="N48" s="22" t="n">
        <f aca="false">N44+N45+N46+N47</f>
        <v>386.268</v>
      </c>
      <c r="O48" s="22" t="n">
        <f aca="false">O44+O45+O46+O47</f>
        <v>728.396</v>
      </c>
      <c r="P48" s="22" t="n">
        <f aca="false">P44+P45+P46+P47</f>
        <v>992.835</v>
      </c>
      <c r="Q48" s="22" t="n">
        <f aca="false">Q44+Q45+Q46+Q47</f>
        <v>1179.525</v>
      </c>
      <c r="R48" s="22" t="n">
        <f aca="false">R44+R45+R46+R47</f>
        <v>1926</v>
      </c>
      <c r="S48" s="22" t="n">
        <f aca="false">S44+S45+S46+S47</f>
        <v>2783</v>
      </c>
      <c r="T48" s="22" t="n">
        <f aca="false">T44+T45+T46+T47</f>
        <v>3352</v>
      </c>
      <c r="U48" s="22" t="n">
        <f aca="false">U44+U45+U46+U47</f>
        <v>5054</v>
      </c>
      <c r="V48" s="22" t="n">
        <f aca="false">V44+V45+V46+V47</f>
        <v>9094</v>
      </c>
      <c r="W48" s="22" t="n">
        <f aca="false">W44+W45+W46+W47</f>
        <v>11466.8735748838</v>
      </c>
      <c r="X48" s="22" t="n">
        <f aca="false">X44+X45+X46+X47</f>
        <v>13973.6863593575</v>
      </c>
      <c r="Y48" s="22" t="n">
        <f aca="false">Y44+Y45+Y46+Y47</f>
        <v>16508.788167578</v>
      </c>
      <c r="Z48" s="22" t="n">
        <f aca="false">Z44+Z45+Z46+Z47</f>
        <v>18972.534702518</v>
      </c>
      <c r="AA48" s="22" t="n">
        <f aca="false">AA44+AA45+AA46+AA47</f>
        <v>21380.9250899852</v>
      </c>
    </row>
    <row r="49" customFormat="false" ht="15.75" hidden="false" customHeight="true" outlineLevel="0" collapsed="false">
      <c r="A49" s="24" t="s">
        <v>165</v>
      </c>
      <c r="B49" s="23" t="n">
        <f aca="false">B43+B48</f>
        <v>44.419773</v>
      </c>
      <c r="C49" s="23" t="n">
        <f aca="false">C43+C48</f>
        <v>53.812572</v>
      </c>
      <c r="D49" s="23" t="n">
        <f aca="false">D43+D48</f>
        <v>134.4928</v>
      </c>
      <c r="E49" s="23" t="n">
        <f aca="false">E43+E48</f>
        <v>156.738749</v>
      </c>
      <c r="F49" s="23" t="n">
        <f aca="false">F43+F48</f>
        <v>182.614649</v>
      </c>
      <c r="G49" s="23" t="n">
        <f aca="false">G43+G48</f>
        <v>269.683023</v>
      </c>
      <c r="H49" s="23" t="n">
        <f aca="false">H43+H48</f>
        <v>355.931436</v>
      </c>
      <c r="I49" s="23" t="n">
        <f aca="false">I43+I48</f>
        <v>478.669276</v>
      </c>
      <c r="J49" s="23" t="n">
        <f aca="false">J43+J48</f>
        <v>592.362773</v>
      </c>
      <c r="K49" s="23" t="n">
        <f aca="false">K43+K48</f>
        <v>966.848</v>
      </c>
      <c r="L49" s="23" t="n">
        <f aca="false">L43+L48</f>
        <v>1003.606</v>
      </c>
      <c r="M49" s="23" t="n">
        <f aca="false">M43+M48</f>
        <v>1367.435</v>
      </c>
      <c r="N49" s="23" t="n">
        <f aca="false">N43+N48</f>
        <v>1673.187</v>
      </c>
      <c r="O49" s="23" t="n">
        <f aca="false">O43+O48</f>
        <v>2239.519</v>
      </c>
      <c r="P49" s="23" t="n">
        <f aca="false">P43+P48</f>
        <v>4781.691</v>
      </c>
      <c r="Q49" s="23" t="n">
        <f aca="false">Q43+Q48</f>
        <v>6526.332</v>
      </c>
      <c r="R49" s="23" t="n">
        <f aca="false">R43+R48</f>
        <v>10101</v>
      </c>
      <c r="S49" s="23" t="n">
        <f aca="false">S43+S48</f>
        <v>13736</v>
      </c>
      <c r="T49" s="23" t="n">
        <f aca="false">T43+T48</f>
        <v>17612</v>
      </c>
      <c r="U49" s="23" t="n">
        <f aca="false">U43+U48</f>
        <v>25196</v>
      </c>
      <c r="V49" s="23" t="n">
        <f aca="false">V43+V48</f>
        <v>42667</v>
      </c>
      <c r="W49" s="23" t="n">
        <f aca="false">W43+W48</f>
        <v>56228.3010441671</v>
      </c>
      <c r="X49" s="23" t="n">
        <f aca="false">X43+X48</f>
        <v>70934.5598257725</v>
      </c>
      <c r="Y49" s="23" t="n">
        <f aca="false">Y43+Y48</f>
        <v>86640.4415283805</v>
      </c>
      <c r="Z49" s="23" t="n">
        <f aca="false">Z43+Z48</f>
        <v>102656.296016977</v>
      </c>
      <c r="AA49" s="23" t="n">
        <f aca="false">AA43+AA48</f>
        <v>119766.247370793</v>
      </c>
    </row>
    <row r="50" customFormat="false" ht="15.75" hidden="false" customHeight="true" outlineLevel="0" collapsed="false">
      <c r="A50" s="17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6"/>
      <c r="X50" s="26"/>
      <c r="Y50" s="26"/>
      <c r="Z50" s="26"/>
      <c r="AA50" s="26"/>
    </row>
    <row r="51" customFormat="false" ht="15" hidden="false" customHeight="true" outlineLevel="0" collapsed="false">
      <c r="A51" s="17" t="s">
        <v>166</v>
      </c>
      <c r="B51" s="18" t="n">
        <v>8.505247</v>
      </c>
      <c r="C51" s="18" t="n">
        <v>17.516569</v>
      </c>
      <c r="D51" s="18" t="n">
        <v>29.474551</v>
      </c>
      <c r="E51" s="18" t="n">
        <v>36.396861</v>
      </c>
      <c r="F51" s="18" t="n">
        <v>43.053044</v>
      </c>
      <c r="G51" s="18" t="n">
        <v>66.020328</v>
      </c>
      <c r="H51" s="18" t="n">
        <v>106.836963</v>
      </c>
      <c r="I51" s="18" t="n">
        <v>148.876183</v>
      </c>
      <c r="J51" s="18" t="n">
        <v>195.812076</v>
      </c>
      <c r="K51" s="18" t="n">
        <v>263.143</v>
      </c>
      <c r="L51" s="18" t="n">
        <v>308.625</v>
      </c>
      <c r="M51" s="18" t="n">
        <v>540.87</v>
      </c>
      <c r="N51" s="18" t="n">
        <v>894.257</v>
      </c>
      <c r="O51" s="18" t="n">
        <v>991.28</v>
      </c>
      <c r="P51" s="18" t="n">
        <v>1395.01</v>
      </c>
      <c r="Q51" s="18" t="n">
        <v>2757.641</v>
      </c>
      <c r="R51" s="18" t="n">
        <v>4083</v>
      </c>
      <c r="S51" s="18" t="n">
        <v>5736</v>
      </c>
      <c r="T51" s="18" t="n">
        <v>8229</v>
      </c>
      <c r="U51" s="18" t="n">
        <v>12841</v>
      </c>
      <c r="V51" s="19" t="n">
        <v>22218</v>
      </c>
      <c r="W51" s="20" t="n">
        <f aca="false">W6*'Assumptions (Annual)'!C50</f>
        <v>30735.5023394496</v>
      </c>
      <c r="X51" s="20" t="n">
        <f aca="false">X6*'Assumptions (Annual)'!D50</f>
        <v>39880.4641684369</v>
      </c>
      <c r="Y51" s="20" t="n">
        <f aca="false">Y6*'Assumptions (Annual)'!E50</f>
        <v>49324.2583190169</v>
      </c>
      <c r="Z51" s="20" t="n">
        <f aca="false">Z6*'Assumptions (Annual)'!F50</f>
        <v>58212.4567789832</v>
      </c>
      <c r="AA51" s="20" t="n">
        <f aca="false">AA6*'Assumptions (Annual)'!G50</f>
        <v>67250.4293424805</v>
      </c>
    </row>
    <row r="52" customFormat="false" ht="15" hidden="false" customHeight="true" outlineLevel="0" collapsed="false">
      <c r="A52" s="17" t="s">
        <v>167</v>
      </c>
      <c r="B52" s="18" t="n">
        <v>0</v>
      </c>
      <c r="C52" s="18" t="n">
        <v>0</v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18" t="n">
        <v>0</v>
      </c>
      <c r="K52" s="18" t="n">
        <v>0</v>
      </c>
      <c r="L52" s="18" t="n">
        <v>0</v>
      </c>
      <c r="M52" s="18" t="n">
        <v>0</v>
      </c>
      <c r="N52" s="18" t="n">
        <v>0</v>
      </c>
      <c r="O52" s="18" t="n">
        <v>0</v>
      </c>
      <c r="P52" s="18" t="n">
        <v>0</v>
      </c>
      <c r="Q52" s="18" t="n">
        <v>0</v>
      </c>
      <c r="R52" s="18" t="n">
        <v>0</v>
      </c>
      <c r="S52" s="18" t="n">
        <v>0</v>
      </c>
      <c r="T52" s="18" t="n">
        <v>0</v>
      </c>
      <c r="U52" s="18" t="n">
        <v>0</v>
      </c>
      <c r="V52" s="19" t="n">
        <v>0</v>
      </c>
      <c r="W52" s="39" t="n">
        <v>0</v>
      </c>
      <c r="X52" s="39" t="n">
        <v>0</v>
      </c>
      <c r="Y52" s="39" t="n">
        <v>0</v>
      </c>
      <c r="Z52" s="39" t="n">
        <v>0</v>
      </c>
      <c r="AA52" s="39" t="n">
        <v>0</v>
      </c>
    </row>
    <row r="53" customFormat="false" ht="15" hidden="false" customHeight="true" outlineLevel="0" collapsed="false">
      <c r="A53" s="17" t="s">
        <v>168</v>
      </c>
      <c r="B53" s="18" t="n">
        <v>0.131085</v>
      </c>
      <c r="C53" s="18" t="n">
        <v>0.097527</v>
      </c>
      <c r="D53" s="18" t="n">
        <v>9.713227</v>
      </c>
      <c r="E53" s="18" t="n">
        <v>14.963421</v>
      </c>
      <c r="F53" s="18" t="n">
        <v>3.213992</v>
      </c>
      <c r="G53" s="18" t="n">
        <v>0.100031</v>
      </c>
      <c r="H53" s="18" t="n">
        <v>0.146194</v>
      </c>
      <c r="I53" s="18" t="n">
        <v>0.08457</v>
      </c>
      <c r="J53" s="18" t="n">
        <v>13.370823</v>
      </c>
      <c r="K53" s="18" t="n">
        <v>1.642</v>
      </c>
      <c r="L53" s="18" t="n">
        <v>1.965</v>
      </c>
      <c r="M53" s="18" t="n">
        <v>11.583</v>
      </c>
      <c r="N53" s="18" t="n">
        <v>56.325</v>
      </c>
      <c r="O53" s="18" t="n">
        <v>132.949</v>
      </c>
      <c r="P53" s="18" t="n">
        <v>209.397</v>
      </c>
      <c r="Q53" s="18" t="n">
        <v>603.639</v>
      </c>
      <c r="R53" s="18" t="n">
        <v>1377</v>
      </c>
      <c r="S53" s="18" t="n">
        <v>2273</v>
      </c>
      <c r="T53" s="18" t="n">
        <v>2458</v>
      </c>
      <c r="U53" s="18" t="n">
        <v>3069</v>
      </c>
      <c r="V53" s="19" t="n">
        <v>5053</v>
      </c>
      <c r="W53" s="26" t="n">
        <f aca="false">W112+W110</f>
        <v>6985.341440784</v>
      </c>
      <c r="X53" s="26" t="n">
        <f aca="false">X112+X110</f>
        <v>8747.97278533454</v>
      </c>
      <c r="Y53" s="26" t="n">
        <f aca="false">Y112+Y110</f>
        <v>10433.9777213305</v>
      </c>
      <c r="Z53" s="26" t="n">
        <f aca="false">Z112+Z110</f>
        <v>11941.016775176</v>
      </c>
      <c r="AA53" s="26" t="n">
        <f aca="false">AA112+AA110</f>
        <v>13278.7471950121</v>
      </c>
    </row>
    <row r="54" customFormat="false" ht="15" hidden="false" customHeight="true" outlineLevel="0" collapsed="false">
      <c r="A54" s="17" t="s">
        <v>169</v>
      </c>
      <c r="B54" s="18" t="n">
        <v>2.262507</v>
      </c>
      <c r="C54" s="18" t="n">
        <v>2.046823</v>
      </c>
      <c r="D54" s="18" t="n">
        <v>2.563728</v>
      </c>
      <c r="E54" s="18" t="n">
        <v>4.949603</v>
      </c>
      <c r="F54" s="18" t="n">
        <v>14.225856</v>
      </c>
      <c r="G54" s="18" t="n">
        <v>22.274108</v>
      </c>
      <c r="H54" s="18" t="n">
        <v>11.320368</v>
      </c>
      <c r="I54" s="18" t="n">
        <v>20.570519</v>
      </c>
      <c r="J54" s="18" t="n">
        <v>14.98271</v>
      </c>
      <c r="K54" s="18" t="n">
        <v>27.838</v>
      </c>
      <c r="L54" s="18" t="n">
        <v>11.885</v>
      </c>
      <c r="M54" s="18" t="n">
        <v>24.148</v>
      </c>
      <c r="N54" s="18" t="n">
        <v>17.45</v>
      </c>
      <c r="O54" s="18" t="n">
        <v>41.995</v>
      </c>
      <c r="P54" s="18" t="n">
        <v>147.913</v>
      </c>
      <c r="Q54" s="18" t="n">
        <v>274.6</v>
      </c>
      <c r="R54" s="18" t="n">
        <v>377</v>
      </c>
      <c r="S54" s="18" t="n">
        <v>553</v>
      </c>
      <c r="T54" s="18" t="n">
        <v>576</v>
      </c>
      <c r="U54" s="18" t="n">
        <v>693</v>
      </c>
      <c r="V54" s="19" t="n">
        <v>1362</v>
      </c>
      <c r="W54" s="20" t="n">
        <f aca="false">W6*'Assumptions (Annual)'!C51</f>
        <v>1876.06312981056</v>
      </c>
      <c r="X54" s="20" t="n">
        <f aca="false">X6*'Assumptions (Annual)'!D51</f>
        <v>2418.55718182778</v>
      </c>
      <c r="Y54" s="20" t="n">
        <f aca="false">Y6*'Assumptions (Annual)'!E51</f>
        <v>2972.10274486384</v>
      </c>
      <c r="Z54" s="20" t="n">
        <f aca="false">Z6*'Assumptions (Annual)'!F51</f>
        <v>3507.67367770796</v>
      </c>
      <c r="AA54" s="20" t="n">
        <f aca="false">AA6*'Assumptions (Annual)'!G51</f>
        <v>4026.45882687463</v>
      </c>
    </row>
    <row r="55" customFormat="false" ht="15" hidden="false" customHeight="true" outlineLevel="0" collapsed="false">
      <c r="A55" s="21" t="s">
        <v>170</v>
      </c>
      <c r="B55" s="22" t="n">
        <f aca="false">B51+B52+B53+B54</f>
        <v>10.898839</v>
      </c>
      <c r="C55" s="22" t="n">
        <f aca="false">C51+C52+C53+C54</f>
        <v>19.660919</v>
      </c>
      <c r="D55" s="22" t="n">
        <f aca="false">D51+D52+D53+D54</f>
        <v>41.751506</v>
      </c>
      <c r="E55" s="22" t="n">
        <f aca="false">E51+E52+E53+E54</f>
        <v>56.309885</v>
      </c>
      <c r="F55" s="22" t="n">
        <f aca="false">F51+F52+F53+F54</f>
        <v>60.492892</v>
      </c>
      <c r="G55" s="22" t="n">
        <f aca="false">G51+G52+G53+G54</f>
        <v>88.394467</v>
      </c>
      <c r="H55" s="22" t="n">
        <f aca="false">H51+H52+H53+H54</f>
        <v>118.303525</v>
      </c>
      <c r="I55" s="22" t="n">
        <f aca="false">I51+I52+I53+I54</f>
        <v>169.531272</v>
      </c>
      <c r="J55" s="22" t="n">
        <f aca="false">J51+J52+J53+J54</f>
        <v>224.165609</v>
      </c>
      <c r="K55" s="22" t="n">
        <f aca="false">K51+K52+K53+K54</f>
        <v>292.623</v>
      </c>
      <c r="L55" s="22" t="n">
        <f aca="false">L51+L52+L53+L54</f>
        <v>322.475</v>
      </c>
      <c r="M55" s="22" t="n">
        <f aca="false">M51+M52+M53+M54</f>
        <v>576.601</v>
      </c>
      <c r="N55" s="22" t="n">
        <f aca="false">N51+N52+N53+N54</f>
        <v>968.032</v>
      </c>
      <c r="O55" s="22" t="n">
        <f aca="false">O51+O52+O53+O54</f>
        <v>1166.224</v>
      </c>
      <c r="P55" s="22" t="n">
        <f aca="false">P51+P52+P53+P54</f>
        <v>1752.32</v>
      </c>
      <c r="Q55" s="22" t="n">
        <f aca="false">Q51+Q52+Q53+Q54</f>
        <v>3635.88</v>
      </c>
      <c r="R55" s="22" t="n">
        <f aca="false">R51+R52+R53+R54</f>
        <v>5837</v>
      </c>
      <c r="S55" s="22" t="n">
        <f aca="false">S51+S52+S53+S54</f>
        <v>8562</v>
      </c>
      <c r="T55" s="22" t="n">
        <f aca="false">T51+T52+T53+T54</f>
        <v>11263</v>
      </c>
      <c r="U55" s="22" t="n">
        <f aca="false">U51+U52+U53+U54</f>
        <v>16603</v>
      </c>
      <c r="V55" s="22" t="n">
        <f aca="false">V51+V52+V53+V54</f>
        <v>28633</v>
      </c>
      <c r="W55" s="22" t="n">
        <f aca="false">W51+W52+W53+W54</f>
        <v>39596.9069100442</v>
      </c>
      <c r="X55" s="22" t="n">
        <f aca="false">X51+X52+X53+X54</f>
        <v>51046.9941355992</v>
      </c>
      <c r="Y55" s="22" t="n">
        <f aca="false">Y51+Y52+Y53+Y54</f>
        <v>62730.3387852113</v>
      </c>
      <c r="Z55" s="22" t="n">
        <f aca="false">Z51+Z52+Z53+Z54</f>
        <v>73661.1472318672</v>
      </c>
      <c r="AA55" s="22" t="n">
        <f aca="false">AA51+AA52+AA53+AA54</f>
        <v>84555.6353643672</v>
      </c>
    </row>
    <row r="56" customFormat="false" ht="15" hidden="false" customHeight="true" outlineLevel="0" collapsed="false">
      <c r="A56" s="17" t="s">
        <v>171</v>
      </c>
      <c r="B56" s="18" t="n">
        <v>12</v>
      </c>
      <c r="C56" s="18" t="n">
        <v>9</v>
      </c>
      <c r="D56" s="18" t="n">
        <v>0</v>
      </c>
      <c r="E56" s="18" t="n">
        <v>3.050061</v>
      </c>
      <c r="F56" s="18" t="n">
        <v>0</v>
      </c>
      <c r="G56" s="18" t="n">
        <v>0.188846</v>
      </c>
      <c r="H56" s="18" t="n">
        <v>0.136227</v>
      </c>
      <c r="I56" s="18" t="n">
        <v>0.059493</v>
      </c>
      <c r="J56" s="18" t="n">
        <v>2.489819</v>
      </c>
      <c r="K56" s="18" t="n">
        <v>282.184</v>
      </c>
      <c r="L56" s="18" t="n">
        <v>294.342</v>
      </c>
      <c r="M56" s="18" t="n">
        <v>301.94</v>
      </c>
      <c r="N56" s="18" t="n">
        <v>312.089</v>
      </c>
      <c r="O56" s="18" t="n">
        <v>602.228</v>
      </c>
      <c r="P56" s="18" t="n">
        <v>808.026</v>
      </c>
      <c r="Q56" s="18" t="n">
        <v>1104.477</v>
      </c>
      <c r="R56" s="18" t="n">
        <v>2605</v>
      </c>
      <c r="S56" s="18" t="n">
        <v>3141</v>
      </c>
      <c r="T56" s="18" t="n">
        <v>2875</v>
      </c>
      <c r="U56" s="18" t="n">
        <v>3781</v>
      </c>
      <c r="V56" s="19" t="n">
        <v>6339</v>
      </c>
      <c r="W56" s="20" t="n">
        <f aca="false">V56*(1+'Assumptions (Annual)'!C56)</f>
        <v>7099.68</v>
      </c>
      <c r="X56" s="20" t="n">
        <f aca="false">W56*(1+'Assumptions (Annual)'!D56)</f>
        <v>7809.648</v>
      </c>
      <c r="Y56" s="20" t="n">
        <f aca="false">X56*(1+'Assumptions (Annual)'!E56)</f>
        <v>8434.41984</v>
      </c>
      <c r="Z56" s="20" t="n">
        <f aca="false">Y56*(1+'Assumptions (Annual)'!F56)</f>
        <v>9024.8292288</v>
      </c>
      <c r="AA56" s="20" t="n">
        <f aca="false">Z56*(1+'Assumptions (Annual)'!G56)</f>
        <v>9566.318982528</v>
      </c>
    </row>
    <row r="57" customFormat="false" ht="15" hidden="false" customHeight="true" outlineLevel="0" collapsed="false">
      <c r="A57" s="17" t="s">
        <v>172</v>
      </c>
      <c r="B57" s="18" t="n">
        <v>0.346087</v>
      </c>
      <c r="C57" s="18" t="n">
        <v>1.803315</v>
      </c>
      <c r="D57" s="18" t="n">
        <v>1.068155</v>
      </c>
      <c r="E57" s="18" t="n">
        <v>3.954822</v>
      </c>
      <c r="F57" s="18" t="n">
        <v>7.92852</v>
      </c>
      <c r="G57" s="18" t="n">
        <v>9.38144</v>
      </c>
      <c r="H57" s="18" t="n">
        <v>14.312668</v>
      </c>
      <c r="I57" s="18" t="n">
        <v>15.264885</v>
      </c>
      <c r="J57" s="18" t="n">
        <v>18.223737</v>
      </c>
      <c r="K57" s="18" t="n">
        <v>36.253</v>
      </c>
      <c r="L57" s="18" t="n">
        <v>47.331</v>
      </c>
      <c r="M57" s="18" t="n">
        <v>60.04</v>
      </c>
      <c r="N57" s="18" t="n">
        <v>67.287</v>
      </c>
      <c r="O57" s="18" t="n">
        <v>134.367</v>
      </c>
      <c r="P57" s="18" t="n">
        <v>139.382</v>
      </c>
      <c r="Q57" s="18" t="n">
        <v>134.397</v>
      </c>
      <c r="R57" s="18" t="n">
        <v>128</v>
      </c>
      <c r="S57" s="18" t="n">
        <v>206</v>
      </c>
      <c r="T57" s="18" t="n">
        <v>403</v>
      </c>
      <c r="U57" s="18" t="n">
        <v>461</v>
      </c>
      <c r="V57" s="19" t="n">
        <v>947</v>
      </c>
      <c r="W57" s="20" t="n">
        <f aca="false">W6*'Assumptions (Annual)'!C54</f>
        <v>1317.23581454784</v>
      </c>
      <c r="X57" s="20" t="n">
        <f aca="false">X6*'Assumptions (Annual)'!D54</f>
        <v>1698.13589362376</v>
      </c>
      <c r="Y57" s="20" t="n">
        <f aca="false">Y6*'Assumptions (Annual)'!E54</f>
        <v>2086.7955442661</v>
      </c>
      <c r="Z57" s="20" t="n">
        <f aca="false">Z6*'Assumptions (Annual)'!F54</f>
        <v>2462.83470988006</v>
      </c>
      <c r="AA57" s="20" t="n">
        <f aca="false">AA6*'Assumptions (Annual)'!G54</f>
        <v>2827.08811248644</v>
      </c>
    </row>
    <row r="58" customFormat="false" ht="15" hidden="false" customHeight="true" outlineLevel="0" collapsed="false">
      <c r="A58" s="21" t="s">
        <v>173</v>
      </c>
      <c r="B58" s="22" t="n">
        <f aca="false">B56+B57</f>
        <v>12.346087</v>
      </c>
      <c r="C58" s="22" t="n">
        <f aca="false">C56+C57</f>
        <v>10.803315</v>
      </c>
      <c r="D58" s="22" t="n">
        <f aca="false">D56+D57</f>
        <v>1.068155</v>
      </c>
      <c r="E58" s="22" t="n">
        <f aca="false">E56+E57</f>
        <v>7.004883</v>
      </c>
      <c r="F58" s="22" t="n">
        <f aca="false">F56+F57</f>
        <v>7.92852</v>
      </c>
      <c r="G58" s="22" t="n">
        <f aca="false">G56+G57</f>
        <v>9.570286</v>
      </c>
      <c r="H58" s="22" t="n">
        <f aca="false">H56+H57</f>
        <v>14.448895</v>
      </c>
      <c r="I58" s="22" t="n">
        <f aca="false">I56+I57</f>
        <v>15.324378</v>
      </c>
      <c r="J58" s="22" t="n">
        <f aca="false">J56+J57</f>
        <v>20.713556</v>
      </c>
      <c r="K58" s="22" t="n">
        <f aca="false">K56+K57</f>
        <v>318.437</v>
      </c>
      <c r="L58" s="22" t="n">
        <f aca="false">L56+L57</f>
        <v>341.673</v>
      </c>
      <c r="M58" s="22" t="n">
        <f aca="false">M56+M57</f>
        <v>361.98</v>
      </c>
      <c r="N58" s="22" t="n">
        <f aca="false">N56+N57</f>
        <v>379.376</v>
      </c>
      <c r="O58" s="22" t="n">
        <f aca="false">O56+O57</f>
        <v>736.595</v>
      </c>
      <c r="P58" s="22" t="n">
        <f aca="false">P56+P57</f>
        <v>947.408</v>
      </c>
      <c r="Q58" s="22" t="n">
        <f aca="false">Q56+Q57</f>
        <v>1238.874</v>
      </c>
      <c r="R58" s="22" t="n">
        <f aca="false">R56+R57</f>
        <v>2733</v>
      </c>
      <c r="S58" s="22" t="n">
        <f aca="false">S56+S57</f>
        <v>3347</v>
      </c>
      <c r="T58" s="22" t="n">
        <f aca="false">T56+T57</f>
        <v>3278</v>
      </c>
      <c r="U58" s="22" t="n">
        <f aca="false">U56+U57</f>
        <v>4242</v>
      </c>
      <c r="V58" s="22" t="n">
        <f aca="false">V56+V57</f>
        <v>7286</v>
      </c>
      <c r="W58" s="22" t="n">
        <f aca="false">W56+W57</f>
        <v>8416.91581454784</v>
      </c>
      <c r="X58" s="22" t="n">
        <f aca="false">X56+X57</f>
        <v>9507.78389362376</v>
      </c>
      <c r="Y58" s="22" t="n">
        <f aca="false">Y56+Y57</f>
        <v>10521.2153842661</v>
      </c>
      <c r="Z58" s="22" t="n">
        <f aca="false">Z56+Z57</f>
        <v>11487.6639386801</v>
      </c>
      <c r="AA58" s="22" t="n">
        <f aca="false">AA56+AA57</f>
        <v>12393.4070950144</v>
      </c>
    </row>
    <row r="59" customFormat="false" ht="15" hidden="false" customHeight="true" outlineLevel="0" collapsed="false">
      <c r="A59" s="21" t="s">
        <v>174</v>
      </c>
      <c r="B59" s="22" t="n">
        <f aca="false">B55+B58</f>
        <v>23.244926</v>
      </c>
      <c r="C59" s="22" t="n">
        <f aca="false">C55+C58</f>
        <v>30.464234</v>
      </c>
      <c r="D59" s="22" t="n">
        <f aca="false">D55+D58</f>
        <v>42.819661</v>
      </c>
      <c r="E59" s="22" t="n">
        <f aca="false">E55+E58</f>
        <v>63.314768</v>
      </c>
      <c r="F59" s="22" t="n">
        <f aca="false">F55+F58</f>
        <v>68.421412</v>
      </c>
      <c r="G59" s="22" t="n">
        <f aca="false">G55+G58</f>
        <v>97.964753</v>
      </c>
      <c r="H59" s="22" t="n">
        <f aca="false">H55+H58</f>
        <v>132.75242</v>
      </c>
      <c r="I59" s="22" t="n">
        <f aca="false">I55+I58</f>
        <v>184.85565</v>
      </c>
      <c r="J59" s="22" t="n">
        <f aca="false">J55+J58</f>
        <v>244.879165</v>
      </c>
      <c r="K59" s="22" t="n">
        <f aca="false">K55+K58</f>
        <v>611.06</v>
      </c>
      <c r="L59" s="22" t="n">
        <f aca="false">L55+L58</f>
        <v>664.148</v>
      </c>
      <c r="M59" s="22" t="n">
        <f aca="false">M55+M58</f>
        <v>938.581</v>
      </c>
      <c r="N59" s="22" t="n">
        <f aca="false">N55+N58</f>
        <v>1347.408</v>
      </c>
      <c r="O59" s="22" t="n">
        <f aca="false">O55+O58</f>
        <v>1902.819</v>
      </c>
      <c r="P59" s="22" t="n">
        <f aca="false">P55+P58</f>
        <v>2699.728</v>
      </c>
      <c r="Q59" s="22" t="n">
        <f aca="false">Q55+Q58</f>
        <v>4874.754</v>
      </c>
      <c r="R59" s="22" t="n">
        <f aca="false">R55+R58</f>
        <v>8570</v>
      </c>
      <c r="S59" s="22" t="n">
        <f aca="false">S55+S58</f>
        <v>11909</v>
      </c>
      <c r="T59" s="22" t="n">
        <f aca="false">T55+T58</f>
        <v>14541</v>
      </c>
      <c r="U59" s="22" t="n">
        <f aca="false">U55+U58</f>
        <v>20845</v>
      </c>
      <c r="V59" s="22" t="n">
        <f aca="false">V55+V58</f>
        <v>35919</v>
      </c>
      <c r="W59" s="22" t="n">
        <f aca="false">W55+W58</f>
        <v>48013.822724592</v>
      </c>
      <c r="X59" s="22" t="n">
        <f aca="false">X55+X58</f>
        <v>60554.7780292229</v>
      </c>
      <c r="Y59" s="22" t="n">
        <f aca="false">Y55+Y58</f>
        <v>73251.5541694774</v>
      </c>
      <c r="Z59" s="22" t="n">
        <f aca="false">Z55+Z58</f>
        <v>85148.8111705472</v>
      </c>
      <c r="AA59" s="22" t="n">
        <f aca="false">AA55+AA58</f>
        <v>96949.0424593816</v>
      </c>
    </row>
    <row r="60" customFormat="false" ht="15" hidden="false" customHeight="true" outlineLevel="0" collapsed="false">
      <c r="A60" s="17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6"/>
      <c r="X60" s="26"/>
      <c r="Y60" s="26"/>
      <c r="Z60" s="26"/>
      <c r="AA60" s="26"/>
    </row>
    <row r="61" customFormat="false" ht="15" hidden="false" customHeight="true" outlineLevel="0" collapsed="false">
      <c r="A61" s="17" t="s">
        <v>175</v>
      </c>
      <c r="B61" s="18" t="n">
        <v>-42.40682</v>
      </c>
      <c r="C61" s="18" t="n">
        <v>-40.728207</v>
      </c>
      <c r="D61" s="18" t="n">
        <v>91.673139</v>
      </c>
      <c r="E61" s="18" t="n">
        <v>93.423981</v>
      </c>
      <c r="F61" s="18" t="n">
        <v>114.193237</v>
      </c>
      <c r="G61" s="18" t="n">
        <v>171.71827</v>
      </c>
      <c r="H61" s="18" t="n">
        <v>219.179016</v>
      </c>
      <c r="I61" s="18" t="n">
        <v>289.813626</v>
      </c>
      <c r="J61" s="18" t="n">
        <v>343.483608</v>
      </c>
      <c r="K61" s="18" t="n">
        <v>355.788</v>
      </c>
      <c r="L61" s="18" t="n">
        <v>339.458</v>
      </c>
      <c r="M61" s="18" t="n">
        <v>428.854</v>
      </c>
      <c r="N61" s="18" t="n">
        <v>325.779</v>
      </c>
      <c r="O61" s="18" t="n">
        <v>336.7</v>
      </c>
      <c r="P61" s="18" t="n">
        <v>1983.12</v>
      </c>
      <c r="Q61" s="18" t="n">
        <v>1651.578</v>
      </c>
      <c r="R61" s="18" t="n">
        <v>1531</v>
      </c>
      <c r="S61" s="18" t="n">
        <v>1827</v>
      </c>
      <c r="T61" s="18" t="n">
        <v>3071</v>
      </c>
      <c r="U61" s="18" t="n">
        <v>4351</v>
      </c>
      <c r="V61" s="19" t="n">
        <v>6748</v>
      </c>
      <c r="W61" s="20" t="n">
        <f aca="false">V61+W18+W80+'Assumptions (Annual)'!C41+'Assumptions (Annual)'!C42-W19+'Assumptions (Annual)'!C43</f>
        <v>8214.47831957509</v>
      </c>
      <c r="X61" s="20" t="n">
        <f aca="false">W61+X18+X80+'Assumptions (Annual)'!D41+'Assumptions (Annual)'!D42-X19+'Assumptions (Annual)'!D43</f>
        <v>10379.7817965495</v>
      </c>
      <c r="Y61" s="20" t="n">
        <f aca="false">X61+Y18+Y80+'Assumptions (Annual)'!E41+'Assumptions (Annual)'!E42-Y19+'Assumptions (Annual)'!E43</f>
        <v>13388.8873589031</v>
      </c>
      <c r="Z61" s="20" t="n">
        <f aca="false">Y61+Z18+Z80+'Assumptions (Annual)'!F41+'Assumptions (Annual)'!F42-Z19+'Assumptions (Annual)'!F43</f>
        <v>17507.4848464293</v>
      </c>
      <c r="AA61" s="20" t="n">
        <f aca="false">Z61+AA18+AA80+'Assumptions (Annual)'!G41+'Assumptions (Annual)'!G42-AA19+'Assumptions (Annual)'!G43</f>
        <v>22817.2049114115</v>
      </c>
    </row>
    <row r="62" customFormat="false" ht="15.75" hidden="false" customHeight="true" outlineLevel="0" collapsed="false">
      <c r="A62" s="24" t="s">
        <v>176</v>
      </c>
      <c r="B62" s="23" t="n">
        <f aca="false">B59+B61</f>
        <v>-19.161894</v>
      </c>
      <c r="C62" s="23" t="n">
        <f aca="false">C59+C61</f>
        <v>-10.263973</v>
      </c>
      <c r="D62" s="23" t="n">
        <f aca="false">D59+D61</f>
        <v>134.4928</v>
      </c>
      <c r="E62" s="23" t="n">
        <f aca="false">E59+E61</f>
        <v>156.738749</v>
      </c>
      <c r="F62" s="23" t="n">
        <f aca="false">F59+F61</f>
        <v>182.614649</v>
      </c>
      <c r="G62" s="23" t="n">
        <f aca="false">G59+G61</f>
        <v>269.683023</v>
      </c>
      <c r="H62" s="23" t="n">
        <f aca="false">H59+H61</f>
        <v>351.931436</v>
      </c>
      <c r="I62" s="23" t="n">
        <f aca="false">I59+I61</f>
        <v>474.669276</v>
      </c>
      <c r="J62" s="23" t="n">
        <f aca="false">J59+J61</f>
        <v>588.362773</v>
      </c>
      <c r="K62" s="23" t="n">
        <f aca="false">K59+K61</f>
        <v>966.848</v>
      </c>
      <c r="L62" s="23" t="n">
        <f aca="false">L59+L61</f>
        <v>1003.606</v>
      </c>
      <c r="M62" s="23" t="n">
        <f aca="false">M59+M61</f>
        <v>1367.435</v>
      </c>
      <c r="N62" s="23" t="n">
        <f aca="false">N59+N61</f>
        <v>1673.187</v>
      </c>
      <c r="O62" s="23" t="n">
        <f aca="false">O59+O61</f>
        <v>2239.519</v>
      </c>
      <c r="P62" s="23" t="n">
        <f aca="false">P59+P61</f>
        <v>4682.848</v>
      </c>
      <c r="Q62" s="23" t="n">
        <f aca="false">Q59+Q61</f>
        <v>6526.332</v>
      </c>
      <c r="R62" s="23" t="n">
        <f aca="false">R59+R61</f>
        <v>10101</v>
      </c>
      <c r="S62" s="23" t="n">
        <f aca="false">S59+S61</f>
        <v>13736</v>
      </c>
      <c r="T62" s="23" t="n">
        <f aca="false">T59+T61</f>
        <v>17612</v>
      </c>
      <c r="U62" s="23" t="n">
        <f aca="false">U59+U61</f>
        <v>25196</v>
      </c>
      <c r="V62" s="23" t="n">
        <f aca="false">V59+V61</f>
        <v>42667</v>
      </c>
      <c r="W62" s="23" t="n">
        <f aca="false">W59+W61</f>
        <v>56228.3010441671</v>
      </c>
      <c r="X62" s="23" t="n">
        <f aca="false">X59+X61</f>
        <v>70934.5598257725</v>
      </c>
      <c r="Y62" s="23" t="n">
        <f aca="false">Y59+Y61</f>
        <v>86640.4415283805</v>
      </c>
      <c r="Z62" s="23" t="n">
        <f aca="false">Z59+Z61</f>
        <v>102656.296016977</v>
      </c>
      <c r="AA62" s="23" t="n">
        <f aca="false">AA59+AA61</f>
        <v>119766.247370793</v>
      </c>
    </row>
    <row r="63" customFormat="false" ht="15.75" hidden="false" customHeight="true" outlineLevel="0" collapsed="false">
      <c r="A63" s="17" t="s">
        <v>177</v>
      </c>
      <c r="B63" s="25" t="n">
        <f aca="false">B49-B62</f>
        <v>63.581667</v>
      </c>
      <c r="C63" s="25" t="n">
        <f aca="false">C49-C62</f>
        <v>64.076545</v>
      </c>
      <c r="D63" s="25" t="n">
        <f aca="false">D49-D62</f>
        <v>0</v>
      </c>
      <c r="E63" s="25" t="n">
        <f aca="false">E49-E62</f>
        <v>0</v>
      </c>
      <c r="F63" s="25" t="n">
        <f aca="false">F49-F62</f>
        <v>0</v>
      </c>
      <c r="G63" s="25" t="n">
        <f aca="false">G49-G62</f>
        <v>0</v>
      </c>
      <c r="H63" s="25" t="n">
        <f aca="false">H49-H62</f>
        <v>4</v>
      </c>
      <c r="I63" s="25" t="n">
        <f aca="false">I49-I62</f>
        <v>4</v>
      </c>
      <c r="J63" s="25" t="n">
        <f aca="false">J49-J62</f>
        <v>3.99999999999989</v>
      </c>
      <c r="K63" s="25" t="n">
        <f aca="false">K49-K62</f>
        <v>0</v>
      </c>
      <c r="L63" s="25" t="n">
        <f aca="false">L49-L62</f>
        <v>0</v>
      </c>
      <c r="M63" s="25" t="n">
        <f aca="false">M49-M62</f>
        <v>0</v>
      </c>
      <c r="N63" s="25" t="n">
        <f aca="false">N49-N62</f>
        <v>0</v>
      </c>
      <c r="O63" s="25" t="n">
        <f aca="false">O49-O62</f>
        <v>0</v>
      </c>
      <c r="P63" s="25" t="n">
        <f aca="false">P49-P62</f>
        <v>98.8430000000008</v>
      </c>
      <c r="Q63" s="25" t="n">
        <f aca="false">Q49-Q62</f>
        <v>0</v>
      </c>
      <c r="R63" s="25" t="n">
        <f aca="false">R49-R62</f>
        <v>0</v>
      </c>
      <c r="S63" s="25" t="n">
        <f aca="false">S49-S62</f>
        <v>0</v>
      </c>
      <c r="T63" s="25" t="n">
        <f aca="false">T49-T62</f>
        <v>0</v>
      </c>
      <c r="U63" s="25" t="n">
        <f aca="false">U49-U62</f>
        <v>0</v>
      </c>
      <c r="V63" s="34" t="n">
        <f aca="false">V49-V62</f>
        <v>0</v>
      </c>
      <c r="W63" s="26" t="n">
        <f aca="false">W49-W62</f>
        <v>0</v>
      </c>
      <c r="X63" s="26" t="n">
        <f aca="false">X49-X62</f>
        <v>0</v>
      </c>
      <c r="Y63" s="26" t="n">
        <f aca="false">Y49-Y62</f>
        <v>0</v>
      </c>
      <c r="Z63" s="26" t="n">
        <f aca="false">Z49-Z62</f>
        <v>0</v>
      </c>
      <c r="AA63" s="26" t="n">
        <f aca="false">AA49-AA62</f>
        <v>0</v>
      </c>
    </row>
    <row r="64" customFormat="false" ht="15" hidden="false" customHeight="true" outlineLevel="0" collapsed="false">
      <c r="A64" s="17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6"/>
      <c r="X64" s="26"/>
      <c r="Y64" s="26"/>
      <c r="Z64" s="26"/>
      <c r="AA64" s="26"/>
    </row>
    <row r="65" customFormat="false" ht="15" hidden="false" customHeight="true" outlineLevel="0" collapsed="false">
      <c r="A65" s="40" t="s">
        <v>178</v>
      </c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customFormat="false" ht="15" hidden="false" customHeight="true" outlineLevel="0" collapsed="false">
      <c r="A66" s="41" t="s">
        <v>179</v>
      </c>
      <c r="B66" s="25" t="n">
        <f aca="false">B53+B56</f>
        <v>12.131085</v>
      </c>
      <c r="C66" s="25" t="n">
        <f aca="false">C53+C56</f>
        <v>9.097527</v>
      </c>
      <c r="D66" s="25" t="n">
        <f aca="false">D53+D56</f>
        <v>9.713227</v>
      </c>
      <c r="E66" s="25" t="n">
        <f aca="false">E53+E56</f>
        <v>18.013482</v>
      </c>
      <c r="F66" s="25" t="n">
        <f aca="false">F53+F56</f>
        <v>3.213992</v>
      </c>
      <c r="G66" s="25" t="n">
        <f aca="false">G53+G56</f>
        <v>0.288877</v>
      </c>
      <c r="H66" s="25" t="n">
        <f aca="false">H53+H56</f>
        <v>0.282421</v>
      </c>
      <c r="I66" s="25" t="n">
        <f aca="false">I53+I56</f>
        <v>0.144063</v>
      </c>
      <c r="J66" s="25" t="n">
        <f aca="false">J53+J56</f>
        <v>15.860642</v>
      </c>
      <c r="K66" s="25" t="n">
        <f aca="false">K53+K56</f>
        <v>283.826</v>
      </c>
      <c r="L66" s="25" t="n">
        <f aca="false">L53+L56</f>
        <v>296.307</v>
      </c>
      <c r="M66" s="25" t="n">
        <f aca="false">M53+M56</f>
        <v>313.523</v>
      </c>
      <c r="N66" s="25" t="n">
        <f aca="false">N53+N56</f>
        <v>368.414</v>
      </c>
      <c r="O66" s="25" t="n">
        <f aca="false">O53+O56</f>
        <v>735.177</v>
      </c>
      <c r="P66" s="25" t="n">
        <f aca="false">P53+P56</f>
        <v>1017.423</v>
      </c>
      <c r="Q66" s="25" t="n">
        <f aca="false">Q53+Q56</f>
        <v>1708.116</v>
      </c>
      <c r="R66" s="25" t="n">
        <f aca="false">R53+R56</f>
        <v>3982</v>
      </c>
      <c r="S66" s="25" t="n">
        <f aca="false">S53+S56</f>
        <v>5414</v>
      </c>
      <c r="T66" s="25" t="n">
        <f aca="false">T53+T56</f>
        <v>5333</v>
      </c>
      <c r="U66" s="25" t="n">
        <f aca="false">U53+U56</f>
        <v>6850</v>
      </c>
      <c r="V66" s="34" t="n">
        <f aca="false">V53+V56</f>
        <v>11392</v>
      </c>
      <c r="W66" s="26" t="n">
        <f aca="false">W53+W56</f>
        <v>14085.021440784</v>
      </c>
      <c r="X66" s="26" t="n">
        <f aca="false">X53+X56</f>
        <v>16557.6207853345</v>
      </c>
      <c r="Y66" s="26" t="n">
        <f aca="false">Y53+Y56</f>
        <v>18868.3975613305</v>
      </c>
      <c r="Z66" s="26" t="n">
        <f aca="false">Z53+Z56</f>
        <v>20965.846003976</v>
      </c>
      <c r="AA66" s="26" t="n">
        <f aca="false">AA53+AA56</f>
        <v>22845.0661775401</v>
      </c>
    </row>
    <row r="67" customFormat="false" ht="15" hidden="false" customHeight="true" outlineLevel="0" collapsed="false">
      <c r="A67" s="41" t="s">
        <v>180</v>
      </c>
      <c r="B67" s="25" t="n">
        <f aca="false">B39-B66</f>
        <v>0.260019</v>
      </c>
      <c r="C67" s="25" t="n">
        <f aca="false">C39-C66</f>
        <v>4.366156</v>
      </c>
      <c r="D67" s="25" t="n">
        <f aca="false">D39-D66</f>
        <v>58.264187</v>
      </c>
      <c r="E67" s="25" t="n">
        <f aca="false">E39-E66</f>
        <v>31.10003</v>
      </c>
      <c r="F67" s="25" t="n">
        <f aca="false">F39-F66</f>
        <v>61.169595</v>
      </c>
      <c r="G67" s="25" t="n">
        <f aca="false">G39-G66</f>
        <v>61.884355</v>
      </c>
      <c r="H67" s="25" t="n">
        <f aca="false">H39-H66</f>
        <v>142.027876</v>
      </c>
      <c r="I67" s="25" t="n">
        <f aca="false">I39-I66</f>
        <v>195.039744</v>
      </c>
      <c r="J67" s="25" t="n">
        <f aca="false">J39-J66</f>
        <v>201.017676</v>
      </c>
      <c r="K67" s="25" t="n">
        <f aca="false">K39-K66</f>
        <v>88.128</v>
      </c>
      <c r="L67" s="25" t="n">
        <f aca="false">L39-L66</f>
        <v>72.686</v>
      </c>
      <c r="M67" s="25" t="n">
        <f aca="false">M39-M66</f>
        <v>180.221</v>
      </c>
      <c r="N67" s="25" t="n">
        <f aca="false">N39-N66</f>
        <v>302.687</v>
      </c>
      <c r="O67" s="25" t="n">
        <f aca="false">O39-O66</f>
        <v>286.837</v>
      </c>
      <c r="P67" s="25" t="n">
        <f aca="false">P39-P66</f>
        <v>2213.347</v>
      </c>
      <c r="Q67" s="25" t="n">
        <f aca="false">Q39-Q66</f>
        <v>2426.45</v>
      </c>
      <c r="R67" s="25" t="n">
        <f aca="false">R39-R66</f>
        <v>1675</v>
      </c>
      <c r="S67" s="25" t="n">
        <f aca="false">S39-S66</f>
        <v>1992</v>
      </c>
      <c r="T67" s="25" t="n">
        <f aca="false">T39-T66</f>
        <v>4624</v>
      </c>
      <c r="U67" s="25" t="n">
        <f aca="false">U39-U66</f>
        <v>7050</v>
      </c>
      <c r="V67" s="34" t="n">
        <f aca="false">V39-V66</f>
        <v>13629</v>
      </c>
      <c r="W67" s="26" t="n">
        <f aca="false">W39-W66</f>
        <v>16905.3043309537</v>
      </c>
      <c r="X67" s="26" t="n">
        <f aca="false">X39-X66</f>
        <v>21517.9231974464</v>
      </c>
      <c r="Y67" s="26" t="n">
        <f aca="false">Y39-Y66</f>
        <v>27296.7251547189</v>
      </c>
      <c r="Z67" s="26" t="n">
        <f aca="false">Z39-Z66</f>
        <v>33611.6869209909</v>
      </c>
      <c r="AA67" s="26" t="n">
        <f aca="false">AA39-AA66</f>
        <v>41101.1827329786</v>
      </c>
    </row>
    <row r="68" customFormat="false" ht="15" hidden="false" customHeight="true" outlineLevel="0" collapsed="false">
      <c r="A68" s="41" t="s">
        <v>181</v>
      </c>
      <c r="B68" s="25" t="n">
        <f aca="false">B43-B55</f>
        <v>9.200183</v>
      </c>
      <c r="C68" s="25" t="n">
        <f aca="false">C43-C55</f>
        <v>9.458959</v>
      </c>
      <c r="D68" s="25" t="n">
        <f aca="false">D43-D55</f>
        <v>63.222664</v>
      </c>
      <c r="E68" s="25" t="n">
        <f aca="false">E43-E55</f>
        <v>3.99133900000001</v>
      </c>
      <c r="F68" s="25" t="n">
        <f aca="false">F43-F55</f>
        <v>21.642124</v>
      </c>
      <c r="G68" s="25" t="n">
        <f aca="false">G43-G55</f>
        <v>13.240741</v>
      </c>
      <c r="H68" s="25" t="n">
        <f aca="false">H43-H55</f>
        <v>81.94203</v>
      </c>
      <c r="I68" s="25" t="n">
        <f aca="false">I43-I55</f>
        <v>105.829903</v>
      </c>
      <c r="J68" s="25" t="n">
        <f aca="false">J43-J55</f>
        <v>101.998626</v>
      </c>
      <c r="K68" s="25" t="n">
        <f aca="false">K43-K55</f>
        <v>240.127</v>
      </c>
      <c r="L68" s="25" t="n">
        <f aca="false">L43-L55</f>
        <v>222.698</v>
      </c>
      <c r="M68" s="25" t="n">
        <f aca="false">M43-M55</f>
        <v>292.86</v>
      </c>
      <c r="N68" s="25" t="n">
        <f aca="false">N43-N55</f>
        <v>318.887</v>
      </c>
      <c r="O68" s="25" t="n">
        <f aca="false">O43-O55</f>
        <v>344.899</v>
      </c>
      <c r="P68" s="25" t="n">
        <f aca="false">P43-P55</f>
        <v>2036.536</v>
      </c>
      <c r="Q68" s="25" t="n">
        <f aca="false">Q43-Q55</f>
        <v>1710.927</v>
      </c>
      <c r="R68" s="25" t="n">
        <f aca="false">R43-R55</f>
        <v>2338</v>
      </c>
      <c r="S68" s="25" t="n">
        <f aca="false">S43-S55</f>
        <v>2391</v>
      </c>
      <c r="T68" s="25" t="n">
        <f aca="false">T43-T55</f>
        <v>2997</v>
      </c>
      <c r="U68" s="25" t="n">
        <f aca="false">U43-U55</f>
        <v>3539</v>
      </c>
      <c r="V68" s="34" t="n">
        <f aca="false">V43-V55</f>
        <v>4940</v>
      </c>
      <c r="W68" s="26" t="n">
        <f aca="false">W43-W55</f>
        <v>5164.52055923909</v>
      </c>
      <c r="X68" s="26" t="n">
        <f aca="false">X43-X55</f>
        <v>5913.87933081575</v>
      </c>
      <c r="Y68" s="26" t="n">
        <f aca="false">Y43-Y55</f>
        <v>7401.31457559121</v>
      </c>
      <c r="Z68" s="26" t="n">
        <f aca="false">Z43-Z55</f>
        <v>10022.6140825913</v>
      </c>
      <c r="AA68" s="26" t="n">
        <f aca="false">AA43-AA55</f>
        <v>13829.6869164408</v>
      </c>
    </row>
    <row r="69" customFormat="false" ht="15" hidden="false" customHeight="true" outlineLevel="0" collapsed="false">
      <c r="A69" s="17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34"/>
      <c r="W69" s="26"/>
      <c r="X69" s="26"/>
      <c r="Y69" s="26"/>
      <c r="Z69" s="26"/>
      <c r="AA69" s="26"/>
    </row>
    <row r="70" customFormat="false" ht="15" hidden="false" customHeight="true" outlineLevel="0" collapsed="false">
      <c r="A70" s="41" t="s">
        <v>182</v>
      </c>
      <c r="B70" s="25" t="n">
        <f aca="false">B43-B39-B55-B53</f>
        <v>-3.322006</v>
      </c>
      <c r="C70" s="25" t="n">
        <f aca="false">C43-C39-C55-C53</f>
        <v>-4.102251</v>
      </c>
      <c r="D70" s="25" t="n">
        <f aca="false">D43-D39-D55-D53</f>
        <v>-14.467977</v>
      </c>
      <c r="E70" s="25" t="n">
        <f aca="false">E43-E39-E55-E53</f>
        <v>-60.085594</v>
      </c>
      <c r="F70" s="25" t="n">
        <f aca="false">F43-F39-F55-F53</f>
        <v>-45.955455</v>
      </c>
      <c r="G70" s="25" t="n">
        <f aca="false">G43-G39-G55-G53</f>
        <v>-49.032522</v>
      </c>
      <c r="H70" s="25" t="n">
        <f aca="false">H43-H39-H55-H53</f>
        <v>-60.514461</v>
      </c>
      <c r="I70" s="25" t="n">
        <f aca="false">I43-I39-I55-I53</f>
        <v>-89.438474</v>
      </c>
      <c r="J70" s="25" t="n">
        <f aca="false">J43-J39-J55-J53</f>
        <v>-128.250515</v>
      </c>
      <c r="K70" s="25" t="n">
        <f aca="false">K43-K39-K55-K53</f>
        <v>-133.469</v>
      </c>
      <c r="L70" s="25" t="n">
        <f aca="false">L43-L39-L55-L53</f>
        <v>-148.26</v>
      </c>
      <c r="M70" s="25" t="n">
        <f aca="false">M43-M39-M55-M53</f>
        <v>-212.467</v>
      </c>
      <c r="N70" s="25" t="n">
        <f aca="false">N43-N39-N55-N53</f>
        <v>-408.539</v>
      </c>
      <c r="O70" s="25" t="n">
        <f aca="false">O43-O39-O55-O53</f>
        <v>-810.064</v>
      </c>
      <c r="P70" s="25" t="n">
        <f aca="false">P43-P39-P55-P53</f>
        <v>-1403.631</v>
      </c>
      <c r="Q70" s="25" t="n">
        <f aca="false">Q43-Q39-Q55-Q53</f>
        <v>-3027.278</v>
      </c>
      <c r="R70" s="25" t="n">
        <f aca="false">R43-R39-R55-R53</f>
        <v>-4696</v>
      </c>
      <c r="S70" s="25" t="n">
        <f aca="false">S43-S39-S55-S53</f>
        <v>-7288</v>
      </c>
      <c r="T70" s="25" t="n">
        <f aca="false">T43-T39-T55-T53</f>
        <v>-9418</v>
      </c>
      <c r="U70" s="25" t="n">
        <f aca="false">U43-U39-U55-U53</f>
        <v>-13430</v>
      </c>
      <c r="V70" s="34" t="n">
        <f aca="false">V43-V39-V55-V53</f>
        <v>-25134</v>
      </c>
      <c r="W70" s="26" t="n">
        <f aca="false">(W40+W41+W42)-(W51+W54)</f>
        <v>-18840.4637717146</v>
      </c>
      <c r="X70" s="26" t="n">
        <f aca="false">(X40+X41+X42)-(X51+X54)</f>
        <v>-23413.6918666307</v>
      </c>
      <c r="Y70" s="26" t="n">
        <f aca="false">(Y40+Y41+Y42)-(Y51+Y54)</f>
        <v>-28329.8304191277</v>
      </c>
      <c r="Z70" s="26" t="n">
        <f aca="false">(Z40+Z41+Z42)-(Z51+Z54)</f>
        <v>-32613.9020671996</v>
      </c>
      <c r="AA70" s="26" t="n">
        <f aca="false">(AA40+AA41+AA42)-(AA51+AA54)</f>
        <v>-36837.8147990658</v>
      </c>
    </row>
    <row r="71" customFormat="false" ht="15" hidden="false" customHeight="true" outlineLevel="0" collapsed="false">
      <c r="A71" s="41" t="s">
        <v>183</v>
      </c>
      <c r="B71" s="25"/>
      <c r="C71" s="25" t="n">
        <f aca="false">C70-B70</f>
        <v>-0.780244999999997</v>
      </c>
      <c r="D71" s="25" t="n">
        <f aca="false">D70-C70</f>
        <v>-10.365726</v>
      </c>
      <c r="E71" s="25" t="n">
        <f aca="false">E70-D70</f>
        <v>-45.617617</v>
      </c>
      <c r="F71" s="25" t="n">
        <f aca="false">F70-E70</f>
        <v>14.130139</v>
      </c>
      <c r="G71" s="25" t="n">
        <f aca="false">G70-F70</f>
        <v>-3.07706700000001</v>
      </c>
      <c r="H71" s="25" t="n">
        <f aca="false">H70-G70</f>
        <v>-11.481939</v>
      </c>
      <c r="I71" s="25" t="n">
        <f aca="false">I70-H70</f>
        <v>-28.924013</v>
      </c>
      <c r="J71" s="25" t="n">
        <f aca="false">J70-I70</f>
        <v>-38.812041</v>
      </c>
      <c r="K71" s="25" t="n">
        <f aca="false">K70-J70</f>
        <v>-5.21848499999999</v>
      </c>
      <c r="L71" s="25" t="n">
        <f aca="false">L70-K70</f>
        <v>-14.7910000000001</v>
      </c>
      <c r="M71" s="25" t="n">
        <f aca="false">M70-L70</f>
        <v>-64.207</v>
      </c>
      <c r="N71" s="25" t="n">
        <f aca="false">N70-M70</f>
        <v>-196.072</v>
      </c>
      <c r="O71" s="25" t="n">
        <f aca="false">O70-N70</f>
        <v>-401.525</v>
      </c>
      <c r="P71" s="25" t="n">
        <f aca="false">P70-O70</f>
        <v>-593.567</v>
      </c>
      <c r="Q71" s="25" t="n">
        <f aca="false">Q70-P70</f>
        <v>-1623.647</v>
      </c>
      <c r="R71" s="25" t="n">
        <f aca="false">R70-Q70</f>
        <v>-1668.722</v>
      </c>
      <c r="S71" s="25" t="n">
        <f aca="false">S70-R70</f>
        <v>-2592</v>
      </c>
      <c r="T71" s="25" t="n">
        <f aca="false">T70-S70</f>
        <v>-2130</v>
      </c>
      <c r="U71" s="25" t="n">
        <f aca="false">U70-T70</f>
        <v>-4012</v>
      </c>
      <c r="V71" s="34" t="n">
        <f aca="false">V70-U70</f>
        <v>-11704</v>
      </c>
      <c r="W71" s="26" t="n">
        <f aca="false">W70-V70</f>
        <v>6293.53622828544</v>
      </c>
      <c r="X71" s="26" t="n">
        <f aca="false">X70-W70</f>
        <v>-4573.22809491611</v>
      </c>
      <c r="Y71" s="26" t="n">
        <f aca="false">Y70-X70</f>
        <v>-4916.138552497</v>
      </c>
      <c r="Z71" s="26" t="n">
        <f aca="false">Z70-Y70</f>
        <v>-4284.07164807188</v>
      </c>
      <c r="AA71" s="26" t="n">
        <f aca="false">AA70-Z70</f>
        <v>-4223.91273186621</v>
      </c>
    </row>
    <row r="72" customFormat="false" ht="15" hidden="false" customHeight="true" outlineLevel="0" collapsed="false">
      <c r="A72" s="17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34"/>
      <c r="W72" s="26"/>
      <c r="X72" s="26"/>
      <c r="Y72" s="26"/>
      <c r="Z72" s="26"/>
      <c r="AA72" s="26"/>
    </row>
    <row r="73" customFormat="false" ht="15" hidden="false" customHeight="true" outlineLevel="0" collapsed="false">
      <c r="A73" s="41" t="s">
        <v>184</v>
      </c>
      <c r="B73" s="25" t="n">
        <f aca="false">B68+B44</f>
        <v>11.543806</v>
      </c>
      <c r="C73" s="25" t="n">
        <f aca="false">C68+C44</f>
        <v>12.390429</v>
      </c>
      <c r="D73" s="25" t="n">
        <f aca="false">D68+D44</f>
        <v>67.365868</v>
      </c>
      <c r="E73" s="25" t="n">
        <f aca="false">E68+E44</f>
        <v>9.93149900000001</v>
      </c>
      <c r="F73" s="25" t="n">
        <f aca="false">F68+F44</f>
        <v>27.5904</v>
      </c>
      <c r="G73" s="25" t="n">
        <f aca="false">G68+G44</f>
        <v>34.058453</v>
      </c>
      <c r="H73" s="25" t="n">
        <f aca="false">H68+H44</f>
        <v>112.819749</v>
      </c>
      <c r="I73" s="25" t="n">
        <f aca="false">I68+I44</f>
        <v>143.556125</v>
      </c>
      <c r="J73" s="25" t="n">
        <f aca="false">J68+J44</f>
        <v>233.370535</v>
      </c>
      <c r="K73" s="25" t="n">
        <f aca="false">K68+K44</f>
        <v>331.672</v>
      </c>
      <c r="L73" s="25" t="n">
        <f aca="false">L68+L44</f>
        <v>304.331</v>
      </c>
      <c r="M73" s="25" t="n">
        <f aca="false">M68+M44</f>
        <v>417.121</v>
      </c>
      <c r="N73" s="25" t="n">
        <f aca="false">N68+N44</f>
        <v>433.724</v>
      </c>
      <c r="O73" s="25" t="n">
        <f aca="false">O68+O44</f>
        <v>510.513</v>
      </c>
      <c r="P73" s="25" t="n">
        <f aca="false">P68+P44</f>
        <v>2481.242</v>
      </c>
      <c r="Q73" s="25" t="n">
        <f aca="false">Q68+Q44</f>
        <v>2405.825</v>
      </c>
      <c r="R73" s="25" t="n">
        <f aca="false">R68+R44</f>
        <v>3606</v>
      </c>
      <c r="S73" s="25" t="n">
        <f aca="false">S68+S44</f>
        <v>4040</v>
      </c>
      <c r="T73" s="25" t="n">
        <f aca="false">T68+T44</f>
        <v>5146</v>
      </c>
      <c r="U73" s="25" t="n">
        <f aca="false">U68+U44</f>
        <v>6017</v>
      </c>
      <c r="V73" s="34" t="n">
        <f aca="false">V68+V44</f>
        <v>9444</v>
      </c>
      <c r="W73" s="26" t="n">
        <f aca="false">W70+W44+W46+W47</f>
        <v>-9829.51019683072</v>
      </c>
      <c r="X73" s="26" t="n">
        <f aca="false">X70+X44+X46+X47</f>
        <v>-12067.8399072731</v>
      </c>
      <c r="Y73" s="26" t="n">
        <f aca="false">Y70+Y44+Y46+Y47</f>
        <v>-14606.5467155496</v>
      </c>
      <c r="Z73" s="26" t="n">
        <f aca="false">Z70+Z44+Z46+Z47</f>
        <v>-16566.1470518815</v>
      </c>
      <c r="AA73" s="26" t="n">
        <f aca="false">AA70+AA44+AA46+AA47</f>
        <v>-18527.9083806406</v>
      </c>
    </row>
    <row r="74" customFormat="false" ht="15" hidden="false" customHeight="true" outlineLevel="0" collapsed="false">
      <c r="A74" s="41" t="s">
        <v>185</v>
      </c>
      <c r="B74" s="42" t="n">
        <f aca="false">B6/B73</f>
        <v>2.44717184263145</v>
      </c>
      <c r="C74" s="42" t="n">
        <f aca="false">C6/C73</f>
        <v>4.20154056005648</v>
      </c>
      <c r="D74" s="42" t="n">
        <f aca="false">D6/D73</f>
        <v>1.26364201230213</v>
      </c>
      <c r="E74" s="42" t="n">
        <f aca="false">E6/E73</f>
        <v>13.7967712628275</v>
      </c>
      <c r="F74" s="42" t="n">
        <f aca="false">F6/F73</f>
        <v>6.26462903763628</v>
      </c>
      <c r="G74" s="42" t="n">
        <f aca="false">G6/G73</f>
        <v>6.3630521621167</v>
      </c>
      <c r="H74" s="42" t="n">
        <f aca="false">H6/H73</f>
        <v>2.64963916025022</v>
      </c>
      <c r="I74" s="42" t="n">
        <f aca="false">I6/I73</f>
        <v>2.60247686401399</v>
      </c>
      <c r="J74" s="42" t="n">
        <f aca="false">J6/J73</f>
        <v>2.02508427209973</v>
      </c>
      <c r="K74" s="42" t="n">
        <f aca="false">K6/K73</f>
        <v>1.67797100750139</v>
      </c>
      <c r="L74" s="42" t="n">
        <f aca="false">L6/L73</f>
        <v>2.14171412048066</v>
      </c>
      <c r="M74" s="42" t="n">
        <f aca="false">M6/M73</f>
        <v>2.02434305633138</v>
      </c>
      <c r="N74" s="42" t="n">
        <f aca="false">N6/N73</f>
        <v>2.80487591187022</v>
      </c>
      <c r="O74" s="42" t="n">
        <f aca="false">O6/O73</f>
        <v>2.82001241888062</v>
      </c>
      <c r="P74" s="42" t="n">
        <f aca="false">P6/P73</f>
        <v>0.925469583378002</v>
      </c>
      <c r="Q74" s="42" t="n">
        <f aca="false">Q6/Q73</f>
        <v>1.65182421830349</v>
      </c>
      <c r="R74" s="42" t="n">
        <f aca="false">R6/R73</f>
        <v>1.96034387132557</v>
      </c>
      <c r="S74" s="42" t="n">
        <f aca="false">S6/S73</f>
        <v>2.66831683168317</v>
      </c>
      <c r="T74" s="42" t="n">
        <f aca="false">T6/T73</f>
        <v>2.9356781966576</v>
      </c>
      <c r="U74" s="42" t="n">
        <f aca="false">U6/U73</f>
        <v>3.45304969253781</v>
      </c>
      <c r="V74" s="43" t="n">
        <f aca="false">V6/V73</f>
        <v>3.05940279542567</v>
      </c>
      <c r="W74" s="44" t="n">
        <f aca="false">W6/W73</f>
        <v>-4.06085715413877</v>
      </c>
      <c r="X74" s="44" t="n">
        <f aca="false">X6/X73</f>
        <v>-4.26411552013801</v>
      </c>
      <c r="Y74" s="44" t="n">
        <f aca="false">Y6/Y73</f>
        <v>-4.32930725143987</v>
      </c>
      <c r="Z74" s="44" t="n">
        <f aca="false">Z6/Z73</f>
        <v>-4.50505205652958</v>
      </c>
      <c r="AA74" s="44" t="n">
        <f aca="false">AA6/AA73</f>
        <v>-4.62379967463178</v>
      </c>
    </row>
    <row r="75" customFormat="false" ht="15" hidden="false" customHeight="true" outlineLevel="0" collapsed="false">
      <c r="A75" s="41" t="s">
        <v>186</v>
      </c>
      <c r="B75" s="36" t="n">
        <f aca="false">B28/B73</f>
        <v>0.185621276033225</v>
      </c>
      <c r="C75" s="36" t="n">
        <f aca="false">C28/C73</f>
        <v>0.436104996848777</v>
      </c>
      <c r="D75" s="36" t="n">
        <f aca="false">D28/D73</f>
        <v>0.287429993479784</v>
      </c>
      <c r="E75" s="36" t="n">
        <f aca="false">E28/E73</f>
        <v>3.7508924886364</v>
      </c>
      <c r="F75" s="36" t="n">
        <f aca="false">F28/F73</f>
        <v>2.17058353630248</v>
      </c>
      <c r="G75" s="36" t="n">
        <f aca="false">G28/G73</f>
        <v>1.94840302934487</v>
      </c>
      <c r="H75" s="36" t="n">
        <f aca="false">H28/H73</f>
        <v>0.636068397918524</v>
      </c>
      <c r="I75" s="36" t="n">
        <f aca="false">I28/I73</f>
        <v>0.640340988585475</v>
      </c>
      <c r="J75" s="36" t="n">
        <f aca="false">J28/J73</f>
        <v>0.472690350562037</v>
      </c>
      <c r="K75" s="36" t="n">
        <f aca="false">K28/K73</f>
        <v>0.399439808003087</v>
      </c>
      <c r="L75" s="36" t="n">
        <f aca="false">L28/L73</f>
        <v>0.430817103745593</v>
      </c>
      <c r="M75" s="36" t="n">
        <f aca="false">M28/M73</f>
        <v>0.410950299793106</v>
      </c>
      <c r="N75" s="36" t="n">
        <f aca="false">N28/N73</f>
        <v>0.302150676467062</v>
      </c>
      <c r="O75" s="36" t="n">
        <f aca="false">O28/O73</f>
        <v>0.0306240977213118</v>
      </c>
      <c r="P75" s="36" t="n">
        <f aca="false">P28/P73</f>
        <v>-0.0612749582668681</v>
      </c>
      <c r="Q75" s="36" t="n">
        <f aca="false">Q28/Q73</f>
        <v>0.118878139515551</v>
      </c>
      <c r="R75" s="36" t="n">
        <f aca="false">R28/R73</f>
        <v>0.265113699389906</v>
      </c>
      <c r="S75" s="36" t="n">
        <f aca="false">S28/S73</f>
        <v>0.489851485148515</v>
      </c>
      <c r="T75" s="36" t="n">
        <f aca="false">T28/T73</f>
        <v>0.556160124368442</v>
      </c>
      <c r="U75" s="36" t="n">
        <f aca="false">U28/U73</f>
        <v>0.686887153066312</v>
      </c>
      <c r="V75" s="37" t="n">
        <f aca="false">V28/V73</f>
        <v>0.593710292249047</v>
      </c>
      <c r="W75" s="38" t="n">
        <f aca="false">W28/W73</f>
        <v>-0.549677624384224</v>
      </c>
      <c r="X75" s="38" t="n">
        <f aca="false">X28/X73</f>
        <v>-0.598234086897763</v>
      </c>
      <c r="Y75" s="38" t="n">
        <f aca="false">Y28/Y73</f>
        <v>-0.634849615351143</v>
      </c>
      <c r="Z75" s="38" t="n">
        <f aca="false">Z28/Z73</f>
        <v>-0.689205388868177</v>
      </c>
      <c r="AA75" s="38" t="n">
        <f aca="false">AA28/AA73</f>
        <v>-0.736710002159081</v>
      </c>
    </row>
    <row r="76" customFormat="false" ht="15" hidden="false" customHeight="true" outlineLevel="0" collapsed="false">
      <c r="A76" s="17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6"/>
      <c r="X76" s="26"/>
      <c r="Y76" s="26"/>
      <c r="Z76" s="26"/>
      <c r="AA76" s="26"/>
    </row>
    <row r="77" customFormat="false" ht="18" hidden="false" customHeight="true" outlineLevel="0" collapsed="false">
      <c r="A77" s="16" t="s">
        <v>187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customFormat="false" ht="15" hidden="false" customHeight="true" outlineLevel="0" collapsed="false">
      <c r="A78" s="17" t="s">
        <v>138</v>
      </c>
      <c r="B78" s="25" t="n">
        <f aca="false">B18</f>
        <v>2.354136</v>
      </c>
      <c r="C78" s="25" t="n">
        <f aca="false">C18</f>
        <v>1.072083</v>
      </c>
      <c r="D78" s="25" t="n">
        <f aca="false">D18</f>
        <v>9.69293999999999</v>
      </c>
      <c r="E78" s="25" t="n">
        <f aca="false">E18</f>
        <v>18.811661</v>
      </c>
      <c r="F78" s="25" t="n">
        <f aca="false">F18</f>
        <v>33.208793</v>
      </c>
      <c r="G78" s="25" t="n">
        <f aca="false">G18</f>
        <v>56.025019</v>
      </c>
      <c r="H78" s="25" t="n">
        <f aca="false">H18</f>
        <v>76.780053</v>
      </c>
      <c r="I78" s="25" t="n">
        <f aca="false">I18</f>
        <v>101.247298</v>
      </c>
      <c r="J78" s="25" t="n">
        <f aca="false">J18</f>
        <v>117.507</v>
      </c>
      <c r="K78" s="25" t="n">
        <f aca="false">K18</f>
        <v>72.581</v>
      </c>
      <c r="L78" s="25" t="n">
        <f aca="false">L18</f>
        <v>105.789</v>
      </c>
      <c r="M78" s="25" t="n">
        <f aca="false">M18</f>
        <v>136.366</v>
      </c>
      <c r="N78" s="25" t="n">
        <f aca="false">N18</f>
        <v>13.7799999999999</v>
      </c>
      <c r="O78" s="25" t="n">
        <f aca="false">O18</f>
        <v>-36.585</v>
      </c>
      <c r="P78" s="25" t="n">
        <f aca="false">P18</f>
        <v>-171.999</v>
      </c>
      <c r="Q78" s="25" t="n">
        <f aca="false">Q18</f>
        <v>-1</v>
      </c>
      <c r="R78" s="25" t="n">
        <f aca="false">R18</f>
        <v>83</v>
      </c>
      <c r="S78" s="25" t="n">
        <f aca="false">S18</f>
        <v>482</v>
      </c>
      <c r="T78" s="25" t="n">
        <f aca="false">T18</f>
        <v>987</v>
      </c>
      <c r="U78" s="25" t="n">
        <f aca="false">U18</f>
        <v>1911</v>
      </c>
      <c r="V78" s="34" t="n">
        <f aca="false">V18</f>
        <v>1997</v>
      </c>
      <c r="W78" s="26" t="n">
        <f aca="false">W18</f>
        <v>1477.39971472581</v>
      </c>
      <c r="X78" s="26" t="n">
        <f aca="false">X18</f>
        <v>2249.25817909984</v>
      </c>
      <c r="Y78" s="26" t="n">
        <f aca="false">Y18</f>
        <v>3276.74327621238</v>
      </c>
      <c r="Z78" s="26" t="n">
        <f aca="false">Z18</f>
        <v>4472.28393907765</v>
      </c>
      <c r="AA78" s="26" t="n">
        <f aca="false">AA18</f>
        <v>5888.69603430414</v>
      </c>
    </row>
    <row r="79" customFormat="false" ht="15" hidden="false" customHeight="true" outlineLevel="0" collapsed="false">
      <c r="A79" s="17" t="s">
        <v>188</v>
      </c>
      <c r="B79" s="18" t="n">
        <v>1.572497</v>
      </c>
      <c r="C79" s="18" t="n">
        <v>2.016939</v>
      </c>
      <c r="D79" s="18" t="n">
        <v>2.307649</v>
      </c>
      <c r="E79" s="18" t="n">
        <v>3.335673</v>
      </c>
      <c r="F79" s="18" t="n">
        <v>3.893752</v>
      </c>
      <c r="G79" s="18" t="n">
        <v>4.92165</v>
      </c>
      <c r="H79" s="18" t="n">
        <v>7.268075</v>
      </c>
      <c r="I79" s="18" t="n">
        <v>8.959293</v>
      </c>
      <c r="J79" s="18" t="n">
        <v>11.879</v>
      </c>
      <c r="K79" s="18" t="n">
        <v>16.947</v>
      </c>
      <c r="L79" s="18" t="n">
        <v>23.209</v>
      </c>
      <c r="M79" s="18" t="n">
        <v>29.022</v>
      </c>
      <c r="N79" s="18" t="n">
        <v>40.921</v>
      </c>
      <c r="O79" s="18" t="n">
        <v>45.792</v>
      </c>
      <c r="P79" s="18" t="n">
        <v>73.32</v>
      </c>
      <c r="Q79" s="18" t="n">
        <v>105</v>
      </c>
      <c r="R79" s="18" t="n">
        <v>204</v>
      </c>
      <c r="S79" s="18" t="n">
        <v>403</v>
      </c>
      <c r="T79" s="18" t="n">
        <v>524</v>
      </c>
      <c r="U79" s="18" t="n">
        <v>617</v>
      </c>
      <c r="V79" s="19" t="n">
        <v>818</v>
      </c>
      <c r="W79" s="20" t="n">
        <f aca="false">W6*'Assumptions (Annual)'!C37</f>
        <v>1197.4871041344</v>
      </c>
      <c r="X79" s="20" t="n">
        <f aca="false">X6*'Assumptions (Annual)'!D37</f>
        <v>1595.21856673747</v>
      </c>
      <c r="Y79" s="20" t="n">
        <f aca="false">Y6*'Assumptions (Annual)'!E37</f>
        <v>1960.32308703785</v>
      </c>
      <c r="Z79" s="20" t="n">
        <f aca="false">Z6*'Assumptions (Annual)'!F37</f>
        <v>2238.94064534551</v>
      </c>
      <c r="AA79" s="20" t="n">
        <f aca="false">AA6*'Assumptions (Annual)'!G37</f>
        <v>2570.0801022604</v>
      </c>
    </row>
    <row r="80" customFormat="false" ht="15" hidden="false" customHeight="true" outlineLevel="0" collapsed="false">
      <c r="A80" s="17" t="s">
        <v>189</v>
      </c>
      <c r="B80" s="18" t="n">
        <v>0</v>
      </c>
      <c r="C80" s="18" t="n">
        <v>0.033223</v>
      </c>
      <c r="D80" s="18" t="n">
        <v>0.031443</v>
      </c>
      <c r="E80" s="18" t="n">
        <v>0.949582</v>
      </c>
      <c r="F80" s="18" t="n">
        <v>2.000283</v>
      </c>
      <c r="G80" s="18" t="n">
        <v>3.517006</v>
      </c>
      <c r="H80" s="18" t="n">
        <v>4.079265</v>
      </c>
      <c r="I80" s="18" t="n">
        <v>4.442822</v>
      </c>
      <c r="J80" s="18" t="n">
        <v>11.645</v>
      </c>
      <c r="K80" s="18" t="n">
        <v>11.852</v>
      </c>
      <c r="L80" s="18" t="n">
        <v>10.213</v>
      </c>
      <c r="M80" s="18" t="n">
        <v>22.983</v>
      </c>
      <c r="N80" s="18" t="n">
        <v>35.719</v>
      </c>
      <c r="O80" s="18" t="n">
        <v>27.525</v>
      </c>
      <c r="P80" s="18" t="n">
        <v>52.057</v>
      </c>
      <c r="Q80" s="18" t="n">
        <v>131</v>
      </c>
      <c r="R80" s="18" t="n">
        <v>89</v>
      </c>
      <c r="S80" s="18" t="n">
        <v>84</v>
      </c>
      <c r="T80" s="18" t="n">
        <v>167</v>
      </c>
      <c r="U80" s="18" t="n">
        <v>261</v>
      </c>
      <c r="V80" s="19" t="n">
        <v>303</v>
      </c>
      <c r="W80" s="20" t="n">
        <f aca="false">W6*'Assumptions (Annual)'!C38</f>
        <v>439.07860484928</v>
      </c>
      <c r="X80" s="20" t="n">
        <f aca="false">X6*'Assumptions (Annual)'!D38</f>
        <v>566.045297874588</v>
      </c>
      <c r="Y80" s="20" t="n">
        <f aca="false">Y6*'Assumptions (Annual)'!E38</f>
        <v>632.362286141243</v>
      </c>
      <c r="Z80" s="20" t="n">
        <f aca="false">Z6*'Assumptions (Annual)'!F38</f>
        <v>746.313548448502</v>
      </c>
      <c r="AA80" s="20" t="n">
        <f aca="false">AA6*'Assumptions (Annual)'!G38</f>
        <v>771.02403067812</v>
      </c>
    </row>
    <row r="81" customFormat="false" ht="15" hidden="false" customHeight="true" outlineLevel="0" collapsed="false">
      <c r="A81" s="17" t="s">
        <v>190</v>
      </c>
      <c r="B81" s="18" t="n">
        <v>-0.488029</v>
      </c>
      <c r="C81" s="18" t="n">
        <v>3.036109</v>
      </c>
      <c r="D81" s="18" t="n">
        <v>-4.424051</v>
      </c>
      <c r="E81" s="18" t="n">
        <v>32.682261</v>
      </c>
      <c r="F81" s="18" t="n">
        <v>10.598158</v>
      </c>
      <c r="G81" s="18" t="n">
        <v>3.432778</v>
      </c>
      <c r="H81" s="18" t="n">
        <v>1.298238</v>
      </c>
      <c r="I81" s="18" t="n">
        <v>25.241976</v>
      </c>
      <c r="J81" s="18" t="n">
        <v>1.482</v>
      </c>
      <c r="K81" s="18" t="n">
        <v>95.413</v>
      </c>
      <c r="L81" s="18" t="n">
        <v>82.159</v>
      </c>
      <c r="M81" s="18" t="n">
        <v>1.888</v>
      </c>
      <c r="N81" s="18" t="n">
        <v>178.59</v>
      </c>
      <c r="O81" s="18" t="n">
        <v>194.175</v>
      </c>
      <c r="P81" s="18" t="n">
        <v>497.713</v>
      </c>
      <c r="Q81" s="18" t="n">
        <v>947</v>
      </c>
      <c r="R81" s="18" t="n">
        <v>589</v>
      </c>
      <c r="S81" s="18" t="n">
        <v>1971</v>
      </c>
      <c r="T81" s="18" t="n">
        <v>3462</v>
      </c>
      <c r="U81" s="18" t="n">
        <v>5129</v>
      </c>
      <c r="V81" s="19" t="n">
        <v>8998</v>
      </c>
      <c r="W81" s="26" t="n">
        <f aca="false">-(W40-V40)-(W41-V41)-(W42-V42)+(W51-V51)+(W54-V54)+(W57-V57)-(W47-V47)</f>
        <v>3388.81429953536</v>
      </c>
      <c r="X81" s="26" t="n">
        <f aca="false">-(X40-W40)-(X41-W41)-(X42-W42)+(X51-W51)+(X54-W54)+(X57-W57)-(X47-W47)</f>
        <v>4111.53102936954</v>
      </c>
      <c r="Y81" s="26" t="n">
        <f aca="false">-(Y40-X40)-(Y41-X41)-(Y42-X42)+(Y51-X51)+(Y54-X54)+(Y57-X57)-(Y47-X47)</f>
        <v>4445.0359456578</v>
      </c>
      <c r="Z81" s="26" t="n">
        <f aca="false">-(Z40-Y40)-(Z41-Y41)-(Z42-Y42)+(Z51-Y51)+(Z54-Y54)+(Z57-Y57)-(Z47-Y47)</f>
        <v>3828.26659884284</v>
      </c>
      <c r="AA81" s="26" t="n">
        <f aca="false">-(AA40-Z40)-(AA41-Z41)-(AA42-Z42)+(AA51-Z51)+(AA54-Z54)+(AA57-Z57)-(AA47-Z47)</f>
        <v>3782.39345597968</v>
      </c>
    </row>
    <row r="82" customFormat="false" ht="15" hidden="false" customHeight="true" outlineLevel="0" collapsed="false">
      <c r="A82" s="21" t="s">
        <v>191</v>
      </c>
      <c r="B82" s="23" t="n">
        <f aca="false">B78+B79+B80+B81</f>
        <v>3.438604</v>
      </c>
      <c r="C82" s="23" t="n">
        <f aca="false">C78+C79+C80+C81</f>
        <v>6.158354</v>
      </c>
      <c r="D82" s="23" t="n">
        <f aca="false">D78+D79+D80+D81</f>
        <v>7.60798099999999</v>
      </c>
      <c r="E82" s="23" t="n">
        <f aca="false">E78+E79+E80+E81</f>
        <v>55.779177</v>
      </c>
      <c r="F82" s="23" t="n">
        <f aca="false">F78+F79+F80+F81</f>
        <v>49.700986</v>
      </c>
      <c r="G82" s="23" t="n">
        <f aca="false">G78+G79+G80+G81</f>
        <v>67.896453</v>
      </c>
      <c r="H82" s="23" t="n">
        <f aca="false">H78+H79+H80+H81</f>
        <v>89.425631</v>
      </c>
      <c r="I82" s="23" t="n">
        <f aca="false">I78+I79+I80+I81</f>
        <v>139.891389</v>
      </c>
      <c r="J82" s="23" t="n">
        <f aca="false">J78+J79+J80+J81</f>
        <v>142.513</v>
      </c>
      <c r="K82" s="23" t="n">
        <f aca="false">K78+K79+K80+K81</f>
        <v>196.793</v>
      </c>
      <c r="L82" s="23" t="n">
        <f aca="false">L78+L79+L80+L81</f>
        <v>221.37</v>
      </c>
      <c r="M82" s="23" t="n">
        <f aca="false">M78+M79+M80+M81</f>
        <v>190.259</v>
      </c>
      <c r="N82" s="23" t="n">
        <f aca="false">N78+N79+N80+N81</f>
        <v>269.01</v>
      </c>
      <c r="O82" s="23" t="n">
        <f aca="false">O78+O79+O80+O81</f>
        <v>230.907</v>
      </c>
      <c r="P82" s="23" t="n">
        <f aca="false">P78+P79+P80+P81</f>
        <v>451.091</v>
      </c>
      <c r="Q82" s="23" t="n">
        <f aca="false">Q78+Q79+Q80+Q81</f>
        <v>1182</v>
      </c>
      <c r="R82" s="23" t="n">
        <f aca="false">R78+R79+R80+R81</f>
        <v>965</v>
      </c>
      <c r="S82" s="23" t="n">
        <f aca="false">S78+S79+S80+S81</f>
        <v>2940</v>
      </c>
      <c r="T82" s="23" t="n">
        <f aca="false">T78+T79+T80+T81</f>
        <v>5140</v>
      </c>
      <c r="U82" s="23" t="n">
        <f aca="false">U78+U79+U80+U81</f>
        <v>7918</v>
      </c>
      <c r="V82" s="23" t="n">
        <f aca="false">V78+V79+V80+V81</f>
        <v>12116</v>
      </c>
      <c r="W82" s="23" t="n">
        <f aca="false">W78+W79+W80+W81</f>
        <v>6502.77972324486</v>
      </c>
      <c r="X82" s="23" t="n">
        <f aca="false">X78+X79+X80+X81</f>
        <v>8522.05307308143</v>
      </c>
      <c r="Y82" s="23" t="n">
        <f aca="false">Y78+Y79+Y80+Y81</f>
        <v>10314.4645950493</v>
      </c>
      <c r="Z82" s="23" t="n">
        <f aca="false">Z78+Z79+Z80+Z81</f>
        <v>11285.8047317145</v>
      </c>
      <c r="AA82" s="23" t="n">
        <f aca="false">AA78+AA79+AA80+AA81</f>
        <v>13012.1936232223</v>
      </c>
    </row>
    <row r="83" customFormat="false" ht="15" hidden="false" customHeight="true" outlineLevel="0" collapsed="false">
      <c r="A83" s="17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6"/>
      <c r="X83" s="26"/>
      <c r="Y83" s="26"/>
      <c r="Z83" s="26"/>
      <c r="AA83" s="26"/>
    </row>
    <row r="84" customFormat="false" ht="15" hidden="false" customHeight="true" outlineLevel="0" collapsed="false">
      <c r="A84" s="17" t="s">
        <v>192</v>
      </c>
      <c r="B84" s="18" t="n">
        <v>-1.455717</v>
      </c>
      <c r="C84" s="18" t="n">
        <v>-2.097555</v>
      </c>
      <c r="D84" s="18" t="n">
        <v>-3.058813</v>
      </c>
      <c r="E84" s="18" t="n">
        <v>-4.904991</v>
      </c>
      <c r="F84" s="18" t="n">
        <v>-3.79817</v>
      </c>
      <c r="G84" s="18" t="n">
        <v>-13.214043</v>
      </c>
      <c r="H84" s="18" t="n">
        <v>-18.924161</v>
      </c>
      <c r="I84" s="18" t="n">
        <v>-16.747746</v>
      </c>
      <c r="J84" s="18" t="n">
        <v>-113.756</v>
      </c>
      <c r="K84" s="18" t="n">
        <v>-34.426</v>
      </c>
      <c r="L84" s="18" t="n">
        <v>-62.53</v>
      </c>
      <c r="M84" s="18" t="n">
        <v>-76.939</v>
      </c>
      <c r="N84" s="18" t="n">
        <v>-74.851</v>
      </c>
      <c r="O84" s="18" t="n">
        <v>-97.562</v>
      </c>
      <c r="P84" s="18" t="n">
        <v>-136.798</v>
      </c>
      <c r="Q84" s="18" t="n">
        <v>-247</v>
      </c>
      <c r="R84" s="18" t="n">
        <v>-573</v>
      </c>
      <c r="S84" s="18" t="n">
        <v>-455</v>
      </c>
      <c r="T84" s="18" t="n">
        <v>-509</v>
      </c>
      <c r="U84" s="18" t="n">
        <v>-860</v>
      </c>
      <c r="V84" s="19" t="n">
        <v>-1343</v>
      </c>
      <c r="W84" s="20" t="n">
        <f aca="false">-W6*'Assumptions (Annual)'!C39</f>
        <v>-2594.5553922912</v>
      </c>
      <c r="X84" s="20" t="n">
        <f aca="false">-X6*'Assumptions (Annual)'!D39</f>
        <v>-3087.51980658866</v>
      </c>
      <c r="Y84" s="20" t="n">
        <f aca="false">-Y6*'Assumptions (Annual)'!E39</f>
        <v>-3477.99257377683</v>
      </c>
      <c r="Z84" s="20" t="n">
        <f aca="false">-Z6*'Assumptions (Annual)'!F39</f>
        <v>-3731.56774224251</v>
      </c>
      <c r="AA84" s="20" t="n">
        <f aca="false">-AA6*'Assumptions (Annual)'!G39</f>
        <v>-4026.45882687463</v>
      </c>
    </row>
    <row r="85" customFormat="false" ht="15" hidden="false" customHeight="true" outlineLevel="0" collapsed="false">
      <c r="A85" s="17" t="s">
        <v>193</v>
      </c>
      <c r="B85" s="18" t="n">
        <v>-12.141243</v>
      </c>
      <c r="C85" s="18" t="n">
        <v>0</v>
      </c>
      <c r="D85" s="18" t="n">
        <v>0</v>
      </c>
      <c r="E85" s="18" t="n">
        <v>-39.181473</v>
      </c>
      <c r="F85" s="18" t="n">
        <v>0</v>
      </c>
      <c r="G85" s="18" t="n">
        <v>0</v>
      </c>
      <c r="H85" s="18" t="n">
        <v>-5.46818</v>
      </c>
      <c r="I85" s="18" t="n">
        <v>0</v>
      </c>
      <c r="J85" s="18" t="n">
        <v>-3.423</v>
      </c>
      <c r="K85" s="18" t="n">
        <v>-40.814</v>
      </c>
      <c r="L85" s="18" t="n">
        <v>-45.009</v>
      </c>
      <c r="M85" s="18" t="n">
        <v>-7.284</v>
      </c>
      <c r="N85" s="18" t="n">
        <v>-35.798</v>
      </c>
      <c r="O85" s="18" t="n">
        <v>-4.195</v>
      </c>
      <c r="P85" s="18" t="n">
        <v>0</v>
      </c>
      <c r="Q85" s="18" t="n">
        <v>-7</v>
      </c>
      <c r="R85" s="18" t="n">
        <v>-56</v>
      </c>
      <c r="S85" s="18" t="n">
        <v>0</v>
      </c>
      <c r="T85" s="18" t="n">
        <v>0</v>
      </c>
      <c r="U85" s="18" t="n">
        <v>-6</v>
      </c>
      <c r="V85" s="19" t="n">
        <v>0</v>
      </c>
      <c r="W85" s="20" t="n">
        <f aca="false">'Assumptions (Annual)'!C40</f>
        <v>0</v>
      </c>
      <c r="X85" s="20" t="n">
        <f aca="false">'Assumptions (Annual)'!D40</f>
        <v>0</v>
      </c>
      <c r="Y85" s="20" t="n">
        <f aca="false">'Assumptions (Annual)'!E40</f>
        <v>0</v>
      </c>
      <c r="Z85" s="20" t="n">
        <f aca="false">'Assumptions (Annual)'!F40</f>
        <v>0</v>
      </c>
      <c r="AA85" s="20" t="n">
        <f aca="false">'Assumptions (Annual)'!G40</f>
        <v>0</v>
      </c>
    </row>
    <row r="86" customFormat="false" ht="15" hidden="false" customHeight="true" outlineLevel="0" collapsed="false">
      <c r="A86" s="17" t="s">
        <v>194</v>
      </c>
      <c r="B86" s="18" t="n">
        <v>1.106712</v>
      </c>
      <c r="C86" s="18" t="n">
        <v>-2.760134</v>
      </c>
      <c r="D86" s="18" t="n">
        <v>-46.346688</v>
      </c>
      <c r="E86" s="18" t="n">
        <v>5.286163</v>
      </c>
      <c r="F86" s="18" t="n">
        <v>1.667576</v>
      </c>
      <c r="G86" s="18" t="n">
        <v>-45.203528</v>
      </c>
      <c r="H86" s="18" t="n">
        <v>-42.209369</v>
      </c>
      <c r="I86" s="18" t="n">
        <v>-66.483782</v>
      </c>
      <c r="J86" s="18" t="n">
        <v>38.849</v>
      </c>
      <c r="K86" s="18" t="n">
        <v>-246.294</v>
      </c>
      <c r="L86" s="18" t="n">
        <v>-74.253</v>
      </c>
      <c r="M86" s="18" t="n">
        <v>0.411</v>
      </c>
      <c r="N86" s="18" t="n">
        <v>88.041</v>
      </c>
      <c r="O86" s="18" t="n">
        <v>-570.51</v>
      </c>
      <c r="P86" s="18" t="n">
        <v>-1310.92</v>
      </c>
      <c r="Q86" s="18" t="n">
        <v>2</v>
      </c>
      <c r="R86" s="18" t="n">
        <v>-932</v>
      </c>
      <c r="S86" s="18" t="n">
        <v>-3416</v>
      </c>
      <c r="T86" s="18" t="n">
        <v>-2941</v>
      </c>
      <c r="U86" s="18" t="n">
        <v>-7421</v>
      </c>
      <c r="V86" s="19" t="n">
        <v>-4911</v>
      </c>
      <c r="W86" s="26" t="n">
        <f aca="false">-((W38-V38)+(W45-V45))</f>
        <v>-2269.4405135232</v>
      </c>
      <c r="X86" s="26" t="n">
        <f aca="false">-((X38-W38)+(X45-W45))</f>
        <v>-3581.75282271443</v>
      </c>
      <c r="Y86" s="26" t="n">
        <f aca="false">-((Y38-X38)+(Y45-X45))</f>
        <v>-3411.90428428214</v>
      </c>
      <c r="Z86" s="26" t="n">
        <f aca="false">-((Z38-Y38)+(Z45-Y45))</f>
        <v>-3039.40206858381</v>
      </c>
      <c r="AA86" s="26" t="n">
        <f aca="false">-((AA38-Z38)+(AA45-Z45))</f>
        <v>-2711.32000506044</v>
      </c>
    </row>
    <row r="87" customFormat="false" ht="15" hidden="false" customHeight="true" outlineLevel="0" collapsed="false">
      <c r="A87" s="17" t="s">
        <v>195</v>
      </c>
      <c r="B87" s="18" t="n">
        <v>-0.548886</v>
      </c>
      <c r="C87" s="18" t="n">
        <v>-0.346365</v>
      </c>
      <c r="D87" s="18" t="n">
        <v>-0.028748</v>
      </c>
      <c r="E87" s="18" t="n">
        <v>-0.058238</v>
      </c>
      <c r="F87" s="18" t="n">
        <v>-0.955679</v>
      </c>
      <c r="G87" s="18" t="n">
        <v>-0.41645</v>
      </c>
      <c r="H87" s="18" t="n">
        <v>-0.280706</v>
      </c>
      <c r="I87" s="18" t="n">
        <v>-1.390654</v>
      </c>
      <c r="J87" s="18" t="n">
        <v>-0.459</v>
      </c>
      <c r="K87" s="18" t="n">
        <v>-0.857</v>
      </c>
      <c r="L87" s="18" t="n">
        <v>-1.746</v>
      </c>
      <c r="M87" s="18" t="n">
        <v>-0.431</v>
      </c>
      <c r="N87" s="18" t="n">
        <v>-0.033</v>
      </c>
      <c r="O87" s="18" t="n">
        <v>-0.192</v>
      </c>
      <c r="P87" s="18" t="n">
        <v>-0.072</v>
      </c>
      <c r="Q87" s="18" t="n">
        <v>0</v>
      </c>
      <c r="R87" s="18" t="n">
        <v>-36</v>
      </c>
      <c r="S87" s="18" t="n">
        <v>0</v>
      </c>
      <c r="T87" s="18" t="n">
        <v>0</v>
      </c>
      <c r="U87" s="18" t="n">
        <v>0</v>
      </c>
      <c r="V87" s="19" t="n">
        <v>75</v>
      </c>
      <c r="W87" s="39" t="n">
        <v>0</v>
      </c>
      <c r="X87" s="39" t="n">
        <v>0</v>
      </c>
      <c r="Y87" s="39" t="n">
        <v>0</v>
      </c>
      <c r="Z87" s="39" t="n">
        <v>0</v>
      </c>
      <c r="AA87" s="39" t="n">
        <v>0</v>
      </c>
    </row>
    <row r="88" customFormat="false" ht="15" hidden="false" customHeight="true" outlineLevel="0" collapsed="false">
      <c r="A88" s="21" t="s">
        <v>196</v>
      </c>
      <c r="B88" s="22" t="n">
        <f aca="false">B84+B85+B86+B87</f>
        <v>-13.039134</v>
      </c>
      <c r="C88" s="22" t="n">
        <f aca="false">C84+C85+C86+C87</f>
        <v>-5.204054</v>
      </c>
      <c r="D88" s="22" t="n">
        <f aca="false">D84+D85+D86+D87</f>
        <v>-49.434249</v>
      </c>
      <c r="E88" s="22" t="n">
        <f aca="false">E84+E85+E86+E87</f>
        <v>-38.858539</v>
      </c>
      <c r="F88" s="22" t="n">
        <f aca="false">F84+F85+F86+F87</f>
        <v>-3.086273</v>
      </c>
      <c r="G88" s="22" t="n">
        <f aca="false">G84+G85+G86+G87</f>
        <v>-58.834021</v>
      </c>
      <c r="H88" s="22" t="n">
        <f aca="false">H84+H85+H86+H87</f>
        <v>-66.882416</v>
      </c>
      <c r="I88" s="22" t="n">
        <f aca="false">I84+I85+I86+I87</f>
        <v>-84.622182</v>
      </c>
      <c r="J88" s="22" t="n">
        <f aca="false">J84+J85+J86+J87</f>
        <v>-78.789</v>
      </c>
      <c r="K88" s="22" t="n">
        <f aca="false">K84+K85+K86+K87</f>
        <v>-322.391</v>
      </c>
      <c r="L88" s="22" t="n">
        <f aca="false">L84+L85+L86+L87</f>
        <v>-183.538</v>
      </c>
      <c r="M88" s="22" t="n">
        <f aca="false">M84+M85+M86+M87</f>
        <v>-84.243</v>
      </c>
      <c r="N88" s="22" t="n">
        <f aca="false">N84+N85+N86+N87</f>
        <v>-22.641</v>
      </c>
      <c r="O88" s="22" t="n">
        <f aca="false">O84+O85+O86+O87</f>
        <v>-672.459</v>
      </c>
      <c r="P88" s="22" t="n">
        <f aca="false">P84+P85+P86+P87</f>
        <v>-1447.79</v>
      </c>
      <c r="Q88" s="22" t="n">
        <f aca="false">Q84+Q85+Q86+Q87</f>
        <v>-252</v>
      </c>
      <c r="R88" s="22" t="n">
        <f aca="false">R84+R85+R86+R87</f>
        <v>-1597</v>
      </c>
      <c r="S88" s="22" t="n">
        <f aca="false">S84+S85+S86+S87</f>
        <v>-3871</v>
      </c>
      <c r="T88" s="22" t="n">
        <f aca="false">T84+T85+T86+T87</f>
        <v>-3450</v>
      </c>
      <c r="U88" s="22" t="n">
        <f aca="false">U84+U85+U86+U87</f>
        <v>-8287</v>
      </c>
      <c r="V88" s="22" t="n">
        <f aca="false">V84+V85+V86+V87</f>
        <v>-6179</v>
      </c>
      <c r="W88" s="22" t="n">
        <f aca="false">W84+W85+W86+W87</f>
        <v>-4863.9959058144</v>
      </c>
      <c r="X88" s="22" t="n">
        <f aca="false">X84+X85+X86+X87</f>
        <v>-6669.27262930309</v>
      </c>
      <c r="Y88" s="22" t="n">
        <f aca="false">Y84+Y85+Y86+Y87</f>
        <v>-6889.89685805897</v>
      </c>
      <c r="Z88" s="22" t="n">
        <f aca="false">Z84+Z85+Z86+Z87</f>
        <v>-6770.96981082632</v>
      </c>
      <c r="AA88" s="22" t="n">
        <f aca="false">AA84+AA85+AA86+AA87</f>
        <v>-6737.77883193506</v>
      </c>
    </row>
    <row r="89" customFormat="false" ht="15" hidden="false" customHeight="true" outlineLevel="0" collapsed="false">
      <c r="A89" s="17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6"/>
      <c r="X89" s="26"/>
      <c r="Y89" s="26"/>
      <c r="Z89" s="26"/>
      <c r="AA89" s="26"/>
    </row>
    <row r="90" customFormat="false" ht="15" hidden="false" customHeight="true" outlineLevel="0" collapsed="false">
      <c r="A90" s="17" t="s">
        <v>197</v>
      </c>
      <c r="B90" s="18" t="n">
        <v>0</v>
      </c>
      <c r="C90" s="18" t="n">
        <v>0</v>
      </c>
      <c r="D90" s="18" t="n">
        <v>0</v>
      </c>
      <c r="E90" s="18" t="n">
        <v>0</v>
      </c>
      <c r="F90" s="18" t="n">
        <v>0</v>
      </c>
      <c r="G90" s="18" t="n">
        <v>0</v>
      </c>
      <c r="H90" s="18" t="n">
        <v>-10.593206</v>
      </c>
      <c r="I90" s="18" t="n">
        <v>-17.968004</v>
      </c>
      <c r="J90" s="18" t="n">
        <v>-23.754</v>
      </c>
      <c r="K90" s="18" t="n">
        <v>-28.303</v>
      </c>
      <c r="L90" s="18" t="n">
        <v>-20.974</v>
      </c>
      <c r="M90" s="18" t="n">
        <v>-24.419</v>
      </c>
      <c r="N90" s="18" t="n">
        <v>-26.496</v>
      </c>
      <c r="O90" s="18" t="n">
        <v>-6.624</v>
      </c>
      <c r="P90" s="18" t="n">
        <v>0</v>
      </c>
      <c r="Q90" s="18" t="n">
        <v>0</v>
      </c>
      <c r="R90" s="18" t="n">
        <v>0</v>
      </c>
      <c r="S90" s="18" t="n">
        <v>0</v>
      </c>
      <c r="T90" s="18" t="n">
        <v>0</v>
      </c>
      <c r="U90" s="18" t="n">
        <v>0</v>
      </c>
      <c r="V90" s="19" t="n">
        <v>0</v>
      </c>
      <c r="W90" s="20" t="n">
        <f aca="false">'Assumptions (Annual)'!C42</f>
        <v>0</v>
      </c>
      <c r="X90" s="20" t="n">
        <f aca="false">'Assumptions (Annual)'!D42</f>
        <v>0</v>
      </c>
      <c r="Y90" s="20" t="n">
        <f aca="false">'Assumptions (Annual)'!E42</f>
        <v>0</v>
      </c>
      <c r="Z90" s="20" t="n">
        <f aca="false">'Assumptions (Annual)'!F42</f>
        <v>0</v>
      </c>
      <c r="AA90" s="20" t="n">
        <f aca="false">'Assumptions (Annual)'!G42</f>
        <v>0</v>
      </c>
    </row>
    <row r="91" customFormat="false" ht="15" hidden="false" customHeight="true" outlineLevel="0" collapsed="false">
      <c r="A91" s="17" t="s">
        <v>198</v>
      </c>
      <c r="B91" s="18" t="n">
        <v>0.009003</v>
      </c>
      <c r="C91" s="18" t="n">
        <v>0.007107</v>
      </c>
      <c r="D91" s="18" t="n">
        <v>49.611815</v>
      </c>
      <c r="E91" s="18" t="n">
        <v>-2.515134</v>
      </c>
      <c r="F91" s="18" t="n">
        <v>0.028354</v>
      </c>
      <c r="G91" s="18" t="n">
        <v>0.018199</v>
      </c>
      <c r="H91" s="18" t="n">
        <v>0.011175</v>
      </c>
      <c r="I91" s="18" t="n">
        <v>0.0057</v>
      </c>
      <c r="J91" s="18" t="n">
        <v>-1.009</v>
      </c>
      <c r="K91" s="18" t="n">
        <v>-1.944</v>
      </c>
      <c r="L91" s="18" t="n">
        <v>-2.714</v>
      </c>
      <c r="M91" s="18" t="n">
        <v>0</v>
      </c>
      <c r="N91" s="18" t="n">
        <v>0</v>
      </c>
      <c r="O91" s="18" t="n">
        <v>0</v>
      </c>
      <c r="P91" s="18" t="n">
        <v>1866.495</v>
      </c>
      <c r="Q91" s="18" t="n">
        <v>-54</v>
      </c>
      <c r="R91" s="18" t="n">
        <v>1034</v>
      </c>
      <c r="S91" s="18" t="n">
        <v>-148</v>
      </c>
      <c r="T91" s="18" t="n">
        <v>-356</v>
      </c>
      <c r="U91" s="18" t="n">
        <v>-1</v>
      </c>
      <c r="V91" s="19" t="n">
        <v>-1</v>
      </c>
      <c r="W91" s="20" t="n">
        <f aca="false">'Assumptions (Annual)'!C41</f>
        <v>-250</v>
      </c>
      <c r="X91" s="20" t="n">
        <f aca="false">'Assumptions (Annual)'!D41</f>
        <v>-500</v>
      </c>
      <c r="Y91" s="20" t="n">
        <f aca="false">'Assumptions (Annual)'!E41</f>
        <v>-750</v>
      </c>
      <c r="Z91" s="20" t="n">
        <f aca="false">'Assumptions (Annual)'!F41</f>
        <v>-1000</v>
      </c>
      <c r="AA91" s="20" t="n">
        <f aca="false">'Assumptions (Annual)'!G41</f>
        <v>-1250</v>
      </c>
    </row>
    <row r="92" customFormat="false" ht="15" hidden="false" customHeight="true" outlineLevel="0" collapsed="false">
      <c r="A92" s="17" t="s">
        <v>199</v>
      </c>
      <c r="B92" s="18" t="n">
        <v>12.002335</v>
      </c>
      <c r="C92" s="18" t="n">
        <v>-3.002058</v>
      </c>
      <c r="D92" s="18" t="n">
        <v>-0.116896</v>
      </c>
      <c r="E92" s="18" t="n">
        <v>-9.137223</v>
      </c>
      <c r="F92" s="18" t="n">
        <v>-15.310634</v>
      </c>
      <c r="G92" s="18" t="n">
        <v>-3</v>
      </c>
      <c r="H92" s="18" t="n">
        <v>0</v>
      </c>
      <c r="I92" s="18" t="n">
        <v>0</v>
      </c>
      <c r="J92" s="18" t="n">
        <v>15.517</v>
      </c>
      <c r="K92" s="18" t="n">
        <v>322.296</v>
      </c>
      <c r="L92" s="18" t="n">
        <v>-4.026</v>
      </c>
      <c r="M92" s="18" t="n">
        <v>4.751</v>
      </c>
      <c r="N92" s="18" t="n">
        <v>-24.407</v>
      </c>
      <c r="O92" s="18" t="n">
        <v>631.77</v>
      </c>
      <c r="P92" s="18" t="n">
        <v>58.673</v>
      </c>
      <c r="Q92" s="18" t="n">
        <v>299</v>
      </c>
      <c r="R92" s="18" t="n">
        <v>891</v>
      </c>
      <c r="S92" s="18" t="n">
        <v>1064</v>
      </c>
      <c r="T92" s="18" t="n">
        <v>89</v>
      </c>
      <c r="U92" s="18" t="n">
        <v>1960</v>
      </c>
      <c r="V92" s="19" t="n">
        <v>2905</v>
      </c>
      <c r="W92" s="26" t="n">
        <f aca="false">(W112+W56)-(V53+V56)</f>
        <v>2693.021440784</v>
      </c>
      <c r="X92" s="26" t="n">
        <f aca="false">(X112+X56)-(W112+W56)</f>
        <v>2472.59934455054</v>
      </c>
      <c r="Y92" s="26" t="n">
        <f aca="false">(Y112+Y56)-(X112+X56)</f>
        <v>2310.77677599597</v>
      </c>
      <c r="Z92" s="26" t="n">
        <f aca="false">(Z112+Z56)-(Y112+Y56)</f>
        <v>2097.44844264553</v>
      </c>
      <c r="AA92" s="26" t="n">
        <f aca="false">(AA112+AA56)-(Z112+Z56)</f>
        <v>1879.22017356403</v>
      </c>
    </row>
    <row r="93" customFormat="false" ht="15" hidden="false" customHeight="true" outlineLevel="0" collapsed="false">
      <c r="A93" s="17" t="s">
        <v>200</v>
      </c>
      <c r="B93" s="18" t="n">
        <v>0</v>
      </c>
      <c r="C93" s="18" t="n">
        <v>0</v>
      </c>
      <c r="D93" s="18" t="n">
        <v>0.749991</v>
      </c>
      <c r="E93" s="18" t="n">
        <v>0</v>
      </c>
      <c r="F93" s="18" t="n">
        <v>0</v>
      </c>
      <c r="G93" s="18" t="n">
        <v>0</v>
      </c>
      <c r="H93" s="18" t="n">
        <v>0</v>
      </c>
      <c r="I93" s="18" t="n">
        <v>0</v>
      </c>
      <c r="J93" s="18" t="n">
        <v>0</v>
      </c>
      <c r="K93" s="18" t="n">
        <v>-27.752</v>
      </c>
      <c r="L93" s="18" t="n">
        <v>0</v>
      </c>
      <c r="M93" s="18" t="n">
        <v>0</v>
      </c>
      <c r="N93" s="18" t="n">
        <v>0</v>
      </c>
      <c r="O93" s="18" t="n">
        <v>-16.264</v>
      </c>
      <c r="P93" s="18" t="n">
        <v>95.844</v>
      </c>
      <c r="Q93" s="18" t="n">
        <v>-3</v>
      </c>
      <c r="R93" s="18" t="n">
        <v>0</v>
      </c>
      <c r="S93" s="18" t="n">
        <v>0</v>
      </c>
      <c r="T93" s="18" t="n">
        <v>0</v>
      </c>
      <c r="U93" s="18" t="n">
        <v>0</v>
      </c>
      <c r="V93" s="19" t="n">
        <v>0</v>
      </c>
      <c r="W93" s="26" t="n">
        <f aca="false">W108</f>
        <v>-0</v>
      </c>
      <c r="X93" s="26" t="n">
        <f aca="false">X108</f>
        <v>-0</v>
      </c>
      <c r="Y93" s="26" t="n">
        <f aca="false">Y108</f>
        <v>-0</v>
      </c>
      <c r="Z93" s="26" t="n">
        <f aca="false">Z108</f>
        <v>-0</v>
      </c>
      <c r="AA93" s="26" t="n">
        <f aca="false">AA108</f>
        <v>-0</v>
      </c>
    </row>
    <row r="94" customFormat="false" ht="15" hidden="false" customHeight="true" outlineLevel="0" collapsed="false">
      <c r="A94" s="21" t="s">
        <v>201</v>
      </c>
      <c r="B94" s="23" t="n">
        <f aca="false">B90+B91+B92+B93</f>
        <v>12.011338</v>
      </c>
      <c r="C94" s="23" t="n">
        <f aca="false">C90+C91+C92+C93</f>
        <v>-2.994951</v>
      </c>
      <c r="D94" s="23" t="n">
        <f aca="false">D90+D91+D92+D93</f>
        <v>50.24491</v>
      </c>
      <c r="E94" s="23" t="n">
        <f aca="false">E90+E91+E92+E93</f>
        <v>-11.652357</v>
      </c>
      <c r="F94" s="23" t="n">
        <f aca="false">F90+F91+F92+F93</f>
        <v>-15.28228</v>
      </c>
      <c r="G94" s="23" t="n">
        <f aca="false">G90+G91+G92+G93</f>
        <v>-2.981801</v>
      </c>
      <c r="H94" s="23" t="n">
        <f aca="false">H90+H91+H92+H93</f>
        <v>-10.582031</v>
      </c>
      <c r="I94" s="23" t="n">
        <f aca="false">I90+I91+I92+I93</f>
        <v>-17.962304</v>
      </c>
      <c r="J94" s="23" t="n">
        <f aca="false">J90+J91+J92+J93</f>
        <v>-9.246</v>
      </c>
      <c r="K94" s="23" t="n">
        <f aca="false">K90+K91+K92+K93</f>
        <v>264.297</v>
      </c>
      <c r="L94" s="23" t="n">
        <f aca="false">L90+L91+L92+L93</f>
        <v>-27.714</v>
      </c>
      <c r="M94" s="23" t="n">
        <f aca="false">M90+M91+M92+M93</f>
        <v>-19.668</v>
      </c>
      <c r="N94" s="23" t="n">
        <f aca="false">N90+N91+N92+N93</f>
        <v>-50.903</v>
      </c>
      <c r="O94" s="23" t="n">
        <f aca="false">O90+O91+O92+O93</f>
        <v>608.882</v>
      </c>
      <c r="P94" s="23" t="n">
        <f aca="false">P90+P91+P92+P93</f>
        <v>2021.012</v>
      </c>
      <c r="Q94" s="23" t="n">
        <f aca="false">Q90+Q91+Q92+Q93</f>
        <v>242</v>
      </c>
      <c r="R94" s="23" t="n">
        <f aca="false">R90+R91+R92+R93</f>
        <v>1925</v>
      </c>
      <c r="S94" s="23" t="n">
        <f aca="false">S90+S91+S92+S93</f>
        <v>916</v>
      </c>
      <c r="T94" s="23" t="n">
        <f aca="false">T90+T91+T92+T93</f>
        <v>-267</v>
      </c>
      <c r="U94" s="23" t="n">
        <f aca="false">U90+U91+U92+U93</f>
        <v>1959</v>
      </c>
      <c r="V94" s="23" t="n">
        <f aca="false">V90+V91+V92+V93</f>
        <v>2904</v>
      </c>
      <c r="W94" s="23" t="n">
        <f aca="false">W90+W91+W92+W93</f>
        <v>2443.021440784</v>
      </c>
      <c r="X94" s="23" t="n">
        <f aca="false">X90+X91+X92+X93</f>
        <v>1972.59934455054</v>
      </c>
      <c r="Y94" s="23" t="n">
        <f aca="false">Y90+Y91+Y92+Y93</f>
        <v>1560.77677599597</v>
      </c>
      <c r="Z94" s="23" t="n">
        <f aca="false">Z90+Z91+Z92+Z93</f>
        <v>1097.44844264553</v>
      </c>
      <c r="AA94" s="23" t="n">
        <f aca="false">AA90+AA91+AA92+AA93</f>
        <v>629.220173564034</v>
      </c>
    </row>
    <row r="95" customFormat="false" ht="15" hidden="false" customHeight="true" outlineLevel="0" collapsed="false">
      <c r="A95" s="17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6"/>
      <c r="X95" s="26"/>
      <c r="Y95" s="26"/>
      <c r="Z95" s="26"/>
      <c r="AA95" s="26"/>
    </row>
    <row r="96" customFormat="false" ht="15" hidden="false" customHeight="true" outlineLevel="0" collapsed="false">
      <c r="A96" s="17" t="s">
        <v>202</v>
      </c>
      <c r="B96" s="18" t="n">
        <v>-0.455327999999999</v>
      </c>
      <c r="C96" s="18" t="n">
        <v>0.20384</v>
      </c>
      <c r="D96" s="18" t="n">
        <v>0.115738000000002</v>
      </c>
      <c r="E96" s="18" t="n">
        <v>-3.471576</v>
      </c>
      <c r="F96" s="18" t="n">
        <v>0.996856999999999</v>
      </c>
      <c r="G96" s="18" t="n">
        <v>0.946433000000006</v>
      </c>
      <c r="H96" s="18" t="n">
        <v>-1.40997299999999</v>
      </c>
      <c r="I96" s="18" t="n">
        <v>-3.199578</v>
      </c>
      <c r="J96" s="18" t="n">
        <v>-15.682</v>
      </c>
      <c r="K96" s="18" t="n">
        <v>-55.84</v>
      </c>
      <c r="L96" s="18" t="n">
        <v>-66.381</v>
      </c>
      <c r="M96" s="18" t="n">
        <v>-19.089</v>
      </c>
      <c r="N96" s="18" t="n">
        <v>-41.346</v>
      </c>
      <c r="O96" s="18" t="n">
        <v>-90.895</v>
      </c>
      <c r="P96" s="18" t="n">
        <v>-37.5840000000001</v>
      </c>
      <c r="Q96" s="18" t="n">
        <v>-115</v>
      </c>
      <c r="R96" s="18" t="n">
        <v>-153</v>
      </c>
      <c r="S96" s="18" t="n">
        <v>-270</v>
      </c>
      <c r="T96" s="18" t="n">
        <v>-938</v>
      </c>
      <c r="U96" s="18" t="n">
        <v>-739</v>
      </c>
      <c r="V96" s="19" t="n">
        <v>-3</v>
      </c>
      <c r="W96" s="20" t="n">
        <f aca="false">'Assumptions (Annual)'!C43</f>
        <v>-200</v>
      </c>
      <c r="X96" s="20" t="n">
        <f aca="false">'Assumptions (Annual)'!D43</f>
        <v>-150</v>
      </c>
      <c r="Y96" s="20" t="n">
        <f aca="false">'Assumptions (Annual)'!E43</f>
        <v>-150</v>
      </c>
      <c r="Z96" s="20" t="n">
        <f aca="false">'Assumptions (Annual)'!F43</f>
        <v>-100</v>
      </c>
      <c r="AA96" s="20" t="n">
        <f aca="false">'Assumptions (Annual)'!G43</f>
        <v>-100</v>
      </c>
    </row>
    <row r="97" customFormat="false" ht="15.75" hidden="false" customHeight="true" outlineLevel="0" collapsed="false">
      <c r="A97" s="24" t="s">
        <v>203</v>
      </c>
      <c r="B97" s="23" t="n">
        <f aca="false">B82+B88+B94+B96</f>
        <v>1.95548</v>
      </c>
      <c r="C97" s="23" t="n">
        <f aca="false">C82+C88+C94+C96</f>
        <v>-1.836811</v>
      </c>
      <c r="D97" s="23" t="n">
        <f aca="false">D82+D88+D94+D96</f>
        <v>8.53437999999999</v>
      </c>
      <c r="E97" s="23" t="n">
        <f aca="false">E82+E88+E94+E96</f>
        <v>1.79670499999997</v>
      </c>
      <c r="F97" s="23" t="n">
        <f aca="false">F82+F88+F94+F96</f>
        <v>32.32929</v>
      </c>
      <c r="G97" s="23" t="n">
        <f aca="false">G82+G88+G94+G96</f>
        <v>7.02706400000001</v>
      </c>
      <c r="H97" s="23" t="n">
        <f aca="false">H82+H88+H94+H96</f>
        <v>10.551211</v>
      </c>
      <c r="I97" s="23" t="n">
        <f aca="false">I82+I88+I94+I96</f>
        <v>34.107325</v>
      </c>
      <c r="J97" s="23" t="n">
        <f aca="false">J82+J88+J94+J96</f>
        <v>38.796</v>
      </c>
      <c r="K97" s="23" t="n">
        <f aca="false">K82+K88+K94+K96</f>
        <v>82.8589999999999</v>
      </c>
      <c r="L97" s="23" t="n">
        <f aca="false">L82+L88+L94+L96</f>
        <v>-56.2630000000001</v>
      </c>
      <c r="M97" s="23" t="n">
        <f aca="false">M82+M88+M94+M96</f>
        <v>67.259</v>
      </c>
      <c r="N97" s="23" t="n">
        <f aca="false">N82+N88+N94+N96</f>
        <v>154.12</v>
      </c>
      <c r="O97" s="23" t="n">
        <f aca="false">O82+O88+O94+O96</f>
        <v>76.4349999999999</v>
      </c>
      <c r="P97" s="23" t="n">
        <f aca="false">P82+P88+P94+P96</f>
        <v>986.729</v>
      </c>
      <c r="Q97" s="23" t="n">
        <f aca="false">Q82+Q88+Q94+Q96</f>
        <v>1057</v>
      </c>
      <c r="R97" s="23" t="n">
        <f aca="false">R82+R88+R94+R96</f>
        <v>1140</v>
      </c>
      <c r="S97" s="23" t="n">
        <f aca="false">S82+S88+S94+S96</f>
        <v>-285</v>
      </c>
      <c r="T97" s="23" t="n">
        <f aca="false">T82+T88+T94+T96</f>
        <v>485</v>
      </c>
      <c r="U97" s="23" t="n">
        <f aca="false">U82+U88+U94+U96</f>
        <v>851</v>
      </c>
      <c r="V97" s="23" t="n">
        <f aca="false">V82+V88+V94+V96</f>
        <v>8838</v>
      </c>
      <c r="W97" s="23" t="n">
        <f aca="false">W82+W88+W94+W96</f>
        <v>3881.80525821445</v>
      </c>
      <c r="X97" s="23" t="n">
        <f aca="false">X82+X88+X94+X96</f>
        <v>3675.37978832888</v>
      </c>
      <c r="Y97" s="23" t="n">
        <f aca="false">Y82+Y88+Y94+Y96</f>
        <v>4835.34451298627</v>
      </c>
      <c r="Z97" s="23" t="n">
        <f aca="false">Z82+Z88+Z94+Z96</f>
        <v>5512.28336353371</v>
      </c>
      <c r="AA97" s="23" t="n">
        <f aca="false">AA82+AA88+AA94+AA96</f>
        <v>6803.63496485131</v>
      </c>
    </row>
    <row r="98" customFormat="false" ht="15.75" hidden="false" customHeight="true" outlineLevel="0" collapsed="false">
      <c r="A98" s="17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6"/>
      <c r="X98" s="26"/>
      <c r="Y98" s="26"/>
      <c r="Z98" s="26"/>
      <c r="AA98" s="26"/>
    </row>
    <row r="99" customFormat="false" ht="15" hidden="false" customHeight="true" outlineLevel="0" collapsed="false">
      <c r="A99" s="40" t="s">
        <v>178</v>
      </c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customFormat="false" ht="15" hidden="false" customHeight="true" outlineLevel="0" collapsed="false">
      <c r="A100" s="45" t="s">
        <v>204</v>
      </c>
      <c r="B100" s="23" t="n">
        <f aca="false">B82+B84</f>
        <v>1.982887</v>
      </c>
      <c r="C100" s="23" t="n">
        <f aca="false">C82+C84</f>
        <v>4.060799</v>
      </c>
      <c r="D100" s="23" t="n">
        <f aca="false">D82+D84</f>
        <v>4.54916799999999</v>
      </c>
      <c r="E100" s="23" t="n">
        <f aca="false">E82+E84</f>
        <v>50.874186</v>
      </c>
      <c r="F100" s="23" t="n">
        <f aca="false">F82+F84</f>
        <v>45.902816</v>
      </c>
      <c r="G100" s="23" t="n">
        <f aca="false">G82+G84</f>
        <v>54.68241</v>
      </c>
      <c r="H100" s="23" t="n">
        <f aca="false">H82+H84</f>
        <v>70.50147</v>
      </c>
      <c r="I100" s="23" t="n">
        <f aca="false">I82+I84</f>
        <v>123.143643</v>
      </c>
      <c r="J100" s="23" t="n">
        <f aca="false">J82+J84</f>
        <v>28.757</v>
      </c>
      <c r="K100" s="23" t="n">
        <f aca="false">K82+K84</f>
        <v>162.367</v>
      </c>
      <c r="L100" s="23" t="n">
        <f aca="false">L82+L84</f>
        <v>158.84</v>
      </c>
      <c r="M100" s="23" t="n">
        <f aca="false">M82+M84</f>
        <v>113.32</v>
      </c>
      <c r="N100" s="23" t="n">
        <f aca="false">N82+N84</f>
        <v>194.159</v>
      </c>
      <c r="O100" s="23" t="n">
        <f aca="false">O82+O84</f>
        <v>133.345</v>
      </c>
      <c r="P100" s="23" t="n">
        <f aca="false">P82+P84</f>
        <v>314.293</v>
      </c>
      <c r="Q100" s="23" t="n">
        <f aca="false">Q82+Q84</f>
        <v>935</v>
      </c>
      <c r="R100" s="23" t="n">
        <f aca="false">R82+R84</f>
        <v>392</v>
      </c>
      <c r="S100" s="23" t="n">
        <f aca="false">S82+S84</f>
        <v>2485</v>
      </c>
      <c r="T100" s="23" t="n">
        <f aca="false">T82+T84</f>
        <v>4631</v>
      </c>
      <c r="U100" s="23" t="n">
        <f aca="false">U82+U84</f>
        <v>7058</v>
      </c>
      <c r="V100" s="23" t="n">
        <f aca="false">V82+V84</f>
        <v>10773</v>
      </c>
      <c r="W100" s="23" t="n">
        <f aca="false">W82+W84</f>
        <v>3908.22433095366</v>
      </c>
      <c r="X100" s="23" t="n">
        <f aca="false">X82+X84</f>
        <v>5434.53326649277</v>
      </c>
      <c r="Y100" s="23" t="n">
        <f aca="false">Y82+Y84</f>
        <v>6836.47202127244</v>
      </c>
      <c r="Z100" s="23" t="n">
        <f aca="false">Z82+Z84</f>
        <v>7554.23698947198</v>
      </c>
      <c r="AA100" s="23" t="n">
        <f aca="false">AA82+AA84</f>
        <v>8985.73479634771</v>
      </c>
    </row>
    <row r="101" customFormat="false" ht="15" hidden="false" customHeight="true" outlineLevel="0" collapsed="false">
      <c r="A101" s="41" t="s">
        <v>205</v>
      </c>
      <c r="B101" s="36"/>
      <c r="C101" s="36" t="n">
        <f aca="false">C100/B100-1</f>
        <v>1.04792254929303</v>
      </c>
      <c r="D101" s="36" t="n">
        <f aca="false">D100/C100-1</f>
        <v>0.120264263264444</v>
      </c>
      <c r="E101" s="36" t="n">
        <f aca="false">E100/D100-1</f>
        <v>10.1831847054231</v>
      </c>
      <c r="F101" s="36" t="n">
        <f aca="false">F100/E100-1</f>
        <v>-0.0977189099399044</v>
      </c>
      <c r="G101" s="36" t="n">
        <f aca="false">G100/F100-1</f>
        <v>0.191264823491438</v>
      </c>
      <c r="H101" s="36" t="n">
        <f aca="false">H100/G100-1</f>
        <v>0.289289736864195</v>
      </c>
      <c r="I101" s="36" t="n">
        <f aca="false">I100/H100-1</f>
        <v>0.746681920249323</v>
      </c>
      <c r="J101" s="36" t="n">
        <f aca="false">J100/I100-1</f>
        <v>-0.766475968231669</v>
      </c>
      <c r="K101" s="36" t="n">
        <f aca="false">K100/J100-1</f>
        <v>4.64617310567861</v>
      </c>
      <c r="L101" s="36" t="n">
        <f aca="false">L100/K100-1</f>
        <v>-0.021722394328897</v>
      </c>
      <c r="M101" s="36" t="n">
        <f aca="false">M100/L100-1</f>
        <v>-0.286577688239738</v>
      </c>
      <c r="N101" s="36" t="n">
        <f aca="false">N100/M100-1</f>
        <v>0.713369219908224</v>
      </c>
      <c r="O101" s="36" t="n">
        <f aca="false">O100/N100-1</f>
        <v>-0.313217517601553</v>
      </c>
      <c r="P101" s="36" t="n">
        <f aca="false">P100/O100-1</f>
        <v>1.35699126326446</v>
      </c>
      <c r="Q101" s="36" t="n">
        <f aca="false">Q100/P100-1</f>
        <v>1.97493103568963</v>
      </c>
      <c r="R101" s="36" t="n">
        <f aca="false">R100/Q100-1</f>
        <v>-0.580748663101604</v>
      </c>
      <c r="S101" s="36" t="n">
        <f aca="false">S100/R100-1</f>
        <v>5.33928571428571</v>
      </c>
      <c r="T101" s="36" t="n">
        <f aca="false">T100/S100-1</f>
        <v>0.863581488933602</v>
      </c>
      <c r="U101" s="36" t="n">
        <f aca="false">U100/T100-1</f>
        <v>0.524076873245519</v>
      </c>
      <c r="V101" s="37" t="n">
        <f aca="false">V100/U100-1</f>
        <v>0.526353074525361</v>
      </c>
      <c r="W101" s="38" t="n">
        <f aca="false">W100/V100-1</f>
        <v>-0.637220427833133</v>
      </c>
      <c r="X101" s="38" t="n">
        <f aca="false">X100/W100-1</f>
        <v>0.39053769852732</v>
      </c>
      <c r="Y101" s="38" t="n">
        <f aca="false">Y100/X100-1</f>
        <v>0.257968566210365</v>
      </c>
      <c r="Z101" s="38" t="n">
        <f aca="false">Z100/Y100-1</f>
        <v>0.104990551554389</v>
      </c>
      <c r="AA101" s="38" t="n">
        <f aca="false">AA100/Z100-1</f>
        <v>0.189496015133063</v>
      </c>
    </row>
    <row r="102" customFormat="false" ht="15" hidden="false" customHeight="true" outlineLevel="0" collapsed="false">
      <c r="A102" s="41" t="s">
        <v>206</v>
      </c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7" t="n">
        <f aca="false">(V100/B100)^(1/(V4-B4))-1</f>
        <v>0.537276310437107</v>
      </c>
      <c r="W102" s="38" t="n">
        <f aca="false">(W100/$V$100)^(1/5)-1</f>
        <v>-0.183551933547639</v>
      </c>
      <c r="X102" s="38" t="n">
        <f aca="false">(X100/$V$100)^(1/5)-1</f>
        <v>-0.127902345738411</v>
      </c>
      <c r="Y102" s="38" t="n">
        <f aca="false">(Y100/$V$100)^(1/5)-1</f>
        <v>-0.0869405069395506</v>
      </c>
      <c r="Z102" s="38" t="n">
        <f aca="false">(Z100/$V$100)^(1/5)-1</f>
        <v>-0.0685258883910144</v>
      </c>
      <c r="AA102" s="38" t="n">
        <f aca="false">(AA100/$V$100)^(1/5)-1</f>
        <v>-0.0356306757848955</v>
      </c>
    </row>
    <row r="103" customFormat="false" ht="15" hidden="false" customHeight="true" outlineLevel="0" collapsed="false">
      <c r="A103" s="17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6"/>
      <c r="X103" s="26"/>
      <c r="Y103" s="26"/>
      <c r="Z103" s="26"/>
      <c r="AA103" s="26"/>
    </row>
    <row r="104" customFormat="false" ht="18" hidden="false" customHeight="true" outlineLevel="0" collapsed="false">
      <c r="A104" s="16" t="s">
        <v>207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customFormat="false" ht="15" hidden="false" customHeight="true" outlineLevel="0" collapsed="false">
      <c r="A105" s="17" t="s">
        <v>208</v>
      </c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6" t="n">
        <f aca="false">V37</f>
        <v>13537</v>
      </c>
      <c r="X105" s="26" t="n">
        <f aca="false">W37</f>
        <v>17418.8052582145</v>
      </c>
      <c r="Y105" s="26" t="n">
        <f aca="false">X37</f>
        <v>21094.1850465433</v>
      </c>
      <c r="Z105" s="26" t="n">
        <f aca="false">Y37</f>
        <v>25929.5295595296</v>
      </c>
      <c r="AA105" s="26" t="n">
        <f aca="false">Z37</f>
        <v>31441.8129230633</v>
      </c>
    </row>
    <row r="106" customFormat="false" ht="15" hidden="false" customHeight="true" outlineLevel="0" collapsed="false">
      <c r="A106" s="17" t="s">
        <v>209</v>
      </c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6" t="n">
        <f aca="false">W105+W82+W88+W90+W91+W92+W96</f>
        <v>17418.8052582145</v>
      </c>
      <c r="X106" s="26" t="n">
        <f aca="false">X105+X82+X88+X90+X91+X92+X96</f>
        <v>21094.1850465433</v>
      </c>
      <c r="Y106" s="26" t="n">
        <f aca="false">Y105+Y82+Y88+Y90+Y91+Y92+Y96</f>
        <v>25929.5295595296</v>
      </c>
      <c r="Z106" s="26" t="n">
        <f aca="false">Z105+Z82+Z88+Z90+Z91+Z92+Z96</f>
        <v>31441.8129230633</v>
      </c>
      <c r="AA106" s="26" t="n">
        <f aca="false">AA105+AA82+AA88+AA90+AA91+AA92+AA96</f>
        <v>38245.4478879146</v>
      </c>
    </row>
    <row r="107" customFormat="false" ht="15" hidden="false" customHeight="true" outlineLevel="0" collapsed="false">
      <c r="A107" s="17" t="s">
        <v>210</v>
      </c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0" t="n">
        <f aca="false">'Assumptions (Annual)'!C35</f>
        <v>2500</v>
      </c>
      <c r="X107" s="20" t="n">
        <f aca="false">'Assumptions (Annual)'!D35</f>
        <v>2750</v>
      </c>
      <c r="Y107" s="20" t="n">
        <f aca="false">'Assumptions (Annual)'!E35</f>
        <v>3000</v>
      </c>
      <c r="Z107" s="20" t="n">
        <f aca="false">'Assumptions (Annual)'!F35</f>
        <v>3250</v>
      </c>
      <c r="AA107" s="20" t="n">
        <f aca="false">'Assumptions (Annual)'!G35</f>
        <v>3500</v>
      </c>
    </row>
    <row r="108" customFormat="false" ht="15" hidden="false" customHeight="true" outlineLevel="0" collapsed="false">
      <c r="A108" s="17" t="s">
        <v>211</v>
      </c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6" t="n">
        <f aca="false">IF(W106&lt;W107,W107-W106,-MIN(W109,W106-W107))</f>
        <v>-0</v>
      </c>
      <c r="X108" s="26" t="n">
        <f aca="false">IF(X106&lt;X107,X107-X106,-MIN(X109,X106-X107))</f>
        <v>-0</v>
      </c>
      <c r="Y108" s="26" t="n">
        <f aca="false">IF(Y106&lt;Y107,Y107-Y106,-MIN(Y109,Y106-Y107))</f>
        <v>-0</v>
      </c>
      <c r="Z108" s="26" t="n">
        <f aca="false">IF(Z106&lt;Z107,Z107-Z106,-MIN(Z109,Z106-Z107))</f>
        <v>-0</v>
      </c>
      <c r="AA108" s="26" t="n">
        <f aca="false">IF(AA106&lt;AA107,AA107-AA106,-MIN(AA109,AA106-AA107))</f>
        <v>-0</v>
      </c>
    </row>
    <row r="109" customFormat="false" ht="15" hidden="false" customHeight="true" outlineLevel="0" collapsed="false">
      <c r="A109" s="17" t="s">
        <v>212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6" t="n">
        <f aca="false">0</f>
        <v>0</v>
      </c>
      <c r="X109" s="26" t="n">
        <f aca="false">W110</f>
        <v>0</v>
      </c>
      <c r="Y109" s="26" t="n">
        <f aca="false">X110</f>
        <v>0</v>
      </c>
      <c r="Z109" s="26" t="n">
        <f aca="false">Y110</f>
        <v>0</v>
      </c>
      <c r="AA109" s="26" t="n">
        <f aca="false">Z110</f>
        <v>0</v>
      </c>
    </row>
    <row r="110" customFormat="false" ht="15" hidden="false" customHeight="true" outlineLevel="0" collapsed="false">
      <c r="A110" s="35" t="s">
        <v>213</v>
      </c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 t="n">
        <f aca="false">W109+W108</f>
        <v>0</v>
      </c>
      <c r="X110" s="22" t="n">
        <f aca="false">X109+X108</f>
        <v>0</v>
      </c>
      <c r="Y110" s="22" t="n">
        <f aca="false">Y109+Y108</f>
        <v>0</v>
      </c>
      <c r="Z110" s="22" t="n">
        <f aca="false">Z109+Z108</f>
        <v>0</v>
      </c>
      <c r="AA110" s="22" t="n">
        <f aca="false">AA109+AA108</f>
        <v>0</v>
      </c>
    </row>
    <row r="111" customFormat="false" ht="15" hidden="false" customHeight="true" outlineLevel="0" collapsed="false">
      <c r="A111" s="41" t="s">
        <v>214</v>
      </c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0" t="n">
        <f aca="false">'Assumptions (Annual)'!C34*W109</f>
        <v>0</v>
      </c>
      <c r="X111" s="20" t="n">
        <f aca="false">'Assumptions (Annual)'!D34*X109</f>
        <v>0</v>
      </c>
      <c r="Y111" s="20" t="n">
        <f aca="false">'Assumptions (Annual)'!E34*Y109</f>
        <v>0</v>
      </c>
      <c r="Z111" s="20" t="n">
        <f aca="false">'Assumptions (Annual)'!F34*Z109</f>
        <v>0</v>
      </c>
      <c r="AA111" s="20" t="n">
        <f aca="false">'Assumptions (Annual)'!G34*AA109</f>
        <v>0</v>
      </c>
    </row>
    <row r="112" customFormat="false" ht="15" hidden="false" customHeight="true" outlineLevel="0" collapsed="false">
      <c r="A112" s="41" t="s">
        <v>215</v>
      </c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0" t="n">
        <f aca="false">W6*'Assumptions (Annual)'!C52</f>
        <v>6985.341440784</v>
      </c>
      <c r="X112" s="20" t="n">
        <f aca="false">X6*'Assumptions (Annual)'!D52</f>
        <v>8747.97278533454</v>
      </c>
      <c r="Y112" s="20" t="n">
        <f aca="false">Y6*'Assumptions (Annual)'!E52</f>
        <v>10433.9777213305</v>
      </c>
      <c r="Z112" s="20" t="n">
        <f aca="false">Z6*'Assumptions (Annual)'!F52</f>
        <v>11941.016775176</v>
      </c>
      <c r="AA112" s="20" t="n">
        <f aca="false">AA6*'Assumptions (Annual)'!G52</f>
        <v>13278.7471950121</v>
      </c>
    </row>
  </sheetData>
  <conditionalFormatting sqref="B63:AA63">
    <cfRule type="cellIs" priority="2" operator="between" aboveAverage="0" equalAverage="0" bottom="0" percent="0" rank="0" text="" dxfId="0">
      <formula>-0.5</formula>
      <formula>0.5</formula>
    </cfRule>
    <cfRule type="cellIs" priority="3" operator="notBetween" aboveAverage="0" equalAverage="0" bottom="0" percent="0" rank="0" text="" dxfId="1">
      <formula>-0.5</formula>
      <formula>0.5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CH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9" width="30"/>
    <col collapsed="false" customWidth="true" hidden="false" outlineLevel="0" max="78" min="2" style="9" width="9.57"/>
    <col collapsed="false" customWidth="true" hidden="false" outlineLevel="0" max="79" min="79" style="10" width="9.57"/>
    <col collapsed="false" customWidth="true" hidden="false" outlineLevel="0" max="86" min="80" style="9" width="9.57"/>
  </cols>
  <sheetData>
    <row r="1" customFormat="false" ht="24" hidden="false" customHeight="true" outlineLevel="0" collapsed="false">
      <c r="A1" s="46" t="s">
        <v>216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</row>
    <row r="2" customFormat="false" ht="13.5" hidden="false" customHeight="true" outlineLevel="0" collapsed="false">
      <c r="A2" s="47" t="s">
        <v>217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</row>
    <row r="4" customFormat="false" ht="15.75" hidden="false" customHeight="true" outlineLevel="0" collapsed="false">
      <c r="A4" s="13" t="s">
        <v>98</v>
      </c>
      <c r="B4" s="14" t="s">
        <v>218</v>
      </c>
      <c r="C4" s="14" t="s">
        <v>219</v>
      </c>
      <c r="D4" s="14" t="s">
        <v>220</v>
      </c>
      <c r="E4" s="14" t="s">
        <v>221</v>
      </c>
      <c r="F4" s="14" t="s">
        <v>222</v>
      </c>
      <c r="G4" s="14" t="s">
        <v>223</v>
      </c>
      <c r="H4" s="14" t="s">
        <v>224</v>
      </c>
      <c r="I4" s="14" t="s">
        <v>225</v>
      </c>
      <c r="J4" s="14" t="s">
        <v>226</v>
      </c>
      <c r="K4" s="14" t="s">
        <v>227</v>
      </c>
      <c r="L4" s="14" t="s">
        <v>228</v>
      </c>
      <c r="M4" s="14" t="s">
        <v>229</v>
      </c>
      <c r="N4" s="14" t="s">
        <v>230</v>
      </c>
      <c r="O4" s="14" t="s">
        <v>231</v>
      </c>
      <c r="P4" s="14" t="s">
        <v>232</v>
      </c>
      <c r="Q4" s="14" t="s">
        <v>233</v>
      </c>
      <c r="R4" s="14" t="s">
        <v>234</v>
      </c>
      <c r="S4" s="14" t="s">
        <v>235</v>
      </c>
      <c r="T4" s="14" t="s">
        <v>236</v>
      </c>
      <c r="U4" s="14" t="s">
        <v>237</v>
      </c>
      <c r="V4" s="14" t="s">
        <v>238</v>
      </c>
      <c r="W4" s="14" t="s">
        <v>239</v>
      </c>
      <c r="X4" s="14" t="s">
        <v>240</v>
      </c>
      <c r="Y4" s="14" t="s">
        <v>241</v>
      </c>
      <c r="Z4" s="14" t="s">
        <v>242</v>
      </c>
      <c r="AA4" s="14" t="s">
        <v>243</v>
      </c>
      <c r="AB4" s="14" t="s">
        <v>244</v>
      </c>
      <c r="AC4" s="14" t="s">
        <v>245</v>
      </c>
      <c r="AD4" s="14" t="s">
        <v>246</v>
      </c>
      <c r="AE4" s="14" t="s">
        <v>247</v>
      </c>
      <c r="AF4" s="14" t="s">
        <v>248</v>
      </c>
      <c r="AG4" s="14" t="s">
        <v>249</v>
      </c>
      <c r="AH4" s="14" t="s">
        <v>250</v>
      </c>
      <c r="AI4" s="14" t="s">
        <v>251</v>
      </c>
      <c r="AJ4" s="14" t="s">
        <v>252</v>
      </c>
      <c r="AK4" s="14" t="s">
        <v>253</v>
      </c>
      <c r="AL4" s="14" t="s">
        <v>254</v>
      </c>
      <c r="AM4" s="14" t="s">
        <v>255</v>
      </c>
      <c r="AN4" s="14" t="s">
        <v>256</v>
      </c>
      <c r="AO4" s="14" t="s">
        <v>257</v>
      </c>
      <c r="AP4" s="14" t="s">
        <v>258</v>
      </c>
      <c r="AQ4" s="14" t="s">
        <v>259</v>
      </c>
      <c r="AR4" s="14" t="s">
        <v>260</v>
      </c>
      <c r="AS4" s="14" t="s">
        <v>261</v>
      </c>
      <c r="AT4" s="14" t="s">
        <v>262</v>
      </c>
      <c r="AU4" s="14" t="s">
        <v>263</v>
      </c>
      <c r="AV4" s="14" t="s">
        <v>264</v>
      </c>
      <c r="AW4" s="14" t="s">
        <v>265</v>
      </c>
      <c r="AX4" s="14" t="s">
        <v>266</v>
      </c>
      <c r="AY4" s="14" t="s">
        <v>267</v>
      </c>
      <c r="AZ4" s="14" t="s">
        <v>268</v>
      </c>
      <c r="BA4" s="14" t="s">
        <v>269</v>
      </c>
      <c r="BB4" s="14" t="s">
        <v>270</v>
      </c>
      <c r="BC4" s="14" t="s">
        <v>271</v>
      </c>
      <c r="BD4" s="14" t="s">
        <v>272</v>
      </c>
      <c r="BE4" s="14" t="s">
        <v>273</v>
      </c>
      <c r="BF4" s="14" t="s">
        <v>274</v>
      </c>
      <c r="BG4" s="14" t="s">
        <v>275</v>
      </c>
      <c r="BH4" s="14" t="s">
        <v>276</v>
      </c>
      <c r="BI4" s="14" t="s">
        <v>277</v>
      </c>
      <c r="BJ4" s="14" t="s">
        <v>278</v>
      </c>
      <c r="BK4" s="14" t="s">
        <v>279</v>
      </c>
      <c r="BL4" s="14" t="s">
        <v>280</v>
      </c>
      <c r="BM4" s="14" t="s">
        <v>281</v>
      </c>
      <c r="BN4" s="14" t="s">
        <v>282</v>
      </c>
      <c r="BO4" s="14" t="s">
        <v>283</v>
      </c>
      <c r="BP4" s="14" t="s">
        <v>284</v>
      </c>
      <c r="BQ4" s="14" t="s">
        <v>285</v>
      </c>
      <c r="BR4" s="14" t="s">
        <v>286</v>
      </c>
      <c r="BS4" s="14" t="s">
        <v>287</v>
      </c>
      <c r="BT4" s="14" t="s">
        <v>288</v>
      </c>
      <c r="BU4" s="14" t="s">
        <v>289</v>
      </c>
      <c r="BV4" s="14" t="s">
        <v>290</v>
      </c>
      <c r="BW4" s="14" t="s">
        <v>291</v>
      </c>
      <c r="BX4" s="14" t="s">
        <v>292</v>
      </c>
      <c r="BY4" s="14" t="s">
        <v>293</v>
      </c>
      <c r="BZ4" s="14" t="s">
        <v>294</v>
      </c>
      <c r="CA4" s="14" t="s">
        <v>295</v>
      </c>
      <c r="CB4" s="15" t="s">
        <v>296</v>
      </c>
      <c r="CC4" s="15" t="s">
        <v>297</v>
      </c>
      <c r="CD4" s="15" t="s">
        <v>298</v>
      </c>
      <c r="CE4" s="15" t="s">
        <v>299</v>
      </c>
      <c r="CF4" s="15" t="s">
        <v>300</v>
      </c>
      <c r="CG4" s="15" t="s">
        <v>301</v>
      </c>
      <c r="CH4" s="15" t="s">
        <v>302</v>
      </c>
    </row>
    <row r="5" customFormat="false" ht="18" hidden="false" customHeight="true" outlineLevel="0" collapsed="false">
      <c r="A5" s="48" t="s">
        <v>125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</row>
    <row r="6" customFormat="false" ht="15" hidden="false" customHeight="true" outlineLevel="0" collapsed="false">
      <c r="A6" s="17" t="s">
        <v>126</v>
      </c>
      <c r="B6" s="18" t="n">
        <v>15.462397</v>
      </c>
      <c r="C6" s="18" t="n">
        <v>16.459337</v>
      </c>
      <c r="D6" s="18" t="n">
        <v>18.973288</v>
      </c>
      <c r="E6" s="18" t="n">
        <v>22.80013</v>
      </c>
      <c r="F6" s="18" t="n">
        <v>26.893586</v>
      </c>
      <c r="G6" s="18" t="n">
        <v>28.84073</v>
      </c>
      <c r="H6" s="18" t="n">
        <v>34.471508</v>
      </c>
      <c r="I6" s="18" t="n">
        <v>40.260643</v>
      </c>
      <c r="J6" s="18" t="n">
        <v>33.449739</v>
      </c>
      <c r="K6" s="18" t="n">
        <v>32.322501</v>
      </c>
      <c r="L6" s="18" t="n">
        <v>40.901799</v>
      </c>
      <c r="M6" s="18" t="n">
        <v>50.599276</v>
      </c>
      <c r="N6" s="18" t="n">
        <v>49.020045</v>
      </c>
      <c r="O6" s="18" t="n">
        <v>45.937774</v>
      </c>
      <c r="P6" s="18" t="n">
        <v>52.510331</v>
      </c>
      <c r="Q6" s="18" t="n">
        <v>55.951378</v>
      </c>
      <c r="R6" s="18" t="n">
        <v>62.31623</v>
      </c>
      <c r="S6" s="18" t="n">
        <v>61.459668</v>
      </c>
      <c r="T6" s="18" t="n">
        <v>69.37816</v>
      </c>
      <c r="U6" s="18" t="n">
        <v>81.628144</v>
      </c>
      <c r="V6" s="18" t="n">
        <v>86.465653</v>
      </c>
      <c r="W6" s="18" t="n">
        <v>83.736006</v>
      </c>
      <c r="X6" s="18" t="n">
        <v>88.844059</v>
      </c>
      <c r="Y6" s="18" t="n">
        <v>97.266784</v>
      </c>
      <c r="Z6" s="18" t="n">
        <v>103.754646</v>
      </c>
      <c r="AA6" s="18" t="n">
        <v>102.725747</v>
      </c>
      <c r="AB6" s="18" t="n">
        <v>112.18336</v>
      </c>
      <c r="AC6" s="18" t="n">
        <v>123.055431</v>
      </c>
      <c r="AD6" s="18" t="n">
        <v>134.630462</v>
      </c>
      <c r="AE6" s="18" t="n">
        <v>115.382</v>
      </c>
      <c r="AF6" s="18" t="n">
        <v>131.849</v>
      </c>
      <c r="AG6" s="18" t="n">
        <v>147.935</v>
      </c>
      <c r="AH6" s="18" t="n">
        <v>161.37</v>
      </c>
      <c r="AI6" s="18" t="n">
        <v>148.103</v>
      </c>
      <c r="AJ6" s="18" t="n">
        <v>154.314</v>
      </c>
      <c r="AK6" s="18" t="n">
        <v>168.641</v>
      </c>
      <c r="AL6" s="18" t="n">
        <v>180.732</v>
      </c>
      <c r="AM6" s="18" t="n">
        <v>157.63</v>
      </c>
      <c r="AN6" s="18" t="n">
        <v>199.644</v>
      </c>
      <c r="AO6" s="18" t="n">
        <v>230.847</v>
      </c>
      <c r="AP6" s="18" t="n">
        <v>256.275</v>
      </c>
      <c r="AQ6" s="18" t="n">
        <v>269.675</v>
      </c>
      <c r="AR6" s="18" t="n">
        <v>283.882</v>
      </c>
      <c r="AS6" s="18" t="n">
        <v>304.921</v>
      </c>
      <c r="AT6" s="18" t="n">
        <v>358.063</v>
      </c>
      <c r="AU6" s="18" t="n">
        <v>320.976</v>
      </c>
      <c r="AV6" s="18" t="n">
        <v>335.377</v>
      </c>
      <c r="AW6" s="18" t="n">
        <v>355.281</v>
      </c>
      <c r="AX6" s="18" t="n">
        <v>428.019</v>
      </c>
      <c r="AY6" s="18" t="n">
        <v>473.77</v>
      </c>
      <c r="AZ6" s="18" t="n">
        <v>545.242</v>
      </c>
      <c r="BA6" s="18" t="n">
        <v>603.031</v>
      </c>
      <c r="BB6" s="18" t="n">
        <v>674.271</v>
      </c>
      <c r="BC6" s="18" t="n">
        <v>652.091</v>
      </c>
      <c r="BD6" s="18" t="n">
        <v>878.369</v>
      </c>
      <c r="BE6" s="18" t="n">
        <v>1115.701</v>
      </c>
      <c r="BF6" s="18" t="n">
        <v>1327.839</v>
      </c>
      <c r="BG6" s="18" t="n">
        <v>1378</v>
      </c>
      <c r="BH6" s="18" t="n">
        <v>1703</v>
      </c>
      <c r="BI6" s="18" t="n">
        <v>1858</v>
      </c>
      <c r="BJ6" s="18" t="n">
        <v>2130</v>
      </c>
      <c r="BK6" s="18" t="n">
        <v>2248</v>
      </c>
      <c r="BL6" s="18" t="n">
        <v>2597</v>
      </c>
      <c r="BM6" s="18" t="n">
        <v>2690</v>
      </c>
      <c r="BN6" s="18" t="n">
        <v>3245</v>
      </c>
      <c r="BO6" s="18" t="n">
        <v>3186</v>
      </c>
      <c r="BP6" s="18" t="n">
        <v>3585</v>
      </c>
      <c r="BQ6" s="18" t="n">
        <v>3927</v>
      </c>
      <c r="BR6" s="18" t="n">
        <v>4409</v>
      </c>
      <c r="BS6" s="18" t="n">
        <v>4333</v>
      </c>
      <c r="BT6" s="18" t="n">
        <v>5073</v>
      </c>
      <c r="BU6" s="18" t="n">
        <v>5312</v>
      </c>
      <c r="BV6" s="18" t="n">
        <v>6059</v>
      </c>
      <c r="BW6" s="18" t="n">
        <v>5935</v>
      </c>
      <c r="BX6" s="18" t="n">
        <v>6790</v>
      </c>
      <c r="BY6" s="18" t="n">
        <v>7409</v>
      </c>
      <c r="BZ6" s="18" t="n">
        <v>8759</v>
      </c>
      <c r="CA6" s="19" t="n">
        <v>8845</v>
      </c>
      <c r="CB6" s="20" t="n">
        <f aca="false">'Assumptions (Quarterly)'!F13</f>
        <v>9130.66</v>
      </c>
      <c r="CC6" s="20" t="n">
        <f aca="false">'Assumptions (Quarterly)'!G13</f>
        <v>10109.81982</v>
      </c>
      <c r="CD6" s="20" t="n">
        <f aca="false">'Assumptions (Quarterly)'!H13</f>
        <v>11654.815</v>
      </c>
      <c r="CE6" s="20" t="n">
        <f aca="false">'Assumptions (Quarterly)'!I13</f>
        <v>11500.64</v>
      </c>
      <c r="CF6" s="20" t="n">
        <f aca="false">'Assumptions (Quarterly)'!J13</f>
        <v>11593.5312</v>
      </c>
      <c r="CG6" s="20" t="n">
        <f aca="false">'Assumptions (Quarterly)'!K13</f>
        <v>12625.3904112</v>
      </c>
      <c r="CH6" s="20" t="n">
        <f aca="false">'Assumptions (Quarterly)'!L13</f>
        <v>14281.7980096</v>
      </c>
    </row>
    <row r="7" customFormat="false" ht="15" hidden="false" customHeight="true" outlineLevel="0" collapsed="false">
      <c r="A7" s="17" t="s">
        <v>127</v>
      </c>
      <c r="B7" s="18" t="n">
        <v>3.653165</v>
      </c>
      <c r="C7" s="18" t="n">
        <v>3.487339</v>
      </c>
      <c r="D7" s="18" t="n">
        <v>3.999922</v>
      </c>
      <c r="E7" s="18" t="n">
        <v>4.882048</v>
      </c>
      <c r="F7" s="18" t="n">
        <v>5.90363</v>
      </c>
      <c r="G7" s="18" t="n">
        <v>6.018281</v>
      </c>
      <c r="H7" s="18" t="n">
        <v>6.901503</v>
      </c>
      <c r="I7" s="18" t="n">
        <v>8.153862</v>
      </c>
      <c r="J7" s="18" t="n">
        <v>6.461529</v>
      </c>
      <c r="K7" s="18" t="n">
        <v>6.633986</v>
      </c>
      <c r="L7" s="18" t="n">
        <v>8.595477</v>
      </c>
      <c r="M7" s="18" t="n">
        <v>10.390671</v>
      </c>
      <c r="N7" s="18" t="n">
        <v>10.337916</v>
      </c>
      <c r="O7" s="18" t="n">
        <v>9.893051</v>
      </c>
      <c r="P7" s="18" t="n">
        <v>11.411561</v>
      </c>
      <c r="Q7" s="18" t="n">
        <v>11.450919</v>
      </c>
      <c r="R7" s="18" t="n">
        <v>13.794314</v>
      </c>
      <c r="S7" s="18" t="n">
        <v>14.331703</v>
      </c>
      <c r="T7" s="18" t="n">
        <v>16.939118</v>
      </c>
      <c r="U7" s="18" t="n">
        <v>20.060474</v>
      </c>
      <c r="V7" s="18" t="n">
        <v>20.72454</v>
      </c>
      <c r="W7" s="18" t="n">
        <v>21.096297</v>
      </c>
      <c r="X7" s="18" t="n">
        <v>23.892881</v>
      </c>
      <c r="Y7" s="18" t="n">
        <v>25.693605</v>
      </c>
      <c r="Z7" s="18" t="n">
        <v>27.402862</v>
      </c>
      <c r="AA7" s="18" t="n">
        <v>28.649167</v>
      </c>
      <c r="AB7" s="18" t="n">
        <v>31.077211</v>
      </c>
      <c r="AC7" s="18" t="n">
        <v>34.144989</v>
      </c>
      <c r="AD7" s="18" t="n">
        <v>36.205632</v>
      </c>
      <c r="AE7" s="18" t="n">
        <v>31.54</v>
      </c>
      <c r="AF7" s="18" t="n">
        <v>36.372</v>
      </c>
      <c r="AG7" s="18" t="n">
        <v>43.402</v>
      </c>
      <c r="AH7" s="18" t="n">
        <v>47.665</v>
      </c>
      <c r="AI7" s="18" t="n">
        <v>44.708</v>
      </c>
      <c r="AJ7" s="18" t="n">
        <v>50.311</v>
      </c>
      <c r="AK7" s="18" t="n">
        <v>56.813</v>
      </c>
      <c r="AL7" s="18" t="n">
        <v>63.162</v>
      </c>
      <c r="AM7" s="18" t="n">
        <v>55.448</v>
      </c>
      <c r="AN7" s="18" t="n">
        <v>73.346</v>
      </c>
      <c r="AO7" s="18" t="n">
        <v>85.199</v>
      </c>
      <c r="AP7" s="18" t="n">
        <v>93.545</v>
      </c>
      <c r="AQ7" s="18" t="n">
        <v>100.819</v>
      </c>
      <c r="AR7" s="18" t="n">
        <v>112.328</v>
      </c>
      <c r="AS7" s="18" t="n">
        <v>129.094</v>
      </c>
      <c r="AT7" s="18" t="n">
        <v>154.701</v>
      </c>
      <c r="AU7" s="18" t="n">
        <v>158.218</v>
      </c>
      <c r="AV7" s="18" t="n">
        <v>175.629</v>
      </c>
      <c r="AW7" s="18" t="n">
        <v>185.563</v>
      </c>
      <c r="AX7" s="18" t="n">
        <v>223.235</v>
      </c>
      <c r="AY7" s="18" t="n">
        <v>236.766</v>
      </c>
      <c r="AZ7" s="18" t="n">
        <v>272.812</v>
      </c>
      <c r="BA7" s="18" t="n">
        <v>318.689</v>
      </c>
      <c r="BB7" s="18" t="n">
        <v>365.924</v>
      </c>
      <c r="BC7" s="18" t="n">
        <v>339.277</v>
      </c>
      <c r="BD7" s="18" t="n">
        <v>451.197</v>
      </c>
      <c r="BE7" s="18" t="n">
        <v>635.511</v>
      </c>
      <c r="BF7" s="18" t="n">
        <v>839.015</v>
      </c>
      <c r="BG7" s="18" t="n">
        <v>787</v>
      </c>
      <c r="BH7" s="18" t="n">
        <v>949</v>
      </c>
      <c r="BI7" s="18" t="n">
        <v>1051</v>
      </c>
      <c r="BJ7" s="18" t="n">
        <v>1277</v>
      </c>
      <c r="BK7" s="18" t="n">
        <v>1175</v>
      </c>
      <c r="BL7" s="18" t="n">
        <v>1313</v>
      </c>
      <c r="BM7" s="18" t="n">
        <v>1342</v>
      </c>
      <c r="BN7" s="18" t="n">
        <v>1752</v>
      </c>
      <c r="BO7" s="18" t="n">
        <v>1572</v>
      </c>
      <c r="BP7" s="18" t="n">
        <v>1754</v>
      </c>
      <c r="BQ7" s="18" t="n">
        <v>1832</v>
      </c>
      <c r="BR7" s="18" t="n">
        <v>2359</v>
      </c>
      <c r="BS7" s="18" t="n">
        <v>2309</v>
      </c>
      <c r="BT7" s="18" t="n">
        <v>2708</v>
      </c>
      <c r="BU7" s="18" t="n">
        <v>2873</v>
      </c>
      <c r="BV7" s="18" t="n">
        <v>3310</v>
      </c>
      <c r="BW7" s="18" t="n">
        <v>3164</v>
      </c>
      <c r="BX7" s="18" t="n">
        <v>3696</v>
      </c>
      <c r="BY7" s="18" t="n">
        <v>4200</v>
      </c>
      <c r="BZ7" s="18" t="n">
        <v>4975</v>
      </c>
      <c r="CA7" s="19" t="n">
        <v>4983</v>
      </c>
      <c r="CB7" s="20" t="n">
        <f aca="false">CB6*(1-'Assumptions (Quarterly)'!F15)</f>
        <v>5113.1696</v>
      </c>
      <c r="CC7" s="20" t="n">
        <f aca="false">CC6*(1-'Assumptions (Quarterly)'!G15)</f>
        <v>5641.27945956</v>
      </c>
      <c r="CD7" s="20" t="n">
        <f aca="false">CD6*(1-'Assumptions (Quarterly)'!H15)</f>
        <v>6468.422325</v>
      </c>
      <c r="CE7" s="20" t="n">
        <f aca="false">CE6*(1-'Assumptions (Quarterly)'!I15)</f>
        <v>6440.3584</v>
      </c>
      <c r="CF7" s="20" t="n">
        <f aca="false">CF6*(1-'Assumptions (Quarterly)'!J15)</f>
        <v>6457.5968784</v>
      </c>
      <c r="CG7" s="20" t="n">
        <f aca="false">CG6*(1-'Assumptions (Quarterly)'!K15)</f>
        <v>7007.091678216</v>
      </c>
      <c r="CH7" s="20" t="n">
        <f aca="false">CH6*(1-'Assumptions (Quarterly)'!L15)</f>
        <v>7883.5525012992</v>
      </c>
    </row>
    <row r="8" customFormat="false" ht="15" hidden="false" customHeight="true" outlineLevel="0" collapsed="false">
      <c r="A8" s="21" t="s">
        <v>128</v>
      </c>
      <c r="B8" s="22" t="n">
        <f aca="false">B6-B7</f>
        <v>11.809232</v>
      </c>
      <c r="C8" s="22" t="n">
        <f aca="false">C6-C7</f>
        <v>12.971998</v>
      </c>
      <c r="D8" s="22" t="n">
        <f aca="false">D6-D7</f>
        <v>14.973366</v>
      </c>
      <c r="E8" s="22" t="n">
        <f aca="false">E6-E7</f>
        <v>17.918082</v>
      </c>
      <c r="F8" s="22" t="n">
        <f aca="false">F6-F7</f>
        <v>20.989956</v>
      </c>
      <c r="G8" s="22" t="n">
        <f aca="false">G6-G7</f>
        <v>22.822449</v>
      </c>
      <c r="H8" s="22" t="n">
        <f aca="false">H6-H7</f>
        <v>27.570005</v>
      </c>
      <c r="I8" s="22" t="n">
        <f aca="false">I6-I7</f>
        <v>32.106781</v>
      </c>
      <c r="J8" s="22" t="n">
        <f aca="false">J6-J7</f>
        <v>26.98821</v>
      </c>
      <c r="K8" s="22" t="n">
        <f aca="false">K6-K7</f>
        <v>25.688515</v>
      </c>
      <c r="L8" s="22" t="n">
        <f aca="false">L6-L7</f>
        <v>32.306322</v>
      </c>
      <c r="M8" s="22" t="n">
        <f aca="false">M6-M7</f>
        <v>40.208605</v>
      </c>
      <c r="N8" s="22" t="n">
        <f aca="false">N6-N7</f>
        <v>38.682129</v>
      </c>
      <c r="O8" s="22" t="n">
        <f aca="false">O6-O7</f>
        <v>36.044723</v>
      </c>
      <c r="P8" s="22" t="n">
        <f aca="false">P6-P7</f>
        <v>41.09877</v>
      </c>
      <c r="Q8" s="22" t="n">
        <f aca="false">Q6-Q7</f>
        <v>44.500459</v>
      </c>
      <c r="R8" s="22" t="n">
        <f aca="false">R6-R7</f>
        <v>48.521916</v>
      </c>
      <c r="S8" s="22" t="n">
        <f aca="false">S6-S7</f>
        <v>47.127965</v>
      </c>
      <c r="T8" s="22" t="n">
        <f aca="false">T6-T7</f>
        <v>52.439042</v>
      </c>
      <c r="U8" s="22" t="n">
        <f aca="false">U6-U7</f>
        <v>61.56767</v>
      </c>
      <c r="V8" s="22" t="n">
        <f aca="false">V6-V7</f>
        <v>65.741113</v>
      </c>
      <c r="W8" s="22" t="n">
        <f aca="false">W6-W7</f>
        <v>62.639709</v>
      </c>
      <c r="X8" s="22" t="n">
        <f aca="false">X6-X7</f>
        <v>64.951178</v>
      </c>
      <c r="Y8" s="22" t="n">
        <f aca="false">Y6-Y7</f>
        <v>71.573179</v>
      </c>
      <c r="Z8" s="22" t="n">
        <f aca="false">Z6-Z7</f>
        <v>76.351784</v>
      </c>
      <c r="AA8" s="22" t="n">
        <f aca="false">AA6-AA7</f>
        <v>74.07658</v>
      </c>
      <c r="AB8" s="22" t="n">
        <f aca="false">AB6-AB7</f>
        <v>81.106149</v>
      </c>
      <c r="AC8" s="22" t="n">
        <f aca="false">AC6-AC7</f>
        <v>88.910442</v>
      </c>
      <c r="AD8" s="22" t="n">
        <f aca="false">AD6-AD7</f>
        <v>98.42483</v>
      </c>
      <c r="AE8" s="22" t="n">
        <f aca="false">AE6-AE7</f>
        <v>83.842</v>
      </c>
      <c r="AF8" s="22" t="n">
        <f aca="false">AF6-AF7</f>
        <v>95.477</v>
      </c>
      <c r="AG8" s="22" t="n">
        <f aca="false">AG6-AG7</f>
        <v>104.533</v>
      </c>
      <c r="AH8" s="22" t="n">
        <f aca="false">AH6-AH7</f>
        <v>113.705</v>
      </c>
      <c r="AI8" s="22" t="n">
        <f aca="false">AI6-AI7</f>
        <v>103.395</v>
      </c>
      <c r="AJ8" s="22" t="n">
        <f aca="false">AJ6-AJ7</f>
        <v>104.003</v>
      </c>
      <c r="AK8" s="22" t="n">
        <f aca="false">AK6-AK7</f>
        <v>111.828</v>
      </c>
      <c r="AL8" s="22" t="n">
        <f aca="false">AL6-AL7</f>
        <v>117.57</v>
      </c>
      <c r="AM8" s="22" t="n">
        <f aca="false">AM6-AM7</f>
        <v>102.182</v>
      </c>
      <c r="AN8" s="22" t="n">
        <f aca="false">AN6-AN7</f>
        <v>126.298</v>
      </c>
      <c r="AO8" s="22" t="n">
        <f aca="false">AO6-AO7</f>
        <v>145.648</v>
      </c>
      <c r="AP8" s="22" t="n">
        <f aca="false">AP6-AP7</f>
        <v>162.73</v>
      </c>
      <c r="AQ8" s="22" t="n">
        <f aca="false">AQ6-AQ7</f>
        <v>168.856</v>
      </c>
      <c r="AR8" s="22" t="n">
        <f aca="false">AR6-AR7</f>
        <v>171.554</v>
      </c>
      <c r="AS8" s="22" t="n">
        <f aca="false">AS6-AS7</f>
        <v>175.827</v>
      </c>
      <c r="AT8" s="22" t="n">
        <f aca="false">AT6-AT7</f>
        <v>203.362</v>
      </c>
      <c r="AU8" s="22" t="n">
        <f aca="false">AU6-AU7</f>
        <v>162.758</v>
      </c>
      <c r="AV8" s="22" t="n">
        <f aca="false">AV6-AV7</f>
        <v>159.748</v>
      </c>
      <c r="AW8" s="22" t="n">
        <f aca="false">AW6-AW7</f>
        <v>169.718</v>
      </c>
      <c r="AX8" s="22" t="n">
        <f aca="false">AX6-AX7</f>
        <v>204.784</v>
      </c>
      <c r="AY8" s="22" t="n">
        <f aca="false">AY6-AY7</f>
        <v>237.004</v>
      </c>
      <c r="AZ8" s="22" t="n">
        <f aca="false">AZ6-AZ7</f>
        <v>272.43</v>
      </c>
      <c r="BA8" s="22" t="n">
        <f aca="false">BA6-BA7</f>
        <v>284.342</v>
      </c>
      <c r="BB8" s="22" t="n">
        <f aca="false">BB6-BB7</f>
        <v>308.347</v>
      </c>
      <c r="BC8" s="22" t="n">
        <f aca="false">BC6-BC7</f>
        <v>312.814</v>
      </c>
      <c r="BD8" s="22" t="n">
        <f aca="false">BD6-BD7</f>
        <v>427.172</v>
      </c>
      <c r="BE8" s="22" t="n">
        <f aca="false">BE6-BE7</f>
        <v>480.19</v>
      </c>
      <c r="BF8" s="22" t="n">
        <f aca="false">BF6-BF7</f>
        <v>488.824</v>
      </c>
      <c r="BG8" s="22" t="n">
        <f aca="false">BG6-BG7</f>
        <v>591</v>
      </c>
      <c r="BH8" s="22" t="n">
        <f aca="false">BH6-BH7</f>
        <v>754</v>
      </c>
      <c r="BI8" s="22" t="n">
        <f aca="false">BI6-BI7</f>
        <v>807</v>
      </c>
      <c r="BJ8" s="22" t="n">
        <f aca="false">BJ6-BJ7</f>
        <v>853</v>
      </c>
      <c r="BK8" s="22" t="n">
        <f aca="false">BK6-BK7</f>
        <v>1073</v>
      </c>
      <c r="BL8" s="22" t="n">
        <f aca="false">BL6-BL7</f>
        <v>1284</v>
      </c>
      <c r="BM8" s="22" t="n">
        <f aca="false">BM6-BM7</f>
        <v>1348</v>
      </c>
      <c r="BN8" s="22" t="n">
        <f aca="false">BN6-BN7</f>
        <v>1493</v>
      </c>
      <c r="BO8" s="22" t="n">
        <f aca="false">BO6-BO7</f>
        <v>1614</v>
      </c>
      <c r="BP8" s="22" t="n">
        <f aca="false">BP6-BP7</f>
        <v>1831</v>
      </c>
      <c r="BQ8" s="22" t="n">
        <f aca="false">BQ6-BQ7</f>
        <v>2095</v>
      </c>
      <c r="BR8" s="22" t="n">
        <f aca="false">BR6-BR7</f>
        <v>2050</v>
      </c>
      <c r="BS8" s="22" t="n">
        <f aca="false">BS6-BS7</f>
        <v>2024</v>
      </c>
      <c r="BT8" s="22" t="n">
        <f aca="false">BT6-BT7</f>
        <v>2365</v>
      </c>
      <c r="BU8" s="22" t="n">
        <f aca="false">BU6-BU7</f>
        <v>2439</v>
      </c>
      <c r="BV8" s="22" t="n">
        <f aca="false">BV6-BV7</f>
        <v>2749</v>
      </c>
      <c r="BW8" s="22" t="n">
        <f aca="false">BW6-BW7</f>
        <v>2771</v>
      </c>
      <c r="BX8" s="22" t="n">
        <f aca="false">BX6-BX7</f>
        <v>3094</v>
      </c>
      <c r="BY8" s="22" t="n">
        <f aca="false">BY6-BY7</f>
        <v>3209</v>
      </c>
      <c r="BZ8" s="22" t="n">
        <f aca="false">BZ6-BZ7</f>
        <v>3784</v>
      </c>
      <c r="CA8" s="22" t="n">
        <f aca="false">CA6-CA7</f>
        <v>3862</v>
      </c>
      <c r="CB8" s="22" t="n">
        <f aca="false">CB6-CB7</f>
        <v>4017.4904</v>
      </c>
      <c r="CC8" s="22" t="n">
        <f aca="false">CC6-CC7</f>
        <v>4468.54036044</v>
      </c>
      <c r="CD8" s="22" t="n">
        <f aca="false">CD6-CD7</f>
        <v>5186.392675</v>
      </c>
      <c r="CE8" s="22" t="n">
        <f aca="false">CE6-CE7</f>
        <v>5060.2816</v>
      </c>
      <c r="CF8" s="22" t="n">
        <f aca="false">CF6-CF7</f>
        <v>5135.9343216</v>
      </c>
      <c r="CG8" s="22" t="n">
        <f aca="false">CG6-CG7</f>
        <v>5618.298732984</v>
      </c>
      <c r="CH8" s="22" t="n">
        <f aca="false">CH6-CH7</f>
        <v>6398.2455083008</v>
      </c>
    </row>
    <row r="9" customFormat="false" ht="15" hidden="false" customHeight="true" outlineLevel="0" collapsed="false">
      <c r="A9" s="17" t="s">
        <v>129</v>
      </c>
      <c r="B9" s="18" t="n">
        <v>8.967412</v>
      </c>
      <c r="C9" s="18" t="n">
        <v>8.991513</v>
      </c>
      <c r="D9" s="18" t="n">
        <v>9.141326</v>
      </c>
      <c r="E9" s="18" t="n">
        <v>10.466394</v>
      </c>
      <c r="F9" s="18" t="n">
        <v>12.222972</v>
      </c>
      <c r="G9" s="18" t="n">
        <v>14.162263</v>
      </c>
      <c r="H9" s="18" t="n">
        <v>16.144958</v>
      </c>
      <c r="I9" s="18" t="n">
        <v>18.686236</v>
      </c>
      <c r="J9" s="18" t="n">
        <v>13.741782</v>
      </c>
      <c r="K9" s="18" t="n">
        <v>16.287552</v>
      </c>
      <c r="L9" s="18" t="n">
        <v>16.806893</v>
      </c>
      <c r="M9" s="18" t="n">
        <v>17.930819</v>
      </c>
      <c r="N9" s="18" t="n">
        <v>17.686067</v>
      </c>
      <c r="O9" s="18" t="n">
        <v>17.315682</v>
      </c>
      <c r="P9" s="18" t="n">
        <v>18.307737</v>
      </c>
      <c r="Q9" s="18" t="n">
        <v>20.965277</v>
      </c>
      <c r="R9" s="18" t="n">
        <v>23.122616</v>
      </c>
      <c r="S9" s="18" t="n">
        <v>22.679919</v>
      </c>
      <c r="T9" s="18" t="n">
        <v>25.368753</v>
      </c>
      <c r="U9" s="18" t="n">
        <v>25.678928</v>
      </c>
      <c r="V9" s="18" t="n">
        <v>30.026238</v>
      </c>
      <c r="W9" s="18" t="n">
        <v>30.122891</v>
      </c>
      <c r="X9" s="18" t="n">
        <v>26.932439</v>
      </c>
      <c r="Y9" s="18" t="n">
        <v>29.876191</v>
      </c>
      <c r="Z9" s="18" t="n">
        <v>30.299578</v>
      </c>
      <c r="AA9" s="18" t="n">
        <v>36.123007</v>
      </c>
      <c r="AB9" s="18" t="n">
        <v>35.896634</v>
      </c>
      <c r="AC9" s="18" t="n">
        <v>39.436793</v>
      </c>
      <c r="AD9" s="18" t="n">
        <v>36.635004</v>
      </c>
      <c r="AE9" s="18" t="n">
        <v>37.584</v>
      </c>
      <c r="AF9" s="18" t="n">
        <v>40.153</v>
      </c>
      <c r="AG9" s="18" t="n">
        <v>43.812</v>
      </c>
      <c r="AH9" s="18" t="n">
        <v>52.44</v>
      </c>
      <c r="AI9" s="18" t="n">
        <v>44.336</v>
      </c>
      <c r="AJ9" s="18" t="n">
        <v>49.727</v>
      </c>
      <c r="AK9" s="18" t="n">
        <v>49.506</v>
      </c>
      <c r="AL9" s="18" t="n">
        <v>61.382</v>
      </c>
      <c r="AM9" s="18" t="n">
        <v>49.752</v>
      </c>
      <c r="AN9" s="18" t="n">
        <v>56.178</v>
      </c>
      <c r="AO9" s="18" t="n">
        <v>65.873</v>
      </c>
      <c r="AP9" s="18" t="n">
        <v>71.802</v>
      </c>
      <c r="AQ9" s="18" t="n">
        <v>75.24</v>
      </c>
      <c r="AR9" s="18" t="n">
        <v>108.354</v>
      </c>
      <c r="AS9" s="18" t="n">
        <v>115.905</v>
      </c>
      <c r="AT9" s="18" t="n">
        <v>148.069</v>
      </c>
      <c r="AU9" s="18" t="n">
        <v>153.781</v>
      </c>
      <c r="AV9" s="18" t="n">
        <v>154.553</v>
      </c>
      <c r="AW9" s="18" t="n">
        <v>145.243</v>
      </c>
      <c r="AX9" s="18" t="n">
        <v>166.64</v>
      </c>
      <c r="AY9" s="18" t="n">
        <v>174.496</v>
      </c>
      <c r="AZ9" s="18" t="n">
        <v>230.995</v>
      </c>
      <c r="BA9" s="18" t="n">
        <v>306.772</v>
      </c>
      <c r="BB9" s="18" t="n">
        <v>319.214</v>
      </c>
      <c r="BC9" s="18" t="n">
        <v>269.073</v>
      </c>
      <c r="BD9" s="18" t="n">
        <v>254.48</v>
      </c>
      <c r="BE9" s="18" t="n">
        <v>308.32</v>
      </c>
      <c r="BF9" s="18" t="n">
        <v>263.127</v>
      </c>
      <c r="BG9" s="18" t="n">
        <v>374</v>
      </c>
      <c r="BH9" s="18" t="n">
        <v>359</v>
      </c>
      <c r="BI9" s="18" t="n">
        <v>404</v>
      </c>
      <c r="BJ9" s="18" t="n">
        <v>486</v>
      </c>
      <c r="BK9" s="18" t="n">
        <v>445</v>
      </c>
      <c r="BL9" s="18" t="n">
        <v>469</v>
      </c>
      <c r="BM9" s="18" t="n">
        <v>486</v>
      </c>
      <c r="BN9" s="18" t="n">
        <v>556</v>
      </c>
      <c r="BO9" s="18" t="n">
        <v>563</v>
      </c>
      <c r="BP9" s="18" t="n">
        <v>572</v>
      </c>
      <c r="BQ9" s="18" t="n">
        <v>637</v>
      </c>
      <c r="BR9" s="18" t="n">
        <v>730</v>
      </c>
      <c r="BS9" s="18" t="n">
        <v>664</v>
      </c>
      <c r="BT9" s="18" t="n">
        <v>729</v>
      </c>
      <c r="BU9" s="18" t="n">
        <v>871</v>
      </c>
      <c r="BV9" s="18" t="n">
        <v>890</v>
      </c>
      <c r="BW9" s="18" t="n">
        <v>854</v>
      </c>
      <c r="BX9" s="18" t="n">
        <v>1012</v>
      </c>
      <c r="BY9" s="18" t="n">
        <v>1103</v>
      </c>
      <c r="BZ9" s="18" t="n">
        <v>1328</v>
      </c>
      <c r="CA9" s="19" t="n">
        <v>1308</v>
      </c>
      <c r="CB9" s="20" t="n">
        <f aca="false">CB6*'Assumptions (Quarterly)'!F16</f>
        <v>1333.07636</v>
      </c>
      <c r="CC9" s="20" t="n">
        <f aca="false">CC6*'Assumptions (Quarterly)'!G16</f>
        <v>1465.9238739</v>
      </c>
      <c r="CD9" s="20" t="n">
        <f aca="false">CD6*'Assumptions (Quarterly)'!H16</f>
        <v>1654.98373</v>
      </c>
      <c r="CE9" s="20" t="n">
        <f aca="false">CE6*'Assumptions (Quarterly)'!I16</f>
        <v>1656.09216</v>
      </c>
      <c r="CF9" s="20" t="n">
        <f aca="false">CF6*'Assumptions (Quarterly)'!J16</f>
        <v>1646.2814304</v>
      </c>
      <c r="CG9" s="20" t="n">
        <f aca="false">CG6*'Assumptions (Quarterly)'!K16</f>
        <v>1780.1800479792</v>
      </c>
      <c r="CH9" s="20" t="n">
        <f aca="false">CH6*'Assumptions (Quarterly)'!L16</f>
        <v>1970.8881253248</v>
      </c>
    </row>
    <row r="10" customFormat="false" ht="15" hidden="false" customHeight="true" outlineLevel="0" collapsed="false">
      <c r="A10" s="17" t="s">
        <v>130</v>
      </c>
      <c r="B10" s="18" t="n">
        <v>0.814537</v>
      </c>
      <c r="C10" s="18" t="n">
        <v>0.97362</v>
      </c>
      <c r="D10" s="18" t="n">
        <v>1.029096</v>
      </c>
      <c r="E10" s="18" t="n">
        <v>1.154317</v>
      </c>
      <c r="F10" s="18" t="n">
        <v>1.212343</v>
      </c>
      <c r="G10" s="18" t="n">
        <v>1.744511</v>
      </c>
      <c r="H10" s="18" t="n">
        <v>1.73078</v>
      </c>
      <c r="I10" s="18" t="n">
        <v>1.744608</v>
      </c>
      <c r="J10" s="18" t="n">
        <v>2.088506</v>
      </c>
      <c r="K10" s="18" t="n">
        <v>2.633419</v>
      </c>
      <c r="L10" s="18" t="n">
        <v>3.087206</v>
      </c>
      <c r="M10" s="18" t="n">
        <v>3.295436</v>
      </c>
      <c r="N10" s="18" t="n">
        <v>3.12446</v>
      </c>
      <c r="O10" s="18" t="n">
        <v>3.224775</v>
      </c>
      <c r="P10" s="18" t="n">
        <v>3.976466</v>
      </c>
      <c r="Q10" s="18" t="n">
        <v>4.224476</v>
      </c>
      <c r="R10" s="18" t="n">
        <v>4.430276</v>
      </c>
      <c r="S10" s="18" t="n">
        <v>5.15689</v>
      </c>
      <c r="T10" s="18" t="n">
        <v>5.518892</v>
      </c>
      <c r="U10" s="18" t="n">
        <v>5.925019</v>
      </c>
      <c r="V10" s="18" t="n">
        <v>6.748985</v>
      </c>
      <c r="W10" s="18" t="n">
        <v>7.586074</v>
      </c>
      <c r="X10" s="18" t="n">
        <v>6.133819</v>
      </c>
      <c r="Y10" s="18" t="n">
        <v>7.983301</v>
      </c>
      <c r="Z10" s="18" t="n">
        <v>6.923686</v>
      </c>
      <c r="AA10" s="18" t="n">
        <v>9.382389</v>
      </c>
      <c r="AB10" s="18" t="n">
        <v>9.76022</v>
      </c>
      <c r="AC10" s="18" t="n">
        <v>12.074586</v>
      </c>
      <c r="AD10" s="18" t="n">
        <v>9.670805</v>
      </c>
      <c r="AE10" s="18" t="n">
        <v>12.257</v>
      </c>
      <c r="AF10" s="18" t="n">
        <v>11.741</v>
      </c>
      <c r="AG10" s="18" t="n">
        <v>13.574</v>
      </c>
      <c r="AH10" s="18" t="n">
        <v>16.028</v>
      </c>
      <c r="AI10" s="18" t="n">
        <v>17.245</v>
      </c>
      <c r="AJ10" s="18" t="n">
        <v>19.639</v>
      </c>
      <c r="AK10" s="18" t="n">
        <v>17.042</v>
      </c>
      <c r="AL10" s="18" t="n">
        <v>22.496</v>
      </c>
      <c r="AM10" s="18" t="n">
        <v>21.941</v>
      </c>
      <c r="AN10" s="18" t="n">
        <v>24.216</v>
      </c>
      <c r="AO10" s="18" t="n">
        <v>26.066</v>
      </c>
      <c r="AP10" s="18" t="n">
        <v>26.256</v>
      </c>
      <c r="AQ10" s="18" t="n">
        <v>30.302</v>
      </c>
      <c r="AR10" s="18" t="n">
        <v>30.338</v>
      </c>
      <c r="AS10" s="18" t="n">
        <v>32.38</v>
      </c>
      <c r="AT10" s="18" t="n">
        <v>34.141</v>
      </c>
      <c r="AU10" s="18" t="n">
        <v>38.396</v>
      </c>
      <c r="AV10" s="18" t="n">
        <v>33.437</v>
      </c>
      <c r="AW10" s="18" t="n">
        <v>35.478</v>
      </c>
      <c r="AX10" s="18" t="n">
        <v>38.962</v>
      </c>
      <c r="AY10" s="18" t="n">
        <v>52.369</v>
      </c>
      <c r="AZ10" s="18" t="n">
        <v>53.923</v>
      </c>
      <c r="BA10" s="18" t="n">
        <v>59.495</v>
      </c>
      <c r="BB10" s="18" t="n">
        <v>58.02</v>
      </c>
      <c r="BC10" s="18" t="n">
        <v>73.435</v>
      </c>
      <c r="BD10" s="18" t="n">
        <v>73.254</v>
      </c>
      <c r="BE10" s="18" t="n">
        <v>88.796</v>
      </c>
      <c r="BF10" s="18" t="n">
        <v>117.515</v>
      </c>
      <c r="BG10" s="18" t="n">
        <v>126</v>
      </c>
      <c r="BH10" s="18" t="n">
        <v>147</v>
      </c>
      <c r="BI10" s="18" t="n">
        <v>138</v>
      </c>
      <c r="BJ10" s="18" t="n">
        <v>179</v>
      </c>
      <c r="BK10" s="18" t="n">
        <v>234</v>
      </c>
      <c r="BL10" s="18" t="n">
        <v>262</v>
      </c>
      <c r="BM10" s="18" t="n">
        <v>278</v>
      </c>
      <c r="BN10" s="18" t="n">
        <v>325</v>
      </c>
      <c r="BO10" s="18" t="n">
        <v>381</v>
      </c>
      <c r="BP10" s="18" t="n">
        <v>368</v>
      </c>
      <c r="BQ10" s="18" t="n">
        <v>396</v>
      </c>
      <c r="BR10" s="18" t="n">
        <v>686</v>
      </c>
      <c r="BS10" s="18" t="n">
        <v>458</v>
      </c>
      <c r="BT10" s="18" t="n">
        <v>460</v>
      </c>
      <c r="BU10" s="18" t="n">
        <v>504</v>
      </c>
      <c r="BV10" s="18" t="n">
        <v>512</v>
      </c>
      <c r="BW10" s="18" t="n">
        <v>551</v>
      </c>
      <c r="BX10" s="18" t="n">
        <v>567</v>
      </c>
      <c r="BY10" s="18" t="n">
        <v>567</v>
      </c>
      <c r="BZ10" s="18" t="n">
        <v>584</v>
      </c>
      <c r="CA10" s="19" t="n">
        <v>699</v>
      </c>
      <c r="CB10" s="20" t="n">
        <f aca="false">CB6*'Assumptions (Quarterly)'!F17</f>
        <v>721.32214</v>
      </c>
      <c r="CC10" s="20" t="n">
        <f aca="false">CC6*'Assumptions (Quarterly)'!G17</f>
        <v>788.56594596</v>
      </c>
      <c r="CD10" s="20" t="n">
        <f aca="false">CD6*'Assumptions (Quarterly)'!H17</f>
        <v>897.420755</v>
      </c>
      <c r="CE10" s="20" t="n">
        <f aca="false">CE6*'Assumptions (Quarterly)'!I17</f>
        <v>897.04992</v>
      </c>
      <c r="CF10" s="20" t="n">
        <f aca="false">CF6*'Assumptions (Quarterly)'!J17</f>
        <v>892.7019024</v>
      </c>
      <c r="CG10" s="20" t="n">
        <f aca="false">CG6*'Assumptions (Quarterly)'!K17</f>
        <v>959.5296712512</v>
      </c>
      <c r="CH10" s="20" t="n">
        <f aca="false">CH6*'Assumptions (Quarterly)'!L17</f>
        <v>1071.13485072</v>
      </c>
    </row>
    <row r="11" customFormat="false" ht="15" hidden="false" customHeight="true" outlineLevel="0" collapsed="false">
      <c r="A11" s="17" t="s">
        <v>131</v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0.373473</v>
      </c>
      <c r="H11" s="18" t="n">
        <v>1.546397</v>
      </c>
      <c r="I11" s="18" t="n">
        <v>0</v>
      </c>
      <c r="J11" s="18" t="n">
        <v>0</v>
      </c>
      <c r="K11" s="18" t="n">
        <v>0</v>
      </c>
      <c r="L11" s="18" t="n">
        <v>0</v>
      </c>
      <c r="M11" s="18" t="n">
        <v>0</v>
      </c>
      <c r="N11" s="18" t="n">
        <v>0</v>
      </c>
      <c r="O11" s="18" t="n">
        <v>0</v>
      </c>
      <c r="P11" s="18" t="n">
        <v>0</v>
      </c>
      <c r="Q11" s="18" t="n">
        <v>0</v>
      </c>
      <c r="R11" s="18" t="n">
        <v>0</v>
      </c>
      <c r="S11" s="18" t="n">
        <v>0</v>
      </c>
      <c r="T11" s="18" t="n">
        <v>0</v>
      </c>
      <c r="U11" s="18" t="n">
        <v>0</v>
      </c>
      <c r="V11" s="18" t="n">
        <v>0</v>
      </c>
      <c r="W11" s="18" t="n">
        <v>0</v>
      </c>
      <c r="X11" s="18" t="n">
        <v>0</v>
      </c>
      <c r="Y11" s="18" t="n">
        <v>0</v>
      </c>
      <c r="Z11" s="18" t="n">
        <v>0</v>
      </c>
      <c r="AA11" s="18" t="n">
        <v>0</v>
      </c>
      <c r="AB11" s="18" t="n">
        <v>0</v>
      </c>
      <c r="AC11" s="18" t="n">
        <v>0</v>
      </c>
      <c r="AD11" s="18" t="n">
        <v>0</v>
      </c>
      <c r="AE11" s="18" t="n">
        <v>0</v>
      </c>
      <c r="AF11" s="18" t="n">
        <v>49.496</v>
      </c>
      <c r="AG11" s="18" t="n">
        <v>0</v>
      </c>
      <c r="AH11" s="18" t="n">
        <v>0</v>
      </c>
      <c r="AI11" s="18" t="n">
        <v>16.226</v>
      </c>
      <c r="AJ11" s="18" t="n">
        <v>0</v>
      </c>
      <c r="AK11" s="18" t="n">
        <v>0</v>
      </c>
      <c r="AL11" s="18" t="n">
        <v>0</v>
      </c>
      <c r="AM11" s="18" t="n">
        <v>0</v>
      </c>
      <c r="AN11" s="18" t="n">
        <v>13.717</v>
      </c>
      <c r="AO11" s="18" t="n">
        <v>0</v>
      </c>
      <c r="AP11" s="18" t="n">
        <v>0</v>
      </c>
      <c r="AQ11" s="18" t="n">
        <v>0</v>
      </c>
      <c r="AR11" s="18" t="n">
        <v>2.837</v>
      </c>
      <c r="AS11" s="18" t="n">
        <v>0</v>
      </c>
      <c r="AT11" s="18" t="n">
        <v>85.761</v>
      </c>
      <c r="AU11" s="18" t="n">
        <v>0</v>
      </c>
      <c r="AV11" s="18" t="n">
        <v>0</v>
      </c>
      <c r="AW11" s="18" t="n">
        <v>0</v>
      </c>
      <c r="AX11" s="18" t="n">
        <v>0</v>
      </c>
      <c r="AY11" s="18" t="n">
        <v>0</v>
      </c>
      <c r="AZ11" s="18" t="n">
        <v>0</v>
      </c>
      <c r="BA11" s="18" t="n">
        <v>0</v>
      </c>
      <c r="BB11" s="18" t="n">
        <v>0</v>
      </c>
      <c r="BC11" s="18" t="n">
        <v>0</v>
      </c>
      <c r="BD11" s="18" t="n">
        <v>0</v>
      </c>
      <c r="BE11" s="18" t="n">
        <v>0</v>
      </c>
      <c r="BF11" s="18" t="n">
        <v>133</v>
      </c>
      <c r="BG11" s="18" t="n">
        <v>0</v>
      </c>
      <c r="BH11" s="18" t="n">
        <v>82</v>
      </c>
      <c r="BI11" s="18" t="n">
        <v>105</v>
      </c>
      <c r="BJ11" s="18" t="n">
        <v>164</v>
      </c>
      <c r="BK11" s="18" t="n">
        <v>255</v>
      </c>
      <c r="BL11" s="18" t="n">
        <v>303</v>
      </c>
      <c r="BM11" s="18" t="n">
        <v>288</v>
      </c>
      <c r="BN11" s="18" t="n">
        <v>228</v>
      </c>
      <c r="BO11" s="18" t="n">
        <v>252</v>
      </c>
      <c r="BP11" s="18" t="n">
        <v>222</v>
      </c>
      <c r="BQ11" s="18" t="n">
        <v>277</v>
      </c>
      <c r="BR11" s="18" t="n">
        <v>299</v>
      </c>
      <c r="BS11" s="18" t="n">
        <v>374</v>
      </c>
      <c r="BT11" s="18" t="n">
        <v>450</v>
      </c>
      <c r="BU11" s="18" t="n">
        <v>507</v>
      </c>
      <c r="BV11" s="18" t="n">
        <v>527</v>
      </c>
      <c r="BW11" s="18" t="n">
        <v>603</v>
      </c>
      <c r="BX11" s="18" t="n">
        <v>690</v>
      </c>
      <c r="BY11" s="18" t="n">
        <v>815</v>
      </c>
      <c r="BZ11" s="18" t="n">
        <v>983</v>
      </c>
      <c r="CA11" s="19" t="n">
        <v>1244</v>
      </c>
      <c r="CB11" s="20" t="n">
        <f aca="false">CB6*'Assumptions (Quarterly)'!F18</f>
        <v>1141.3325</v>
      </c>
      <c r="CC11" s="20" t="n">
        <f aca="false">CC6*'Assumptions (Quarterly)'!G18</f>
        <v>1213.1783784</v>
      </c>
      <c r="CD11" s="20" t="n">
        <f aca="false">CD6*'Assumptions (Quarterly)'!H18</f>
        <v>1340.303725</v>
      </c>
      <c r="CE11" s="20" t="n">
        <f aca="false">CE6*'Assumptions (Quarterly)'!I18</f>
        <v>1403.07808</v>
      </c>
      <c r="CF11" s="20" t="n">
        <f aca="false">CF6*'Assumptions (Quarterly)'!J18</f>
        <v>1368.0366816</v>
      </c>
      <c r="CG11" s="20" t="n">
        <f aca="false">CG6*'Assumptions (Quarterly)'!K18</f>
        <v>1439.2945068768</v>
      </c>
      <c r="CH11" s="20" t="n">
        <f aca="false">CH6*'Assumptions (Quarterly)'!L18</f>
        <v>1570.997781056</v>
      </c>
    </row>
    <row r="12" customFormat="false" ht="15" hidden="false" customHeight="true" outlineLevel="0" collapsed="false">
      <c r="A12" s="21" t="s">
        <v>132</v>
      </c>
      <c r="B12" s="22" t="n">
        <f aca="false">B9+B10+B11</f>
        <v>9.781949</v>
      </c>
      <c r="C12" s="22" t="n">
        <f aca="false">C9+C10+C11</f>
        <v>9.965133</v>
      </c>
      <c r="D12" s="22" t="n">
        <f aca="false">D9+D10+D11</f>
        <v>10.170422</v>
      </c>
      <c r="E12" s="22" t="n">
        <f aca="false">E9+E10+E11</f>
        <v>11.620711</v>
      </c>
      <c r="F12" s="22" t="n">
        <f aca="false">F9+F10+F11</f>
        <v>13.435315</v>
      </c>
      <c r="G12" s="22" t="n">
        <f aca="false">G9+G10+G11</f>
        <v>16.280247</v>
      </c>
      <c r="H12" s="22" t="n">
        <f aca="false">H9+H10+H11</f>
        <v>19.422135</v>
      </c>
      <c r="I12" s="22" t="n">
        <f aca="false">I9+I10+I11</f>
        <v>20.430844</v>
      </c>
      <c r="J12" s="22" t="n">
        <f aca="false">J9+J10+J11</f>
        <v>15.830288</v>
      </c>
      <c r="K12" s="22" t="n">
        <f aca="false">K9+K10+K11</f>
        <v>18.920971</v>
      </c>
      <c r="L12" s="22" t="n">
        <f aca="false">L9+L10+L11</f>
        <v>19.894099</v>
      </c>
      <c r="M12" s="22" t="n">
        <f aca="false">M9+M10+M11</f>
        <v>21.226255</v>
      </c>
      <c r="N12" s="22" t="n">
        <f aca="false">N9+N10+N11</f>
        <v>20.810527</v>
      </c>
      <c r="O12" s="22" t="n">
        <f aca="false">O9+O10+O11</f>
        <v>20.540457</v>
      </c>
      <c r="P12" s="22" t="n">
        <f aca="false">P9+P10+P11</f>
        <v>22.284203</v>
      </c>
      <c r="Q12" s="22" t="n">
        <f aca="false">Q9+Q10+Q11</f>
        <v>25.189753</v>
      </c>
      <c r="R12" s="22" t="n">
        <f aca="false">R9+R10+R11</f>
        <v>27.552892</v>
      </c>
      <c r="S12" s="22" t="n">
        <f aca="false">S9+S10+S11</f>
        <v>27.836809</v>
      </c>
      <c r="T12" s="22" t="n">
        <f aca="false">T9+T10+T11</f>
        <v>30.887645</v>
      </c>
      <c r="U12" s="22" t="n">
        <f aca="false">U9+U10+U11</f>
        <v>31.603947</v>
      </c>
      <c r="V12" s="22" t="n">
        <f aca="false">V9+V10+V11</f>
        <v>36.775223</v>
      </c>
      <c r="W12" s="22" t="n">
        <f aca="false">W9+W10+W11</f>
        <v>37.708965</v>
      </c>
      <c r="X12" s="22" t="n">
        <f aca="false">X9+X10+X11</f>
        <v>33.066258</v>
      </c>
      <c r="Y12" s="22" t="n">
        <f aca="false">Y9+Y10+Y11</f>
        <v>37.859492</v>
      </c>
      <c r="Z12" s="22" t="n">
        <f aca="false">Z9+Z10+Z11</f>
        <v>37.223264</v>
      </c>
      <c r="AA12" s="22" t="n">
        <f aca="false">AA9+AA10+AA11</f>
        <v>45.505396</v>
      </c>
      <c r="AB12" s="22" t="n">
        <f aca="false">AB9+AB10+AB11</f>
        <v>45.656854</v>
      </c>
      <c r="AC12" s="22" t="n">
        <f aca="false">AC9+AC10+AC11</f>
        <v>51.511379</v>
      </c>
      <c r="AD12" s="22" t="n">
        <f aca="false">AD9+AD10+AD11</f>
        <v>46.305809</v>
      </c>
      <c r="AE12" s="22" t="n">
        <f aca="false">AE9+AE10+AE11</f>
        <v>49.841</v>
      </c>
      <c r="AF12" s="22" t="n">
        <f aca="false">AF9+AF10+AF11</f>
        <v>101.39</v>
      </c>
      <c r="AG12" s="22" t="n">
        <f aca="false">AG9+AG10+AG11</f>
        <v>57.386</v>
      </c>
      <c r="AH12" s="22" t="n">
        <f aca="false">AH9+AH10+AH11</f>
        <v>68.468</v>
      </c>
      <c r="AI12" s="22" t="n">
        <f aca="false">AI9+AI10+AI11</f>
        <v>77.807</v>
      </c>
      <c r="AJ12" s="22" t="n">
        <f aca="false">AJ9+AJ10+AJ11</f>
        <v>69.366</v>
      </c>
      <c r="AK12" s="22" t="n">
        <f aca="false">AK9+AK10+AK11</f>
        <v>66.548</v>
      </c>
      <c r="AL12" s="22" t="n">
        <f aca="false">AL9+AL10+AL11</f>
        <v>83.878</v>
      </c>
      <c r="AM12" s="22" t="n">
        <f aca="false">AM9+AM10+AM11</f>
        <v>71.693</v>
      </c>
      <c r="AN12" s="22" t="n">
        <f aca="false">AN9+AN10+AN11</f>
        <v>94.111</v>
      </c>
      <c r="AO12" s="22" t="n">
        <f aca="false">AO9+AO10+AO11</f>
        <v>91.939</v>
      </c>
      <c r="AP12" s="22" t="n">
        <f aca="false">AP9+AP10+AP11</f>
        <v>98.058</v>
      </c>
      <c r="AQ12" s="22" t="n">
        <f aca="false">AQ9+AQ10+AQ11</f>
        <v>105.542</v>
      </c>
      <c r="AR12" s="22" t="n">
        <f aca="false">AR9+AR10+AR11</f>
        <v>141.529</v>
      </c>
      <c r="AS12" s="22" t="n">
        <f aca="false">AS9+AS10+AS11</f>
        <v>148.285</v>
      </c>
      <c r="AT12" s="22" t="n">
        <f aca="false">AT9+AT10+AT11</f>
        <v>267.971</v>
      </c>
      <c r="AU12" s="22" t="n">
        <f aca="false">AU9+AU10+AU11</f>
        <v>192.177</v>
      </c>
      <c r="AV12" s="22" t="n">
        <f aca="false">AV9+AV10+AV11</f>
        <v>187.99</v>
      </c>
      <c r="AW12" s="22" t="n">
        <f aca="false">AW9+AW10+AW11</f>
        <v>180.721</v>
      </c>
      <c r="AX12" s="22" t="n">
        <f aca="false">AX9+AX10+AX11</f>
        <v>205.602</v>
      </c>
      <c r="AY12" s="22" t="n">
        <f aca="false">AY9+AY10+AY11</f>
        <v>226.865</v>
      </c>
      <c r="AZ12" s="22" t="n">
        <f aca="false">AZ9+AZ10+AZ11</f>
        <v>284.918</v>
      </c>
      <c r="BA12" s="22" t="n">
        <f aca="false">BA9+BA10+BA11</f>
        <v>366.267</v>
      </c>
      <c r="BB12" s="22" t="n">
        <f aca="false">BB9+BB10+BB11</f>
        <v>377.234</v>
      </c>
      <c r="BC12" s="22" t="n">
        <f aca="false">BC9+BC10+BC11</f>
        <v>342.508</v>
      </c>
      <c r="BD12" s="22" t="n">
        <f aca="false">BD9+BD10+BD11</f>
        <v>327.734</v>
      </c>
      <c r="BE12" s="22" t="n">
        <f aca="false">BE9+BE10+BE11</f>
        <v>397.116</v>
      </c>
      <c r="BF12" s="22" t="n">
        <f aca="false">BF9+BF10+BF11</f>
        <v>513.642</v>
      </c>
      <c r="BG12" s="22" t="n">
        <f aca="false">BG9+BG10+BG11</f>
        <v>500</v>
      </c>
      <c r="BH12" s="22" t="n">
        <f aca="false">BH9+BH10+BH11</f>
        <v>588</v>
      </c>
      <c r="BI12" s="22" t="n">
        <f aca="false">BI9+BI10+BI11</f>
        <v>647</v>
      </c>
      <c r="BJ12" s="22" t="n">
        <f aca="false">BJ9+BJ10+BJ11</f>
        <v>829</v>
      </c>
      <c r="BK12" s="22" t="n">
        <f aca="false">BK9+BK10+BK11</f>
        <v>934</v>
      </c>
      <c r="BL12" s="22" t="n">
        <f aca="false">BL9+BL10+BL11</f>
        <v>1034</v>
      </c>
      <c r="BM12" s="22" t="n">
        <f aca="false">BM9+BM10+BM11</f>
        <v>1052</v>
      </c>
      <c r="BN12" s="22" t="n">
        <f aca="false">BN9+BN10+BN11</f>
        <v>1109</v>
      </c>
      <c r="BO12" s="22" t="n">
        <f aca="false">BO9+BO10+BO11</f>
        <v>1196</v>
      </c>
      <c r="BP12" s="22" t="n">
        <f aca="false">BP9+BP10+BP11</f>
        <v>1162</v>
      </c>
      <c r="BQ12" s="22" t="n">
        <f aca="false">BQ9+BQ10+BQ11</f>
        <v>1310</v>
      </c>
      <c r="BR12" s="22" t="n">
        <f aca="false">BR9+BR10+BR11</f>
        <v>1715</v>
      </c>
      <c r="BS12" s="22" t="n">
        <f aca="false">BS9+BS10+BS11</f>
        <v>1496</v>
      </c>
      <c r="BT12" s="22" t="n">
        <f aca="false">BT9+BT10+BT11</f>
        <v>1639</v>
      </c>
      <c r="BU12" s="22" t="n">
        <f aca="false">BU9+BU10+BU11</f>
        <v>1882</v>
      </c>
      <c r="BV12" s="22" t="n">
        <f aca="false">BV9+BV10+BV11</f>
        <v>1929</v>
      </c>
      <c r="BW12" s="22" t="n">
        <f aca="false">BW9+BW10+BW11</f>
        <v>2008</v>
      </c>
      <c r="BX12" s="22" t="n">
        <f aca="false">BX9+BX10+BX11</f>
        <v>2269</v>
      </c>
      <c r="BY12" s="22" t="n">
        <f aca="false">BY9+BY10+BY11</f>
        <v>2485</v>
      </c>
      <c r="BZ12" s="22" t="n">
        <f aca="false">BZ9+BZ10+BZ11</f>
        <v>2895</v>
      </c>
      <c r="CA12" s="22" t="n">
        <f aca="false">CA9+CA10+CA11</f>
        <v>3251</v>
      </c>
      <c r="CB12" s="22" t="n">
        <f aca="false">CB9+CB10+CB11</f>
        <v>3195.731</v>
      </c>
      <c r="CC12" s="22" t="n">
        <f aca="false">CC9+CC10+CC11</f>
        <v>3467.66819826</v>
      </c>
      <c r="CD12" s="22" t="n">
        <f aca="false">CD9+CD10+CD11</f>
        <v>3892.70821</v>
      </c>
      <c r="CE12" s="22" t="n">
        <f aca="false">CE9+CE10+CE11</f>
        <v>3956.22016</v>
      </c>
      <c r="CF12" s="22" t="n">
        <f aca="false">CF9+CF10+CF11</f>
        <v>3907.0200144</v>
      </c>
      <c r="CG12" s="22" t="n">
        <f aca="false">CG9+CG10+CG11</f>
        <v>4179.0042261072</v>
      </c>
      <c r="CH12" s="22" t="n">
        <f aca="false">CH9+CH10+CH11</f>
        <v>4613.0207571008</v>
      </c>
    </row>
    <row r="13" customFormat="false" ht="15" hidden="false" customHeight="true" outlineLevel="0" collapsed="false">
      <c r="A13" s="21" t="s">
        <v>133</v>
      </c>
      <c r="B13" s="23" t="n">
        <f aca="false">B8-B12</f>
        <v>2.027283</v>
      </c>
      <c r="C13" s="23" t="n">
        <f aca="false">C8-C12</f>
        <v>3.006865</v>
      </c>
      <c r="D13" s="23" t="n">
        <f aca="false">D8-D12</f>
        <v>4.802944</v>
      </c>
      <c r="E13" s="23" t="n">
        <f aca="false">E8-E12</f>
        <v>6.297371</v>
      </c>
      <c r="F13" s="23" t="n">
        <f aca="false">F8-F12</f>
        <v>7.554641</v>
      </c>
      <c r="G13" s="23" t="n">
        <f aca="false">G8-G12</f>
        <v>6.542202</v>
      </c>
      <c r="H13" s="23" t="n">
        <f aca="false">H8-H12</f>
        <v>8.14787000000001</v>
      </c>
      <c r="I13" s="23" t="n">
        <f aca="false">I8-I12</f>
        <v>11.675937</v>
      </c>
      <c r="J13" s="23" t="n">
        <f aca="false">J8-J12</f>
        <v>11.157922</v>
      </c>
      <c r="K13" s="23" t="n">
        <f aca="false">K8-K12</f>
        <v>6.767544</v>
      </c>
      <c r="L13" s="23" t="n">
        <f aca="false">L8-L12</f>
        <v>12.412223</v>
      </c>
      <c r="M13" s="23" t="n">
        <f aca="false">M8-M12</f>
        <v>18.98235</v>
      </c>
      <c r="N13" s="23" t="n">
        <f aca="false">N8-N12</f>
        <v>17.871602</v>
      </c>
      <c r="O13" s="23" t="n">
        <f aca="false">O8-O12</f>
        <v>15.504266</v>
      </c>
      <c r="P13" s="23" t="n">
        <f aca="false">P8-P12</f>
        <v>18.814567</v>
      </c>
      <c r="Q13" s="23" t="n">
        <f aca="false">Q8-Q12</f>
        <v>19.310706</v>
      </c>
      <c r="R13" s="23" t="n">
        <f aca="false">R8-R12</f>
        <v>20.969024</v>
      </c>
      <c r="S13" s="23" t="n">
        <f aca="false">S8-S12</f>
        <v>19.291156</v>
      </c>
      <c r="T13" s="23" t="n">
        <f aca="false">T8-T12</f>
        <v>21.551397</v>
      </c>
      <c r="U13" s="23" t="n">
        <f aca="false">U8-U12</f>
        <v>29.963723</v>
      </c>
      <c r="V13" s="23" t="n">
        <f aca="false">V8-V12</f>
        <v>28.96589</v>
      </c>
      <c r="W13" s="23" t="n">
        <f aca="false">W8-W12</f>
        <v>24.930744</v>
      </c>
      <c r="X13" s="23" t="n">
        <f aca="false">X8-X12</f>
        <v>31.88492</v>
      </c>
      <c r="Y13" s="23" t="n">
        <f aca="false">Y8-Y12</f>
        <v>33.713687</v>
      </c>
      <c r="Z13" s="23" t="n">
        <f aca="false">Z8-Z12</f>
        <v>39.12852</v>
      </c>
      <c r="AA13" s="23" t="n">
        <f aca="false">AA8-AA12</f>
        <v>28.571184</v>
      </c>
      <c r="AB13" s="23" t="n">
        <f aca="false">AB8-AB12</f>
        <v>35.449295</v>
      </c>
      <c r="AC13" s="23" t="n">
        <f aca="false">AC8-AC12</f>
        <v>37.399063</v>
      </c>
      <c r="AD13" s="23" t="n">
        <f aca="false">AD8-AD12</f>
        <v>52.119021</v>
      </c>
      <c r="AE13" s="23" t="n">
        <f aca="false">AE8-AE12</f>
        <v>34.001</v>
      </c>
      <c r="AF13" s="23" t="n">
        <f aca="false">AF8-AF12</f>
        <v>-5.91300000000001</v>
      </c>
      <c r="AG13" s="23" t="n">
        <f aca="false">AG8-AG12</f>
        <v>47.147</v>
      </c>
      <c r="AH13" s="23" t="n">
        <f aca="false">AH8-AH12</f>
        <v>45.237</v>
      </c>
      <c r="AI13" s="23" t="n">
        <f aca="false">AI8-AI12</f>
        <v>25.588</v>
      </c>
      <c r="AJ13" s="23" t="n">
        <f aca="false">AJ8-AJ12</f>
        <v>34.637</v>
      </c>
      <c r="AK13" s="23" t="n">
        <f aca="false">AK8-AK12</f>
        <v>45.28</v>
      </c>
      <c r="AL13" s="23" t="n">
        <f aca="false">AL8-AL12</f>
        <v>33.692</v>
      </c>
      <c r="AM13" s="23" t="n">
        <f aca="false">AM8-AM12</f>
        <v>30.489</v>
      </c>
      <c r="AN13" s="23" t="n">
        <f aca="false">AN8-AN12</f>
        <v>32.187</v>
      </c>
      <c r="AO13" s="23" t="n">
        <f aca="false">AO8-AO12</f>
        <v>53.709</v>
      </c>
      <c r="AP13" s="23" t="n">
        <f aca="false">AP8-AP12</f>
        <v>64.672</v>
      </c>
      <c r="AQ13" s="23" t="n">
        <f aca="false">AQ8-AQ12</f>
        <v>63.314</v>
      </c>
      <c r="AR13" s="23" t="n">
        <f aca="false">AR8-AR12</f>
        <v>30.025</v>
      </c>
      <c r="AS13" s="23" t="n">
        <f aca="false">AS8-AS12</f>
        <v>27.542</v>
      </c>
      <c r="AT13" s="23" t="n">
        <f aca="false">AT8-AT12</f>
        <v>-64.609</v>
      </c>
      <c r="AU13" s="23" t="n">
        <f aca="false">AU8-AU12</f>
        <v>-29.419</v>
      </c>
      <c r="AV13" s="23" t="n">
        <f aca="false">AV8-AV12</f>
        <v>-28.242</v>
      </c>
      <c r="AW13" s="23" t="n">
        <f aca="false">AW8-AW12</f>
        <v>-11.003</v>
      </c>
      <c r="AX13" s="23" t="n">
        <f aca="false">AX8-AX12</f>
        <v>-0.817999999999984</v>
      </c>
      <c r="AY13" s="23" t="n">
        <f aca="false">AY8-AY12</f>
        <v>10.139</v>
      </c>
      <c r="AZ13" s="23" t="n">
        <f aca="false">AZ8-AZ12</f>
        <v>-12.4880000000001</v>
      </c>
      <c r="BA13" s="23" t="n">
        <f aca="false">BA8-BA12</f>
        <v>-81.9250000000001</v>
      </c>
      <c r="BB13" s="23" t="n">
        <f aca="false">BB8-BB12</f>
        <v>-68.887</v>
      </c>
      <c r="BC13" s="23" t="n">
        <f aca="false">BC8-BC12</f>
        <v>-29.694</v>
      </c>
      <c r="BD13" s="23" t="n">
        <f aca="false">BD8-BD12</f>
        <v>99.4380000000001</v>
      </c>
      <c r="BE13" s="23" t="n">
        <f aca="false">BE8-BE12</f>
        <v>83.0740000000001</v>
      </c>
      <c r="BF13" s="23" t="n">
        <f aca="false">BF8-BF12</f>
        <v>-24.8180000000001</v>
      </c>
      <c r="BG13" s="23" t="n">
        <f aca="false">BG8-BG12</f>
        <v>91</v>
      </c>
      <c r="BH13" s="23" t="n">
        <f aca="false">BH8-BH12</f>
        <v>166</v>
      </c>
      <c r="BI13" s="23" t="n">
        <f aca="false">BI8-BI12</f>
        <v>160</v>
      </c>
      <c r="BJ13" s="23" t="n">
        <f aca="false">BJ8-BJ12</f>
        <v>24</v>
      </c>
      <c r="BK13" s="23" t="n">
        <f aca="false">BK8-BK12</f>
        <v>139</v>
      </c>
      <c r="BL13" s="23" t="n">
        <f aca="false">BL8-BL12</f>
        <v>250</v>
      </c>
      <c r="BM13" s="23" t="n">
        <f aca="false">BM8-BM12</f>
        <v>296</v>
      </c>
      <c r="BN13" s="23" t="n">
        <f aca="false">BN8-BN12</f>
        <v>384</v>
      </c>
      <c r="BO13" s="23" t="n">
        <f aca="false">BO8-BO12</f>
        <v>418</v>
      </c>
      <c r="BP13" s="23" t="n">
        <f aca="false">BP8-BP12</f>
        <v>669</v>
      </c>
      <c r="BQ13" s="23" t="n">
        <f aca="false">BQ8-BQ12</f>
        <v>785</v>
      </c>
      <c r="BR13" s="23" t="n">
        <f aca="false">BR8-BR12</f>
        <v>335</v>
      </c>
      <c r="BS13" s="23" t="n">
        <f aca="false">BS8-BS12</f>
        <v>528</v>
      </c>
      <c r="BT13" s="23" t="n">
        <f aca="false">BT8-BT12</f>
        <v>726</v>
      </c>
      <c r="BU13" s="23" t="n">
        <f aca="false">BU8-BU12</f>
        <v>557</v>
      </c>
      <c r="BV13" s="23" t="n">
        <f aca="false">BV8-BV12</f>
        <v>820</v>
      </c>
      <c r="BW13" s="23" t="n">
        <f aca="false">BW8-BW12</f>
        <v>763</v>
      </c>
      <c r="BX13" s="23" t="n">
        <f aca="false">BX8-BX12</f>
        <v>825</v>
      </c>
      <c r="BY13" s="23" t="n">
        <f aca="false">BY8-BY12</f>
        <v>724</v>
      </c>
      <c r="BZ13" s="23" t="n">
        <f aca="false">BZ8-BZ12</f>
        <v>889</v>
      </c>
      <c r="CA13" s="23" t="n">
        <f aca="false">CA8-CA12</f>
        <v>611</v>
      </c>
      <c r="CB13" s="23" t="n">
        <f aca="false">CB8-CB12</f>
        <v>821.7594</v>
      </c>
      <c r="CC13" s="23" t="n">
        <f aca="false">CC8-CC12</f>
        <v>1000.87216218</v>
      </c>
      <c r="CD13" s="23" t="n">
        <f aca="false">CD8-CD12</f>
        <v>1293.684465</v>
      </c>
      <c r="CE13" s="23" t="n">
        <f aca="false">CE8-CE12</f>
        <v>1104.06144</v>
      </c>
      <c r="CF13" s="23" t="n">
        <f aca="false">CF8-CF12</f>
        <v>1228.9143072</v>
      </c>
      <c r="CG13" s="23" t="n">
        <f aca="false">CG8-CG12</f>
        <v>1439.2945068768</v>
      </c>
      <c r="CH13" s="23" t="n">
        <f aca="false">CH8-CH12</f>
        <v>1785.2247512</v>
      </c>
    </row>
    <row r="14" customFormat="false" ht="15" hidden="false" customHeight="true" outlineLevel="0" collapsed="false">
      <c r="A14" s="17" t="s">
        <v>134</v>
      </c>
      <c r="B14" s="18" t="n">
        <v>0.465986</v>
      </c>
      <c r="C14" s="18" t="n">
        <v>0.535861</v>
      </c>
      <c r="D14" s="18" t="n">
        <v>0.451783</v>
      </c>
      <c r="E14" s="18" t="n">
        <v>0.700631</v>
      </c>
      <c r="F14" s="18" t="n">
        <v>1.049626</v>
      </c>
      <c r="G14" s="18" t="n">
        <v>1.3628</v>
      </c>
      <c r="H14" s="18" t="n">
        <v>0.958348</v>
      </c>
      <c r="I14" s="18" t="n">
        <v>1.132524</v>
      </c>
      <c r="J14" s="18" t="n">
        <v>4.988756</v>
      </c>
      <c r="K14" s="18" t="n">
        <v>2.510184</v>
      </c>
      <c r="L14" s="18" t="n">
        <v>3.334589</v>
      </c>
      <c r="M14" s="18" t="n">
        <v>3.87323</v>
      </c>
      <c r="N14" s="18" t="n">
        <v>3.639551</v>
      </c>
      <c r="O14" s="18" t="n">
        <v>2.995418</v>
      </c>
      <c r="P14" s="18" t="n">
        <v>3.355921</v>
      </c>
      <c r="Q14" s="18" t="n">
        <v>0.567969</v>
      </c>
      <c r="R14" s="18" t="n">
        <v>0.682364</v>
      </c>
      <c r="S14" s="18" t="n">
        <v>0.62895</v>
      </c>
      <c r="T14" s="18" t="n">
        <v>0.880819</v>
      </c>
      <c r="U14" s="18" t="n">
        <v>1.052865</v>
      </c>
      <c r="V14" s="18" t="n">
        <v>1.0861</v>
      </c>
      <c r="W14" s="18" t="n">
        <v>0.077317</v>
      </c>
      <c r="X14" s="18" t="n">
        <v>0.4743</v>
      </c>
      <c r="Y14" s="18" t="n">
        <v>0.31286</v>
      </c>
      <c r="Z14" s="18" t="n">
        <v>0.273902</v>
      </c>
      <c r="AA14" s="18" t="n">
        <v>0.360352</v>
      </c>
      <c r="AB14" s="18" t="n">
        <v>0.531668</v>
      </c>
      <c r="AC14" s="18" t="n">
        <v>0.487496</v>
      </c>
      <c r="AD14" s="18" t="n">
        <v>0.976484</v>
      </c>
      <c r="AE14" s="18" t="n">
        <v>1.027</v>
      </c>
      <c r="AF14" s="18" t="n">
        <v>0.778</v>
      </c>
      <c r="AG14" s="18" t="n">
        <v>4.913</v>
      </c>
      <c r="AH14" s="18" t="n">
        <v>4.941</v>
      </c>
      <c r="AI14" s="18" t="n">
        <v>4.95</v>
      </c>
      <c r="AJ14" s="18" t="n">
        <v>5.201</v>
      </c>
      <c r="AK14" s="18" t="n">
        <v>6.011</v>
      </c>
      <c r="AL14" s="18" t="n">
        <v>4.229</v>
      </c>
      <c r="AM14" s="18" t="n">
        <v>5.684</v>
      </c>
      <c r="AN14" s="18" t="n">
        <v>6.631</v>
      </c>
      <c r="AO14" s="18" t="n">
        <v>6.492</v>
      </c>
      <c r="AP14" s="18" t="n">
        <v>6.798</v>
      </c>
      <c r="AQ14" s="18" t="n">
        <v>6.471</v>
      </c>
      <c r="AR14" s="18" t="n">
        <v>6.506</v>
      </c>
      <c r="AS14" s="18" t="n">
        <v>6.709</v>
      </c>
      <c r="AT14" s="18" t="n">
        <v>6.783</v>
      </c>
      <c r="AU14" s="18" t="n">
        <v>10.734</v>
      </c>
      <c r="AV14" s="18" t="n">
        <v>13.202</v>
      </c>
      <c r="AW14" s="18" t="n">
        <v>15.869</v>
      </c>
      <c r="AX14" s="18" t="n">
        <v>16.444</v>
      </c>
      <c r="AY14" s="18" t="n">
        <v>15.559</v>
      </c>
      <c r="AZ14" s="18" t="n">
        <v>14.679</v>
      </c>
      <c r="BA14" s="18" t="n">
        <v>14.451</v>
      </c>
      <c r="BB14" s="18" t="n">
        <v>21.187</v>
      </c>
      <c r="BC14" s="18" t="n">
        <v>23.584</v>
      </c>
      <c r="BD14" s="18" t="n">
        <v>26.977</v>
      </c>
      <c r="BE14" s="18" t="n">
        <v>24.522</v>
      </c>
      <c r="BF14" s="18" t="n">
        <v>31.917</v>
      </c>
      <c r="BG14" s="18" t="n">
        <v>91</v>
      </c>
      <c r="BH14" s="18" t="n">
        <v>40</v>
      </c>
      <c r="BI14" s="18" t="n">
        <v>44</v>
      </c>
      <c r="BJ14" s="18" t="n">
        <v>54</v>
      </c>
      <c r="BK14" s="18" t="n">
        <v>56</v>
      </c>
      <c r="BL14" s="18" t="n">
        <v>73</v>
      </c>
      <c r="BM14" s="18" t="n">
        <v>92</v>
      </c>
      <c r="BN14" s="18" t="n">
        <v>-86</v>
      </c>
      <c r="BO14" s="18" t="n">
        <v>34</v>
      </c>
      <c r="BP14" s="18" t="n">
        <v>49</v>
      </c>
      <c r="BQ14" s="18" t="n">
        <v>53</v>
      </c>
      <c r="BR14" s="18" t="n">
        <v>38</v>
      </c>
      <c r="BS14" s="18" t="n">
        <v>38</v>
      </c>
      <c r="BT14" s="18" t="n">
        <v>39</v>
      </c>
      <c r="BU14" s="18" t="n">
        <v>40</v>
      </c>
      <c r="BV14" s="18" t="n">
        <v>48</v>
      </c>
      <c r="BW14" s="18" t="n">
        <v>39</v>
      </c>
      <c r="BX14" s="18" t="n">
        <v>36</v>
      </c>
      <c r="BY14" s="18" t="n">
        <v>35</v>
      </c>
      <c r="BZ14" s="18" t="n">
        <v>50</v>
      </c>
      <c r="CA14" s="19" t="n">
        <v>65</v>
      </c>
      <c r="CB14" s="20" t="n">
        <f aca="false">CB6*'Assumptions (Quarterly)'!F19+'Assumptions (Quarterly)'!F23*0</f>
        <v>63.91462</v>
      </c>
      <c r="CC14" s="20" t="n">
        <f aca="false">CC6*'Assumptions (Quarterly)'!G19+'Assumptions (Quarterly)'!G23*CB93</f>
        <v>70.76873874</v>
      </c>
      <c r="CD14" s="20" t="n">
        <f aca="false">CD6*'Assumptions (Quarterly)'!H19+'Assumptions (Quarterly)'!H23*CC93</f>
        <v>81.583705</v>
      </c>
      <c r="CE14" s="20" t="n">
        <f aca="false">CE6*'Assumptions (Quarterly)'!I19+'Assumptions (Quarterly)'!I23*CD93</f>
        <v>80.50448</v>
      </c>
      <c r="CF14" s="20" t="n">
        <f aca="false">CF6*'Assumptions (Quarterly)'!J19+'Assumptions (Quarterly)'!J23*CE93</f>
        <v>81.1547184</v>
      </c>
      <c r="CG14" s="20" t="n">
        <f aca="false">CG6*'Assumptions (Quarterly)'!K19+'Assumptions (Quarterly)'!K23*CF93</f>
        <v>75.7523424672</v>
      </c>
      <c r="CH14" s="20" t="n">
        <f aca="false">CH6*'Assumptions (Quarterly)'!L19+'Assumptions (Quarterly)'!L23*CG93</f>
        <v>85.6907880576</v>
      </c>
    </row>
    <row r="15" customFormat="false" ht="15" hidden="false" customHeight="true" outlineLevel="0" collapsed="false">
      <c r="A15" s="17" t="s">
        <v>135</v>
      </c>
      <c r="B15" s="18" t="n">
        <v>0.056983</v>
      </c>
      <c r="C15" s="18" t="n">
        <v>0.591695</v>
      </c>
      <c r="D15" s="18" t="n">
        <v>1.939297</v>
      </c>
      <c r="E15" s="18" t="n">
        <v>1.409738</v>
      </c>
      <c r="F15" s="18" t="n">
        <v>0.562799</v>
      </c>
      <c r="G15" s="18" t="n">
        <v>0.239361</v>
      </c>
      <c r="H15" s="18" t="n">
        <v>1.779777</v>
      </c>
      <c r="I15" s="18" t="n">
        <v>2.278858</v>
      </c>
      <c r="J15" s="18" t="n">
        <v>-4.662396</v>
      </c>
      <c r="K15" s="18" t="n">
        <v>-2.805149</v>
      </c>
      <c r="L15" s="18" t="n">
        <v>0.744099</v>
      </c>
      <c r="M15" s="18" t="n">
        <v>2.719595</v>
      </c>
      <c r="N15" s="18" t="n">
        <v>-0.695178</v>
      </c>
      <c r="O15" s="18" t="n">
        <v>-1.191114</v>
      </c>
      <c r="P15" s="18" t="n">
        <v>-0.88191</v>
      </c>
      <c r="Q15" s="18" t="n">
        <v>-1.00768</v>
      </c>
      <c r="R15" s="18" t="n">
        <v>-1.788066</v>
      </c>
      <c r="S15" s="18" t="n">
        <v>-1.393457</v>
      </c>
      <c r="T15" s="18" t="n">
        <v>-1.787281</v>
      </c>
      <c r="U15" s="18" t="n">
        <v>-6.189972</v>
      </c>
      <c r="V15" s="18" t="n">
        <v>-2.94573</v>
      </c>
      <c r="W15" s="18" t="n">
        <v>-2.048902</v>
      </c>
      <c r="X15" s="18" t="n">
        <v>-3.70867</v>
      </c>
      <c r="Y15" s="18" t="n">
        <v>-2.527873</v>
      </c>
      <c r="Z15" s="18" t="n">
        <v>-3.313741</v>
      </c>
      <c r="AA15" s="18" t="n">
        <v>2.901779</v>
      </c>
      <c r="AB15" s="18" t="n">
        <v>-5.762196</v>
      </c>
      <c r="AC15" s="18" t="n">
        <v>-4.448093</v>
      </c>
      <c r="AD15" s="18" t="n">
        <v>-4.598487</v>
      </c>
      <c r="AE15" s="18" t="n">
        <v>-6.065</v>
      </c>
      <c r="AF15" s="18" t="n">
        <v>12.398</v>
      </c>
      <c r="AG15" s="18" t="n">
        <v>-9.594</v>
      </c>
      <c r="AH15" s="18" t="n">
        <v>-9.65</v>
      </c>
      <c r="AI15" s="18" t="n">
        <v>4.262</v>
      </c>
      <c r="AJ15" s="18" t="n">
        <v>-4.035</v>
      </c>
      <c r="AK15" s="18" t="n">
        <v>-8.347</v>
      </c>
      <c r="AL15" s="18" t="n">
        <v>-23.565</v>
      </c>
      <c r="AM15" s="18" t="n">
        <v>-12.398</v>
      </c>
      <c r="AN15" s="18" t="n">
        <v>-2.662</v>
      </c>
      <c r="AO15" s="18" t="n">
        <v>-5.069</v>
      </c>
      <c r="AP15" s="18" t="n">
        <v>-9.747</v>
      </c>
      <c r="AQ15" s="18" t="n">
        <v>-12.82</v>
      </c>
      <c r="AR15" s="18" t="n">
        <v>11.097</v>
      </c>
      <c r="AS15" s="18" t="n">
        <v>-15.822</v>
      </c>
      <c r="AT15" s="18" t="n">
        <v>-6.721</v>
      </c>
      <c r="AU15" s="18" t="n">
        <v>-14.796</v>
      </c>
      <c r="AV15" s="18" t="n">
        <v>-22.492</v>
      </c>
      <c r="AW15" s="18" t="n">
        <v>-12.56</v>
      </c>
      <c r="AX15" s="18" t="n">
        <v>-10.431</v>
      </c>
      <c r="AY15" s="18" t="n">
        <v>-20.775</v>
      </c>
      <c r="AZ15" s="18" t="n">
        <v>-34.467</v>
      </c>
      <c r="BA15" s="18" t="n">
        <v>-29.449</v>
      </c>
      <c r="BB15" s="18" t="n">
        <v>-27.1</v>
      </c>
      <c r="BC15" s="18" t="n">
        <v>-36.598</v>
      </c>
      <c r="BD15" s="18" t="n">
        <v>-16.879</v>
      </c>
      <c r="BE15" s="18" t="n">
        <v>5.882</v>
      </c>
      <c r="BF15" s="18" t="n">
        <v>-12.405</v>
      </c>
      <c r="BG15" s="18" t="n">
        <v>-10</v>
      </c>
      <c r="BH15" s="18" t="n">
        <v>-12</v>
      </c>
      <c r="BI15" s="18" t="n">
        <v>-10</v>
      </c>
      <c r="BJ15" s="18" t="n">
        <v>12</v>
      </c>
      <c r="BK15" s="18" t="n">
        <v>-28</v>
      </c>
      <c r="BL15" s="18" t="n">
        <v>15</v>
      </c>
      <c r="BM15" s="18" t="n">
        <v>6</v>
      </c>
      <c r="BN15" s="18" t="n">
        <v>161</v>
      </c>
      <c r="BO15" s="18" t="n">
        <v>61</v>
      </c>
      <c r="BP15" s="18" t="n">
        <v>148</v>
      </c>
      <c r="BQ15" s="18" t="n">
        <v>201</v>
      </c>
      <c r="BR15" s="18" t="n">
        <v>67</v>
      </c>
      <c r="BS15" s="18" t="n">
        <v>9</v>
      </c>
      <c r="BT15" s="18" t="n">
        <v>19</v>
      </c>
      <c r="BU15" s="18" t="n">
        <v>-3</v>
      </c>
      <c r="BV15" s="18" t="n">
        <v>9</v>
      </c>
      <c r="BW15" s="18" t="n">
        <v>18</v>
      </c>
      <c r="BX15" s="18" t="n">
        <v>73</v>
      </c>
      <c r="BY15" s="18" t="n">
        <v>53</v>
      </c>
      <c r="BZ15" s="18" t="n">
        <v>55</v>
      </c>
      <c r="CA15" s="19" t="n">
        <v>-33</v>
      </c>
      <c r="CB15" s="20" t="n">
        <f aca="false">CB6*'Assumptions (Quarterly)'!F20</f>
        <v>45.6533</v>
      </c>
      <c r="CC15" s="20" t="n">
        <f aca="false">CC6*'Assumptions (Quarterly)'!G20</f>
        <v>50.5490991</v>
      </c>
      <c r="CD15" s="20" t="n">
        <f aca="false">CD6*'Assumptions (Quarterly)'!H20</f>
        <v>58.274075</v>
      </c>
      <c r="CE15" s="20" t="n">
        <f aca="false">CE6*'Assumptions (Quarterly)'!I20</f>
        <v>57.5032</v>
      </c>
      <c r="CF15" s="20" t="n">
        <f aca="false">CF6*'Assumptions (Quarterly)'!J20</f>
        <v>57.967656</v>
      </c>
      <c r="CG15" s="20" t="n">
        <f aca="false">CG6*'Assumptions (Quarterly)'!K20</f>
        <v>63.126952056</v>
      </c>
      <c r="CH15" s="20" t="n">
        <f aca="false">CH6*'Assumptions (Quarterly)'!L20</f>
        <v>71.408990048</v>
      </c>
    </row>
    <row r="16" customFormat="false" ht="15" hidden="false" customHeight="true" outlineLevel="0" collapsed="false">
      <c r="A16" s="21" t="s">
        <v>136</v>
      </c>
      <c r="B16" s="22" t="n">
        <f aca="false">B13-B14-B15</f>
        <v>1.504314</v>
      </c>
      <c r="C16" s="22" t="n">
        <f aca="false">C13-C14-C15</f>
        <v>1.879309</v>
      </c>
      <c r="D16" s="22" t="n">
        <f aca="false">D13-D14-D15</f>
        <v>2.411864</v>
      </c>
      <c r="E16" s="22" t="n">
        <f aca="false">E13-E14-E15</f>
        <v>4.187002</v>
      </c>
      <c r="F16" s="22" t="n">
        <f aca="false">F13-F14-F15</f>
        <v>5.942216</v>
      </c>
      <c r="G16" s="22" t="n">
        <f aca="false">G13-G14-G15</f>
        <v>4.940041</v>
      </c>
      <c r="H16" s="22" t="n">
        <f aca="false">H13-H14-H15</f>
        <v>5.409745</v>
      </c>
      <c r="I16" s="22" t="n">
        <f aca="false">I13-I14-I15</f>
        <v>8.264555</v>
      </c>
      <c r="J16" s="22" t="n">
        <f aca="false">J13-J14-J15</f>
        <v>10.831562</v>
      </c>
      <c r="K16" s="22" t="n">
        <f aca="false">K13-K14-K15</f>
        <v>7.062509</v>
      </c>
      <c r="L16" s="22" t="n">
        <f aca="false">L13-L14-L15</f>
        <v>8.333535</v>
      </c>
      <c r="M16" s="22" t="n">
        <f aca="false">M13-M14-M15</f>
        <v>12.389525</v>
      </c>
      <c r="N16" s="22" t="n">
        <f aca="false">N13-N14-N15</f>
        <v>14.927229</v>
      </c>
      <c r="O16" s="22" t="n">
        <f aca="false">O13-O14-O15</f>
        <v>13.699962</v>
      </c>
      <c r="P16" s="22" t="n">
        <f aca="false">P13-P14-P15</f>
        <v>16.340556</v>
      </c>
      <c r="Q16" s="22" t="n">
        <f aca="false">Q13-Q14-Q15</f>
        <v>19.750417</v>
      </c>
      <c r="R16" s="22" t="n">
        <f aca="false">R13-R14-R15</f>
        <v>22.074726</v>
      </c>
      <c r="S16" s="22" t="n">
        <f aca="false">S13-S14-S15</f>
        <v>20.055663</v>
      </c>
      <c r="T16" s="22" t="n">
        <f aca="false">T13-T14-T15</f>
        <v>22.457859</v>
      </c>
      <c r="U16" s="22" t="n">
        <f aca="false">U13-U14-U15</f>
        <v>35.10083</v>
      </c>
      <c r="V16" s="22" t="n">
        <f aca="false">V13-V14-V15</f>
        <v>30.82552</v>
      </c>
      <c r="W16" s="22" t="n">
        <f aca="false">W13-W14-W15</f>
        <v>26.902329</v>
      </c>
      <c r="X16" s="22" t="n">
        <f aca="false">X13-X14-X15</f>
        <v>35.11929</v>
      </c>
      <c r="Y16" s="22" t="n">
        <f aca="false">Y13-Y14-Y15</f>
        <v>35.9287</v>
      </c>
      <c r="Z16" s="22" t="n">
        <f aca="false">Z13-Z14-Z15</f>
        <v>42.168359</v>
      </c>
      <c r="AA16" s="22" t="n">
        <f aca="false">AA13-AA14-AA15</f>
        <v>25.309053</v>
      </c>
      <c r="AB16" s="22" t="n">
        <f aca="false">AB13-AB14-AB15</f>
        <v>40.679823</v>
      </c>
      <c r="AC16" s="22" t="n">
        <f aca="false">AC13-AC14-AC15</f>
        <v>41.35966</v>
      </c>
      <c r="AD16" s="22" t="n">
        <f aca="false">AD13-AD14-AD15</f>
        <v>55.741024</v>
      </c>
      <c r="AE16" s="22" t="n">
        <f aca="false">AE13-AE14-AE15</f>
        <v>39.039</v>
      </c>
      <c r="AF16" s="22" t="n">
        <f aca="false">AF13-AF14-AF15</f>
        <v>-19.089</v>
      </c>
      <c r="AG16" s="22" t="n">
        <f aca="false">AG13-AG14-AG15</f>
        <v>51.828</v>
      </c>
      <c r="AH16" s="22" t="n">
        <f aca="false">AH13-AH14-AH15</f>
        <v>49.946</v>
      </c>
      <c r="AI16" s="22" t="n">
        <f aca="false">AI13-AI14-AI15</f>
        <v>16.376</v>
      </c>
      <c r="AJ16" s="22" t="n">
        <f aca="false">AJ13-AJ14-AJ15</f>
        <v>33.471</v>
      </c>
      <c r="AK16" s="22" t="n">
        <f aca="false">AK13-AK14-AK15</f>
        <v>47.616</v>
      </c>
      <c r="AL16" s="22" t="n">
        <f aca="false">AL13-AL14-AL15</f>
        <v>53.028</v>
      </c>
      <c r="AM16" s="22" t="n">
        <f aca="false">AM13-AM14-AM15</f>
        <v>37.203</v>
      </c>
      <c r="AN16" s="22" t="n">
        <f aca="false">AN13-AN14-AN15</f>
        <v>28.218</v>
      </c>
      <c r="AO16" s="22" t="n">
        <f aca="false">AO13-AO14-AO15</f>
        <v>52.286</v>
      </c>
      <c r="AP16" s="22" t="n">
        <f aca="false">AP13-AP14-AP15</f>
        <v>67.621</v>
      </c>
      <c r="AQ16" s="22" t="n">
        <f aca="false">AQ13-AQ14-AQ15</f>
        <v>69.663</v>
      </c>
      <c r="AR16" s="22" t="n">
        <f aca="false">AR13-AR14-AR15</f>
        <v>12.422</v>
      </c>
      <c r="AS16" s="22" t="n">
        <f aca="false">AS13-AS14-AS15</f>
        <v>36.655</v>
      </c>
      <c r="AT16" s="22" t="n">
        <f aca="false">AT13-AT14-AT15</f>
        <v>-64.671</v>
      </c>
      <c r="AU16" s="22" t="n">
        <f aca="false">AU13-AU14-AU15</f>
        <v>-25.357</v>
      </c>
      <c r="AV16" s="22" t="n">
        <f aca="false">AV13-AV14-AV15</f>
        <v>-18.952</v>
      </c>
      <c r="AW16" s="22" t="n">
        <f aca="false">AW13-AW14-AW15</f>
        <v>-14.312</v>
      </c>
      <c r="AX16" s="22" t="n">
        <f aca="false">AX13-AX14-AX15</f>
        <v>-6.83099999999998</v>
      </c>
      <c r="AY16" s="22" t="n">
        <f aca="false">AY13-AY14-AY15</f>
        <v>15.355</v>
      </c>
      <c r="AZ16" s="22" t="n">
        <f aca="false">AZ13-AZ14-AZ15</f>
        <v>7.29999999999994</v>
      </c>
      <c r="BA16" s="22" t="n">
        <f aca="false">BA13-BA14-BA15</f>
        <v>-66.9270000000001</v>
      </c>
      <c r="BB16" s="22" t="n">
        <f aca="false">BB13-BB14-BB15</f>
        <v>-62.974</v>
      </c>
      <c r="BC16" s="22" t="n">
        <f aca="false">BC13-BC14-BC15</f>
        <v>-16.68</v>
      </c>
      <c r="BD16" s="22" t="n">
        <f aca="false">BD13-BD14-BD15</f>
        <v>89.3400000000001</v>
      </c>
      <c r="BE16" s="22" t="n">
        <f aca="false">BE13-BE14-BE15</f>
        <v>52.6700000000001</v>
      </c>
      <c r="BF16" s="22" t="n">
        <f aca="false">BF13-BF14-BF15</f>
        <v>-44.3300000000001</v>
      </c>
      <c r="BG16" s="22" t="n">
        <f aca="false">BG13-BG14-BG15</f>
        <v>10</v>
      </c>
      <c r="BH16" s="22" t="n">
        <f aca="false">BH13-BH14-BH15</f>
        <v>138</v>
      </c>
      <c r="BI16" s="22" t="n">
        <f aca="false">BI13-BI14-BI15</f>
        <v>126</v>
      </c>
      <c r="BJ16" s="22" t="n">
        <f aca="false">BJ13-BJ14-BJ15</f>
        <v>-42</v>
      </c>
      <c r="BK16" s="22" t="n">
        <f aca="false">BK13-BK14-BK15</f>
        <v>111</v>
      </c>
      <c r="BL16" s="22" t="n">
        <f aca="false">BL13-BL14-BL15</f>
        <v>162</v>
      </c>
      <c r="BM16" s="22" t="n">
        <f aca="false">BM13-BM14-BM15</f>
        <v>198</v>
      </c>
      <c r="BN16" s="22" t="n">
        <f aca="false">BN13-BN14-BN15</f>
        <v>309</v>
      </c>
      <c r="BO16" s="22" t="n">
        <f aca="false">BO13-BO14-BO15</f>
        <v>323</v>
      </c>
      <c r="BP16" s="22" t="n">
        <f aca="false">BP13-BP14-BP15</f>
        <v>472</v>
      </c>
      <c r="BQ16" s="22" t="n">
        <f aca="false">BQ13-BQ14-BQ15</f>
        <v>531</v>
      </c>
      <c r="BR16" s="22" t="n">
        <f aca="false">BR13-BR14-BR15</f>
        <v>230</v>
      </c>
      <c r="BS16" s="22" t="n">
        <f aca="false">BS13-BS14-BS15</f>
        <v>481</v>
      </c>
      <c r="BT16" s="22" t="n">
        <f aca="false">BT13-BT14-BT15</f>
        <v>668</v>
      </c>
      <c r="BU16" s="22" t="n">
        <f aca="false">BU13-BU14-BU15</f>
        <v>520</v>
      </c>
      <c r="BV16" s="22" t="n">
        <f aca="false">BV13-BV14-BV15</f>
        <v>763</v>
      </c>
      <c r="BW16" s="22" t="n">
        <f aca="false">BW13-BW14-BW15</f>
        <v>706</v>
      </c>
      <c r="BX16" s="22" t="n">
        <f aca="false">BX13-BX14-BX15</f>
        <v>716</v>
      </c>
      <c r="BY16" s="22" t="n">
        <f aca="false">BY13-BY14-BY15</f>
        <v>636</v>
      </c>
      <c r="BZ16" s="22" t="n">
        <f aca="false">BZ13-BZ14-BZ15</f>
        <v>784</v>
      </c>
      <c r="CA16" s="22" t="n">
        <f aca="false">CA13-CA14-CA15</f>
        <v>579</v>
      </c>
      <c r="CB16" s="22" t="n">
        <f aca="false">CB13-CB14-CB15</f>
        <v>712.19148</v>
      </c>
      <c r="CC16" s="22" t="n">
        <f aca="false">CC13-CC14-CC15</f>
        <v>879.55432434</v>
      </c>
      <c r="CD16" s="22" t="n">
        <f aca="false">CD13-CD14-CD15</f>
        <v>1153.826685</v>
      </c>
      <c r="CE16" s="22" t="n">
        <f aca="false">CE13-CE14-CE15</f>
        <v>966.053759999999</v>
      </c>
      <c r="CF16" s="22" t="n">
        <f aca="false">CF13-CF14-CF15</f>
        <v>1089.7919328</v>
      </c>
      <c r="CG16" s="22" t="n">
        <f aca="false">CG13-CG14-CG15</f>
        <v>1300.4152123536</v>
      </c>
      <c r="CH16" s="22" t="n">
        <f aca="false">CH13-CH14-CH15</f>
        <v>1628.1249730944</v>
      </c>
    </row>
    <row r="17" customFormat="false" ht="15" hidden="false" customHeight="true" outlineLevel="0" collapsed="false">
      <c r="A17" s="17" t="s">
        <v>137</v>
      </c>
      <c r="B17" s="18" t="n">
        <v>-0.340772</v>
      </c>
      <c r="C17" s="18" t="n">
        <v>0.885122</v>
      </c>
      <c r="D17" s="18" t="n">
        <v>1.820978</v>
      </c>
      <c r="E17" s="18" t="n">
        <v>1.401528</v>
      </c>
      <c r="F17" s="18" t="n">
        <v>0.619823</v>
      </c>
      <c r="G17" s="18" t="n">
        <v>2.872364</v>
      </c>
      <c r="H17" s="18" t="n">
        <v>2.46265</v>
      </c>
      <c r="I17" s="18" t="n">
        <v>2.388763</v>
      </c>
      <c r="J17" s="18" t="n">
        <v>2.910465</v>
      </c>
      <c r="K17" s="18" t="n">
        <v>1.671333</v>
      </c>
      <c r="L17" s="18" t="n">
        <v>1.653756</v>
      </c>
      <c r="M17" s="18" t="n">
        <v>2.537257</v>
      </c>
      <c r="N17" s="18" t="n">
        <v>3.641659</v>
      </c>
      <c r="O17" s="18" t="n">
        <v>4.079361</v>
      </c>
      <c r="P17" s="18" t="n">
        <v>4.666593</v>
      </c>
      <c r="Q17" s="18" t="n">
        <v>0.959454</v>
      </c>
      <c r="R17" s="18" t="n">
        <v>6.135233</v>
      </c>
      <c r="S17" s="18" t="n">
        <v>5.998029</v>
      </c>
      <c r="T17" s="18" t="n">
        <v>7.637033</v>
      </c>
      <c r="U17" s="18" t="n">
        <v>8.804905</v>
      </c>
      <c r="V17" s="18" t="n">
        <v>9.219854</v>
      </c>
      <c r="W17" s="18" t="n">
        <v>7.267719</v>
      </c>
      <c r="X17" s="18" t="n">
        <v>9.740098</v>
      </c>
      <c r="Y17" s="18" t="n">
        <v>9.885607</v>
      </c>
      <c r="Z17" s="18" t="n">
        <v>11.977954</v>
      </c>
      <c r="AA17" s="18" t="n">
        <v>7.8288</v>
      </c>
      <c r="AB17" s="18" t="n">
        <v>10.701182</v>
      </c>
      <c r="AC17" s="18" t="n">
        <v>12.075486</v>
      </c>
      <c r="AD17" s="18" t="n">
        <v>14.977533</v>
      </c>
      <c r="AE17" s="18" t="n">
        <v>8.775</v>
      </c>
      <c r="AF17" s="18" t="n">
        <v>6.506</v>
      </c>
      <c r="AG17" s="18" t="n">
        <v>18.062</v>
      </c>
      <c r="AH17" s="18" t="n">
        <v>15.8</v>
      </c>
      <c r="AI17" s="18" t="n">
        <v>14.655</v>
      </c>
      <c r="AJ17" s="18" t="n">
        <v>14.008</v>
      </c>
      <c r="AK17" s="18" t="n">
        <v>1.976</v>
      </c>
      <c r="AL17" s="18" t="n">
        <v>14.063</v>
      </c>
      <c r="AM17" s="18" t="n">
        <v>6.956</v>
      </c>
      <c r="AN17" s="18" t="n">
        <v>12.36</v>
      </c>
      <c r="AO17" s="18" t="n">
        <v>13.374</v>
      </c>
      <c r="AP17" s="18" t="n">
        <v>16.272</v>
      </c>
      <c r="AQ17" s="18" t="n">
        <v>21.145</v>
      </c>
      <c r="AR17" s="18" t="n">
        <v>7.106</v>
      </c>
      <c r="AS17" s="18" t="n">
        <v>8.989</v>
      </c>
      <c r="AT17" s="18" t="n">
        <v>3.049</v>
      </c>
      <c r="AU17" s="18" t="n">
        <v>-12.438</v>
      </c>
      <c r="AV17" s="18" t="n">
        <v>-7.7</v>
      </c>
      <c r="AW17" s="18" t="n">
        <v>-4.234</v>
      </c>
      <c r="AX17" s="18" t="n">
        <v>-4.495</v>
      </c>
      <c r="AY17" s="18" t="n">
        <v>3.491</v>
      </c>
      <c r="AZ17" s="18" t="n">
        <v>-8.917</v>
      </c>
      <c r="BA17" s="18" t="n">
        <v>79.155</v>
      </c>
      <c r="BB17" s="18" t="n">
        <v>-8.976</v>
      </c>
      <c r="BC17" s="18" t="n">
        <v>4.429</v>
      </c>
      <c r="BD17" s="18" t="n">
        <v>33.393</v>
      </c>
      <c r="BE17" s="18" t="n">
        <v>37.635</v>
      </c>
      <c r="BF17" s="18" t="n">
        <v>6.543</v>
      </c>
      <c r="BG17" s="18" t="n">
        <v>44</v>
      </c>
      <c r="BH17" s="18" t="n">
        <v>70</v>
      </c>
      <c r="BI17" s="18" t="n">
        <v>31</v>
      </c>
      <c r="BJ17" s="18" t="n">
        <v>4</v>
      </c>
      <c r="BK17" s="18" t="n">
        <v>46</v>
      </c>
      <c r="BL17" s="18" t="n">
        <v>39</v>
      </c>
      <c r="BM17" s="18" t="n">
        <v>69</v>
      </c>
      <c r="BN17" s="18" t="n">
        <v>144</v>
      </c>
      <c r="BO17" s="18" t="n">
        <v>122</v>
      </c>
      <c r="BP17" s="18" t="n">
        <v>210</v>
      </c>
      <c r="BQ17" s="18" t="n">
        <v>172</v>
      </c>
      <c r="BR17" s="18" t="n">
        <v>65</v>
      </c>
      <c r="BS17" s="18" t="n">
        <v>137</v>
      </c>
      <c r="BT17" s="18" t="n">
        <v>137</v>
      </c>
      <c r="BU17" s="18" t="n">
        <v>123</v>
      </c>
      <c r="BV17" s="18" t="n">
        <v>124</v>
      </c>
      <c r="BW17" s="18" t="n">
        <v>212</v>
      </c>
      <c r="BX17" s="18" t="n">
        <v>193</v>
      </c>
      <c r="BY17" s="18" t="n">
        <v>215</v>
      </c>
      <c r="BZ17" s="18" t="n">
        <v>225</v>
      </c>
      <c r="CA17" s="19" t="n">
        <v>162</v>
      </c>
      <c r="CB17" s="20" t="n">
        <f aca="false">CB16*'Assumptions (Quarterly)'!F21</f>
        <v>206.5355292</v>
      </c>
      <c r="CC17" s="20" t="n">
        <f aca="false">CC16*'Assumptions (Quarterly)'!G21</f>
        <v>255.0707540586</v>
      </c>
      <c r="CD17" s="20" t="n">
        <f aca="false">CD16*'Assumptions (Quarterly)'!H21</f>
        <v>334.60973865</v>
      </c>
      <c r="CE17" s="20" t="n">
        <f aca="false">CE16*'Assumptions (Quarterly)'!I21</f>
        <v>280.1555904</v>
      </c>
      <c r="CF17" s="20" t="n">
        <f aca="false">CF16*'Assumptions (Quarterly)'!J21</f>
        <v>316.039660512</v>
      </c>
      <c r="CG17" s="20" t="n">
        <f aca="false">CG16*'Assumptions (Quarterly)'!K21</f>
        <v>377.120411582544</v>
      </c>
      <c r="CH17" s="20" t="n">
        <f aca="false">CH16*'Assumptions (Quarterly)'!L21</f>
        <v>472.156242197376</v>
      </c>
    </row>
    <row r="18" customFormat="false" ht="15" hidden="false" customHeight="true" outlineLevel="0" collapsed="false">
      <c r="A18" s="21" t="s">
        <v>138</v>
      </c>
      <c r="B18" s="23" t="n">
        <f aca="false">B16-B17</f>
        <v>1.845086</v>
      </c>
      <c r="C18" s="23" t="n">
        <f aca="false">C16-C17</f>
        <v>0.994187000000001</v>
      </c>
      <c r="D18" s="23" t="n">
        <f aca="false">D16-D17</f>
        <v>0.590886000000002</v>
      </c>
      <c r="E18" s="23" t="n">
        <f aca="false">E16-E17</f>
        <v>2.785474</v>
      </c>
      <c r="F18" s="23" t="n">
        <f aca="false">F16-F17</f>
        <v>5.322393</v>
      </c>
      <c r="G18" s="23" t="n">
        <f aca="false">G16-G17</f>
        <v>2.067677</v>
      </c>
      <c r="H18" s="23" t="n">
        <f aca="false">H16-H17</f>
        <v>2.947095</v>
      </c>
      <c r="I18" s="23" t="n">
        <f aca="false">I16-I17</f>
        <v>5.875792</v>
      </c>
      <c r="J18" s="23" t="n">
        <f aca="false">J16-J17</f>
        <v>7.921097</v>
      </c>
      <c r="K18" s="23" t="n">
        <f aca="false">K16-K17</f>
        <v>5.391176</v>
      </c>
      <c r="L18" s="23" t="n">
        <f aca="false">L16-L17</f>
        <v>6.679779</v>
      </c>
      <c r="M18" s="23" t="n">
        <f aca="false">M16-M17</f>
        <v>9.85226800000001</v>
      </c>
      <c r="N18" s="23" t="n">
        <f aca="false">N16-N17</f>
        <v>11.28557</v>
      </c>
      <c r="O18" s="23" t="n">
        <f aca="false">O16-O17</f>
        <v>9.620601</v>
      </c>
      <c r="P18" s="23" t="n">
        <f aca="false">P16-P17</f>
        <v>11.673963</v>
      </c>
      <c r="Q18" s="23" t="n">
        <f aca="false">Q16-Q17</f>
        <v>18.790963</v>
      </c>
      <c r="R18" s="23" t="n">
        <f aca="false">R16-R17</f>
        <v>15.939493</v>
      </c>
      <c r="S18" s="23" t="n">
        <f aca="false">S16-S17</f>
        <v>14.057634</v>
      </c>
      <c r="T18" s="23" t="n">
        <f aca="false">T16-T17</f>
        <v>14.820826</v>
      </c>
      <c r="U18" s="23" t="n">
        <f aca="false">U16-U17</f>
        <v>26.295925</v>
      </c>
      <c r="V18" s="23" t="n">
        <f aca="false">V16-V17</f>
        <v>21.605666</v>
      </c>
      <c r="W18" s="23" t="n">
        <f aca="false">W16-W17</f>
        <v>19.63461</v>
      </c>
      <c r="X18" s="23" t="n">
        <f aca="false">X16-X17</f>
        <v>25.379192</v>
      </c>
      <c r="Y18" s="23" t="n">
        <f aca="false">Y16-Y17</f>
        <v>26.043093</v>
      </c>
      <c r="Z18" s="23" t="n">
        <f aca="false">Z16-Z17</f>
        <v>30.190405</v>
      </c>
      <c r="AA18" s="23" t="n">
        <f aca="false">AA16-AA17</f>
        <v>17.480253</v>
      </c>
      <c r="AB18" s="23" t="n">
        <f aca="false">AB16-AB17</f>
        <v>29.978641</v>
      </c>
      <c r="AC18" s="23" t="n">
        <f aca="false">AC16-AC17</f>
        <v>29.284174</v>
      </c>
      <c r="AD18" s="23" t="n">
        <f aca="false">AD16-AD17</f>
        <v>40.763491</v>
      </c>
      <c r="AE18" s="23" t="n">
        <f aca="false">AE16-AE17</f>
        <v>30.264</v>
      </c>
      <c r="AF18" s="23" t="n">
        <f aca="false">AF16-AF17</f>
        <v>-25.595</v>
      </c>
      <c r="AG18" s="23" t="n">
        <f aca="false">AG16-AG17</f>
        <v>33.766</v>
      </c>
      <c r="AH18" s="23" t="n">
        <f aca="false">AH16-AH17</f>
        <v>34.146</v>
      </c>
      <c r="AI18" s="23" t="n">
        <f aca="false">AI16-AI17</f>
        <v>1.72100000000001</v>
      </c>
      <c r="AJ18" s="23" t="n">
        <f aca="false">AJ16-AJ17</f>
        <v>19.463</v>
      </c>
      <c r="AK18" s="23" t="n">
        <f aca="false">AK16-AK17</f>
        <v>45.64</v>
      </c>
      <c r="AL18" s="23" t="n">
        <f aca="false">AL16-AL17</f>
        <v>38.965</v>
      </c>
      <c r="AM18" s="23" t="n">
        <f aca="false">AM16-AM17</f>
        <v>30.247</v>
      </c>
      <c r="AN18" s="23" t="n">
        <f aca="false">AN16-AN17</f>
        <v>15.858</v>
      </c>
      <c r="AO18" s="23" t="n">
        <f aca="false">AO16-AO17</f>
        <v>38.912</v>
      </c>
      <c r="AP18" s="23" t="n">
        <f aca="false">AP16-AP17</f>
        <v>51.349</v>
      </c>
      <c r="AQ18" s="23" t="n">
        <f aca="false">AQ16-AQ17</f>
        <v>48.518</v>
      </c>
      <c r="AR18" s="23" t="n">
        <f aca="false">AR16-AR17</f>
        <v>5.31600000000001</v>
      </c>
      <c r="AS18" s="23" t="n">
        <f aca="false">AS16-AS17</f>
        <v>27.666</v>
      </c>
      <c r="AT18" s="23" t="n">
        <f aca="false">AT16-AT17</f>
        <v>-67.72</v>
      </c>
      <c r="AU18" s="23" t="n">
        <f aca="false">AU16-AU17</f>
        <v>-12.919</v>
      </c>
      <c r="AV18" s="23" t="n">
        <f aca="false">AV16-AV17</f>
        <v>-11.252</v>
      </c>
      <c r="AW18" s="23" t="n">
        <f aca="false">AW16-AW17</f>
        <v>-10.078</v>
      </c>
      <c r="AX18" s="23" t="n">
        <f aca="false">AX16-AX17</f>
        <v>-2.33599999999998</v>
      </c>
      <c r="AY18" s="23" t="n">
        <f aca="false">AY16-AY17</f>
        <v>11.864</v>
      </c>
      <c r="AZ18" s="23" t="n">
        <f aca="false">AZ16-AZ17</f>
        <v>16.2169999999999</v>
      </c>
      <c r="BA18" s="23" t="n">
        <f aca="false">BA16-BA17</f>
        <v>-146.082</v>
      </c>
      <c r="BB18" s="23" t="n">
        <f aca="false">BB16-BB17</f>
        <v>-53.998</v>
      </c>
      <c r="BC18" s="23" t="n">
        <f aca="false">BC16-BC17</f>
        <v>-21.109</v>
      </c>
      <c r="BD18" s="23" t="n">
        <f aca="false">BD16-BD17</f>
        <v>55.947</v>
      </c>
      <c r="BE18" s="23" t="n">
        <f aca="false">BE16-BE17</f>
        <v>15.0350000000001</v>
      </c>
      <c r="BF18" s="23" t="n">
        <f aca="false">BF16-BF17</f>
        <v>-50.8730000000001</v>
      </c>
      <c r="BG18" s="23" t="n">
        <f aca="false">BG16-BG17</f>
        <v>-34</v>
      </c>
      <c r="BH18" s="23" t="n">
        <f aca="false">BH16-BH17</f>
        <v>68</v>
      </c>
      <c r="BI18" s="23" t="n">
        <f aca="false">BI16-BI17</f>
        <v>95</v>
      </c>
      <c r="BJ18" s="23" t="n">
        <f aca="false">BJ16-BJ17</f>
        <v>-46</v>
      </c>
      <c r="BK18" s="23" t="n">
        <f aca="false">BK16-BK17</f>
        <v>65</v>
      </c>
      <c r="BL18" s="23" t="n">
        <f aca="false">BL16-BL17</f>
        <v>123</v>
      </c>
      <c r="BM18" s="23" t="n">
        <f aca="false">BM16-BM17</f>
        <v>129</v>
      </c>
      <c r="BN18" s="23" t="n">
        <f aca="false">BN16-BN17</f>
        <v>165</v>
      </c>
      <c r="BO18" s="23" t="n">
        <f aca="false">BO16-BO17</f>
        <v>201</v>
      </c>
      <c r="BP18" s="23" t="n">
        <f aca="false">BP16-BP17</f>
        <v>262</v>
      </c>
      <c r="BQ18" s="23" t="n">
        <f aca="false">BQ16-BQ17</f>
        <v>359</v>
      </c>
      <c r="BR18" s="23" t="n">
        <f aca="false">BR16-BR17</f>
        <v>165</v>
      </c>
      <c r="BS18" s="23" t="n">
        <f aca="false">BS16-BS17</f>
        <v>344</v>
      </c>
      <c r="BT18" s="23" t="n">
        <f aca="false">BT16-BT17</f>
        <v>531</v>
      </c>
      <c r="BU18" s="23" t="n">
        <f aca="false">BU16-BU17</f>
        <v>397</v>
      </c>
      <c r="BV18" s="23" t="n">
        <f aca="false">BV16-BV17</f>
        <v>639</v>
      </c>
      <c r="BW18" s="23" t="n">
        <f aca="false">BW16-BW17</f>
        <v>494</v>
      </c>
      <c r="BX18" s="23" t="n">
        <f aca="false">BX16-BX17</f>
        <v>523</v>
      </c>
      <c r="BY18" s="23" t="n">
        <f aca="false">BY16-BY17</f>
        <v>421</v>
      </c>
      <c r="BZ18" s="23" t="n">
        <f aca="false">BZ16-BZ17</f>
        <v>559</v>
      </c>
      <c r="CA18" s="23" t="n">
        <f aca="false">CA16-CA17</f>
        <v>417</v>
      </c>
      <c r="CB18" s="23" t="n">
        <f aca="false">CB16-CB17</f>
        <v>505.6559508</v>
      </c>
      <c r="CC18" s="23" t="n">
        <f aca="false">CC16-CC17</f>
        <v>624.4835702814</v>
      </c>
      <c r="CD18" s="23" t="n">
        <f aca="false">CD16-CD17</f>
        <v>819.216946350001</v>
      </c>
      <c r="CE18" s="23" t="n">
        <f aca="false">CE16-CE17</f>
        <v>685.8981696</v>
      </c>
      <c r="CF18" s="23" t="n">
        <f aca="false">CF16-CF17</f>
        <v>773.752272288</v>
      </c>
      <c r="CG18" s="23" t="n">
        <f aca="false">CG16-CG17</f>
        <v>923.294800771056</v>
      </c>
      <c r="CH18" s="23" t="n">
        <f aca="false">CH16-CH17</f>
        <v>1155.96873089702</v>
      </c>
    </row>
    <row r="19" customFormat="false" ht="15" hidden="false" customHeight="true" outlineLevel="0" collapsed="false">
      <c r="A19" s="17" t="s">
        <v>139</v>
      </c>
      <c r="B19" s="18" t="n">
        <v>0.12372</v>
      </c>
      <c r="C19" s="18" t="n">
        <v>0.123719</v>
      </c>
      <c r="D19" s="18" t="n">
        <v>0.12372</v>
      </c>
      <c r="E19" s="18" t="n">
        <v>0.06186</v>
      </c>
      <c r="F19" s="18" t="n">
        <v>0</v>
      </c>
      <c r="G19" s="18" t="n">
        <v>0</v>
      </c>
      <c r="H19" s="18" t="n">
        <v>0</v>
      </c>
      <c r="I19" s="18" t="n">
        <v>0</v>
      </c>
      <c r="J19" s="18" t="n">
        <v>0</v>
      </c>
      <c r="K19" s="18" t="n">
        <v>0</v>
      </c>
      <c r="L19" s="18" t="n">
        <v>0</v>
      </c>
      <c r="M19" s="18" t="n">
        <v>0</v>
      </c>
      <c r="N19" s="18" t="n">
        <v>0</v>
      </c>
      <c r="O19" s="18" t="n">
        <v>0</v>
      </c>
      <c r="P19" s="18" t="n">
        <v>0</v>
      </c>
      <c r="Q19" s="18" t="n">
        <v>0</v>
      </c>
      <c r="R19" s="18" t="n">
        <v>0</v>
      </c>
      <c r="S19" s="18" t="n">
        <v>0</v>
      </c>
      <c r="T19" s="18" t="n">
        <v>0</v>
      </c>
      <c r="U19" s="18" t="n">
        <v>0</v>
      </c>
      <c r="V19" s="18" t="n">
        <v>0</v>
      </c>
      <c r="W19" s="18" t="n">
        <v>0</v>
      </c>
      <c r="X19" s="18" t="n">
        <v>0</v>
      </c>
      <c r="Y19" s="18" t="n">
        <v>0</v>
      </c>
      <c r="Z19" s="18" t="n">
        <v>0</v>
      </c>
      <c r="AA19" s="18" t="n">
        <v>0</v>
      </c>
      <c r="AB19" s="18" t="n">
        <v>0</v>
      </c>
      <c r="AC19" s="18" t="n">
        <v>0</v>
      </c>
      <c r="AD19" s="18" t="n">
        <v>0</v>
      </c>
      <c r="AE19" s="18" t="n">
        <v>0</v>
      </c>
      <c r="AF19" s="18" t="n">
        <v>0</v>
      </c>
      <c r="AG19" s="18" t="n">
        <v>0</v>
      </c>
      <c r="AH19" s="18" t="n">
        <v>0</v>
      </c>
      <c r="AI19" s="18" t="n">
        <v>0</v>
      </c>
      <c r="AJ19" s="18" t="n">
        <v>0</v>
      </c>
      <c r="AK19" s="18" t="n">
        <v>0</v>
      </c>
      <c r="AL19" s="18" t="n">
        <v>0</v>
      </c>
      <c r="AM19" s="18" t="n">
        <v>0</v>
      </c>
      <c r="AN19" s="18" t="n">
        <v>0</v>
      </c>
      <c r="AO19" s="18" t="n">
        <v>0</v>
      </c>
      <c r="AP19" s="18" t="n">
        <v>0</v>
      </c>
      <c r="AQ19" s="18" t="n">
        <v>0</v>
      </c>
      <c r="AR19" s="18" t="n">
        <v>0</v>
      </c>
      <c r="AS19" s="18" t="n">
        <v>0</v>
      </c>
      <c r="AT19" s="18" t="n">
        <v>0</v>
      </c>
      <c r="AU19" s="18" t="n">
        <v>0</v>
      </c>
      <c r="AV19" s="18" t="n">
        <v>0</v>
      </c>
      <c r="AW19" s="18" t="n">
        <v>0</v>
      </c>
      <c r="AX19" s="18" t="n">
        <v>0</v>
      </c>
      <c r="AY19" s="18" t="n">
        <v>0</v>
      </c>
      <c r="AZ19" s="18" t="n">
        <v>0</v>
      </c>
      <c r="BA19" s="18" t="n">
        <v>0</v>
      </c>
      <c r="BB19" s="18" t="n">
        <v>0</v>
      </c>
      <c r="BC19" s="18" t="n">
        <v>0</v>
      </c>
      <c r="BD19" s="18" t="n">
        <v>0</v>
      </c>
      <c r="BE19" s="18" t="n">
        <v>0</v>
      </c>
      <c r="BF19" s="18" t="n">
        <v>0</v>
      </c>
      <c r="BG19" s="18" t="n">
        <v>0</v>
      </c>
      <c r="BH19" s="18" t="n">
        <v>0</v>
      </c>
      <c r="BI19" s="18" t="n">
        <v>0</v>
      </c>
      <c r="BJ19" s="18" t="n">
        <v>0</v>
      </c>
      <c r="BK19" s="18" t="n">
        <v>0</v>
      </c>
      <c r="BL19" s="18" t="n">
        <v>0</v>
      </c>
      <c r="BM19" s="18" t="n">
        <v>0</v>
      </c>
      <c r="BN19" s="18" t="n">
        <v>0</v>
      </c>
      <c r="BO19" s="18" t="n">
        <v>0</v>
      </c>
      <c r="BP19" s="18" t="n">
        <v>0</v>
      </c>
      <c r="BQ19" s="18" t="n">
        <v>0</v>
      </c>
      <c r="BR19" s="18" t="n">
        <v>0</v>
      </c>
      <c r="BS19" s="18" t="n">
        <v>0</v>
      </c>
      <c r="BT19" s="18" t="n">
        <v>0</v>
      </c>
      <c r="BU19" s="18" t="n">
        <v>0</v>
      </c>
      <c r="BV19" s="18" t="n">
        <v>0</v>
      </c>
      <c r="BW19" s="18" t="n">
        <v>0</v>
      </c>
      <c r="BX19" s="18" t="n">
        <v>0</v>
      </c>
      <c r="BY19" s="18" t="n">
        <v>0</v>
      </c>
      <c r="BZ19" s="18" t="n">
        <v>0</v>
      </c>
      <c r="CA19" s="19" t="n">
        <v>0</v>
      </c>
      <c r="CB19" s="20" t="n">
        <f aca="false">'Assumptions (Quarterly)'!F33</f>
        <v>0</v>
      </c>
      <c r="CC19" s="20" t="n">
        <f aca="false">'Assumptions (Quarterly)'!G33</f>
        <v>0</v>
      </c>
      <c r="CD19" s="20" t="n">
        <f aca="false">'Assumptions (Quarterly)'!H33</f>
        <v>0</v>
      </c>
      <c r="CE19" s="20" t="n">
        <f aca="false">'Assumptions (Quarterly)'!I33</f>
        <v>0</v>
      </c>
      <c r="CF19" s="20" t="n">
        <f aca="false">'Assumptions (Quarterly)'!J33</f>
        <v>0</v>
      </c>
      <c r="CG19" s="20" t="n">
        <f aca="false">'Assumptions (Quarterly)'!K33</f>
        <v>0</v>
      </c>
      <c r="CH19" s="20" t="n">
        <f aca="false">'Assumptions (Quarterly)'!L33</f>
        <v>0</v>
      </c>
    </row>
    <row r="20" customFormat="false" ht="15.75" hidden="false" customHeight="true" outlineLevel="0" collapsed="false">
      <c r="A20" s="24" t="s">
        <v>140</v>
      </c>
      <c r="B20" s="22" t="n">
        <f aca="false">B18-B19</f>
        <v>1.721366</v>
      </c>
      <c r="C20" s="22" t="n">
        <f aca="false">C18-C19</f>
        <v>0.870468000000001</v>
      </c>
      <c r="D20" s="22" t="n">
        <f aca="false">D18-D19</f>
        <v>0.467166000000002</v>
      </c>
      <c r="E20" s="22" t="n">
        <f aca="false">E18-E19</f>
        <v>2.723614</v>
      </c>
      <c r="F20" s="22" t="n">
        <f aca="false">F18-F19</f>
        <v>5.322393</v>
      </c>
      <c r="G20" s="22" t="n">
        <f aca="false">G18-G19</f>
        <v>2.067677</v>
      </c>
      <c r="H20" s="22" t="n">
        <f aca="false">H18-H19</f>
        <v>2.947095</v>
      </c>
      <c r="I20" s="22" t="n">
        <f aca="false">I18-I19</f>
        <v>5.875792</v>
      </c>
      <c r="J20" s="22" t="n">
        <f aca="false">J18-J19</f>
        <v>7.921097</v>
      </c>
      <c r="K20" s="22" t="n">
        <f aca="false">K18-K19</f>
        <v>5.391176</v>
      </c>
      <c r="L20" s="22" t="n">
        <f aca="false">L18-L19</f>
        <v>6.679779</v>
      </c>
      <c r="M20" s="22" t="n">
        <f aca="false">M18-M19</f>
        <v>9.85226800000001</v>
      </c>
      <c r="N20" s="22" t="n">
        <f aca="false">N18-N19</f>
        <v>11.28557</v>
      </c>
      <c r="O20" s="22" t="n">
        <f aca="false">O18-O19</f>
        <v>9.620601</v>
      </c>
      <c r="P20" s="22" t="n">
        <f aca="false">P18-P19</f>
        <v>11.673963</v>
      </c>
      <c r="Q20" s="22" t="n">
        <f aca="false">Q18-Q19</f>
        <v>18.790963</v>
      </c>
      <c r="R20" s="22" t="n">
        <f aca="false">R18-R19</f>
        <v>15.939493</v>
      </c>
      <c r="S20" s="22" t="n">
        <f aca="false">S18-S19</f>
        <v>14.057634</v>
      </c>
      <c r="T20" s="22" t="n">
        <f aca="false">T18-T19</f>
        <v>14.820826</v>
      </c>
      <c r="U20" s="22" t="n">
        <f aca="false">U18-U19</f>
        <v>26.295925</v>
      </c>
      <c r="V20" s="22" t="n">
        <f aca="false">V18-V19</f>
        <v>21.605666</v>
      </c>
      <c r="W20" s="22" t="n">
        <f aca="false">W18-W19</f>
        <v>19.63461</v>
      </c>
      <c r="X20" s="22" t="n">
        <f aca="false">X18-X19</f>
        <v>25.379192</v>
      </c>
      <c r="Y20" s="22" t="n">
        <f aca="false">Y18-Y19</f>
        <v>26.043093</v>
      </c>
      <c r="Z20" s="22" t="n">
        <f aca="false">Z18-Z19</f>
        <v>30.190405</v>
      </c>
      <c r="AA20" s="22" t="n">
        <f aca="false">AA18-AA19</f>
        <v>17.480253</v>
      </c>
      <c r="AB20" s="22" t="n">
        <f aca="false">AB18-AB19</f>
        <v>29.978641</v>
      </c>
      <c r="AC20" s="22" t="n">
        <f aca="false">AC18-AC19</f>
        <v>29.284174</v>
      </c>
      <c r="AD20" s="22" t="n">
        <f aca="false">AD18-AD19</f>
        <v>40.763491</v>
      </c>
      <c r="AE20" s="22" t="n">
        <f aca="false">AE18-AE19</f>
        <v>30.264</v>
      </c>
      <c r="AF20" s="22" t="n">
        <f aca="false">AF18-AF19</f>
        <v>-25.595</v>
      </c>
      <c r="AG20" s="22" t="n">
        <f aca="false">AG18-AG19</f>
        <v>33.766</v>
      </c>
      <c r="AH20" s="22" t="n">
        <f aca="false">AH18-AH19</f>
        <v>34.146</v>
      </c>
      <c r="AI20" s="22" t="n">
        <f aca="false">AI18-AI19</f>
        <v>1.72100000000001</v>
      </c>
      <c r="AJ20" s="22" t="n">
        <f aca="false">AJ18-AJ19</f>
        <v>19.463</v>
      </c>
      <c r="AK20" s="22" t="n">
        <f aca="false">AK18-AK19</f>
        <v>45.64</v>
      </c>
      <c r="AL20" s="22" t="n">
        <f aca="false">AL18-AL19</f>
        <v>38.965</v>
      </c>
      <c r="AM20" s="22" t="n">
        <f aca="false">AM18-AM19</f>
        <v>30.247</v>
      </c>
      <c r="AN20" s="22" t="n">
        <f aca="false">AN18-AN19</f>
        <v>15.858</v>
      </c>
      <c r="AO20" s="22" t="n">
        <f aca="false">AO18-AO19</f>
        <v>38.912</v>
      </c>
      <c r="AP20" s="22" t="n">
        <f aca="false">AP18-AP19</f>
        <v>51.349</v>
      </c>
      <c r="AQ20" s="22" t="n">
        <f aca="false">AQ18-AQ19</f>
        <v>48.518</v>
      </c>
      <c r="AR20" s="22" t="n">
        <f aca="false">AR18-AR19</f>
        <v>5.31600000000001</v>
      </c>
      <c r="AS20" s="22" t="n">
        <f aca="false">AS18-AS19</f>
        <v>27.666</v>
      </c>
      <c r="AT20" s="22" t="n">
        <f aca="false">AT18-AT19</f>
        <v>-67.72</v>
      </c>
      <c r="AU20" s="22" t="n">
        <f aca="false">AU18-AU19</f>
        <v>-12.919</v>
      </c>
      <c r="AV20" s="22" t="n">
        <f aca="false">AV18-AV19</f>
        <v>-11.252</v>
      </c>
      <c r="AW20" s="22" t="n">
        <f aca="false">AW18-AW19</f>
        <v>-10.078</v>
      </c>
      <c r="AX20" s="22" t="n">
        <f aca="false">AX18-AX19</f>
        <v>-2.33599999999998</v>
      </c>
      <c r="AY20" s="22" t="n">
        <f aca="false">AY18-AY19</f>
        <v>11.864</v>
      </c>
      <c r="AZ20" s="22" t="n">
        <f aca="false">AZ18-AZ19</f>
        <v>16.2169999999999</v>
      </c>
      <c r="BA20" s="22" t="n">
        <f aca="false">BA18-BA19</f>
        <v>-146.082</v>
      </c>
      <c r="BB20" s="22" t="n">
        <f aca="false">BB18-BB19</f>
        <v>-53.998</v>
      </c>
      <c r="BC20" s="22" t="n">
        <f aca="false">BC18-BC19</f>
        <v>-21.109</v>
      </c>
      <c r="BD20" s="22" t="n">
        <f aca="false">BD18-BD19</f>
        <v>55.947</v>
      </c>
      <c r="BE20" s="22" t="n">
        <f aca="false">BE18-BE19</f>
        <v>15.0350000000001</v>
      </c>
      <c r="BF20" s="22" t="n">
        <f aca="false">BF18-BF19</f>
        <v>-50.8730000000001</v>
      </c>
      <c r="BG20" s="22" t="n">
        <f aca="false">BG18-BG19</f>
        <v>-34</v>
      </c>
      <c r="BH20" s="22" t="n">
        <f aca="false">BH18-BH19</f>
        <v>68</v>
      </c>
      <c r="BI20" s="22" t="n">
        <f aca="false">BI18-BI19</f>
        <v>95</v>
      </c>
      <c r="BJ20" s="22" t="n">
        <f aca="false">BJ18-BJ19</f>
        <v>-46</v>
      </c>
      <c r="BK20" s="22" t="n">
        <f aca="false">BK18-BK19</f>
        <v>65</v>
      </c>
      <c r="BL20" s="22" t="n">
        <f aca="false">BL18-BL19</f>
        <v>123</v>
      </c>
      <c r="BM20" s="22" t="n">
        <f aca="false">BM18-BM19</f>
        <v>129</v>
      </c>
      <c r="BN20" s="22" t="n">
        <f aca="false">BN18-BN19</f>
        <v>165</v>
      </c>
      <c r="BO20" s="22" t="n">
        <f aca="false">BO18-BO19</f>
        <v>201</v>
      </c>
      <c r="BP20" s="22" t="n">
        <f aca="false">BP18-BP19</f>
        <v>262</v>
      </c>
      <c r="BQ20" s="22" t="n">
        <f aca="false">BQ18-BQ19</f>
        <v>359</v>
      </c>
      <c r="BR20" s="22" t="n">
        <f aca="false">BR18-BR19</f>
        <v>165</v>
      </c>
      <c r="BS20" s="22" t="n">
        <f aca="false">BS18-BS19</f>
        <v>344</v>
      </c>
      <c r="BT20" s="22" t="n">
        <f aca="false">BT18-BT19</f>
        <v>531</v>
      </c>
      <c r="BU20" s="22" t="n">
        <f aca="false">BU18-BU19</f>
        <v>397</v>
      </c>
      <c r="BV20" s="22" t="n">
        <f aca="false">BV18-BV19</f>
        <v>639</v>
      </c>
      <c r="BW20" s="22" t="n">
        <f aca="false">BW18-BW19</f>
        <v>494</v>
      </c>
      <c r="BX20" s="22" t="n">
        <f aca="false">BX18-BX19</f>
        <v>523</v>
      </c>
      <c r="BY20" s="22" t="n">
        <f aca="false">BY18-BY19</f>
        <v>421</v>
      </c>
      <c r="BZ20" s="22" t="n">
        <f aca="false">BZ18-BZ19</f>
        <v>559</v>
      </c>
      <c r="CA20" s="22" t="n">
        <f aca="false">CA18-CA19</f>
        <v>417</v>
      </c>
      <c r="CB20" s="22" t="n">
        <f aca="false">CB18-CB19</f>
        <v>505.6559508</v>
      </c>
      <c r="CC20" s="22" t="n">
        <f aca="false">CC18-CC19</f>
        <v>624.4835702814</v>
      </c>
      <c r="CD20" s="22" t="n">
        <f aca="false">CD18-CD19</f>
        <v>819.216946350001</v>
      </c>
      <c r="CE20" s="22" t="n">
        <f aca="false">CE18-CE19</f>
        <v>685.8981696</v>
      </c>
      <c r="CF20" s="22" t="n">
        <f aca="false">CF18-CF19</f>
        <v>773.752272288</v>
      </c>
      <c r="CG20" s="22" t="n">
        <f aca="false">CG18-CG19</f>
        <v>923.294800771056</v>
      </c>
      <c r="CH20" s="22" t="n">
        <f aca="false">CH18-CH19</f>
        <v>1155.96873089702</v>
      </c>
    </row>
    <row r="21" customFormat="false" ht="15.75" hidden="false" customHeight="true" outlineLevel="0" collapsed="false">
      <c r="A21" s="17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6"/>
      <c r="CC21" s="26"/>
      <c r="CD21" s="26"/>
      <c r="CE21" s="26"/>
      <c r="CF21" s="26"/>
      <c r="CG21" s="26"/>
      <c r="CH21" s="26"/>
    </row>
    <row r="22" customFormat="false" ht="15" hidden="false" customHeight="true" outlineLevel="0" collapsed="false">
      <c r="A22" s="17" t="s">
        <v>141</v>
      </c>
      <c r="B22" s="27" t="n">
        <v>13.199908</v>
      </c>
      <c r="C22" s="27" t="n">
        <v>13.375482</v>
      </c>
      <c r="D22" s="27" t="n">
        <v>13.575158</v>
      </c>
      <c r="E22" s="27" t="n">
        <v>27.538652</v>
      </c>
      <c r="F22" s="27" t="n">
        <v>25.149405</v>
      </c>
      <c r="G22" s="27" t="n">
        <v>44.22746</v>
      </c>
      <c r="H22" s="27" t="n">
        <v>44.238166</v>
      </c>
      <c r="I22" s="27" t="n">
        <v>44.29054</v>
      </c>
      <c r="J22" s="27" t="n">
        <v>44.189817</v>
      </c>
      <c r="K22" s="27" t="n">
        <v>44.069134</v>
      </c>
      <c r="L22" s="27" t="n">
        <v>44.078235</v>
      </c>
      <c r="M22" s="27" t="n">
        <v>44.088936</v>
      </c>
      <c r="N22" s="27" t="n">
        <v>44.110055</v>
      </c>
      <c r="O22" s="27" t="n">
        <v>44.113595</v>
      </c>
      <c r="P22" s="27" t="n">
        <v>44.121087</v>
      </c>
      <c r="Q22" s="27" t="n">
        <v>44.129762</v>
      </c>
      <c r="R22" s="27" t="n">
        <v>44.131455</v>
      </c>
      <c r="S22" s="27" t="n">
        <v>44.131383</v>
      </c>
      <c r="T22" s="27" t="n">
        <v>44.138105</v>
      </c>
      <c r="U22" s="27" t="n">
        <v>44.141925</v>
      </c>
      <c r="V22" s="27" t="n">
        <v>44.14206</v>
      </c>
      <c r="W22" s="27" t="n">
        <v>44.142076</v>
      </c>
      <c r="X22" s="27" t="n">
        <v>44.147999</v>
      </c>
      <c r="Y22" s="27" t="n">
        <v>44.150387</v>
      </c>
      <c r="Z22" s="27" t="n">
        <v>44.150942</v>
      </c>
      <c r="AA22" s="27" t="n">
        <v>44.151323</v>
      </c>
      <c r="AB22" s="27" t="n">
        <v>44.152933</v>
      </c>
      <c r="AC22" s="27" t="n">
        <v>44.152933</v>
      </c>
      <c r="AD22" s="27" t="n">
        <v>44.153194</v>
      </c>
      <c r="AE22" s="27" t="n">
        <v>44.153818</v>
      </c>
      <c r="AF22" s="27" t="n">
        <v>44.153892</v>
      </c>
      <c r="AG22" s="27" t="n">
        <v>44.153892</v>
      </c>
      <c r="AH22" s="27" t="n">
        <v>44.153935</v>
      </c>
      <c r="AI22" s="27" t="n">
        <v>44.154796</v>
      </c>
      <c r="AJ22" s="27" t="n">
        <v>44.155271</v>
      </c>
      <c r="AK22" s="27" t="n">
        <v>44.15583</v>
      </c>
      <c r="AL22" s="27" t="n">
        <v>44.156811</v>
      </c>
      <c r="AM22" s="27" t="n">
        <v>44.156961</v>
      </c>
      <c r="AN22" s="27" t="n">
        <v>44.157341</v>
      </c>
      <c r="AO22" s="27" t="n">
        <v>44.157341</v>
      </c>
      <c r="AP22" s="27" t="n">
        <v>44.157359</v>
      </c>
      <c r="AQ22" s="27" t="n">
        <v>44.157364</v>
      </c>
      <c r="AR22" s="27" t="n">
        <v>44.157364</v>
      </c>
      <c r="AS22" s="27" t="n">
        <v>44.157364</v>
      </c>
      <c r="AT22" s="27" t="n">
        <v>44.157364</v>
      </c>
      <c r="AU22" s="27" t="n">
        <v>44.157364</v>
      </c>
      <c r="AV22" s="27" t="n">
        <v>44.157364</v>
      </c>
      <c r="AW22" s="27" t="n">
        <v>44.588704</v>
      </c>
      <c r="AX22" s="27" t="n">
        <v>45.210284</v>
      </c>
      <c r="AY22" s="27" t="n">
        <v>45.980255</v>
      </c>
      <c r="AZ22" s="27" t="n">
        <v>49.318522</v>
      </c>
      <c r="BA22" s="27" t="n">
        <v>49.710723</v>
      </c>
      <c r="BB22" s="27" t="n">
        <v>49.721129</v>
      </c>
      <c r="BC22" s="27" t="n">
        <v>49.709955</v>
      </c>
      <c r="BD22" s="27" t="n">
        <v>49.709973</v>
      </c>
      <c r="BE22" s="27" t="n">
        <v>49.720854</v>
      </c>
      <c r="BF22" s="27" t="n">
        <v>49.820765</v>
      </c>
      <c r="BG22" s="27" t="n">
        <v>49.867625</v>
      </c>
      <c r="BH22" s="27" t="n">
        <v>49.822272</v>
      </c>
      <c r="BI22" s="27" t="n">
        <v>49.597157</v>
      </c>
      <c r="BJ22" s="27" t="n">
        <v>49.927892</v>
      </c>
      <c r="BK22" s="27" t="n">
        <v>50.408754</v>
      </c>
      <c r="BL22" s="27" t="n">
        <v>50.364529</v>
      </c>
      <c r="BM22" s="27" t="n">
        <v>50.325075</v>
      </c>
      <c r="BN22" s="27" t="n">
        <v>50.283973</v>
      </c>
      <c r="BO22" s="27" t="n">
        <v>50.245073</v>
      </c>
      <c r="BP22" s="27" t="n">
        <v>50.162687</v>
      </c>
      <c r="BQ22" s="27" t="n">
        <v>50.00832</v>
      </c>
      <c r="BR22" s="27" t="n">
        <v>50.63573</v>
      </c>
      <c r="BS22" s="27" t="n">
        <v>50.697442</v>
      </c>
      <c r="BT22" s="27" t="n">
        <v>50.697447</v>
      </c>
      <c r="BU22" s="27" t="n">
        <v>50.697438</v>
      </c>
      <c r="BV22" s="27" t="n">
        <v>50.697386</v>
      </c>
      <c r="BW22" s="27" t="n">
        <v>50.697375</v>
      </c>
      <c r="BX22" s="27" t="n">
        <v>50.697375</v>
      </c>
      <c r="BY22" s="27" t="n">
        <v>50.697265</v>
      </c>
      <c r="BZ22" s="27" t="n">
        <v>50.697182</v>
      </c>
      <c r="CA22" s="28" t="n">
        <v>50.697182</v>
      </c>
      <c r="CB22" s="29" t="n">
        <f aca="false">CA22*(1+'Assumptions (Quarterly)'!F22)</f>
        <v>50.646484818</v>
      </c>
      <c r="CC22" s="29" t="n">
        <f aca="false">CB22*(1+'Assumptions (Quarterly)'!G22)</f>
        <v>50.595838333182</v>
      </c>
      <c r="CD22" s="29" t="n">
        <f aca="false">CC22*(1+'Assumptions (Quarterly)'!H22)</f>
        <v>50.5452424948488</v>
      </c>
      <c r="CE22" s="29" t="n">
        <f aca="false">CD22*(1+'Assumptions (Quarterly)'!I22)</f>
        <v>50.494697252354</v>
      </c>
      <c r="CF22" s="29" t="n">
        <f aca="false">CE22*(1+'Assumptions (Quarterly)'!J22)</f>
        <v>50.4442025551016</v>
      </c>
      <c r="CG22" s="29" t="n">
        <f aca="false">CF22*(1+'Assumptions (Quarterly)'!K22)</f>
        <v>50.3937583525465</v>
      </c>
      <c r="CH22" s="29" t="n">
        <f aca="false">CG22*(1+'Assumptions (Quarterly)'!L22)</f>
        <v>50.343364594194</v>
      </c>
    </row>
    <row r="23" customFormat="false" ht="15" hidden="false" customHeight="true" outlineLevel="0" collapsed="false">
      <c r="A23" s="17" t="s">
        <v>142</v>
      </c>
      <c r="B23" s="27" t="n">
        <v>0</v>
      </c>
      <c r="C23" s="27" t="n">
        <v>13.375482</v>
      </c>
      <c r="D23" s="27" t="n">
        <v>13.987128</v>
      </c>
      <c r="E23" s="27" t="n">
        <v>27.685028</v>
      </c>
      <c r="F23" s="27" t="n">
        <v>25.478336</v>
      </c>
      <c r="G23" s="27" t="n">
        <v>44.368011</v>
      </c>
      <c r="H23" s="27" t="n">
        <v>44.369317</v>
      </c>
      <c r="I23" s="27" t="n">
        <v>44.379682</v>
      </c>
      <c r="J23" s="27" t="n">
        <v>44.273428</v>
      </c>
      <c r="K23" s="27" t="n">
        <v>44.130866</v>
      </c>
      <c r="L23" s="27" t="n">
        <v>44.132204</v>
      </c>
      <c r="M23" s="27" t="n">
        <v>44.138031</v>
      </c>
      <c r="N23" s="27" t="n">
        <v>44.187238</v>
      </c>
      <c r="O23" s="27" t="n">
        <v>44.1497</v>
      </c>
      <c r="P23" s="27" t="n">
        <v>44.145255</v>
      </c>
      <c r="Q23" s="27" t="n">
        <v>44.151367</v>
      </c>
      <c r="R23" s="27" t="n">
        <v>44.153398</v>
      </c>
      <c r="S23" s="27" t="n">
        <v>44.147667</v>
      </c>
      <c r="T23" s="27" t="n">
        <v>44.152296</v>
      </c>
      <c r="U23" s="27" t="n">
        <v>44.151218</v>
      </c>
      <c r="V23" s="27" t="n">
        <v>44.153132</v>
      </c>
      <c r="W23" s="27" t="n">
        <v>44.147796</v>
      </c>
      <c r="X23" s="27" t="n">
        <v>44.152133</v>
      </c>
      <c r="Y23" s="27" t="n">
        <v>44.157321</v>
      </c>
      <c r="Z23" s="27" t="n">
        <v>44.138018</v>
      </c>
      <c r="AA23" s="27" t="n">
        <v>44.151357</v>
      </c>
      <c r="AB23" s="27" t="n">
        <v>44.152933</v>
      </c>
      <c r="AC23" s="27" t="n">
        <v>44.152933</v>
      </c>
      <c r="AD23" s="27" t="n">
        <v>44.153194</v>
      </c>
      <c r="AE23" s="27" t="n">
        <v>44.153818</v>
      </c>
      <c r="AF23" s="27" t="n">
        <v>44.182668</v>
      </c>
      <c r="AG23" s="27" t="n">
        <v>44.153892</v>
      </c>
      <c r="AH23" s="27" t="n">
        <v>44.153935</v>
      </c>
      <c r="AI23" s="27" t="n">
        <v>44.154796</v>
      </c>
      <c r="AJ23" s="27" t="n">
        <v>44.155271</v>
      </c>
      <c r="AK23" s="27" t="n">
        <v>44.15583</v>
      </c>
      <c r="AL23" s="27" t="n">
        <v>44.156811</v>
      </c>
      <c r="AM23" s="27" t="n">
        <v>44.156961</v>
      </c>
      <c r="AN23" s="27" t="n">
        <v>44.157341</v>
      </c>
      <c r="AO23" s="27" t="n">
        <v>44.157341</v>
      </c>
      <c r="AP23" s="27" t="n">
        <v>44.157359</v>
      </c>
      <c r="AQ23" s="27" t="n">
        <v>44.157364</v>
      </c>
      <c r="AR23" s="27" t="n">
        <v>44.157364</v>
      </c>
      <c r="AS23" s="27" t="n">
        <v>44.157364</v>
      </c>
      <c r="AT23" s="27" t="n">
        <v>44.157364</v>
      </c>
      <c r="AU23" s="27" t="n">
        <v>44.157364</v>
      </c>
      <c r="AV23" s="27" t="n">
        <v>44.157364</v>
      </c>
      <c r="AW23" s="27" t="n">
        <v>44.588704</v>
      </c>
      <c r="AX23" s="27" t="n">
        <v>45.210284</v>
      </c>
      <c r="AY23" s="27" t="n">
        <v>45.980255</v>
      </c>
      <c r="AZ23" s="27" t="n">
        <v>49.318522</v>
      </c>
      <c r="BA23" s="27" t="n">
        <v>49.710723</v>
      </c>
      <c r="BB23" s="27" t="n">
        <v>49.721129</v>
      </c>
      <c r="BC23" s="27" t="n">
        <v>49.709955</v>
      </c>
      <c r="BD23" s="27" t="n">
        <v>49.709973</v>
      </c>
      <c r="BE23" s="27" t="n">
        <v>49.720854</v>
      </c>
      <c r="BF23" s="27" t="n">
        <v>49.820765</v>
      </c>
      <c r="BG23" s="27" t="n">
        <v>49.867625</v>
      </c>
      <c r="BH23" s="27" t="n">
        <v>49.822272</v>
      </c>
      <c r="BI23" s="27" t="n">
        <v>49.597157</v>
      </c>
      <c r="BJ23" s="27" t="n">
        <v>49.927892</v>
      </c>
      <c r="BK23" s="27" t="n">
        <v>50.408754</v>
      </c>
      <c r="BL23" s="27" t="n">
        <v>50.364529</v>
      </c>
      <c r="BM23" s="27" t="n">
        <v>51.315343</v>
      </c>
      <c r="BN23" s="27" t="n">
        <v>51.274241</v>
      </c>
      <c r="BO23" s="27" t="n">
        <v>51.235341</v>
      </c>
      <c r="BP23" s="27" t="n">
        <v>51.152955</v>
      </c>
      <c r="BQ23" s="27" t="n">
        <v>50.209439</v>
      </c>
      <c r="BR23" s="27" t="n">
        <v>53.010605</v>
      </c>
      <c r="BS23" s="27" t="n">
        <v>50.697442</v>
      </c>
      <c r="BT23" s="27" t="n">
        <v>50.697447</v>
      </c>
      <c r="BU23" s="27" t="n">
        <v>50.697438</v>
      </c>
      <c r="BV23" s="27" t="n">
        <v>50.697386</v>
      </c>
      <c r="BW23" s="27" t="n">
        <v>50.697375</v>
      </c>
      <c r="BX23" s="27" t="n">
        <v>50.697375</v>
      </c>
      <c r="BY23" s="27" t="n">
        <v>50.697284</v>
      </c>
      <c r="BZ23" s="27" t="n">
        <v>50.697248</v>
      </c>
      <c r="CA23" s="28" t="n">
        <v>50.697298</v>
      </c>
      <c r="CB23" s="29" t="n">
        <f aca="false">CA23*(1+'Assumptions (Quarterly)'!F22)</f>
        <v>50.646600702</v>
      </c>
      <c r="CC23" s="29" t="n">
        <f aca="false">CB23*(1+'Assumptions (Quarterly)'!G22)</f>
        <v>50.595954101298</v>
      </c>
      <c r="CD23" s="29" t="n">
        <f aca="false">CC23*(1+'Assumptions (Quarterly)'!H22)</f>
        <v>50.5453581471967</v>
      </c>
      <c r="CE23" s="29" t="n">
        <f aca="false">CD23*(1+'Assumptions (Quarterly)'!I22)</f>
        <v>50.4948127890495</v>
      </c>
      <c r="CF23" s="29" t="n">
        <f aca="false">CE23*(1+'Assumptions (Quarterly)'!J22)</f>
        <v>50.4443179762605</v>
      </c>
      <c r="CG23" s="29" t="n">
        <f aca="false">CF23*(1+'Assumptions (Quarterly)'!K22)</f>
        <v>50.3938736582842</v>
      </c>
      <c r="CH23" s="29" t="n">
        <f aca="false">CG23*(1+'Assumptions (Quarterly)'!L22)</f>
        <v>50.3434797846259</v>
      </c>
    </row>
    <row r="24" customFormat="false" ht="15" hidden="false" customHeight="true" outlineLevel="0" collapsed="false">
      <c r="A24" s="17" t="s">
        <v>143</v>
      </c>
      <c r="B24" s="31" t="n">
        <f aca="false">IF(B22=0,"",B20/B22)</f>
        <v>0.130407424051743</v>
      </c>
      <c r="C24" s="31" t="n">
        <f aca="false">IF(C22=0,"",C20/C22)</f>
        <v>0.0650793743358184</v>
      </c>
      <c r="D24" s="31" t="n">
        <f aca="false">IF(D22=0,"",D20/D22)</f>
        <v>0.0344133011195893</v>
      </c>
      <c r="E24" s="31" t="n">
        <f aca="false">IF(E22=0,"",E20/E22)</f>
        <v>0.0989015003348748</v>
      </c>
      <c r="F24" s="31" t="n">
        <f aca="false">IF(F22=0,"",F20/F22)</f>
        <v>0.211630970991163</v>
      </c>
      <c r="G24" s="31" t="n">
        <f aca="false">IF(G22=0,"",G20/G22)</f>
        <v>0.0467509777861989</v>
      </c>
      <c r="H24" s="31" t="n">
        <f aca="false">IF(H22=0,"",H20/H22)</f>
        <v>0.0666188331586803</v>
      </c>
      <c r="I24" s="31" t="n">
        <f aca="false">IF(I22=0,"",I20/I22)</f>
        <v>0.132664718018791</v>
      </c>
      <c r="J24" s="31" t="n">
        <f aca="false">IF(J22=0,"",J20/J22)</f>
        <v>0.179251636185776</v>
      </c>
      <c r="K24" s="31" t="n">
        <f aca="false">IF(K22=0,"",K20/K22)</f>
        <v>0.122334511951154</v>
      </c>
      <c r="L24" s="31" t="n">
        <f aca="false">IF(L22=0,"",L20/L22)</f>
        <v>0.151543704052578</v>
      </c>
      <c r="M24" s="31" t="n">
        <f aca="false">IF(M22=0,"",M20/M22)</f>
        <v>0.223463501137791</v>
      </c>
      <c r="N24" s="31" t="n">
        <f aca="false">IF(N22=0,"",N20/N22)</f>
        <v>0.255850281755486</v>
      </c>
      <c r="O24" s="31" t="n">
        <f aca="false">IF(O22=0,"",O20/O22)</f>
        <v>0.218086986562759</v>
      </c>
      <c r="P24" s="31" t="n">
        <f aca="false">IF(P22=0,"",P20/P22)</f>
        <v>0.264589197451096</v>
      </c>
      <c r="Q24" s="31" t="n">
        <f aca="false">IF(Q22=0,"",Q20/Q22)</f>
        <v>0.425811564540049</v>
      </c>
      <c r="R24" s="31" t="n">
        <f aca="false">IF(R22=0,"",R20/R22)</f>
        <v>0.36118213188303</v>
      </c>
      <c r="S24" s="31" t="n">
        <f aca="false">IF(S22=0,"",S20/S22)</f>
        <v>0.318540527043986</v>
      </c>
      <c r="T24" s="31" t="n">
        <f aca="false">IF(T22=0,"",T20/T22)</f>
        <v>0.335783015605223</v>
      </c>
      <c r="U24" s="31" t="n">
        <f aca="false">IF(U22=0,"",U20/U22)</f>
        <v>0.595713145722576</v>
      </c>
      <c r="V24" s="31" t="n">
        <f aca="false">IF(V22=0,"",V20/V22)</f>
        <v>0.489457583085157</v>
      </c>
      <c r="W24" s="31" t="n">
        <f aca="false">IF(W22=0,"",W20/W22)</f>
        <v>0.444804861465963</v>
      </c>
      <c r="X24" s="31" t="n">
        <f aca="false">IF(X22=0,"",X20/X22)</f>
        <v>0.574866190424622</v>
      </c>
      <c r="Y24" s="31" t="n">
        <f aca="false">IF(Y22=0,"",Y20/Y22)</f>
        <v>0.589872360575231</v>
      </c>
      <c r="Z24" s="31" t="n">
        <f aca="false">IF(Z22=0,"",Z20/Z22)</f>
        <v>0.683799792991959</v>
      </c>
      <c r="AA24" s="31" t="n">
        <f aca="false">IF(AA22=0,"",AA20/AA22)</f>
        <v>0.395916856217423</v>
      </c>
      <c r="AB24" s="31" t="n">
        <f aca="false">IF(AB22=0,"",AB20/AB22)</f>
        <v>0.678972810254757</v>
      </c>
      <c r="AC24" s="31" t="n">
        <f aca="false">IF(AC22=0,"",AC20/AC22)</f>
        <v>0.663244138277292</v>
      </c>
      <c r="AD24" s="31" t="n">
        <f aca="false">IF(AD22=0,"",AD20/AD22)</f>
        <v>0.923228589080101</v>
      </c>
      <c r="AE24" s="31" t="n">
        <f aca="false">IF(AE22=0,"",AE20/AE22)</f>
        <v>0.685422039833566</v>
      </c>
      <c r="AF24" s="31" t="n">
        <f aca="false">IF(AF22=0,"",AF20/AF22)</f>
        <v>-0.579677098453745</v>
      </c>
      <c r="AG24" s="31" t="n">
        <f aca="false">IF(AG22=0,"",AG20/AG22)</f>
        <v>0.764734397592856</v>
      </c>
      <c r="AH24" s="31" t="n">
        <f aca="false">IF(AH22=0,"",AH20/AH22)</f>
        <v>0.773339907303846</v>
      </c>
      <c r="AI24" s="31" t="n">
        <f aca="false">IF(AI22=0,"",AI20/AI22)</f>
        <v>0.0389765134460141</v>
      </c>
      <c r="AJ24" s="31" t="n">
        <f aca="false">IF(AJ22=0,"",AJ20/AJ22)</f>
        <v>0.440785427406843</v>
      </c>
      <c r="AK24" s="31" t="n">
        <f aca="false">IF(AK22=0,"",AK20/AK22)</f>
        <v>1.03361209606976</v>
      </c>
      <c r="AL24" s="31" t="n">
        <f aca="false">IF(AL22=0,"",AL20/AL22)</f>
        <v>0.882423325361969</v>
      </c>
      <c r="AM24" s="31" t="n">
        <f aca="false">IF(AM22=0,"",AM20/AM22)</f>
        <v>0.684988262665993</v>
      </c>
      <c r="AN24" s="31" t="n">
        <f aca="false">IF(AN22=0,"",AN20/AN22)</f>
        <v>0.359124884806809</v>
      </c>
      <c r="AO24" s="31" t="n">
        <f aca="false">IF(AO22=0,"",AO20/AO22)</f>
        <v>0.881212480615624</v>
      </c>
      <c r="AP24" s="31" t="n">
        <f aca="false">IF(AP22=0,"",AP20/AP22)</f>
        <v>1.1628639294302</v>
      </c>
      <c r="AQ24" s="31" t="n">
        <f aca="false">IF(AQ22=0,"",AQ20/AQ22)</f>
        <v>1.09875218094993</v>
      </c>
      <c r="AR24" s="31" t="n">
        <f aca="false">IF(AR22=0,"",AR20/AR22)</f>
        <v>0.120387620963969</v>
      </c>
      <c r="AS24" s="31" t="n">
        <f aca="false">IF(AS22=0,"",AS20/AS22)</f>
        <v>0.626531964181558</v>
      </c>
      <c r="AT24" s="31" t="n">
        <f aca="false">IF(AT22=0,"",AT20/AT22)</f>
        <v>-1.53360603680963</v>
      </c>
      <c r="AU24" s="31" t="n">
        <f aca="false">IF(AU22=0,"",AU20/AU22)</f>
        <v>-0.292567282775304</v>
      </c>
      <c r="AV24" s="31" t="n">
        <f aca="false">IF(AV22=0,"",AV20/AV22)</f>
        <v>-0.254815935117866</v>
      </c>
      <c r="AW24" s="31" t="n">
        <f aca="false">IF(AW22=0,"",AW20/AW22)</f>
        <v>-0.226021370793822</v>
      </c>
      <c r="AX24" s="31" t="n">
        <f aca="false">IF(AX22=0,"",AX20/AX22)</f>
        <v>-0.0516696599384331</v>
      </c>
      <c r="AY24" s="31" t="n">
        <f aca="false">IF(AY22=0,"",AY20/AY22)</f>
        <v>0.258023797388683</v>
      </c>
      <c r="AZ24" s="31" t="n">
        <f aca="false">IF(AZ22=0,"",AZ20/AZ22)</f>
        <v>0.328821695021597</v>
      </c>
      <c r="BA24" s="31" t="n">
        <f aca="false">IF(BA22=0,"",BA20/BA22)</f>
        <v>-2.93864162868844</v>
      </c>
      <c r="BB24" s="31" t="n">
        <f aca="false">IF(BB22=0,"",BB20/BB22)</f>
        <v>-1.08601717390609</v>
      </c>
      <c r="BC24" s="31" t="n">
        <f aca="false">IF(BC22=0,"",BC20/BC22)</f>
        <v>-0.424643313396682</v>
      </c>
      <c r="BD24" s="31" t="n">
        <f aca="false">IF(BD22=0,"",BD20/BD22)</f>
        <v>1.12546832403228</v>
      </c>
      <c r="BE24" s="31" t="n">
        <f aca="false">IF(BE22=0,"",BE20/BE22)</f>
        <v>0.302388209180801</v>
      </c>
      <c r="BF24" s="31" t="n">
        <f aca="false">IF(BF22=0,"",BF20/BF22)</f>
        <v>-1.02112041033493</v>
      </c>
      <c r="BG24" s="31" t="n">
        <f aca="false">IF(BG22=0,"",BG20/BG22)</f>
        <v>-0.681805078946511</v>
      </c>
      <c r="BH24" s="31" t="n">
        <f aca="false">IF(BH22=0,"",BH20/BH22)</f>
        <v>1.36485144635716</v>
      </c>
      <c r="BI24" s="31" t="n">
        <f aca="false">IF(BI22=0,"",BI20/BI22)</f>
        <v>1.91543237044817</v>
      </c>
      <c r="BJ24" s="31" t="n">
        <f aca="false">IF(BJ22=0,"",BJ20/BJ22)</f>
        <v>-0.9213287034029</v>
      </c>
      <c r="BK24" s="31" t="n">
        <f aca="false">IF(BK22=0,"",BK20/BK22)</f>
        <v>1.28945857300897</v>
      </c>
      <c r="BL24" s="31" t="n">
        <f aca="false">IF(BL22=0,"",BL20/BL22)</f>
        <v>2.44219498210735</v>
      </c>
      <c r="BM24" s="31" t="n">
        <f aca="false">IF(BM22=0,"",BM20/BM22)</f>
        <v>2.56333448087261</v>
      </c>
      <c r="BN24" s="31" t="n">
        <f aca="false">IF(BN22=0,"",BN20/BN22)</f>
        <v>3.28136362653762</v>
      </c>
      <c r="BO24" s="31" t="n">
        <f aca="false">IF(BO22=0,"",BO20/BO22)</f>
        <v>4.00039223746376</v>
      </c>
      <c r="BP24" s="31" t="n">
        <f aca="false">IF(BP22=0,"",BP20/BP22)</f>
        <v>5.22300569744201</v>
      </c>
      <c r="BQ24" s="31" t="n">
        <f aca="false">IF(BQ22=0,"",BQ20/BQ22)</f>
        <v>7.17880544677366</v>
      </c>
      <c r="BR24" s="31" t="n">
        <f aca="false">IF(BR22=0,"",BR20/BR22)</f>
        <v>3.25856860363226</v>
      </c>
      <c r="BS24" s="31" t="n">
        <f aca="false">IF(BS22=0,"",BS20/BS22)</f>
        <v>6.78535220771099</v>
      </c>
      <c r="BT24" s="31" t="n">
        <f aca="false">IF(BT22=0,"",BT20/BT22)</f>
        <v>10.4739001946193</v>
      </c>
      <c r="BU24" s="31" t="n">
        <f aca="false">IF(BU22=0,"",BU20/BU22)</f>
        <v>7.83077046220758</v>
      </c>
      <c r="BV24" s="31" t="n">
        <f aca="false">IF(BV22=0,"",BV20/BV22)</f>
        <v>12.604200145546</v>
      </c>
      <c r="BW24" s="31" t="n">
        <f aca="false">IF(BW22=0,"",BW20/BW22)</f>
        <v>9.74409424551074</v>
      </c>
      <c r="BX24" s="31" t="n">
        <f aca="false">IF(BX22=0,"",BX20/BX22)</f>
        <v>10.3161159724739</v>
      </c>
      <c r="BY24" s="31" t="n">
        <f aca="false">IF(BY22=0,"",BY20/BY22)</f>
        <v>8.30419550245955</v>
      </c>
      <c r="BZ24" s="31" t="n">
        <f aca="false">IF(BZ22=0,"",BZ20/BZ22)</f>
        <v>11.0262538852751</v>
      </c>
      <c r="CA24" s="32" t="n">
        <f aca="false">IF(CA22=0,"",CA20/CA22)</f>
        <v>8.22530924894405</v>
      </c>
      <c r="CB24" s="33" t="n">
        <f aca="false">CB20/CB22</f>
        <v>9.98402855829172</v>
      </c>
      <c r="CC24" s="33" t="n">
        <f aca="false">CC20/CC22</f>
        <v>12.3425876683587</v>
      </c>
      <c r="CD24" s="33" t="n">
        <f aca="false">CD20/CD22</f>
        <v>16.207597508974</v>
      </c>
      <c r="CE24" s="33" t="n">
        <f aca="false">CE20/CE22</f>
        <v>13.5835683135624</v>
      </c>
      <c r="CF24" s="33" t="n">
        <f aca="false">CF20/CF22</f>
        <v>15.3387749849511</v>
      </c>
      <c r="CG24" s="33" t="n">
        <f aca="false">CG20/CG22</f>
        <v>18.3216102738723</v>
      </c>
      <c r="CH24" s="33" t="n">
        <f aca="false">CH20/CH22</f>
        <v>22.9616899906277</v>
      </c>
    </row>
    <row r="25" customFormat="false" ht="15" hidden="false" customHeight="true" outlineLevel="0" collapsed="false">
      <c r="A25" s="17" t="s">
        <v>144</v>
      </c>
      <c r="B25" s="31" t="str">
        <f aca="false">IF(B23=0,"",B20/B23)</f>
        <v/>
      </c>
      <c r="C25" s="31" t="n">
        <f aca="false">IF(C23=0,"",C20/C23)</f>
        <v>0.0650793743358184</v>
      </c>
      <c r="D25" s="31" t="n">
        <f aca="false">IF(D23=0,"",D20/D23)</f>
        <v>0.0333997086464071</v>
      </c>
      <c r="E25" s="31" t="n">
        <f aca="false">IF(E23=0,"",E20/E23)</f>
        <v>0.0983785893227198</v>
      </c>
      <c r="F25" s="31" t="n">
        <f aca="false">IF(F23=0,"",F20/F23)</f>
        <v>0.208898767957217</v>
      </c>
      <c r="G25" s="31" t="n">
        <f aca="false">IF(G23=0,"",G20/G23)</f>
        <v>0.0466028779158029</v>
      </c>
      <c r="H25" s="31" t="n">
        <f aca="false">IF(H23=0,"",H20/H23)</f>
        <v>0.0664219149463131</v>
      </c>
      <c r="I25" s="31" t="n">
        <f aca="false">IF(I23=0,"",I20/I23)</f>
        <v>0.13239824476435</v>
      </c>
      <c r="J25" s="31" t="n">
        <f aca="false">IF(J23=0,"",J20/J23)</f>
        <v>0.178913116915184</v>
      </c>
      <c r="K25" s="31" t="n">
        <f aca="false">IF(K23=0,"",K20/K23)</f>
        <v>0.122163385599548</v>
      </c>
      <c r="L25" s="31" t="n">
        <f aca="false">IF(L23=0,"",L20/L23)</f>
        <v>0.151358382191834</v>
      </c>
      <c r="M25" s="31" t="n">
        <f aca="false">IF(M23=0,"",M20/M23)</f>
        <v>0.223214941328035</v>
      </c>
      <c r="N25" s="31" t="n">
        <f aca="false">IF(N23=0,"",N20/N23)</f>
        <v>0.255403381401662</v>
      </c>
      <c r="O25" s="31" t="n">
        <f aca="false">IF(O23=0,"",O20/O23)</f>
        <v>0.217908638110791</v>
      </c>
      <c r="P25" s="31" t="n">
        <f aca="false">IF(P23=0,"",P20/P23)</f>
        <v>0.2644443440184</v>
      </c>
      <c r="Q25" s="31" t="n">
        <f aca="false">IF(Q23=0,"",Q20/Q23)</f>
        <v>0.425603198197691</v>
      </c>
      <c r="R25" s="31" t="n">
        <f aca="false">IF(R23=0,"",R20/R23)</f>
        <v>0.361002634497123</v>
      </c>
      <c r="S25" s="31" t="n">
        <f aca="false">IF(S23=0,"",S20/S23)</f>
        <v>0.31842303241075</v>
      </c>
      <c r="T25" s="31" t="n">
        <f aca="false">IF(T23=0,"",T20/T23)</f>
        <v>0.335675091506</v>
      </c>
      <c r="U25" s="31" t="n">
        <f aca="false">IF(U23=0,"",U20/U23)</f>
        <v>0.595587759322971</v>
      </c>
      <c r="V25" s="31" t="n">
        <f aca="false">IF(V23=0,"",V20/V23)</f>
        <v>0.489334844921081</v>
      </c>
      <c r="W25" s="31" t="n">
        <f aca="false">IF(W23=0,"",W20/W23)</f>
        <v>0.444747230416667</v>
      </c>
      <c r="X25" s="31" t="n">
        <f aca="false">IF(X23=0,"",X20/X23)</f>
        <v>0.574812365237258</v>
      </c>
      <c r="Y25" s="31" t="n">
        <f aca="false">IF(Y23=0,"",Y20/Y23)</f>
        <v>0.58977973324061</v>
      </c>
      <c r="Z25" s="31" t="n">
        <f aca="false">IF(Z23=0,"",Z20/Z23)</f>
        <v>0.684000015587469</v>
      </c>
      <c r="AA25" s="31" t="n">
        <f aca="false">IF(AA23=0,"",AA20/AA23)</f>
        <v>0.395916551330461</v>
      </c>
      <c r="AB25" s="31" t="n">
        <f aca="false">IF(AB23=0,"",AB20/AB23)</f>
        <v>0.678972810254757</v>
      </c>
      <c r="AC25" s="31" t="n">
        <f aca="false">IF(AC23=0,"",AC20/AC23)</f>
        <v>0.663244138277292</v>
      </c>
      <c r="AD25" s="31" t="n">
        <f aca="false">IF(AD23=0,"",AD20/AD23)</f>
        <v>0.923228589080101</v>
      </c>
      <c r="AE25" s="31" t="n">
        <f aca="false">IF(AE23=0,"",AE20/AE23)</f>
        <v>0.685422039833566</v>
      </c>
      <c r="AF25" s="31" t="n">
        <f aca="false">IF(AF23=0,"",AF20/AF23)</f>
        <v>-0.579299557011813</v>
      </c>
      <c r="AG25" s="31" t="n">
        <f aca="false">IF(AG23=0,"",AG20/AG23)</f>
        <v>0.764734397592856</v>
      </c>
      <c r="AH25" s="31" t="n">
        <f aca="false">IF(AH23=0,"",AH20/AH23)</f>
        <v>0.773339907303846</v>
      </c>
      <c r="AI25" s="31" t="n">
        <f aca="false">IF(AI23=0,"",AI20/AI23)</f>
        <v>0.0389765134460141</v>
      </c>
      <c r="AJ25" s="31" t="n">
        <f aca="false">IF(AJ23=0,"",AJ20/AJ23)</f>
        <v>0.440785427406843</v>
      </c>
      <c r="AK25" s="31" t="n">
        <f aca="false">IF(AK23=0,"",AK20/AK23)</f>
        <v>1.03361209606976</v>
      </c>
      <c r="AL25" s="31" t="n">
        <f aca="false">IF(AL23=0,"",AL20/AL23)</f>
        <v>0.882423325361969</v>
      </c>
      <c r="AM25" s="31" t="n">
        <f aca="false">IF(AM23=0,"",AM20/AM23)</f>
        <v>0.684988262665993</v>
      </c>
      <c r="AN25" s="31" t="n">
        <f aca="false">IF(AN23=0,"",AN20/AN23)</f>
        <v>0.359124884806809</v>
      </c>
      <c r="AO25" s="31" t="n">
        <f aca="false">IF(AO23=0,"",AO20/AO23)</f>
        <v>0.881212480615624</v>
      </c>
      <c r="AP25" s="31" t="n">
        <f aca="false">IF(AP23=0,"",AP20/AP23)</f>
        <v>1.1628639294302</v>
      </c>
      <c r="AQ25" s="31" t="n">
        <f aca="false">IF(AQ23=0,"",AQ20/AQ23)</f>
        <v>1.09875218094993</v>
      </c>
      <c r="AR25" s="31" t="n">
        <f aca="false">IF(AR23=0,"",AR20/AR23)</f>
        <v>0.120387620963969</v>
      </c>
      <c r="AS25" s="31" t="n">
        <f aca="false">IF(AS23=0,"",AS20/AS23)</f>
        <v>0.626531964181558</v>
      </c>
      <c r="AT25" s="31" t="n">
        <f aca="false">IF(AT23=0,"",AT20/AT23)</f>
        <v>-1.53360603680963</v>
      </c>
      <c r="AU25" s="31" t="n">
        <f aca="false">IF(AU23=0,"",AU20/AU23)</f>
        <v>-0.292567282775304</v>
      </c>
      <c r="AV25" s="31" t="n">
        <f aca="false">IF(AV23=0,"",AV20/AV23)</f>
        <v>-0.254815935117866</v>
      </c>
      <c r="AW25" s="31" t="n">
        <f aca="false">IF(AW23=0,"",AW20/AW23)</f>
        <v>-0.226021370793822</v>
      </c>
      <c r="AX25" s="31" t="n">
        <f aca="false">IF(AX23=0,"",AX20/AX23)</f>
        <v>-0.0516696599384331</v>
      </c>
      <c r="AY25" s="31" t="n">
        <f aca="false">IF(AY23=0,"",AY20/AY23)</f>
        <v>0.258023797388683</v>
      </c>
      <c r="AZ25" s="31" t="n">
        <f aca="false">IF(AZ23=0,"",AZ20/AZ23)</f>
        <v>0.328821695021597</v>
      </c>
      <c r="BA25" s="31" t="n">
        <f aca="false">IF(BA23=0,"",BA20/BA23)</f>
        <v>-2.93864162868844</v>
      </c>
      <c r="BB25" s="31" t="n">
        <f aca="false">IF(BB23=0,"",BB20/BB23)</f>
        <v>-1.08601717390609</v>
      </c>
      <c r="BC25" s="31" t="n">
        <f aca="false">IF(BC23=0,"",BC20/BC23)</f>
        <v>-0.424643313396682</v>
      </c>
      <c r="BD25" s="31" t="n">
        <f aca="false">IF(BD23=0,"",BD20/BD23)</f>
        <v>1.12546832403228</v>
      </c>
      <c r="BE25" s="31" t="n">
        <f aca="false">IF(BE23=0,"",BE20/BE23)</f>
        <v>0.302388209180801</v>
      </c>
      <c r="BF25" s="31" t="n">
        <f aca="false">IF(BF23=0,"",BF20/BF23)</f>
        <v>-1.02112041033493</v>
      </c>
      <c r="BG25" s="31" t="n">
        <f aca="false">IF(BG23=0,"",BG20/BG23)</f>
        <v>-0.681805078946511</v>
      </c>
      <c r="BH25" s="31" t="n">
        <f aca="false">IF(BH23=0,"",BH20/BH23)</f>
        <v>1.36485144635716</v>
      </c>
      <c r="BI25" s="31" t="n">
        <f aca="false">IF(BI23=0,"",BI20/BI23)</f>
        <v>1.91543237044817</v>
      </c>
      <c r="BJ25" s="31" t="n">
        <f aca="false">IF(BJ23=0,"",BJ20/BJ23)</f>
        <v>-0.9213287034029</v>
      </c>
      <c r="BK25" s="31" t="n">
        <f aca="false">IF(BK23=0,"",BK20/BK23)</f>
        <v>1.28945857300897</v>
      </c>
      <c r="BL25" s="31" t="n">
        <f aca="false">IF(BL23=0,"",BL20/BL23)</f>
        <v>2.44219498210735</v>
      </c>
      <c r="BM25" s="31" t="n">
        <f aca="false">IF(BM23=0,"",BM20/BM23)</f>
        <v>2.51386802578714</v>
      </c>
      <c r="BN25" s="31" t="n">
        <f aca="false">IF(BN23=0,"",BN20/BN23)</f>
        <v>3.21799010150145</v>
      </c>
      <c r="BO25" s="31" t="n">
        <f aca="false">IF(BO23=0,"",BO20/BO23)</f>
        <v>3.92307333330718</v>
      </c>
      <c r="BP25" s="31" t="n">
        <f aca="false">IF(BP23=0,"",BP20/BP23)</f>
        <v>5.12189374005861</v>
      </c>
      <c r="BQ25" s="31" t="n">
        <f aca="false">IF(BQ23=0,"",BQ20/BQ23)</f>
        <v>7.15005001350443</v>
      </c>
      <c r="BR25" s="31" t="n">
        <f aca="false">IF(BR23=0,"",BR20/BR23)</f>
        <v>3.11258473658243</v>
      </c>
      <c r="BS25" s="31" t="n">
        <f aca="false">IF(BS23=0,"",BS20/BS23)</f>
        <v>6.78535220771099</v>
      </c>
      <c r="BT25" s="31" t="n">
        <f aca="false">IF(BT23=0,"",BT20/BT23)</f>
        <v>10.4739001946193</v>
      </c>
      <c r="BU25" s="31" t="n">
        <f aca="false">IF(BU23=0,"",BU20/BU23)</f>
        <v>7.83077046220758</v>
      </c>
      <c r="BV25" s="31" t="n">
        <f aca="false">IF(BV23=0,"",BV20/BV23)</f>
        <v>12.604200145546</v>
      </c>
      <c r="BW25" s="31" t="n">
        <f aca="false">IF(BW23=0,"",BW20/BW23)</f>
        <v>9.74409424551074</v>
      </c>
      <c r="BX25" s="31" t="n">
        <f aca="false">IF(BX23=0,"",BX20/BX23)</f>
        <v>10.3161159724739</v>
      </c>
      <c r="BY25" s="31" t="n">
        <f aca="false">IF(BY23=0,"",BY20/BY23)</f>
        <v>8.3041923902669</v>
      </c>
      <c r="BZ25" s="31" t="n">
        <f aca="false">IF(BZ23=0,"",BZ20/BZ23)</f>
        <v>11.0262395307927</v>
      </c>
      <c r="CA25" s="32" t="n">
        <f aca="false">IF(CA23=0,"",CA20/CA23)</f>
        <v>8.22529042869306</v>
      </c>
      <c r="CB25" s="33" t="n">
        <f aca="false">CB20/CB23</f>
        <v>9.98400571393199</v>
      </c>
      <c r="CC25" s="33" t="n">
        <f aca="false">CC20/CC23</f>
        <v>12.3425594274025</v>
      </c>
      <c r="CD25" s="33" t="n">
        <f aca="false">CD20/CD23</f>
        <v>16.207560424526</v>
      </c>
      <c r="CE25" s="33" t="n">
        <f aca="false">CE20/CE23</f>
        <v>13.5835372331303</v>
      </c>
      <c r="CF25" s="33" t="n">
        <f aca="false">CF20/CF23</f>
        <v>15.3387398884476</v>
      </c>
      <c r="CG25" s="33" t="n">
        <f aca="false">CG20/CG23</f>
        <v>18.3215683523721</v>
      </c>
      <c r="CH25" s="33" t="n">
        <f aca="false">CH20/CH23</f>
        <v>22.9616374522056</v>
      </c>
    </row>
    <row r="26" customFormat="false" ht="15" hidden="false" customHeight="true" outlineLevel="0" collapsed="false">
      <c r="A26" s="17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6"/>
      <c r="CC26" s="26"/>
      <c r="CD26" s="26"/>
      <c r="CE26" s="26"/>
      <c r="CF26" s="26"/>
      <c r="CG26" s="26"/>
      <c r="CH26" s="26"/>
    </row>
    <row r="27" customFormat="false" ht="18" hidden="false" customHeight="true" outlineLevel="0" collapsed="false">
      <c r="A27" s="48" t="s">
        <v>152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</row>
    <row r="28" customFormat="false" ht="15" hidden="false" customHeight="true" outlineLevel="0" collapsed="false">
      <c r="A28" s="17" t="s">
        <v>153</v>
      </c>
      <c r="B28" s="18" t="n">
        <v>7.143027</v>
      </c>
      <c r="C28" s="18" t="n">
        <v>6.390163</v>
      </c>
      <c r="D28" s="18" t="n">
        <v>9.09493</v>
      </c>
      <c r="E28" s="18" t="n">
        <v>14.53598</v>
      </c>
      <c r="F28" s="18" t="n">
        <v>15.677407</v>
      </c>
      <c r="G28" s="18" t="n">
        <v>13.947927</v>
      </c>
      <c r="H28" s="18" t="n">
        <v>17.674256</v>
      </c>
      <c r="I28" s="18" t="n">
        <v>10.403585</v>
      </c>
      <c r="J28" s="18" t="n">
        <v>17.474112</v>
      </c>
      <c r="K28" s="18" t="n">
        <v>17.006309</v>
      </c>
      <c r="L28" s="18" t="n">
        <v>19.374901</v>
      </c>
      <c r="M28" s="18" t="n">
        <v>33.332506</v>
      </c>
      <c r="N28" s="18" t="n">
        <v>49.803402</v>
      </c>
      <c r="O28" s="18" t="n">
        <v>34.634299</v>
      </c>
      <c r="P28" s="18" t="n">
        <v>31.56872</v>
      </c>
      <c r="Q28" s="18" t="n">
        <v>44.4519</v>
      </c>
      <c r="R28" s="18" t="n">
        <v>56.830466</v>
      </c>
      <c r="S28" s="18" t="n">
        <v>50.968258</v>
      </c>
      <c r="T28" s="18" t="n">
        <v>44.250132</v>
      </c>
      <c r="U28" s="18" t="n">
        <v>59.083417</v>
      </c>
      <c r="V28" s="18" t="n">
        <v>67.381677</v>
      </c>
      <c r="W28" s="18" t="n">
        <v>75.874938</v>
      </c>
      <c r="X28" s="18" t="n">
        <v>87.59573</v>
      </c>
      <c r="Y28" s="18" t="n">
        <v>98.171852</v>
      </c>
      <c r="Z28" s="18" t="n">
        <v>101.489002</v>
      </c>
      <c r="AA28" s="18" t="n">
        <v>122.167381</v>
      </c>
      <c r="AB28" s="18" t="n">
        <v>131.191347</v>
      </c>
      <c r="AC28" s="18" t="n">
        <v>128.096994</v>
      </c>
      <c r="AD28" s="18" t="n">
        <v>140.285104</v>
      </c>
      <c r="AE28" s="18" t="n">
        <v>131.139549</v>
      </c>
      <c r="AF28" s="18" t="n">
        <v>385.520117</v>
      </c>
      <c r="AG28" s="18" t="n">
        <v>237.503912</v>
      </c>
      <c r="AH28" s="18" t="n">
        <v>223.144</v>
      </c>
      <c r="AI28" s="18" t="n">
        <v>219.768</v>
      </c>
      <c r="AJ28" s="18" t="n">
        <v>170.391</v>
      </c>
      <c r="AK28" s="18" t="n">
        <v>173.024</v>
      </c>
      <c r="AL28" s="18" t="n">
        <v>166.881</v>
      </c>
      <c r="AM28" s="18" t="n">
        <v>144.885</v>
      </c>
      <c r="AN28" s="18" t="n">
        <v>144.016</v>
      </c>
      <c r="AO28" s="18" t="n">
        <v>187.995</v>
      </c>
      <c r="AP28" s="18" t="n">
        <v>234.14</v>
      </c>
      <c r="AQ28" s="18" t="n">
        <v>301.388</v>
      </c>
      <c r="AR28" s="18" t="n">
        <v>382.791</v>
      </c>
      <c r="AS28" s="18" t="n">
        <v>461.198</v>
      </c>
      <c r="AT28" s="18" t="n">
        <v>388.26</v>
      </c>
      <c r="AU28" s="18" t="n">
        <v>350.411</v>
      </c>
      <c r="AV28" s="18" t="n">
        <v>524.011</v>
      </c>
      <c r="AW28" s="18" t="n">
        <v>1077.73</v>
      </c>
      <c r="AX28" s="18" t="n">
        <v>464.695</v>
      </c>
      <c r="AY28" s="18" t="n">
        <v>1306.261</v>
      </c>
      <c r="AZ28" s="18" t="n">
        <v>1128.322</v>
      </c>
      <c r="BA28" s="18" t="n">
        <v>1456.965</v>
      </c>
      <c r="BB28" s="18" t="n">
        <v>1451.424</v>
      </c>
      <c r="BC28" s="18" t="n">
        <v>1265.383</v>
      </c>
      <c r="BD28" s="18" t="n">
        <v>1663.358</v>
      </c>
      <c r="BE28" s="18" t="n">
        <v>1624.129</v>
      </c>
      <c r="BF28" s="18" t="n">
        <v>2508.224</v>
      </c>
      <c r="BG28" s="18" t="n">
        <v>1188.356</v>
      </c>
      <c r="BH28" s="18" t="n">
        <v>1431.089</v>
      </c>
      <c r="BI28" s="18" t="n">
        <v>1422.561</v>
      </c>
      <c r="BJ28" s="18" t="n">
        <v>3648</v>
      </c>
      <c r="BK28" s="18" t="n">
        <v>2414</v>
      </c>
      <c r="BL28" s="18" t="n">
        <v>2253</v>
      </c>
      <c r="BM28" s="18" t="n">
        <v>2528</v>
      </c>
      <c r="BN28" s="18" t="n">
        <v>3363</v>
      </c>
      <c r="BO28" s="18" t="n">
        <v>3524</v>
      </c>
      <c r="BP28" s="18" t="n">
        <v>3824</v>
      </c>
      <c r="BQ28" s="18" t="n">
        <v>3256</v>
      </c>
      <c r="BR28" s="18" t="n">
        <v>3848</v>
      </c>
      <c r="BS28" s="18" t="n">
        <v>3818</v>
      </c>
      <c r="BT28" s="18" t="n">
        <v>3823</v>
      </c>
      <c r="BU28" s="18" t="n">
        <v>3478</v>
      </c>
      <c r="BV28" s="18" t="n">
        <v>4699</v>
      </c>
      <c r="BW28" s="18" t="n">
        <v>4498</v>
      </c>
      <c r="BX28" s="18" t="n">
        <v>6888</v>
      </c>
      <c r="BY28" s="18" t="n">
        <v>9199</v>
      </c>
      <c r="BZ28" s="18" t="n">
        <v>13537</v>
      </c>
      <c r="CA28" s="19" t="n">
        <v>15141</v>
      </c>
      <c r="CB28" s="26" t="n">
        <f aca="false">CA28+CB81</f>
        <v>16107.4718108</v>
      </c>
      <c r="CC28" s="26" t="n">
        <f aca="false">CB28+CC81</f>
        <v>18221.0226341014</v>
      </c>
      <c r="CD28" s="26" t="n">
        <f aca="false">CC28+CD81</f>
        <v>21239.2655909564</v>
      </c>
      <c r="CE28" s="26" t="n">
        <f aca="false">CD28+CE81</f>
        <v>21965.2468989039</v>
      </c>
      <c r="CF28" s="26" t="n">
        <f aca="false">CE28+CF81</f>
        <v>23429.199995814</v>
      </c>
      <c r="CG28" s="26" t="n">
        <f aca="false">CF28+CG81</f>
        <v>26140.8927184455</v>
      </c>
      <c r="CH28" s="26" t="n">
        <f aca="false">CG28+CH81</f>
        <v>29485.2230649806</v>
      </c>
    </row>
    <row r="29" customFormat="false" ht="15" hidden="false" customHeight="true" outlineLevel="0" collapsed="false">
      <c r="A29" s="17" t="s">
        <v>154</v>
      </c>
      <c r="B29" s="18" t="n">
        <v>6.320656</v>
      </c>
      <c r="C29" s="18" t="n">
        <v>7.736592</v>
      </c>
      <c r="D29" s="18" t="n">
        <v>7.141477</v>
      </c>
      <c r="E29" s="18" t="n">
        <v>48.373617</v>
      </c>
      <c r="F29" s="18" t="n">
        <v>52.300007</v>
      </c>
      <c r="G29" s="18" t="n">
        <v>37.921663</v>
      </c>
      <c r="H29" s="18" t="n">
        <v>31.743124</v>
      </c>
      <c r="I29" s="18" t="n">
        <v>20.489006</v>
      </c>
      <c r="J29" s="18" t="n">
        <v>31.6394</v>
      </c>
      <c r="K29" s="18" t="n">
        <v>29.354094</v>
      </c>
      <c r="L29" s="18" t="n">
        <v>28.647386</v>
      </c>
      <c r="M29" s="18" t="n">
        <v>19.867077</v>
      </c>
      <c r="N29" s="18" t="n">
        <v>14.580185</v>
      </c>
      <c r="O29" s="18" t="n">
        <v>7.077862</v>
      </c>
      <c r="P29" s="18" t="n">
        <v>11.27962</v>
      </c>
      <c r="Q29" s="18" t="n">
        <v>6.584453</v>
      </c>
      <c r="R29" s="18" t="n">
        <v>5.342766</v>
      </c>
      <c r="S29" s="18" t="n">
        <v>3.179205</v>
      </c>
      <c r="T29" s="18" t="n">
        <v>72.384019</v>
      </c>
      <c r="U29" s="18" t="n">
        <v>67.578494</v>
      </c>
      <c r="V29" s="18" t="n">
        <v>74.92862</v>
      </c>
      <c r="W29" s="18" t="n">
        <v>82.72215</v>
      </c>
      <c r="X29" s="18" t="n">
        <v>83.016176</v>
      </c>
      <c r="Y29" s="18" t="n">
        <v>79.390492</v>
      </c>
      <c r="Z29" s="18" t="n">
        <v>93.694805</v>
      </c>
      <c r="AA29" s="18" t="n">
        <v>75.545528</v>
      </c>
      <c r="AB29" s="18" t="n">
        <v>71.299941</v>
      </c>
      <c r="AC29" s="18" t="n">
        <v>91.330179</v>
      </c>
      <c r="AD29" s="18" t="n">
        <v>76.593214</v>
      </c>
      <c r="AE29" s="18" t="n">
        <v>87.390844</v>
      </c>
      <c r="AF29" s="18" t="n">
        <v>105.228656</v>
      </c>
      <c r="AG29" s="18" t="n">
        <v>169.843592</v>
      </c>
      <c r="AH29" s="18" t="n">
        <v>148.81</v>
      </c>
      <c r="AI29" s="18" t="n">
        <v>148.052</v>
      </c>
      <c r="AJ29" s="18" t="n">
        <v>167.161</v>
      </c>
      <c r="AK29" s="18" t="n">
        <v>168.015</v>
      </c>
      <c r="AL29" s="18" t="n">
        <v>202.112</v>
      </c>
      <c r="AM29" s="18" t="n">
        <v>195.569</v>
      </c>
      <c r="AN29" s="18" t="n">
        <v>251.416</v>
      </c>
      <c r="AO29" s="18" t="n">
        <v>283.65</v>
      </c>
      <c r="AP29" s="18" t="n">
        <v>259.604</v>
      </c>
      <c r="AQ29" s="18" t="n">
        <v>276.545</v>
      </c>
      <c r="AR29" s="18" t="n">
        <v>231.455</v>
      </c>
      <c r="AS29" s="18" t="n">
        <v>227.008</v>
      </c>
      <c r="AT29" s="18" t="n">
        <v>282.841</v>
      </c>
      <c r="AU29" s="18" t="n">
        <v>281.774</v>
      </c>
      <c r="AV29" s="18" t="n">
        <v>181.498</v>
      </c>
      <c r="AW29" s="18" t="n">
        <v>157.868</v>
      </c>
      <c r="AX29" s="18" t="n">
        <v>557.319</v>
      </c>
      <c r="AY29" s="18" t="n">
        <v>1783.097</v>
      </c>
      <c r="AZ29" s="18" t="n">
        <v>1982.235</v>
      </c>
      <c r="BA29" s="18" t="n">
        <v>1902.263</v>
      </c>
      <c r="BB29" s="18" t="n">
        <v>1779.346</v>
      </c>
      <c r="BC29" s="18" t="n">
        <v>1699.744</v>
      </c>
      <c r="BD29" s="18" t="n">
        <v>2264.02</v>
      </c>
      <c r="BE29" s="18" t="n">
        <v>2426.614</v>
      </c>
      <c r="BF29" s="18" t="n">
        <v>1626.342</v>
      </c>
      <c r="BG29" s="18" t="n">
        <v>1396.676</v>
      </c>
      <c r="BH29" s="18" t="n">
        <v>1445.55</v>
      </c>
      <c r="BI29" s="18" t="n">
        <v>1814.621</v>
      </c>
      <c r="BJ29" s="18" t="n">
        <v>2009</v>
      </c>
      <c r="BK29" s="18" t="n">
        <v>3069</v>
      </c>
      <c r="BL29" s="18" t="n">
        <v>3435</v>
      </c>
      <c r="BM29" s="18" t="n">
        <v>3667</v>
      </c>
      <c r="BN29" s="18" t="n">
        <v>4043</v>
      </c>
      <c r="BO29" s="18" t="n">
        <v>4356</v>
      </c>
      <c r="BP29" s="18" t="n">
        <v>4890</v>
      </c>
      <c r="BQ29" s="18" t="n">
        <v>5656</v>
      </c>
      <c r="BR29" s="18" t="n">
        <v>6109</v>
      </c>
      <c r="BS29" s="18" t="n">
        <v>6790</v>
      </c>
      <c r="BT29" s="18" t="n">
        <v>7513</v>
      </c>
      <c r="BU29" s="18" t="n">
        <v>8759</v>
      </c>
      <c r="BV29" s="18" t="n">
        <v>9201</v>
      </c>
      <c r="BW29" s="18" t="n">
        <v>10583</v>
      </c>
      <c r="BX29" s="18" t="n">
        <v>11241</v>
      </c>
      <c r="BY29" s="18" t="n">
        <v>11525</v>
      </c>
      <c r="BZ29" s="18" t="n">
        <v>11484</v>
      </c>
      <c r="CA29" s="19" t="n">
        <v>12142</v>
      </c>
      <c r="CB29" s="20" t="n">
        <f aca="false">CB6*'Assumptions (Quarterly)'!F38</f>
        <v>12509.0042</v>
      </c>
      <c r="CC29" s="20" t="n">
        <f aca="false">CC6*'Assumptions (Quarterly)'!G38</f>
        <v>13648.256757</v>
      </c>
      <c r="CD29" s="20" t="n">
        <f aca="false">CD6*'Assumptions (Quarterly)'!H38</f>
        <v>15151.2595</v>
      </c>
      <c r="CE29" s="20" t="n">
        <f aca="false">CE6*'Assumptions (Quarterly)'!I38</f>
        <v>14950.832</v>
      </c>
      <c r="CF29" s="20" t="n">
        <f aca="false">CF6*'Assumptions (Quarterly)'!J38</f>
        <v>14839.719936</v>
      </c>
      <c r="CG29" s="20" t="n">
        <f aca="false">CG6*'Assumptions (Quarterly)'!K38</f>
        <v>15907.991918112</v>
      </c>
      <c r="CH29" s="20" t="n">
        <f aca="false">CH6*'Assumptions (Quarterly)'!L38</f>
        <v>17709.429531904</v>
      </c>
    </row>
    <row r="30" customFormat="false" ht="15" hidden="false" customHeight="true" outlineLevel="0" collapsed="false">
      <c r="A30" s="21" t="s">
        <v>155</v>
      </c>
      <c r="B30" s="22" t="n">
        <f aca="false">B28+B29</f>
        <v>13.463683</v>
      </c>
      <c r="C30" s="22" t="n">
        <f aca="false">C28+C29</f>
        <v>14.126755</v>
      </c>
      <c r="D30" s="22" t="n">
        <f aca="false">D28+D29</f>
        <v>16.236407</v>
      </c>
      <c r="E30" s="22" t="n">
        <f aca="false">E28+E29</f>
        <v>62.909597</v>
      </c>
      <c r="F30" s="22" t="n">
        <f aca="false">F28+F29</f>
        <v>67.977414</v>
      </c>
      <c r="G30" s="22" t="n">
        <f aca="false">G28+G29</f>
        <v>51.86959</v>
      </c>
      <c r="H30" s="22" t="n">
        <f aca="false">H28+H29</f>
        <v>49.41738</v>
      </c>
      <c r="I30" s="22" t="n">
        <f aca="false">I28+I29</f>
        <v>30.892591</v>
      </c>
      <c r="J30" s="22" t="n">
        <f aca="false">J28+J29</f>
        <v>49.113512</v>
      </c>
      <c r="K30" s="22" t="n">
        <f aca="false">K28+K29</f>
        <v>46.360403</v>
      </c>
      <c r="L30" s="22" t="n">
        <f aca="false">L28+L29</f>
        <v>48.022287</v>
      </c>
      <c r="M30" s="22" t="n">
        <f aca="false">M28+M29</f>
        <v>53.199583</v>
      </c>
      <c r="N30" s="22" t="n">
        <f aca="false">N28+N29</f>
        <v>64.383587</v>
      </c>
      <c r="O30" s="22" t="n">
        <f aca="false">O28+O29</f>
        <v>41.712161</v>
      </c>
      <c r="P30" s="22" t="n">
        <f aca="false">P28+P29</f>
        <v>42.84834</v>
      </c>
      <c r="Q30" s="22" t="n">
        <f aca="false">Q28+Q29</f>
        <v>51.036353</v>
      </c>
      <c r="R30" s="22" t="n">
        <f aca="false">R28+R29</f>
        <v>62.173232</v>
      </c>
      <c r="S30" s="22" t="n">
        <f aca="false">S28+S29</f>
        <v>54.147463</v>
      </c>
      <c r="T30" s="22" t="n">
        <f aca="false">T28+T29</f>
        <v>116.634151</v>
      </c>
      <c r="U30" s="22" t="n">
        <f aca="false">U28+U29</f>
        <v>126.661911</v>
      </c>
      <c r="V30" s="22" t="n">
        <f aca="false">V28+V29</f>
        <v>142.310297</v>
      </c>
      <c r="W30" s="22" t="n">
        <f aca="false">W28+W29</f>
        <v>158.597088</v>
      </c>
      <c r="X30" s="22" t="n">
        <f aca="false">X28+X29</f>
        <v>170.611906</v>
      </c>
      <c r="Y30" s="22" t="n">
        <f aca="false">Y28+Y29</f>
        <v>177.562344</v>
      </c>
      <c r="Z30" s="22" t="n">
        <f aca="false">Z28+Z29</f>
        <v>195.183807</v>
      </c>
      <c r="AA30" s="22" t="n">
        <f aca="false">AA28+AA29</f>
        <v>197.712909</v>
      </c>
      <c r="AB30" s="22" t="n">
        <f aca="false">AB28+AB29</f>
        <v>202.491288</v>
      </c>
      <c r="AC30" s="22" t="n">
        <f aca="false">AC28+AC29</f>
        <v>219.427173</v>
      </c>
      <c r="AD30" s="22" t="n">
        <f aca="false">AD28+AD29</f>
        <v>216.878318</v>
      </c>
      <c r="AE30" s="22" t="n">
        <f aca="false">AE28+AE29</f>
        <v>218.530393</v>
      </c>
      <c r="AF30" s="22" t="n">
        <f aca="false">AF28+AF29</f>
        <v>490.748773</v>
      </c>
      <c r="AG30" s="22" t="n">
        <f aca="false">AG28+AG29</f>
        <v>407.347504</v>
      </c>
      <c r="AH30" s="22" t="n">
        <f aca="false">AH28+AH29</f>
        <v>371.954</v>
      </c>
      <c r="AI30" s="22" t="n">
        <f aca="false">AI28+AI29</f>
        <v>367.82</v>
      </c>
      <c r="AJ30" s="22" t="n">
        <f aca="false">AJ28+AJ29</f>
        <v>337.552</v>
      </c>
      <c r="AK30" s="22" t="n">
        <f aca="false">AK28+AK29</f>
        <v>341.039</v>
      </c>
      <c r="AL30" s="22" t="n">
        <f aca="false">AL28+AL29</f>
        <v>368.993</v>
      </c>
      <c r="AM30" s="22" t="n">
        <f aca="false">AM28+AM29</f>
        <v>340.454</v>
      </c>
      <c r="AN30" s="22" t="n">
        <f aca="false">AN28+AN29</f>
        <v>395.432</v>
      </c>
      <c r="AO30" s="22" t="n">
        <f aca="false">AO28+AO29</f>
        <v>471.645</v>
      </c>
      <c r="AP30" s="22" t="n">
        <f aca="false">AP28+AP29</f>
        <v>493.744</v>
      </c>
      <c r="AQ30" s="22" t="n">
        <f aca="false">AQ28+AQ29</f>
        <v>577.933</v>
      </c>
      <c r="AR30" s="22" t="n">
        <f aca="false">AR28+AR29</f>
        <v>614.246</v>
      </c>
      <c r="AS30" s="22" t="n">
        <f aca="false">AS28+AS29</f>
        <v>688.206</v>
      </c>
      <c r="AT30" s="22" t="n">
        <f aca="false">AT28+AT29</f>
        <v>671.101</v>
      </c>
      <c r="AU30" s="22" t="n">
        <f aca="false">AU28+AU29</f>
        <v>632.185</v>
      </c>
      <c r="AV30" s="22" t="n">
        <f aca="false">AV28+AV29</f>
        <v>705.509</v>
      </c>
      <c r="AW30" s="22" t="n">
        <f aca="false">AW28+AW29</f>
        <v>1235.598</v>
      </c>
      <c r="AX30" s="22" t="n">
        <f aca="false">AX28+AX29</f>
        <v>1022.014</v>
      </c>
      <c r="AY30" s="22" t="n">
        <f aca="false">AY28+AY29</f>
        <v>3089.358</v>
      </c>
      <c r="AZ30" s="22" t="n">
        <f aca="false">AZ28+AZ29</f>
        <v>3110.557</v>
      </c>
      <c r="BA30" s="22" t="n">
        <f aca="false">BA28+BA29</f>
        <v>3359.228</v>
      </c>
      <c r="BB30" s="22" t="n">
        <f aca="false">BB28+BB29</f>
        <v>3230.77</v>
      </c>
      <c r="BC30" s="22" t="n">
        <f aca="false">BC28+BC29</f>
        <v>2965.127</v>
      </c>
      <c r="BD30" s="22" t="n">
        <f aca="false">BD28+BD29</f>
        <v>3927.378</v>
      </c>
      <c r="BE30" s="22" t="n">
        <f aca="false">BE28+BE29</f>
        <v>4050.743</v>
      </c>
      <c r="BF30" s="22" t="n">
        <f aca="false">BF28+BF29</f>
        <v>4134.566</v>
      </c>
      <c r="BG30" s="22" t="n">
        <f aca="false">BG28+BG29</f>
        <v>2585.032</v>
      </c>
      <c r="BH30" s="22" t="n">
        <f aca="false">BH28+BH29</f>
        <v>2876.639</v>
      </c>
      <c r="BI30" s="22" t="n">
        <f aca="false">BI28+BI29</f>
        <v>3237.182</v>
      </c>
      <c r="BJ30" s="22" t="n">
        <f aca="false">BJ28+BJ29</f>
        <v>5657</v>
      </c>
      <c r="BK30" s="22" t="n">
        <f aca="false">BK28+BK29</f>
        <v>5483</v>
      </c>
      <c r="BL30" s="22" t="n">
        <f aca="false">BL28+BL29</f>
        <v>5688</v>
      </c>
      <c r="BM30" s="22" t="n">
        <f aca="false">BM28+BM29</f>
        <v>6195</v>
      </c>
      <c r="BN30" s="22" t="n">
        <f aca="false">BN28+BN29</f>
        <v>7406</v>
      </c>
      <c r="BO30" s="22" t="n">
        <f aca="false">BO28+BO29</f>
        <v>7880</v>
      </c>
      <c r="BP30" s="22" t="n">
        <f aca="false">BP28+BP29</f>
        <v>8714</v>
      </c>
      <c r="BQ30" s="22" t="n">
        <f aca="false">BQ28+BQ29</f>
        <v>8912</v>
      </c>
      <c r="BR30" s="22" t="n">
        <f aca="false">BR28+BR29</f>
        <v>9957</v>
      </c>
      <c r="BS30" s="22" t="n">
        <f aca="false">BS28+BS29</f>
        <v>10608</v>
      </c>
      <c r="BT30" s="22" t="n">
        <f aca="false">BT28+BT29</f>
        <v>11336</v>
      </c>
      <c r="BU30" s="22" t="n">
        <f aca="false">BU28+BU29</f>
        <v>12237</v>
      </c>
      <c r="BV30" s="22" t="n">
        <f aca="false">BV28+BV29</f>
        <v>13900</v>
      </c>
      <c r="BW30" s="22" t="n">
        <f aca="false">BW28+BW29</f>
        <v>15081</v>
      </c>
      <c r="BX30" s="22" t="n">
        <f aca="false">BX28+BX29</f>
        <v>18129</v>
      </c>
      <c r="BY30" s="22" t="n">
        <f aca="false">BY28+BY29</f>
        <v>20724</v>
      </c>
      <c r="BZ30" s="22" t="n">
        <f aca="false">BZ28+BZ29</f>
        <v>25021</v>
      </c>
      <c r="CA30" s="22" t="n">
        <f aca="false">CA28+CA29</f>
        <v>27283</v>
      </c>
      <c r="CB30" s="22" t="n">
        <f aca="false">CB28+CB29</f>
        <v>28616.4760108</v>
      </c>
      <c r="CC30" s="22" t="n">
        <f aca="false">CC28+CC29</f>
        <v>31869.2793911014</v>
      </c>
      <c r="CD30" s="22" t="n">
        <f aca="false">CD28+CD29</f>
        <v>36390.5250909564</v>
      </c>
      <c r="CE30" s="22" t="n">
        <f aca="false">CE28+CE29</f>
        <v>36916.0788989039</v>
      </c>
      <c r="CF30" s="22" t="n">
        <f aca="false">CF28+CF29</f>
        <v>38268.919931814</v>
      </c>
      <c r="CG30" s="22" t="n">
        <f aca="false">CG28+CG29</f>
        <v>42048.8846365575</v>
      </c>
      <c r="CH30" s="22" t="n">
        <f aca="false">CH28+CH29</f>
        <v>47194.6525968846</v>
      </c>
    </row>
    <row r="31" customFormat="false" ht="15" hidden="false" customHeight="true" outlineLevel="0" collapsed="false">
      <c r="A31" s="17" t="s">
        <v>156</v>
      </c>
      <c r="B31" s="18" t="n">
        <v>12.171715</v>
      </c>
      <c r="C31" s="18" t="n">
        <v>12.375465</v>
      </c>
      <c r="D31" s="18" t="n">
        <v>13.353793</v>
      </c>
      <c r="E31" s="18" t="n">
        <v>19.716352</v>
      </c>
      <c r="F31" s="18" t="n">
        <v>32.374015</v>
      </c>
      <c r="G31" s="18" t="n">
        <v>28.678864</v>
      </c>
      <c r="H31" s="18" t="n">
        <v>39.60244</v>
      </c>
      <c r="I31" s="18" t="n">
        <v>40.608683</v>
      </c>
      <c r="J31" s="18" t="n">
        <v>6.178808</v>
      </c>
      <c r="K31" s="18" t="n">
        <v>6.691454</v>
      </c>
      <c r="L31" s="18" t="n">
        <v>6.430542</v>
      </c>
      <c r="M31" s="18" t="n">
        <v>7.842202</v>
      </c>
      <c r="N31" s="18" t="n">
        <v>8.654179</v>
      </c>
      <c r="O31" s="18" t="n">
        <v>10.816958</v>
      </c>
      <c r="P31" s="18" t="n">
        <v>12.403569</v>
      </c>
      <c r="Q31" s="18" t="n">
        <v>15.821176</v>
      </c>
      <c r="R31" s="18" t="n">
        <v>18.769691</v>
      </c>
      <c r="S31" s="18" t="n">
        <v>19.080174</v>
      </c>
      <c r="T31" s="18" t="n">
        <v>22.89457</v>
      </c>
      <c r="U31" s="18" t="n">
        <v>28.673498</v>
      </c>
      <c r="V31" s="18" t="n">
        <v>40.670776</v>
      </c>
      <c r="W31" s="18" t="n">
        <v>40.302502</v>
      </c>
      <c r="X31" s="18" t="n">
        <v>44.581635</v>
      </c>
      <c r="Y31" s="18" t="n">
        <v>56.246485</v>
      </c>
      <c r="Z31" s="18" t="n">
        <v>55.653528</v>
      </c>
      <c r="AA31" s="18" t="n">
        <v>61.118162</v>
      </c>
      <c r="AB31" s="18" t="n">
        <v>82.942389</v>
      </c>
      <c r="AC31" s="18" t="n">
        <v>64.489304</v>
      </c>
      <c r="AD31" s="18" t="n">
        <v>77.930111</v>
      </c>
      <c r="AE31" s="18" t="n">
        <v>84.653793</v>
      </c>
      <c r="AF31" s="18" t="n">
        <v>94.123106</v>
      </c>
      <c r="AG31" s="18" t="n">
        <v>125.712382</v>
      </c>
      <c r="AH31" s="18" t="n">
        <v>131.834</v>
      </c>
      <c r="AI31" s="18" t="n">
        <v>187.698</v>
      </c>
      <c r="AJ31" s="18" t="n">
        <v>177.094</v>
      </c>
      <c r="AK31" s="18" t="n">
        <v>242.117</v>
      </c>
      <c r="AL31" s="18" t="n">
        <v>160.374</v>
      </c>
      <c r="AM31" s="18" t="n">
        <v>240.784</v>
      </c>
      <c r="AN31" s="18" t="n">
        <v>255.492</v>
      </c>
      <c r="AO31" s="18" t="n">
        <v>257.904</v>
      </c>
      <c r="AP31" s="18" t="n">
        <v>333.339</v>
      </c>
      <c r="AQ31" s="18" t="n">
        <v>324.709</v>
      </c>
      <c r="AR31" s="18" t="n">
        <v>289.945</v>
      </c>
      <c r="AS31" s="18" t="n">
        <v>435.447</v>
      </c>
      <c r="AT31" s="18" t="n">
        <v>549.298</v>
      </c>
      <c r="AU31" s="18" t="n">
        <v>560.099</v>
      </c>
      <c r="AV31" s="18" t="n">
        <v>335.084</v>
      </c>
      <c r="AW31" s="18" t="n">
        <v>293.602</v>
      </c>
      <c r="AX31" s="18" t="n">
        <v>395.451</v>
      </c>
      <c r="AY31" s="18" t="n">
        <v>342.992</v>
      </c>
      <c r="AZ31" s="18" t="n">
        <v>473.221</v>
      </c>
      <c r="BA31" s="18" t="n">
        <v>324.379</v>
      </c>
      <c r="BB31" s="18" t="n">
        <v>415.415</v>
      </c>
      <c r="BC31" s="18" t="n">
        <v>400.863</v>
      </c>
      <c r="BD31" s="18" t="n">
        <v>689.162</v>
      </c>
      <c r="BE31" s="18" t="n">
        <v>701.293</v>
      </c>
      <c r="BF31" s="18" t="n">
        <v>912.764</v>
      </c>
      <c r="BG31" s="18" t="n">
        <v>948.485</v>
      </c>
      <c r="BH31" s="18" t="n">
        <v>1259.646</v>
      </c>
      <c r="BI31" s="18" t="n">
        <v>1498.996</v>
      </c>
      <c r="BJ31" s="18" t="n">
        <v>1937</v>
      </c>
      <c r="BK31" s="18" t="n">
        <v>2610</v>
      </c>
      <c r="BL31" s="18" t="n">
        <v>2603</v>
      </c>
      <c r="BM31" s="18" t="n">
        <v>2658</v>
      </c>
      <c r="BN31" s="18" t="n">
        <v>3076</v>
      </c>
      <c r="BO31" s="18" t="n">
        <v>2931</v>
      </c>
      <c r="BP31" s="18" t="n">
        <v>2995</v>
      </c>
      <c r="BQ31" s="18" t="n">
        <v>3536</v>
      </c>
      <c r="BR31" s="18" t="n">
        <v>3788</v>
      </c>
      <c r="BS31" s="18" t="n">
        <v>4132</v>
      </c>
      <c r="BT31" s="18" t="n">
        <v>4358</v>
      </c>
      <c r="BU31" s="18" t="n">
        <v>4801</v>
      </c>
      <c r="BV31" s="18" t="n">
        <v>5543</v>
      </c>
      <c r="BW31" s="18" t="n">
        <v>5793</v>
      </c>
      <c r="BX31" s="18" t="n">
        <v>6865</v>
      </c>
      <c r="BY31" s="18" t="n">
        <v>6946</v>
      </c>
      <c r="BZ31" s="18" t="n">
        <v>7415</v>
      </c>
      <c r="CA31" s="19" t="n">
        <v>8504</v>
      </c>
      <c r="CB31" s="20" t="n">
        <f aca="false">CB6*'Assumptions (Quarterly)'!F35</f>
        <v>8765.4336</v>
      </c>
      <c r="CC31" s="20" t="n">
        <f aca="false">CC6*'Assumptions (Quarterly)'!G35</f>
        <v>9705.4270272</v>
      </c>
      <c r="CD31" s="20" t="n">
        <f aca="false">CD6*'Assumptions (Quarterly)'!H35</f>
        <v>11072.07425</v>
      </c>
      <c r="CE31" s="20" t="n">
        <f aca="false">CE6*'Assumptions (Quarterly)'!I35</f>
        <v>11040.6144</v>
      </c>
      <c r="CF31" s="20" t="n">
        <f aca="false">CF6*'Assumptions (Quarterly)'!J35</f>
        <v>11129.789952</v>
      </c>
      <c r="CG31" s="20" t="n">
        <f aca="false">CG6*'Assumptions (Quarterly)'!K35</f>
        <v>12120.374794752</v>
      </c>
      <c r="CH31" s="20" t="n">
        <f aca="false">CH6*'Assumptions (Quarterly)'!L35</f>
        <v>13567.70810912</v>
      </c>
    </row>
    <row r="32" customFormat="false" ht="15" hidden="false" customHeight="true" outlineLevel="0" collapsed="false">
      <c r="A32" s="17" t="s">
        <v>157</v>
      </c>
      <c r="B32" s="18" t="n">
        <v>0</v>
      </c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18" t="n">
        <v>0</v>
      </c>
      <c r="K32" s="18" t="n">
        <v>0</v>
      </c>
      <c r="L32" s="18" t="n">
        <v>0</v>
      </c>
      <c r="M32" s="18" t="n">
        <v>0</v>
      </c>
      <c r="N32" s="18" t="n">
        <v>0</v>
      </c>
      <c r="O32" s="18" t="n">
        <v>0</v>
      </c>
      <c r="P32" s="18" t="n">
        <v>0</v>
      </c>
      <c r="Q32" s="18" t="n">
        <v>0</v>
      </c>
      <c r="R32" s="18" t="n">
        <v>0</v>
      </c>
      <c r="S32" s="18" t="n">
        <v>0</v>
      </c>
      <c r="T32" s="18" t="n">
        <v>0</v>
      </c>
      <c r="U32" s="18" t="n">
        <v>0</v>
      </c>
      <c r="V32" s="18" t="n">
        <v>0</v>
      </c>
      <c r="W32" s="18" t="n">
        <v>0</v>
      </c>
      <c r="X32" s="18" t="n">
        <v>0</v>
      </c>
      <c r="Y32" s="18" t="n">
        <v>0</v>
      </c>
      <c r="Z32" s="18" t="n">
        <v>0</v>
      </c>
      <c r="AA32" s="18" t="n">
        <v>0</v>
      </c>
      <c r="AB32" s="18" t="n">
        <v>0</v>
      </c>
      <c r="AC32" s="18" t="n">
        <v>0</v>
      </c>
      <c r="AD32" s="18" t="n">
        <v>0</v>
      </c>
      <c r="AE32" s="18" t="n">
        <v>0</v>
      </c>
      <c r="AF32" s="18" t="n">
        <v>0</v>
      </c>
      <c r="AG32" s="18" t="n">
        <v>0</v>
      </c>
      <c r="AH32" s="18" t="n">
        <v>0</v>
      </c>
      <c r="AI32" s="18" t="n">
        <v>0</v>
      </c>
      <c r="AJ32" s="18" t="n">
        <v>0</v>
      </c>
      <c r="AK32" s="18" t="n">
        <v>0.135</v>
      </c>
      <c r="AL32" s="18" t="n">
        <v>0.222</v>
      </c>
      <c r="AM32" s="18" t="n">
        <v>0.42</v>
      </c>
      <c r="AN32" s="18" t="n">
        <v>0.99</v>
      </c>
      <c r="AO32" s="18" t="n">
        <v>1.388</v>
      </c>
      <c r="AP32" s="18" t="n">
        <v>1.103</v>
      </c>
      <c r="AQ32" s="18" t="n">
        <v>0.432</v>
      </c>
      <c r="AR32" s="18" t="n">
        <v>1.034</v>
      </c>
      <c r="AS32" s="18" t="n">
        <v>2.309</v>
      </c>
      <c r="AT32" s="18" t="n">
        <v>2.549</v>
      </c>
      <c r="AU32" s="18" t="n">
        <v>3.362</v>
      </c>
      <c r="AV32" s="18" t="n">
        <v>7.938</v>
      </c>
      <c r="AW32" s="18" t="n">
        <v>7.395</v>
      </c>
      <c r="AX32" s="18" t="n">
        <v>4.612</v>
      </c>
      <c r="AY32" s="18" t="n">
        <v>3.003</v>
      </c>
      <c r="AZ32" s="18" t="n">
        <v>5.95</v>
      </c>
      <c r="BA32" s="18" t="n">
        <v>10.132</v>
      </c>
      <c r="BB32" s="18" t="n">
        <v>8.626</v>
      </c>
      <c r="BC32" s="18" t="n">
        <v>12.114</v>
      </c>
      <c r="BD32" s="18" t="n">
        <v>20.831</v>
      </c>
      <c r="BE32" s="18" t="n">
        <v>46.644</v>
      </c>
      <c r="BF32" s="18" t="n">
        <v>118.14</v>
      </c>
      <c r="BG32" s="18" t="n">
        <v>131.46</v>
      </c>
      <c r="BH32" s="18" t="n">
        <v>169.449</v>
      </c>
      <c r="BI32" s="18" t="n">
        <v>226.694</v>
      </c>
      <c r="BJ32" s="18" t="n">
        <v>253</v>
      </c>
      <c r="BK32" s="18" t="n">
        <v>239</v>
      </c>
      <c r="BL32" s="18" t="n">
        <v>183</v>
      </c>
      <c r="BM32" s="18" t="n">
        <v>160</v>
      </c>
      <c r="BN32" s="18" t="n">
        <v>152</v>
      </c>
      <c r="BO32" s="18" t="n">
        <v>199</v>
      </c>
      <c r="BP32" s="18" t="n">
        <v>236</v>
      </c>
      <c r="BQ32" s="18" t="n">
        <v>246</v>
      </c>
      <c r="BR32" s="18" t="n">
        <v>238</v>
      </c>
      <c r="BS32" s="18" t="n">
        <v>223</v>
      </c>
      <c r="BT32" s="18" t="n">
        <v>257</v>
      </c>
      <c r="BU32" s="18" t="n">
        <v>322</v>
      </c>
      <c r="BV32" s="18" t="n">
        <v>296</v>
      </c>
      <c r="BW32" s="18" t="n">
        <v>358</v>
      </c>
      <c r="BX32" s="18" t="n">
        <v>434</v>
      </c>
      <c r="BY32" s="18" t="n">
        <v>532</v>
      </c>
      <c r="BZ32" s="18" t="n">
        <v>570</v>
      </c>
      <c r="CA32" s="19" t="n">
        <v>677</v>
      </c>
      <c r="CB32" s="20" t="n">
        <f aca="false">CB6*'Assumptions (Quarterly)'!F36</f>
        <v>703.06082</v>
      </c>
      <c r="CC32" s="20" t="n">
        <f aca="false">CC6*'Assumptions (Quarterly)'!G36</f>
        <v>778.45612614</v>
      </c>
      <c r="CD32" s="20" t="n">
        <f aca="false">CD6*'Assumptions (Quarterly)'!H36</f>
        <v>885.76594</v>
      </c>
      <c r="CE32" s="20" t="n">
        <f aca="false">CE6*'Assumptions (Quarterly)'!I36</f>
        <v>885.54928</v>
      </c>
      <c r="CF32" s="20" t="n">
        <f aca="false">CF6*'Assumptions (Quarterly)'!J36</f>
        <v>892.7019024</v>
      </c>
      <c r="CG32" s="20" t="n">
        <f aca="false">CG6*'Assumptions (Quarterly)'!K36</f>
        <v>972.1550616624</v>
      </c>
      <c r="CH32" s="20" t="n">
        <f aca="false">CH6*'Assumptions (Quarterly)'!L36</f>
        <v>1085.4166487296</v>
      </c>
    </row>
    <row r="33" customFormat="false" ht="15" hidden="false" customHeight="true" outlineLevel="0" collapsed="false">
      <c r="A33" s="17" t="s">
        <v>158</v>
      </c>
      <c r="B33" s="18" t="n">
        <v>3.48448</v>
      </c>
      <c r="C33" s="18" t="n">
        <v>3.878033</v>
      </c>
      <c r="D33" s="18" t="n">
        <v>3.816206</v>
      </c>
      <c r="E33" s="18" t="n">
        <v>3.455271</v>
      </c>
      <c r="F33" s="18" t="n">
        <v>4.622741</v>
      </c>
      <c r="G33" s="18" t="n">
        <v>7.296034</v>
      </c>
      <c r="H33" s="18" t="n">
        <v>6.173713</v>
      </c>
      <c r="I33" s="18" t="n">
        <v>7.614242</v>
      </c>
      <c r="J33" s="18" t="n">
        <v>5.008904</v>
      </c>
      <c r="K33" s="18" t="n">
        <v>4.22251</v>
      </c>
      <c r="L33" s="18" t="n">
        <v>9.944814</v>
      </c>
      <c r="M33" s="18" t="n">
        <v>13.350809</v>
      </c>
      <c r="N33" s="18" t="n">
        <v>9.09725</v>
      </c>
      <c r="O33" s="18" t="n">
        <v>9.366018</v>
      </c>
      <c r="P33" s="18" t="n">
        <v>12.03249</v>
      </c>
      <c r="Q33" s="18" t="n">
        <v>18.57764</v>
      </c>
      <c r="R33" s="18" t="n">
        <v>20.692285</v>
      </c>
      <c r="S33" s="18" t="n">
        <v>20.996826</v>
      </c>
      <c r="T33" s="18" t="n">
        <v>19.692995</v>
      </c>
      <c r="U33" s="18" t="n">
        <v>19.155538</v>
      </c>
      <c r="V33" s="18" t="n">
        <v>17.264482</v>
      </c>
      <c r="W33" s="18" t="n">
        <v>18.299573</v>
      </c>
      <c r="X33" s="18" t="n">
        <v>18.350863</v>
      </c>
      <c r="Y33" s="18" t="n">
        <v>21.102893</v>
      </c>
      <c r="Z33" s="18" t="n">
        <v>24.52384</v>
      </c>
      <c r="AA33" s="18" t="n">
        <v>29.733988</v>
      </c>
      <c r="AB33" s="18" t="n">
        <v>27.565935</v>
      </c>
      <c r="AC33" s="18" t="n">
        <v>33.832618</v>
      </c>
      <c r="AD33" s="18" t="n">
        <v>31.355806</v>
      </c>
      <c r="AE33" s="18" t="n">
        <v>34.026946</v>
      </c>
      <c r="AF33" s="18" t="n">
        <v>29.344268</v>
      </c>
      <c r="AG33" s="18" t="n">
        <v>36.831743</v>
      </c>
      <c r="AH33" s="18" t="n">
        <v>28.962</v>
      </c>
      <c r="AI33" s="18" t="n">
        <v>32.657</v>
      </c>
      <c r="AJ33" s="18" t="n">
        <v>32.708</v>
      </c>
      <c r="AK33" s="18" t="n">
        <v>41.923</v>
      </c>
      <c r="AL33" s="18" t="n">
        <v>15.584</v>
      </c>
      <c r="AM33" s="18" t="n">
        <v>23.391</v>
      </c>
      <c r="AN33" s="18" t="n">
        <v>21.353</v>
      </c>
      <c r="AO33" s="18" t="n">
        <v>28.17</v>
      </c>
      <c r="AP33" s="18" t="n">
        <v>41.275</v>
      </c>
      <c r="AQ33" s="18" t="n">
        <v>43.318</v>
      </c>
      <c r="AR33" s="18" t="n">
        <v>52.96</v>
      </c>
      <c r="AS33" s="18" t="n">
        <v>56.194</v>
      </c>
      <c r="AT33" s="18" t="n">
        <v>63.971</v>
      </c>
      <c r="AU33" s="18" t="n">
        <v>89.914</v>
      </c>
      <c r="AV33" s="18" t="n">
        <v>76.623</v>
      </c>
      <c r="AW33" s="18" t="n">
        <v>65.084</v>
      </c>
      <c r="AX33" s="18" t="n">
        <v>89.046</v>
      </c>
      <c r="AY33" s="18" t="n">
        <v>85.1</v>
      </c>
      <c r="AZ33" s="18" t="n">
        <v>86.704</v>
      </c>
      <c r="BA33" s="18" t="n">
        <v>86.891</v>
      </c>
      <c r="BB33" s="18" t="n">
        <v>134.045</v>
      </c>
      <c r="BC33" s="18" t="n">
        <v>132.17</v>
      </c>
      <c r="BD33" s="18" t="n">
        <v>117.183</v>
      </c>
      <c r="BE33" s="18" t="n">
        <v>125.211</v>
      </c>
      <c r="BF33" s="18" t="n">
        <v>181.337</v>
      </c>
      <c r="BG33" s="18" t="n">
        <v>235.214</v>
      </c>
      <c r="BH33" s="18" t="n">
        <v>261.917</v>
      </c>
      <c r="BI33" s="18" t="n">
        <v>320.249</v>
      </c>
      <c r="BJ33" s="18" t="n">
        <v>328</v>
      </c>
      <c r="BK33" s="18" t="n">
        <v>373</v>
      </c>
      <c r="BL33" s="18" t="n">
        <v>389</v>
      </c>
      <c r="BM33" s="18" t="n">
        <v>338</v>
      </c>
      <c r="BN33" s="18" t="n">
        <v>319</v>
      </c>
      <c r="BO33" s="18" t="n">
        <v>326</v>
      </c>
      <c r="BP33" s="18" t="n">
        <v>345</v>
      </c>
      <c r="BQ33" s="18" t="n">
        <v>356</v>
      </c>
      <c r="BR33" s="18" t="n">
        <v>277</v>
      </c>
      <c r="BS33" s="18" t="n">
        <v>542</v>
      </c>
      <c r="BT33" s="18" t="n">
        <v>528</v>
      </c>
      <c r="BU33" s="18" t="n">
        <v>464</v>
      </c>
      <c r="BV33" s="18" t="n">
        <v>403</v>
      </c>
      <c r="BW33" s="18" t="n">
        <v>508</v>
      </c>
      <c r="BX33" s="18" t="n">
        <v>634</v>
      </c>
      <c r="BY33" s="18" t="n">
        <v>593</v>
      </c>
      <c r="BZ33" s="18" t="n">
        <v>567</v>
      </c>
      <c r="CA33" s="19" t="n">
        <v>659</v>
      </c>
      <c r="CB33" s="20" t="n">
        <f aca="false">CB6*'Assumptions (Quarterly)'!F37</f>
        <v>684.7995</v>
      </c>
      <c r="CC33" s="20" t="n">
        <f aca="false">CC6*'Assumptions (Quarterly)'!G37</f>
        <v>758.2364865</v>
      </c>
      <c r="CD33" s="20" t="n">
        <f aca="false">CD6*'Assumptions (Quarterly)'!H37</f>
        <v>862.45631</v>
      </c>
      <c r="CE33" s="20" t="n">
        <f aca="false">CE6*'Assumptions (Quarterly)'!I37</f>
        <v>862.548</v>
      </c>
      <c r="CF33" s="20" t="n">
        <f aca="false">CF6*'Assumptions (Quarterly)'!J37</f>
        <v>869.51484</v>
      </c>
      <c r="CG33" s="20" t="n">
        <f aca="false">CG6*'Assumptions (Quarterly)'!K37</f>
        <v>946.90428084</v>
      </c>
      <c r="CH33" s="20" t="n">
        <f aca="false">CH6*'Assumptions (Quarterly)'!L37</f>
        <v>1056.8530527104</v>
      </c>
    </row>
    <row r="34" customFormat="false" ht="15" hidden="false" customHeight="true" outlineLevel="0" collapsed="false">
      <c r="A34" s="21" t="s">
        <v>159</v>
      </c>
      <c r="B34" s="22" t="n">
        <f aca="false">B30+B31+B32+B33</f>
        <v>29.119878</v>
      </c>
      <c r="C34" s="22" t="n">
        <f aca="false">C30+C31+C32+C33</f>
        <v>30.380253</v>
      </c>
      <c r="D34" s="22" t="n">
        <f aca="false">D30+D31+D32+D33</f>
        <v>33.406406</v>
      </c>
      <c r="E34" s="22" t="n">
        <f aca="false">E30+E31+E32+E33</f>
        <v>86.08122</v>
      </c>
      <c r="F34" s="22" t="n">
        <f aca="false">F30+F31+F32+F33</f>
        <v>104.97417</v>
      </c>
      <c r="G34" s="22" t="n">
        <f aca="false">G30+G31+G32+G33</f>
        <v>87.844488</v>
      </c>
      <c r="H34" s="22" t="n">
        <f aca="false">H30+H31+H32+H33</f>
        <v>95.193533</v>
      </c>
      <c r="I34" s="22" t="n">
        <f aca="false">I30+I31+I32+I33</f>
        <v>79.115516</v>
      </c>
      <c r="J34" s="22" t="n">
        <f aca="false">J30+J31+J32+J33</f>
        <v>60.301224</v>
      </c>
      <c r="K34" s="22" t="n">
        <f aca="false">K30+K31+K32+K33</f>
        <v>57.274367</v>
      </c>
      <c r="L34" s="22" t="n">
        <f aca="false">L30+L31+L32+L33</f>
        <v>64.397643</v>
      </c>
      <c r="M34" s="22" t="n">
        <f aca="false">M30+M31+M32+M33</f>
        <v>74.392594</v>
      </c>
      <c r="N34" s="22" t="n">
        <f aca="false">N30+N31+N32+N33</f>
        <v>82.135016</v>
      </c>
      <c r="O34" s="22" t="n">
        <f aca="false">O30+O31+O32+O33</f>
        <v>61.895137</v>
      </c>
      <c r="P34" s="22" t="n">
        <f aca="false">P30+P31+P32+P33</f>
        <v>67.284399</v>
      </c>
      <c r="Q34" s="22" t="n">
        <f aca="false">Q30+Q31+Q32+Q33</f>
        <v>85.435169</v>
      </c>
      <c r="R34" s="22" t="n">
        <f aca="false">R30+R31+R32+R33</f>
        <v>101.635208</v>
      </c>
      <c r="S34" s="22" t="n">
        <f aca="false">S30+S31+S32+S33</f>
        <v>94.224463</v>
      </c>
      <c r="T34" s="22" t="n">
        <f aca="false">T30+T31+T32+T33</f>
        <v>159.221716</v>
      </c>
      <c r="U34" s="22" t="n">
        <f aca="false">U30+U31+U32+U33</f>
        <v>174.490947</v>
      </c>
      <c r="V34" s="22" t="n">
        <f aca="false">V30+V31+V32+V33</f>
        <v>200.245555</v>
      </c>
      <c r="W34" s="22" t="n">
        <f aca="false">W30+W31+W32+W33</f>
        <v>217.199163</v>
      </c>
      <c r="X34" s="22" t="n">
        <f aca="false">X30+X31+X32+X33</f>
        <v>233.544404</v>
      </c>
      <c r="Y34" s="22" t="n">
        <f aca="false">Y30+Y31+Y32+Y33</f>
        <v>254.911722</v>
      </c>
      <c r="Z34" s="22" t="n">
        <f aca="false">Z30+Z31+Z32+Z33</f>
        <v>275.361175</v>
      </c>
      <c r="AA34" s="22" t="n">
        <f aca="false">AA30+AA31+AA32+AA33</f>
        <v>288.565059</v>
      </c>
      <c r="AB34" s="22" t="n">
        <f aca="false">AB30+AB31+AB32+AB33</f>
        <v>312.999612</v>
      </c>
      <c r="AC34" s="22" t="n">
        <f aca="false">AC30+AC31+AC32+AC33</f>
        <v>317.749095</v>
      </c>
      <c r="AD34" s="22" t="n">
        <f aca="false">AD30+AD31+AD32+AD33</f>
        <v>326.164235</v>
      </c>
      <c r="AE34" s="22" t="n">
        <f aca="false">AE30+AE31+AE32+AE33</f>
        <v>337.211132</v>
      </c>
      <c r="AF34" s="22" t="n">
        <f aca="false">AF30+AF31+AF32+AF33</f>
        <v>614.216147</v>
      </c>
      <c r="AG34" s="22" t="n">
        <f aca="false">AG30+AG31+AG32+AG33</f>
        <v>569.891629</v>
      </c>
      <c r="AH34" s="22" t="n">
        <f aca="false">AH30+AH31+AH32+AH33</f>
        <v>532.75</v>
      </c>
      <c r="AI34" s="22" t="n">
        <f aca="false">AI30+AI31+AI32+AI33</f>
        <v>588.175</v>
      </c>
      <c r="AJ34" s="22" t="n">
        <f aca="false">AJ30+AJ31+AJ32+AJ33</f>
        <v>547.354</v>
      </c>
      <c r="AK34" s="22" t="n">
        <f aca="false">AK30+AK31+AK32+AK33</f>
        <v>625.214</v>
      </c>
      <c r="AL34" s="22" t="n">
        <f aca="false">AL30+AL31+AL32+AL33</f>
        <v>545.173</v>
      </c>
      <c r="AM34" s="22" t="n">
        <f aca="false">AM30+AM31+AM32+AM33</f>
        <v>605.049</v>
      </c>
      <c r="AN34" s="22" t="n">
        <f aca="false">AN30+AN31+AN32+AN33</f>
        <v>673.267</v>
      </c>
      <c r="AO34" s="22" t="n">
        <f aca="false">AO30+AO31+AO32+AO33</f>
        <v>759.107</v>
      </c>
      <c r="AP34" s="22" t="n">
        <f aca="false">AP30+AP31+AP32+AP33</f>
        <v>869.461</v>
      </c>
      <c r="AQ34" s="22" t="n">
        <f aca="false">AQ30+AQ31+AQ32+AQ33</f>
        <v>946.392</v>
      </c>
      <c r="AR34" s="22" t="n">
        <f aca="false">AR30+AR31+AR32+AR33</f>
        <v>958.185</v>
      </c>
      <c r="AS34" s="22" t="n">
        <f aca="false">AS30+AS31+AS32+AS33</f>
        <v>1182.156</v>
      </c>
      <c r="AT34" s="22" t="n">
        <f aca="false">AT30+AT31+AT32+AT33</f>
        <v>1286.919</v>
      </c>
      <c r="AU34" s="22" t="n">
        <f aca="false">AU30+AU31+AU32+AU33</f>
        <v>1285.56</v>
      </c>
      <c r="AV34" s="22" t="n">
        <f aca="false">AV30+AV31+AV32+AV33</f>
        <v>1125.154</v>
      </c>
      <c r="AW34" s="22" t="n">
        <f aca="false">AW30+AW31+AW32+AW33</f>
        <v>1601.679</v>
      </c>
      <c r="AX34" s="22" t="n">
        <f aca="false">AX30+AX31+AX32+AX33</f>
        <v>1511.123</v>
      </c>
      <c r="AY34" s="22" t="n">
        <f aca="false">AY30+AY31+AY32+AY33</f>
        <v>3520.453</v>
      </c>
      <c r="AZ34" s="22" t="n">
        <f aca="false">AZ30+AZ31+AZ32+AZ33</f>
        <v>3676.432</v>
      </c>
      <c r="BA34" s="22" t="n">
        <f aca="false">BA30+BA31+BA32+BA33</f>
        <v>3780.63</v>
      </c>
      <c r="BB34" s="22" t="n">
        <f aca="false">BB30+BB31+BB32+BB33</f>
        <v>3788.856</v>
      </c>
      <c r="BC34" s="22" t="n">
        <f aca="false">BC30+BC31+BC32+BC33</f>
        <v>3510.274</v>
      </c>
      <c r="BD34" s="22" t="n">
        <f aca="false">BD30+BD31+BD32+BD33</f>
        <v>4754.554</v>
      </c>
      <c r="BE34" s="22" t="n">
        <f aca="false">BE30+BE31+BE32+BE33</f>
        <v>4923.891</v>
      </c>
      <c r="BF34" s="22" t="n">
        <f aca="false">BF30+BF31+BF32+BF33</f>
        <v>5346.807</v>
      </c>
      <c r="BG34" s="22" t="n">
        <f aca="false">BG30+BG31+BG32+BG33</f>
        <v>3900.191</v>
      </c>
      <c r="BH34" s="22" t="n">
        <f aca="false">BH30+BH31+BH32+BH33</f>
        <v>4567.651</v>
      </c>
      <c r="BI34" s="22" t="n">
        <f aca="false">BI30+BI31+BI32+BI33</f>
        <v>5283.121</v>
      </c>
      <c r="BJ34" s="22" t="n">
        <f aca="false">BJ30+BJ31+BJ32+BJ33</f>
        <v>8175</v>
      </c>
      <c r="BK34" s="22" t="n">
        <f aca="false">BK30+BK31+BK32+BK33</f>
        <v>8705</v>
      </c>
      <c r="BL34" s="22" t="n">
        <f aca="false">BL30+BL31+BL32+BL33</f>
        <v>8863</v>
      </c>
      <c r="BM34" s="22" t="n">
        <f aca="false">BM30+BM31+BM32+BM33</f>
        <v>9351</v>
      </c>
      <c r="BN34" s="22" t="n">
        <f aca="false">BN30+BN31+BN32+BN33</f>
        <v>10953</v>
      </c>
      <c r="BO34" s="22" t="n">
        <f aca="false">BO30+BO31+BO32+BO33</f>
        <v>11336</v>
      </c>
      <c r="BP34" s="22" t="n">
        <f aca="false">BP30+BP31+BP32+BP33</f>
        <v>12290</v>
      </c>
      <c r="BQ34" s="22" t="n">
        <f aca="false">BQ30+BQ31+BQ32+BQ33</f>
        <v>13050</v>
      </c>
      <c r="BR34" s="22" t="n">
        <f aca="false">BR30+BR31+BR32+BR33</f>
        <v>14260</v>
      </c>
      <c r="BS34" s="22" t="n">
        <f aca="false">BS30+BS31+BS32+BS33</f>
        <v>15505</v>
      </c>
      <c r="BT34" s="22" t="n">
        <f aca="false">BT30+BT31+BT32+BT33</f>
        <v>16479</v>
      </c>
      <c r="BU34" s="22" t="n">
        <f aca="false">BU30+BU31+BU32+BU33</f>
        <v>17824</v>
      </c>
      <c r="BV34" s="22" t="n">
        <f aca="false">BV30+BV31+BV32+BV33</f>
        <v>20142</v>
      </c>
      <c r="BW34" s="22" t="n">
        <f aca="false">BW30+BW31+BW32+BW33</f>
        <v>21740</v>
      </c>
      <c r="BX34" s="22" t="n">
        <f aca="false">BX30+BX31+BX32+BX33</f>
        <v>26062</v>
      </c>
      <c r="BY34" s="22" t="n">
        <f aca="false">BY30+BY31+BY32+BY33</f>
        <v>28795</v>
      </c>
      <c r="BZ34" s="22" t="n">
        <f aca="false">BZ30+BZ31+BZ32+BZ33</f>
        <v>33573</v>
      </c>
      <c r="CA34" s="22" t="n">
        <f aca="false">CA30+CA31+CA32+CA33</f>
        <v>37123</v>
      </c>
      <c r="CB34" s="22" t="n">
        <f aca="false">CB30+CB31+CB32+CB33</f>
        <v>38769.7699308</v>
      </c>
      <c r="CC34" s="22" t="n">
        <f aca="false">CC30+CC31+CC32+CC33</f>
        <v>43111.3990309414</v>
      </c>
      <c r="CD34" s="22" t="n">
        <f aca="false">CD30+CD31+CD32+CD33</f>
        <v>49210.8215909564</v>
      </c>
      <c r="CE34" s="22" t="n">
        <f aca="false">CE30+CE31+CE32+CE33</f>
        <v>49704.7905789039</v>
      </c>
      <c r="CF34" s="22" t="n">
        <f aca="false">CF30+CF31+CF32+CF33</f>
        <v>51160.926626214</v>
      </c>
      <c r="CG34" s="22" t="n">
        <f aca="false">CG30+CG31+CG32+CG33</f>
        <v>56088.3187738119</v>
      </c>
      <c r="CH34" s="22" t="n">
        <f aca="false">CH30+CH31+CH32+CH33</f>
        <v>62904.6304074446</v>
      </c>
    </row>
    <row r="35" customFormat="false" ht="15" hidden="false" customHeight="true" outlineLevel="0" collapsed="false">
      <c r="A35" s="17" t="s">
        <v>160</v>
      </c>
      <c r="B35" s="18" t="n">
        <v>2.93147</v>
      </c>
      <c r="C35" s="18" t="n">
        <v>3.076521</v>
      </c>
      <c r="D35" s="18" t="n">
        <v>4.017032</v>
      </c>
      <c r="E35" s="18" t="n">
        <v>4.171087</v>
      </c>
      <c r="F35" s="18" t="n">
        <v>4.143204</v>
      </c>
      <c r="G35" s="18" t="n">
        <v>4.732349</v>
      </c>
      <c r="H35" s="18" t="n">
        <v>5.676382</v>
      </c>
      <c r="I35" s="18" t="n">
        <v>5.874868</v>
      </c>
      <c r="J35" s="18" t="n">
        <v>5.94016</v>
      </c>
      <c r="K35" s="18" t="n">
        <v>6.730431</v>
      </c>
      <c r="L35" s="18" t="n">
        <v>6.402482</v>
      </c>
      <c r="M35" s="18" t="n">
        <v>6.394512</v>
      </c>
      <c r="N35" s="18" t="n">
        <v>5.948276</v>
      </c>
      <c r="O35" s="18" t="n">
        <v>7.263001</v>
      </c>
      <c r="P35" s="18" t="n">
        <v>7.6891</v>
      </c>
      <c r="Q35" s="18" t="n">
        <v>19.062411</v>
      </c>
      <c r="R35" s="18" t="n">
        <v>20.817712</v>
      </c>
      <c r="S35" s="18" t="n">
        <v>22.672952</v>
      </c>
      <c r="T35" s="18" t="n">
        <v>31.316388</v>
      </c>
      <c r="U35" s="18" t="n">
        <v>31.351966</v>
      </c>
      <c r="V35" s="18" t="n">
        <v>30.877719</v>
      </c>
      <c r="W35" s="18" t="n">
        <v>33.117055</v>
      </c>
      <c r="X35" s="18" t="n">
        <v>35.103153</v>
      </c>
      <c r="Y35" s="18" t="n">
        <v>35.217386</v>
      </c>
      <c r="Z35" s="18" t="n">
        <v>37.726222</v>
      </c>
      <c r="AA35" s="18" t="n">
        <v>38.0172</v>
      </c>
      <c r="AB35" s="18" t="n">
        <v>80.081659</v>
      </c>
      <c r="AC35" s="18" t="n">
        <v>80.00011</v>
      </c>
      <c r="AD35" s="18" t="n">
        <v>131.371909</v>
      </c>
      <c r="AE35" s="18" t="n">
        <v>129.464927</v>
      </c>
      <c r="AF35" s="18" t="n">
        <v>83.780843</v>
      </c>
      <c r="AG35" s="18" t="n">
        <v>83.926941</v>
      </c>
      <c r="AH35" s="18" t="n">
        <v>91.545</v>
      </c>
      <c r="AI35" s="18" t="n">
        <v>75.945</v>
      </c>
      <c r="AJ35" s="18" t="n">
        <v>82.735</v>
      </c>
      <c r="AK35" s="18" t="n">
        <v>82.51</v>
      </c>
      <c r="AL35" s="18" t="n">
        <v>81.633</v>
      </c>
      <c r="AM35" s="18" t="n">
        <v>89.932</v>
      </c>
      <c r="AN35" s="18" t="n">
        <v>104.808</v>
      </c>
      <c r="AO35" s="18" t="n">
        <v>121.006</v>
      </c>
      <c r="AP35" s="18" t="n">
        <v>124.261</v>
      </c>
      <c r="AQ35" s="18" t="n">
        <v>131.968</v>
      </c>
      <c r="AR35" s="18" t="n">
        <v>130.594</v>
      </c>
      <c r="AS35" s="18" t="n">
        <v>136.101</v>
      </c>
      <c r="AT35" s="18" t="n">
        <v>114.837</v>
      </c>
      <c r="AU35" s="18" t="n">
        <v>122.859</v>
      </c>
      <c r="AV35" s="18" t="n">
        <v>113.17</v>
      </c>
      <c r="AW35" s="18" t="n">
        <v>138.417</v>
      </c>
      <c r="AX35" s="18" t="n">
        <v>165.614</v>
      </c>
      <c r="AY35" s="18" t="n">
        <v>342.455</v>
      </c>
      <c r="AZ35" s="18" t="n">
        <v>373.848</v>
      </c>
      <c r="BA35" s="18" t="n">
        <v>395.876</v>
      </c>
      <c r="BB35" s="18" t="n">
        <v>444.706</v>
      </c>
      <c r="BC35" s="18" t="n">
        <v>422.783</v>
      </c>
      <c r="BD35" s="18" t="n">
        <v>449.892</v>
      </c>
      <c r="BE35" s="18" t="n">
        <v>527.834</v>
      </c>
      <c r="BF35" s="18" t="n">
        <v>694.898</v>
      </c>
      <c r="BG35" s="18" t="n">
        <v>803.953</v>
      </c>
      <c r="BH35" s="18" t="n">
        <v>1015.25</v>
      </c>
      <c r="BI35" s="18" t="n">
        <v>1092.334</v>
      </c>
      <c r="BJ35" s="18" t="n">
        <v>1268</v>
      </c>
      <c r="BK35" s="18" t="n">
        <v>1509</v>
      </c>
      <c r="BL35" s="18" t="n">
        <v>1457</v>
      </c>
      <c r="BM35" s="18" t="n">
        <v>1532</v>
      </c>
      <c r="BN35" s="18" t="n">
        <v>1649</v>
      </c>
      <c r="BO35" s="18" t="n">
        <v>1733</v>
      </c>
      <c r="BP35" s="18" t="n">
        <v>1869</v>
      </c>
      <c r="BQ35" s="18" t="n">
        <v>1877</v>
      </c>
      <c r="BR35" s="18" t="n">
        <v>2149</v>
      </c>
      <c r="BS35" s="18" t="n">
        <v>2132</v>
      </c>
      <c r="BT35" s="18" t="n">
        <v>1993</v>
      </c>
      <c r="BU35" s="18" t="n">
        <v>2251</v>
      </c>
      <c r="BV35" s="18" t="n">
        <v>2478</v>
      </c>
      <c r="BW35" s="18" t="n">
        <v>2825</v>
      </c>
      <c r="BX35" s="18" t="n">
        <v>3463</v>
      </c>
      <c r="BY35" s="18" t="n">
        <v>4100</v>
      </c>
      <c r="BZ35" s="18" t="n">
        <v>4504</v>
      </c>
      <c r="CA35" s="19" t="n">
        <v>4815</v>
      </c>
      <c r="CB35" s="20" t="n">
        <f aca="false">CA35+CB6*'Assumptions (Quarterly)'!F28-CB6*'Assumptions (Quarterly)'!F26</f>
        <v>4961.09056</v>
      </c>
      <c r="CC35" s="20" t="n">
        <f aca="false">CB35+CC6*'Assumptions (Quarterly)'!G28-CC6*'Assumptions (Quarterly)'!G26</f>
        <v>5122.84767712</v>
      </c>
      <c r="CD35" s="20" t="n">
        <f aca="false">CC35+CD6*'Assumptions (Quarterly)'!H28-CD6*'Assumptions (Quarterly)'!H26</f>
        <v>5297.66990212</v>
      </c>
      <c r="CE35" s="20" t="n">
        <f aca="false">CD35+CE6*'Assumptions (Quarterly)'!I28-CE6*'Assumptions (Quarterly)'!I26</f>
        <v>5470.17950212</v>
      </c>
      <c r="CF35" s="20" t="n">
        <f aca="false">CE35+CF6*'Assumptions (Quarterly)'!J28-CF6*'Assumptions (Quarterly)'!J26</f>
        <v>5632.48893892</v>
      </c>
      <c r="CG35" s="20" t="n">
        <f aca="false">CF35+CG6*'Assumptions (Quarterly)'!K28-CG6*'Assumptions (Quarterly)'!K26</f>
        <v>5796.6190142656</v>
      </c>
      <c r="CH35" s="20" t="n">
        <f aca="false">CG35+CH6*'Assumptions (Quarterly)'!L28-CH6*'Assumptions (Quarterly)'!L26</f>
        <v>5968.0005903808</v>
      </c>
    </row>
    <row r="36" customFormat="false" ht="15" hidden="false" customHeight="true" outlineLevel="0" collapsed="false">
      <c r="A36" s="17" t="s">
        <v>161</v>
      </c>
      <c r="B36" s="18" t="n">
        <v>0</v>
      </c>
      <c r="C36" s="18" t="n">
        <v>1.437402</v>
      </c>
      <c r="D36" s="18" t="n">
        <v>1.447859</v>
      </c>
      <c r="E36" s="18" t="n">
        <v>1.459271</v>
      </c>
      <c r="F36" s="18" t="n">
        <v>1.323789</v>
      </c>
      <c r="G36" s="18" t="n">
        <v>1.427431</v>
      </c>
      <c r="H36" s="18" t="n">
        <v>2.244276</v>
      </c>
      <c r="I36" s="18" t="n">
        <v>3.057065</v>
      </c>
      <c r="J36" s="18" t="n">
        <v>9.218153</v>
      </c>
      <c r="K36" s="18" t="n">
        <v>13.763469</v>
      </c>
      <c r="L36" s="18" t="n">
        <v>22.402035</v>
      </c>
      <c r="M36" s="18" t="n">
        <v>24.314404</v>
      </c>
      <c r="N36" s="18" t="n">
        <v>26.627357</v>
      </c>
      <c r="O36" s="18" t="n">
        <v>54.864792</v>
      </c>
      <c r="P36" s="18" t="n">
        <v>66.112729</v>
      </c>
      <c r="Q36" s="18" t="n">
        <v>65.852573</v>
      </c>
      <c r="R36" s="18" t="n">
        <v>78.846281</v>
      </c>
      <c r="S36" s="18" t="n">
        <v>101.824319</v>
      </c>
      <c r="T36" s="18" t="n">
        <v>50.201025</v>
      </c>
      <c r="U36" s="18" t="n">
        <v>41.002762</v>
      </c>
      <c r="V36" s="18" t="n">
        <v>43.933316</v>
      </c>
      <c r="W36" s="18" t="n">
        <v>43.084473</v>
      </c>
      <c r="X36" s="18" t="n">
        <v>49.571882</v>
      </c>
      <c r="Y36" s="18" t="n">
        <v>59.418012</v>
      </c>
      <c r="Z36" s="18" t="n">
        <v>85.955584</v>
      </c>
      <c r="AA36" s="18" t="n">
        <v>94.956562</v>
      </c>
      <c r="AB36" s="18" t="n">
        <v>59.437585</v>
      </c>
      <c r="AC36" s="18" t="n">
        <v>69.806906</v>
      </c>
      <c r="AD36" s="18" t="n">
        <v>45.719737</v>
      </c>
      <c r="AE36" s="18" t="n">
        <v>45.001998</v>
      </c>
      <c r="AF36" s="18" t="n">
        <v>52.145285</v>
      </c>
      <c r="AG36" s="18" t="n">
        <v>158.839053</v>
      </c>
      <c r="AH36" s="18" t="n">
        <v>205.265</v>
      </c>
      <c r="AI36" s="18" t="n">
        <v>190.152</v>
      </c>
      <c r="AJ36" s="18" t="n">
        <v>209.324</v>
      </c>
      <c r="AK36" s="18" t="n">
        <v>185.733</v>
      </c>
      <c r="AL36" s="18" t="n">
        <v>187.621</v>
      </c>
      <c r="AM36" s="18" t="n">
        <v>187.889</v>
      </c>
      <c r="AN36" s="18" t="n">
        <v>157.832</v>
      </c>
      <c r="AO36" s="18" t="n">
        <v>155.178</v>
      </c>
      <c r="AP36" s="18" t="n">
        <v>153.803</v>
      </c>
      <c r="AQ36" s="18" t="n">
        <v>170.352</v>
      </c>
      <c r="AR36" s="18" t="n">
        <v>186.322</v>
      </c>
      <c r="AS36" s="18" t="n">
        <v>45.55</v>
      </c>
      <c r="AT36" s="18" t="n">
        <v>34.72</v>
      </c>
      <c r="AU36" s="18" t="n">
        <v>33.41</v>
      </c>
      <c r="AV36" s="18" t="n">
        <v>11.394</v>
      </c>
      <c r="AW36" s="18" t="n">
        <v>2.823</v>
      </c>
      <c r="AX36" s="18" t="n">
        <v>276.136</v>
      </c>
      <c r="AY36" s="18" t="n">
        <v>275.432</v>
      </c>
      <c r="AZ36" s="18" t="n">
        <v>207.047</v>
      </c>
      <c r="BA36" s="18" t="n">
        <v>3.595</v>
      </c>
      <c r="BB36" s="18" t="n">
        <v>270.422</v>
      </c>
      <c r="BC36" s="18" t="n">
        <v>276.834</v>
      </c>
      <c r="BD36" s="18" t="n">
        <v>10.845</v>
      </c>
      <c r="BE36" s="18" t="n">
        <v>21.963</v>
      </c>
      <c r="BF36" s="18" t="n">
        <v>182.73</v>
      </c>
      <c r="BG36" s="18" t="n">
        <v>194.45</v>
      </c>
      <c r="BH36" s="18" t="n">
        <v>204.68</v>
      </c>
      <c r="BI36" s="18" t="n">
        <v>69.211</v>
      </c>
      <c r="BJ36" s="18" t="n">
        <v>150</v>
      </c>
      <c r="BK36" s="18" t="n">
        <v>201</v>
      </c>
      <c r="BL36" s="18" t="n">
        <v>511</v>
      </c>
      <c r="BM36" s="18" t="n">
        <v>417</v>
      </c>
      <c r="BN36" s="18" t="n">
        <v>354</v>
      </c>
      <c r="BO36" s="18" t="n">
        <v>309</v>
      </c>
      <c r="BP36" s="18" t="n">
        <v>225</v>
      </c>
      <c r="BQ36" s="18" t="n">
        <v>191</v>
      </c>
      <c r="BR36" s="18" t="n">
        <v>227</v>
      </c>
      <c r="BS36" s="18" t="n">
        <v>335</v>
      </c>
      <c r="BT36" s="18" t="n">
        <v>527</v>
      </c>
      <c r="BU36" s="18" t="n">
        <v>1382</v>
      </c>
      <c r="BV36" s="18" t="n">
        <v>1382</v>
      </c>
      <c r="BW36" s="18" t="n">
        <v>1546</v>
      </c>
      <c r="BX36" s="18" t="n">
        <v>1665</v>
      </c>
      <c r="BY36" s="18" t="n">
        <v>1718</v>
      </c>
      <c r="BZ36" s="18" t="n">
        <v>2274</v>
      </c>
      <c r="CA36" s="19" t="n">
        <v>2262</v>
      </c>
      <c r="CB36" s="20" t="n">
        <f aca="false">CA36*(1+'Assumptions (Quarterly)'!F44)</f>
        <v>2318.55</v>
      </c>
      <c r="CC36" s="20" t="n">
        <f aca="false">CB36*(1+'Assumptions (Quarterly)'!G44)</f>
        <v>2376.51375</v>
      </c>
      <c r="CD36" s="20" t="n">
        <f aca="false">CC36*(1+'Assumptions (Quarterly)'!H44)</f>
        <v>2435.92659375</v>
      </c>
      <c r="CE36" s="20" t="n">
        <f aca="false">CD36*(1+'Assumptions (Quarterly)'!I44)</f>
        <v>2496.82475859375</v>
      </c>
      <c r="CF36" s="20" t="n">
        <f aca="false">CE36*(1+'Assumptions (Quarterly)'!J44)</f>
        <v>2559.24537755859</v>
      </c>
      <c r="CG36" s="20" t="n">
        <f aca="false">CF36*(1+'Assumptions (Quarterly)'!K44)</f>
        <v>2623.22651199756</v>
      </c>
      <c r="CH36" s="20" t="n">
        <f aca="false">CG36*(1+'Assumptions (Quarterly)'!L44)</f>
        <v>2688.8071747975</v>
      </c>
    </row>
    <row r="37" customFormat="false" ht="15" hidden="false" customHeight="true" outlineLevel="0" collapsed="false">
      <c r="A37" s="17" t="s">
        <v>162</v>
      </c>
      <c r="B37" s="18" t="n">
        <v>21.342315</v>
      </c>
      <c r="C37" s="18" t="n">
        <v>21.707341</v>
      </c>
      <c r="D37" s="18" t="n">
        <v>22.645835</v>
      </c>
      <c r="E37" s="18" t="n">
        <v>23.018001</v>
      </c>
      <c r="F37" s="18" t="n">
        <v>23.428646</v>
      </c>
      <c r="G37" s="18" t="n">
        <v>42.812153</v>
      </c>
      <c r="H37" s="18" t="n">
        <v>43.893181</v>
      </c>
      <c r="I37" s="18" t="n">
        <v>80.592075</v>
      </c>
      <c r="J37" s="18" t="n">
        <v>72.911546</v>
      </c>
      <c r="K37" s="18" t="n">
        <v>71.431003</v>
      </c>
      <c r="L37" s="18" t="n">
        <v>74.488034</v>
      </c>
      <c r="M37" s="18" t="n">
        <v>75.525514</v>
      </c>
      <c r="N37" s="18" t="n">
        <v>64.338564</v>
      </c>
      <c r="O37" s="18" t="n">
        <v>63.769288</v>
      </c>
      <c r="P37" s="18" t="n">
        <v>62.932379</v>
      </c>
      <c r="Q37" s="18" t="n">
        <v>64.790278</v>
      </c>
      <c r="R37" s="18" t="n">
        <v>64.637481</v>
      </c>
      <c r="S37" s="18" t="n">
        <v>64.459731</v>
      </c>
      <c r="T37" s="18" t="n">
        <v>65.17578</v>
      </c>
      <c r="U37" s="18" t="n">
        <v>69.571885</v>
      </c>
      <c r="V37" s="18" t="n">
        <v>68.588805</v>
      </c>
      <c r="W37" s="18" t="n">
        <v>70.562274</v>
      </c>
      <c r="X37" s="18" t="n">
        <v>68.7351</v>
      </c>
      <c r="Y37" s="18" t="n">
        <v>68.892998</v>
      </c>
      <c r="Z37" s="18" t="n">
        <v>67.645928</v>
      </c>
      <c r="AA37" s="18" t="n">
        <v>69.986076</v>
      </c>
      <c r="AB37" s="18" t="n">
        <v>66.275789</v>
      </c>
      <c r="AC37" s="18" t="n">
        <v>64.294149</v>
      </c>
      <c r="AD37" s="18" t="n">
        <v>61.692803</v>
      </c>
      <c r="AE37" s="18" t="n">
        <v>58.353034</v>
      </c>
      <c r="AF37" s="18" t="n">
        <v>95.950947</v>
      </c>
      <c r="AG37" s="18" t="n">
        <v>90.373013</v>
      </c>
      <c r="AH37" s="18" t="n">
        <v>92</v>
      </c>
      <c r="AI37" s="18" t="n">
        <v>88.378</v>
      </c>
      <c r="AJ37" s="18" t="n">
        <v>136.105</v>
      </c>
      <c r="AK37" s="18" t="n">
        <v>122.366</v>
      </c>
      <c r="AL37" s="18" t="n">
        <v>115.536</v>
      </c>
      <c r="AM37" s="18" t="n">
        <v>120.435</v>
      </c>
      <c r="AN37" s="18" t="n">
        <v>125.276</v>
      </c>
      <c r="AO37" s="18" t="n">
        <v>122.218</v>
      </c>
      <c r="AP37" s="18" t="n">
        <v>118.074</v>
      </c>
      <c r="AQ37" s="18" t="n">
        <v>122.076</v>
      </c>
      <c r="AR37" s="18" t="n">
        <v>119.477</v>
      </c>
      <c r="AS37" s="18" t="n">
        <v>119.891</v>
      </c>
      <c r="AT37" s="18" t="n">
        <v>115.453</v>
      </c>
      <c r="AU37" s="18" t="n">
        <v>116.106</v>
      </c>
      <c r="AV37" s="18" t="n">
        <v>102.893</v>
      </c>
      <c r="AW37" s="18" t="n">
        <v>107.369</v>
      </c>
      <c r="AX37" s="18" t="n">
        <v>107.464</v>
      </c>
      <c r="AY37" s="18" t="n">
        <v>107.51</v>
      </c>
      <c r="AZ37" s="18" t="n">
        <v>107.183</v>
      </c>
      <c r="BA37" s="18" t="n">
        <v>101.228</v>
      </c>
      <c r="BB37" s="18" t="n">
        <v>101.884</v>
      </c>
      <c r="BC37" s="18" t="n">
        <v>99.416</v>
      </c>
      <c r="BD37" s="18" t="n">
        <v>97.741</v>
      </c>
      <c r="BE37" s="18" t="n">
        <v>93.294</v>
      </c>
      <c r="BF37" s="18" t="n">
        <v>99.366</v>
      </c>
      <c r="BG37" s="18" t="n">
        <v>103.101</v>
      </c>
      <c r="BH37" s="18" t="n">
        <v>109.059</v>
      </c>
      <c r="BI37" s="18" t="n">
        <v>111.658</v>
      </c>
      <c r="BJ37" s="18" t="n">
        <v>193</v>
      </c>
      <c r="BK37" s="18" t="n">
        <v>205</v>
      </c>
      <c r="BL37" s="18" t="n">
        <v>180</v>
      </c>
      <c r="BM37" s="18" t="n">
        <v>176</v>
      </c>
      <c r="BN37" s="18" t="n">
        <v>178</v>
      </c>
      <c r="BO37" s="18" t="n">
        <v>184</v>
      </c>
      <c r="BP37" s="18" t="n">
        <v>188</v>
      </c>
      <c r="BQ37" s="18" t="n">
        <v>180</v>
      </c>
      <c r="BR37" s="18" t="n">
        <v>198</v>
      </c>
      <c r="BS37" s="18" t="n">
        <v>210</v>
      </c>
      <c r="BT37" s="18" t="n">
        <v>198</v>
      </c>
      <c r="BU37" s="18" t="n">
        <v>195</v>
      </c>
      <c r="BV37" s="18" t="n">
        <v>210</v>
      </c>
      <c r="BW37" s="18" t="n">
        <v>247</v>
      </c>
      <c r="BX37" s="18" t="n">
        <v>268</v>
      </c>
      <c r="BY37" s="18" t="n">
        <v>277</v>
      </c>
      <c r="BZ37" s="18" t="n">
        <v>196</v>
      </c>
      <c r="CA37" s="19" t="n">
        <v>198</v>
      </c>
      <c r="CB37" s="20" t="n">
        <f aca="false">'Assumptions (Quarterly)'!F46</f>
        <v>198</v>
      </c>
      <c r="CC37" s="20" t="n">
        <f aca="false">'Assumptions (Quarterly)'!G46</f>
        <v>198</v>
      </c>
      <c r="CD37" s="20" t="n">
        <f aca="false">'Assumptions (Quarterly)'!H46</f>
        <v>198</v>
      </c>
      <c r="CE37" s="20" t="n">
        <f aca="false">'Assumptions (Quarterly)'!I46</f>
        <v>198</v>
      </c>
      <c r="CF37" s="20" t="n">
        <f aca="false">'Assumptions (Quarterly)'!J46</f>
        <v>198</v>
      </c>
      <c r="CG37" s="20" t="n">
        <f aca="false">'Assumptions (Quarterly)'!K46</f>
        <v>198</v>
      </c>
      <c r="CH37" s="20" t="n">
        <f aca="false">'Assumptions (Quarterly)'!L46</f>
        <v>198</v>
      </c>
    </row>
    <row r="38" customFormat="false" ht="15" hidden="false" customHeight="true" outlineLevel="0" collapsed="false">
      <c r="A38" s="17" t="s">
        <v>163</v>
      </c>
      <c r="B38" s="18" t="n">
        <v>0.418909</v>
      </c>
      <c r="C38" s="18" t="n">
        <v>0.577082</v>
      </c>
      <c r="D38" s="18" t="n">
        <v>0.706186</v>
      </c>
      <c r="E38" s="18" t="n">
        <v>0.728962</v>
      </c>
      <c r="F38" s="18" t="n">
        <v>0.622991</v>
      </c>
      <c r="G38" s="18" t="n">
        <v>0.260147</v>
      </c>
      <c r="H38" s="18" t="n">
        <v>0.40884</v>
      </c>
      <c r="I38" s="18" t="n">
        <v>0.485237</v>
      </c>
      <c r="J38" s="18" t="n">
        <v>8.367666</v>
      </c>
      <c r="K38" s="18" t="n">
        <v>11.69922</v>
      </c>
      <c r="L38" s="18" t="n">
        <v>15.529518</v>
      </c>
      <c r="M38" s="18" t="n">
        <v>14.856998</v>
      </c>
      <c r="N38" s="18" t="n">
        <v>3.565436</v>
      </c>
      <c r="O38" s="18" t="n">
        <v>4.545014</v>
      </c>
      <c r="P38" s="18" t="n">
        <v>4.623123</v>
      </c>
      <c r="Q38" s="18" t="n">
        <v>5.592221</v>
      </c>
      <c r="R38" s="18" t="n">
        <v>3.746341</v>
      </c>
      <c r="S38" s="18" t="n">
        <v>3.551709</v>
      </c>
      <c r="T38" s="18" t="n">
        <v>2.611067</v>
      </c>
      <c r="U38" s="18" t="n">
        <v>8.92603</v>
      </c>
      <c r="V38" s="18" t="n">
        <v>12.286041</v>
      </c>
      <c r="W38" s="18" t="n">
        <v>12.606491</v>
      </c>
      <c r="X38" s="18" t="n">
        <v>11.597194</v>
      </c>
      <c r="Y38" s="18" t="n">
        <v>12.184434</v>
      </c>
      <c r="Z38" s="18" t="n">
        <v>11.980367</v>
      </c>
      <c r="AA38" s="18" t="n">
        <v>11.695895</v>
      </c>
      <c r="AB38" s="18" t="n">
        <v>10.787587</v>
      </c>
      <c r="AC38" s="18" t="n">
        <v>37.470985</v>
      </c>
      <c r="AD38" s="18" t="n">
        <v>27.414089</v>
      </c>
      <c r="AE38" s="18" t="n">
        <v>27.827577</v>
      </c>
      <c r="AF38" s="18" t="n">
        <v>41.871676</v>
      </c>
      <c r="AG38" s="18" t="n">
        <v>36.167992</v>
      </c>
      <c r="AH38" s="18" t="n">
        <v>45.288</v>
      </c>
      <c r="AI38" s="18" t="n">
        <v>34.133</v>
      </c>
      <c r="AJ38" s="18" t="n">
        <v>45.117</v>
      </c>
      <c r="AK38" s="18" t="n">
        <v>53.005</v>
      </c>
      <c r="AL38" s="18" t="n">
        <v>73.643</v>
      </c>
      <c r="AM38" s="18" t="n">
        <v>80.164</v>
      </c>
      <c r="AN38" s="18" t="n">
        <v>78.966</v>
      </c>
      <c r="AO38" s="18" t="n">
        <v>98.548</v>
      </c>
      <c r="AP38" s="18" t="n">
        <v>101.836</v>
      </c>
      <c r="AQ38" s="18" t="n">
        <v>112.858</v>
      </c>
      <c r="AR38" s="18" t="n">
        <v>116.86</v>
      </c>
      <c r="AS38" s="18" t="n">
        <v>134.594</v>
      </c>
      <c r="AT38" s="18" t="n">
        <v>121.258</v>
      </c>
      <c r="AU38" s="18" t="n">
        <v>161.752</v>
      </c>
      <c r="AV38" s="18" t="n">
        <v>166.83</v>
      </c>
      <c r="AW38" s="18" t="n">
        <v>168.063</v>
      </c>
      <c r="AX38" s="18" t="n">
        <v>179.182</v>
      </c>
      <c r="AY38" s="18" t="n">
        <v>202.31</v>
      </c>
      <c r="AZ38" s="18" t="n">
        <v>230.982</v>
      </c>
      <c r="BA38" s="18" t="n">
        <v>158.012</v>
      </c>
      <c r="BB38" s="18" t="n">
        <v>175.823</v>
      </c>
      <c r="BC38" s="18" t="n">
        <v>148.773</v>
      </c>
      <c r="BD38" s="18" t="n">
        <v>139.704</v>
      </c>
      <c r="BE38" s="18" t="n">
        <v>170.737</v>
      </c>
      <c r="BF38" s="18" t="n">
        <v>202.531</v>
      </c>
      <c r="BG38" s="18" t="n">
        <v>196.16</v>
      </c>
      <c r="BH38" s="18" t="n">
        <v>246.054</v>
      </c>
      <c r="BI38" s="18" t="n">
        <v>243.693</v>
      </c>
      <c r="BJ38" s="18" t="n">
        <v>315</v>
      </c>
      <c r="BK38" s="18" t="n">
        <v>403</v>
      </c>
      <c r="BL38" s="18" t="n">
        <v>436</v>
      </c>
      <c r="BM38" s="18" t="n">
        <v>486</v>
      </c>
      <c r="BN38" s="18" t="n">
        <v>602</v>
      </c>
      <c r="BO38" s="18" t="n">
        <v>639</v>
      </c>
      <c r="BP38" s="18" t="n">
        <v>671</v>
      </c>
      <c r="BQ38" s="18" t="n">
        <v>826</v>
      </c>
      <c r="BR38" s="18" t="n">
        <v>778</v>
      </c>
      <c r="BS38" s="18" t="n">
        <v>880</v>
      </c>
      <c r="BT38" s="18" t="n">
        <v>833</v>
      </c>
      <c r="BU38" s="18" t="n">
        <v>971</v>
      </c>
      <c r="BV38" s="18" t="n">
        <v>984</v>
      </c>
      <c r="BW38" s="18" t="n">
        <v>1324</v>
      </c>
      <c r="BX38" s="18" t="n">
        <v>1490</v>
      </c>
      <c r="BY38" s="18" t="n">
        <v>1801</v>
      </c>
      <c r="BZ38" s="18" t="n">
        <v>2120</v>
      </c>
      <c r="CA38" s="19" t="n">
        <v>2536</v>
      </c>
      <c r="CB38" s="20" t="n">
        <f aca="false">CB6*'Assumptions (Quarterly)'!F42</f>
        <v>2620.49942</v>
      </c>
      <c r="CC38" s="20" t="n">
        <f aca="false">CC6*'Assumptions (Quarterly)'!G42</f>
        <v>2901.51828834</v>
      </c>
      <c r="CD38" s="20" t="n">
        <f aca="false">CD6*'Assumptions (Quarterly)'!H42</f>
        <v>3344.931905</v>
      </c>
      <c r="CE38" s="20" t="n">
        <f aca="false">CE6*'Assumptions (Quarterly)'!I42</f>
        <v>3300.68368</v>
      </c>
      <c r="CF38" s="20" t="n">
        <f aca="false">CF6*'Assumptions (Quarterly)'!J42</f>
        <v>3327.3434544</v>
      </c>
      <c r="CG38" s="20" t="n">
        <f aca="false">CG6*'Assumptions (Quarterly)'!K42</f>
        <v>3623.4870480144</v>
      </c>
      <c r="CH38" s="20" t="n">
        <f aca="false">CH6*'Assumptions (Quarterly)'!L42</f>
        <v>4098.8760287552</v>
      </c>
    </row>
    <row r="39" customFormat="false" ht="15" hidden="false" customHeight="true" outlineLevel="0" collapsed="false">
      <c r="A39" s="21" t="s">
        <v>164</v>
      </c>
      <c r="B39" s="22" t="n">
        <f aca="false">B35+B36+B37+B38</f>
        <v>24.692694</v>
      </c>
      <c r="C39" s="22" t="n">
        <f aca="false">C35+C36+C37+C38</f>
        <v>26.798346</v>
      </c>
      <c r="D39" s="22" t="n">
        <f aca="false">D35+D36+D37+D38</f>
        <v>28.816912</v>
      </c>
      <c r="E39" s="22" t="n">
        <f aca="false">E35+E36+E37+E38</f>
        <v>29.377321</v>
      </c>
      <c r="F39" s="22" t="n">
        <f aca="false">F35+F36+F37+F38</f>
        <v>29.51863</v>
      </c>
      <c r="G39" s="22" t="n">
        <f aca="false">G35+G36+G37+G38</f>
        <v>49.23208</v>
      </c>
      <c r="H39" s="22" t="n">
        <f aca="false">H35+H36+H37+H38</f>
        <v>52.222679</v>
      </c>
      <c r="I39" s="22" t="n">
        <f aca="false">I35+I36+I37+I38</f>
        <v>90.009245</v>
      </c>
      <c r="J39" s="22" t="n">
        <f aca="false">J35+J36+J37+J38</f>
        <v>96.437525</v>
      </c>
      <c r="K39" s="22" t="n">
        <f aca="false">K35+K36+K37+K38</f>
        <v>103.624123</v>
      </c>
      <c r="L39" s="22" t="n">
        <f aca="false">L35+L36+L37+L38</f>
        <v>118.822069</v>
      </c>
      <c r="M39" s="22" t="n">
        <f aca="false">M35+M36+M37+M38</f>
        <v>121.091428</v>
      </c>
      <c r="N39" s="22" t="n">
        <f aca="false">N35+N36+N37+N38</f>
        <v>100.479633</v>
      </c>
      <c r="O39" s="22" t="n">
        <f aca="false">O35+O36+O37+O38</f>
        <v>130.442095</v>
      </c>
      <c r="P39" s="22" t="n">
        <f aca="false">P35+P36+P37+P38</f>
        <v>141.357331</v>
      </c>
      <c r="Q39" s="22" t="n">
        <f aca="false">Q35+Q36+Q37+Q38</f>
        <v>155.297483</v>
      </c>
      <c r="R39" s="22" t="n">
        <f aca="false">R35+R36+R37+R38</f>
        <v>168.047815</v>
      </c>
      <c r="S39" s="22" t="n">
        <f aca="false">S35+S36+S37+S38</f>
        <v>192.508711</v>
      </c>
      <c r="T39" s="22" t="n">
        <f aca="false">T35+T36+T37+T38</f>
        <v>149.30426</v>
      </c>
      <c r="U39" s="22" t="n">
        <f aca="false">U35+U36+U37+U38</f>
        <v>150.852643</v>
      </c>
      <c r="V39" s="22" t="n">
        <f aca="false">V35+V36+V37+V38</f>
        <v>155.685881</v>
      </c>
      <c r="W39" s="22" t="n">
        <f aca="false">W35+W36+W37+W38</f>
        <v>159.370293</v>
      </c>
      <c r="X39" s="22" t="n">
        <f aca="false">X35+X36+X37+X38</f>
        <v>165.007329</v>
      </c>
      <c r="Y39" s="22" t="n">
        <f aca="false">Y35+Y36+Y37+Y38</f>
        <v>175.71283</v>
      </c>
      <c r="Z39" s="22" t="n">
        <f aca="false">Z35+Z36+Z37+Z38</f>
        <v>203.308101</v>
      </c>
      <c r="AA39" s="22" t="n">
        <f aca="false">AA35+AA36+AA37+AA38</f>
        <v>214.655733</v>
      </c>
      <c r="AB39" s="22" t="n">
        <f aca="false">AB35+AB36+AB37+AB38</f>
        <v>216.58262</v>
      </c>
      <c r="AC39" s="22" t="n">
        <f aca="false">AC35+AC36+AC37+AC38</f>
        <v>251.57215</v>
      </c>
      <c r="AD39" s="22" t="n">
        <f aca="false">AD35+AD36+AD37+AD38</f>
        <v>266.198538</v>
      </c>
      <c r="AE39" s="22" t="n">
        <f aca="false">AE35+AE36+AE37+AE38</f>
        <v>260.647536</v>
      </c>
      <c r="AF39" s="22" t="n">
        <f aca="false">AF35+AF36+AF37+AF38</f>
        <v>273.748751</v>
      </c>
      <c r="AG39" s="22" t="n">
        <f aca="false">AG35+AG36+AG37+AG38</f>
        <v>369.306999</v>
      </c>
      <c r="AH39" s="22" t="n">
        <f aca="false">AH35+AH36+AH37+AH38</f>
        <v>434.098</v>
      </c>
      <c r="AI39" s="22" t="n">
        <f aca="false">AI35+AI36+AI37+AI38</f>
        <v>388.608</v>
      </c>
      <c r="AJ39" s="22" t="n">
        <f aca="false">AJ35+AJ36+AJ37+AJ38</f>
        <v>473.281</v>
      </c>
      <c r="AK39" s="22" t="n">
        <f aca="false">AK35+AK36+AK37+AK38</f>
        <v>443.614</v>
      </c>
      <c r="AL39" s="22" t="n">
        <f aca="false">AL35+AL36+AL37+AL38</f>
        <v>458.433</v>
      </c>
      <c r="AM39" s="22" t="n">
        <f aca="false">AM35+AM36+AM37+AM38</f>
        <v>478.42</v>
      </c>
      <c r="AN39" s="22" t="n">
        <f aca="false">AN35+AN36+AN37+AN38</f>
        <v>466.882</v>
      </c>
      <c r="AO39" s="22" t="n">
        <f aca="false">AO35+AO36+AO37+AO38</f>
        <v>496.95</v>
      </c>
      <c r="AP39" s="22" t="n">
        <f aca="false">AP35+AP36+AP37+AP38</f>
        <v>497.974</v>
      </c>
      <c r="AQ39" s="22" t="n">
        <f aca="false">AQ35+AQ36+AQ37+AQ38</f>
        <v>537.254</v>
      </c>
      <c r="AR39" s="22" t="n">
        <f aca="false">AR35+AR36+AR37+AR38</f>
        <v>553.253</v>
      </c>
      <c r="AS39" s="22" t="n">
        <f aca="false">AS35+AS36+AS37+AS38</f>
        <v>436.136</v>
      </c>
      <c r="AT39" s="22" t="n">
        <f aca="false">AT35+AT36+AT37+AT38</f>
        <v>386.268</v>
      </c>
      <c r="AU39" s="22" t="n">
        <f aca="false">AU35+AU36+AU37+AU38</f>
        <v>434.127</v>
      </c>
      <c r="AV39" s="22" t="n">
        <f aca="false">AV35+AV36+AV37+AV38</f>
        <v>394.287</v>
      </c>
      <c r="AW39" s="22" t="n">
        <f aca="false">AW35+AW36+AW37+AW38</f>
        <v>416.672</v>
      </c>
      <c r="AX39" s="22" t="n">
        <f aca="false">AX35+AX36+AX37+AX38</f>
        <v>728.396</v>
      </c>
      <c r="AY39" s="22" t="n">
        <f aca="false">AY35+AY36+AY37+AY38</f>
        <v>927.707</v>
      </c>
      <c r="AZ39" s="22" t="n">
        <f aca="false">AZ35+AZ36+AZ37+AZ38</f>
        <v>919.06</v>
      </c>
      <c r="BA39" s="22" t="n">
        <f aca="false">BA35+BA36+BA37+BA38</f>
        <v>658.711</v>
      </c>
      <c r="BB39" s="22" t="n">
        <f aca="false">BB35+BB36+BB37+BB38</f>
        <v>992.835</v>
      </c>
      <c r="BC39" s="22" t="n">
        <f aca="false">BC35+BC36+BC37+BC38</f>
        <v>947.806</v>
      </c>
      <c r="BD39" s="22" t="n">
        <f aca="false">BD35+BD36+BD37+BD38</f>
        <v>698.182</v>
      </c>
      <c r="BE39" s="22" t="n">
        <f aca="false">BE35+BE36+BE37+BE38</f>
        <v>813.828</v>
      </c>
      <c r="BF39" s="22" t="n">
        <f aca="false">BF35+BF36+BF37+BF38</f>
        <v>1179.525</v>
      </c>
      <c r="BG39" s="22" t="n">
        <f aca="false">BG35+BG36+BG37+BG38</f>
        <v>1297.664</v>
      </c>
      <c r="BH39" s="22" t="n">
        <f aca="false">BH35+BH36+BH37+BH38</f>
        <v>1575.043</v>
      </c>
      <c r="BI39" s="22" t="n">
        <f aca="false">BI35+BI36+BI37+BI38</f>
        <v>1516.896</v>
      </c>
      <c r="BJ39" s="22" t="n">
        <f aca="false">BJ35+BJ36+BJ37+BJ38</f>
        <v>1926</v>
      </c>
      <c r="BK39" s="22" t="n">
        <f aca="false">BK35+BK36+BK37+BK38</f>
        <v>2318</v>
      </c>
      <c r="BL39" s="22" t="n">
        <f aca="false">BL35+BL36+BL37+BL38</f>
        <v>2584</v>
      </c>
      <c r="BM39" s="22" t="n">
        <f aca="false">BM35+BM36+BM37+BM38</f>
        <v>2611</v>
      </c>
      <c r="BN39" s="22" t="n">
        <f aca="false">BN35+BN36+BN37+BN38</f>
        <v>2783</v>
      </c>
      <c r="BO39" s="22" t="n">
        <f aca="false">BO35+BO36+BO37+BO38</f>
        <v>2865</v>
      </c>
      <c r="BP39" s="22" t="n">
        <f aca="false">BP35+BP36+BP37+BP38</f>
        <v>2953</v>
      </c>
      <c r="BQ39" s="22" t="n">
        <f aca="false">BQ35+BQ36+BQ37+BQ38</f>
        <v>3074</v>
      </c>
      <c r="BR39" s="22" t="n">
        <f aca="false">BR35+BR36+BR37+BR38</f>
        <v>3352</v>
      </c>
      <c r="BS39" s="22" t="n">
        <f aca="false">BS35+BS36+BS37+BS38</f>
        <v>3557</v>
      </c>
      <c r="BT39" s="22" t="n">
        <f aca="false">BT35+BT36+BT37+BT38</f>
        <v>3551</v>
      </c>
      <c r="BU39" s="22" t="n">
        <f aca="false">BU35+BU36+BU37+BU38</f>
        <v>4799</v>
      </c>
      <c r="BV39" s="22" t="n">
        <f aca="false">BV35+BV36+BV37+BV38</f>
        <v>5054</v>
      </c>
      <c r="BW39" s="22" t="n">
        <f aca="false">BW35+BW36+BW37+BW38</f>
        <v>5942</v>
      </c>
      <c r="BX39" s="22" t="n">
        <f aca="false">BX35+BX36+BX37+BX38</f>
        <v>6886</v>
      </c>
      <c r="BY39" s="22" t="n">
        <f aca="false">BY35+BY36+BY37+BY38</f>
        <v>7896</v>
      </c>
      <c r="BZ39" s="22" t="n">
        <f aca="false">BZ35+BZ36+BZ37+BZ38</f>
        <v>9094</v>
      </c>
      <c r="CA39" s="22" t="n">
        <f aca="false">CA35+CA36+CA37+CA38</f>
        <v>9811</v>
      </c>
      <c r="CB39" s="22" t="n">
        <f aca="false">CB35+CB36+CB37+CB38</f>
        <v>10098.13998</v>
      </c>
      <c r="CC39" s="22" t="n">
        <f aca="false">CC35+CC36+CC37+CC38</f>
        <v>10598.87971546</v>
      </c>
      <c r="CD39" s="22" t="n">
        <f aca="false">CD35+CD36+CD37+CD38</f>
        <v>11276.52840087</v>
      </c>
      <c r="CE39" s="22" t="n">
        <f aca="false">CE35+CE36+CE37+CE38</f>
        <v>11465.6879407138</v>
      </c>
      <c r="CF39" s="22" t="n">
        <f aca="false">CF35+CF36+CF37+CF38</f>
        <v>11717.0777708786</v>
      </c>
      <c r="CG39" s="22" t="n">
        <f aca="false">CG35+CG36+CG37+CG38</f>
        <v>12241.3325742776</v>
      </c>
      <c r="CH39" s="22" t="n">
        <f aca="false">CH35+CH36+CH37+CH38</f>
        <v>12953.6837939335</v>
      </c>
    </row>
    <row r="40" customFormat="false" ht="15.75" hidden="false" customHeight="true" outlineLevel="0" collapsed="false">
      <c r="A40" s="24" t="s">
        <v>165</v>
      </c>
      <c r="B40" s="23" t="n">
        <f aca="false">B34+B39</f>
        <v>53.812572</v>
      </c>
      <c r="C40" s="23" t="n">
        <f aca="false">C34+C39</f>
        <v>57.178599</v>
      </c>
      <c r="D40" s="23" t="n">
        <f aca="false">D34+D39</f>
        <v>62.223318</v>
      </c>
      <c r="E40" s="23" t="n">
        <f aca="false">E34+E39</f>
        <v>115.458541</v>
      </c>
      <c r="F40" s="23" t="n">
        <f aca="false">F34+F39</f>
        <v>134.4928</v>
      </c>
      <c r="G40" s="23" t="n">
        <f aca="false">G34+G39</f>
        <v>137.076568</v>
      </c>
      <c r="H40" s="23" t="n">
        <f aca="false">H34+H39</f>
        <v>147.416212</v>
      </c>
      <c r="I40" s="23" t="n">
        <f aca="false">I34+I39</f>
        <v>169.124761</v>
      </c>
      <c r="J40" s="23" t="n">
        <f aca="false">J34+J39</f>
        <v>156.738749</v>
      </c>
      <c r="K40" s="23" t="n">
        <f aca="false">K34+K39</f>
        <v>160.89849</v>
      </c>
      <c r="L40" s="23" t="n">
        <f aca="false">L34+L39</f>
        <v>183.219712</v>
      </c>
      <c r="M40" s="23" t="n">
        <f aca="false">M34+M39</f>
        <v>195.484022</v>
      </c>
      <c r="N40" s="23" t="n">
        <f aca="false">N34+N39</f>
        <v>182.614649</v>
      </c>
      <c r="O40" s="23" t="n">
        <f aca="false">O34+O39</f>
        <v>192.337232</v>
      </c>
      <c r="P40" s="23" t="n">
        <f aca="false">P34+P39</f>
        <v>208.64173</v>
      </c>
      <c r="Q40" s="23" t="n">
        <f aca="false">Q34+Q39</f>
        <v>240.732652</v>
      </c>
      <c r="R40" s="23" t="n">
        <f aca="false">R34+R39</f>
        <v>269.683023</v>
      </c>
      <c r="S40" s="23" t="n">
        <f aca="false">S34+S39</f>
        <v>286.733174</v>
      </c>
      <c r="T40" s="23" t="n">
        <f aca="false">T34+T39</f>
        <v>308.525976</v>
      </c>
      <c r="U40" s="23" t="n">
        <f aca="false">U34+U39</f>
        <v>325.34359</v>
      </c>
      <c r="V40" s="23" t="n">
        <f aca="false">V34+V39</f>
        <v>355.931436</v>
      </c>
      <c r="W40" s="23" t="n">
        <f aca="false">W34+W39</f>
        <v>376.569456</v>
      </c>
      <c r="X40" s="23" t="n">
        <f aca="false">X34+X39</f>
        <v>398.551733</v>
      </c>
      <c r="Y40" s="23" t="n">
        <f aca="false">Y34+Y39</f>
        <v>430.624552</v>
      </c>
      <c r="Z40" s="23" t="n">
        <f aca="false">Z34+Z39</f>
        <v>478.669276</v>
      </c>
      <c r="AA40" s="23" t="n">
        <f aca="false">AA34+AA39</f>
        <v>503.220792</v>
      </c>
      <c r="AB40" s="23" t="n">
        <f aca="false">AB34+AB39</f>
        <v>529.582232</v>
      </c>
      <c r="AC40" s="23" t="n">
        <f aca="false">AC34+AC39</f>
        <v>569.321245</v>
      </c>
      <c r="AD40" s="23" t="n">
        <f aca="false">AD34+AD39</f>
        <v>592.362773</v>
      </c>
      <c r="AE40" s="23" t="n">
        <f aca="false">AE34+AE39</f>
        <v>597.858668</v>
      </c>
      <c r="AF40" s="23" t="n">
        <f aca="false">AF34+AF39</f>
        <v>887.964898</v>
      </c>
      <c r="AG40" s="23" t="n">
        <f aca="false">AG34+AG39</f>
        <v>939.198628</v>
      </c>
      <c r="AH40" s="23" t="n">
        <f aca="false">AH34+AH39</f>
        <v>966.848</v>
      </c>
      <c r="AI40" s="23" t="n">
        <f aca="false">AI34+AI39</f>
        <v>976.783</v>
      </c>
      <c r="AJ40" s="23" t="n">
        <f aca="false">AJ34+AJ39</f>
        <v>1020.635</v>
      </c>
      <c r="AK40" s="23" t="n">
        <f aca="false">AK34+AK39</f>
        <v>1068.828</v>
      </c>
      <c r="AL40" s="23" t="n">
        <f aca="false">AL34+AL39</f>
        <v>1003.606</v>
      </c>
      <c r="AM40" s="23" t="n">
        <f aca="false">AM34+AM39</f>
        <v>1083.469</v>
      </c>
      <c r="AN40" s="23" t="n">
        <f aca="false">AN34+AN39</f>
        <v>1140.149</v>
      </c>
      <c r="AO40" s="23" t="n">
        <f aca="false">AO34+AO39</f>
        <v>1256.057</v>
      </c>
      <c r="AP40" s="23" t="n">
        <f aca="false">AP34+AP39</f>
        <v>1367.435</v>
      </c>
      <c r="AQ40" s="23" t="n">
        <f aca="false">AQ34+AQ39</f>
        <v>1483.646</v>
      </c>
      <c r="AR40" s="23" t="n">
        <f aca="false">AR34+AR39</f>
        <v>1511.438</v>
      </c>
      <c r="AS40" s="23" t="n">
        <f aca="false">AS34+AS39</f>
        <v>1618.292</v>
      </c>
      <c r="AT40" s="23" t="n">
        <f aca="false">AT34+AT39</f>
        <v>1673.187</v>
      </c>
      <c r="AU40" s="23" t="n">
        <f aca="false">AU34+AU39</f>
        <v>1719.687</v>
      </c>
      <c r="AV40" s="23" t="n">
        <f aca="false">AV34+AV39</f>
        <v>1519.441</v>
      </c>
      <c r="AW40" s="23" t="n">
        <f aca="false">AW34+AW39</f>
        <v>2018.351</v>
      </c>
      <c r="AX40" s="23" t="n">
        <f aca="false">AX34+AX39</f>
        <v>2239.519</v>
      </c>
      <c r="AY40" s="23" t="n">
        <f aca="false">AY34+AY39</f>
        <v>4448.16</v>
      </c>
      <c r="AZ40" s="23" t="n">
        <f aca="false">AZ34+AZ39</f>
        <v>4595.492</v>
      </c>
      <c r="BA40" s="23" t="n">
        <f aca="false">BA34+BA39</f>
        <v>4439.341</v>
      </c>
      <c r="BB40" s="23" t="n">
        <f aca="false">BB34+BB39</f>
        <v>4781.691</v>
      </c>
      <c r="BC40" s="23" t="n">
        <f aca="false">BC34+BC39</f>
        <v>4458.08</v>
      </c>
      <c r="BD40" s="23" t="n">
        <f aca="false">BD34+BD39</f>
        <v>5452.736</v>
      </c>
      <c r="BE40" s="23" t="n">
        <f aca="false">BE34+BE39</f>
        <v>5737.719</v>
      </c>
      <c r="BF40" s="23" t="n">
        <f aca="false">BF34+BF39</f>
        <v>6526.332</v>
      </c>
      <c r="BG40" s="23" t="n">
        <f aca="false">BG34+BG39</f>
        <v>5197.855</v>
      </c>
      <c r="BH40" s="23" t="n">
        <f aca="false">BH34+BH39</f>
        <v>6142.694</v>
      </c>
      <c r="BI40" s="23" t="n">
        <f aca="false">BI34+BI39</f>
        <v>6800.017</v>
      </c>
      <c r="BJ40" s="23" t="n">
        <f aca="false">BJ34+BJ39</f>
        <v>10101</v>
      </c>
      <c r="BK40" s="23" t="n">
        <f aca="false">BK34+BK39</f>
        <v>11023</v>
      </c>
      <c r="BL40" s="23" t="n">
        <f aca="false">BL34+BL39</f>
        <v>11447</v>
      </c>
      <c r="BM40" s="23" t="n">
        <f aca="false">BM34+BM39</f>
        <v>11962</v>
      </c>
      <c r="BN40" s="23" t="n">
        <f aca="false">BN34+BN39</f>
        <v>13736</v>
      </c>
      <c r="BO40" s="23" t="n">
        <f aca="false">BO34+BO39</f>
        <v>14201</v>
      </c>
      <c r="BP40" s="23" t="n">
        <f aca="false">BP34+BP39</f>
        <v>15243</v>
      </c>
      <c r="BQ40" s="23" t="n">
        <f aca="false">BQ34+BQ39</f>
        <v>16124</v>
      </c>
      <c r="BR40" s="23" t="n">
        <f aca="false">BR34+BR39</f>
        <v>17612</v>
      </c>
      <c r="BS40" s="23" t="n">
        <f aca="false">BS34+BS39</f>
        <v>19062</v>
      </c>
      <c r="BT40" s="23" t="n">
        <f aca="false">BT34+BT39</f>
        <v>20030</v>
      </c>
      <c r="BU40" s="23" t="n">
        <f aca="false">BU34+BU39</f>
        <v>22623</v>
      </c>
      <c r="BV40" s="23" t="n">
        <f aca="false">BV34+BV39</f>
        <v>25196</v>
      </c>
      <c r="BW40" s="23" t="n">
        <f aca="false">BW34+BW39</f>
        <v>27682</v>
      </c>
      <c r="BX40" s="23" t="n">
        <f aca="false">BX34+BX39</f>
        <v>32948</v>
      </c>
      <c r="BY40" s="23" t="n">
        <f aca="false">BY34+BY39</f>
        <v>36691</v>
      </c>
      <c r="BZ40" s="23" t="n">
        <f aca="false">BZ34+BZ39</f>
        <v>42667</v>
      </c>
      <c r="CA40" s="23" t="n">
        <f aca="false">CA34+CA39</f>
        <v>46934</v>
      </c>
      <c r="CB40" s="23" t="n">
        <f aca="false">CB34+CB39</f>
        <v>48867.9099108</v>
      </c>
      <c r="CC40" s="23" t="n">
        <f aca="false">CC34+CC39</f>
        <v>53710.2787464014</v>
      </c>
      <c r="CD40" s="23" t="n">
        <f aca="false">CD34+CD39</f>
        <v>60487.3499918264</v>
      </c>
      <c r="CE40" s="23" t="n">
        <f aca="false">CE34+CE39</f>
        <v>61170.4785196177</v>
      </c>
      <c r="CF40" s="23" t="n">
        <f aca="false">CF34+CF39</f>
        <v>62878.0043970926</v>
      </c>
      <c r="CG40" s="23" t="n">
        <f aca="false">CG34+CG39</f>
        <v>68329.6513480895</v>
      </c>
      <c r="CH40" s="23" t="n">
        <f aca="false">CH34+CH39</f>
        <v>75858.3142013781</v>
      </c>
    </row>
    <row r="41" customFormat="false" ht="15.75" hidden="false" customHeight="true" outlineLevel="0" collapsed="false">
      <c r="A41" s="17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6"/>
      <c r="CC41" s="26"/>
      <c r="CD41" s="26"/>
      <c r="CE41" s="26"/>
      <c r="CF41" s="26"/>
      <c r="CG41" s="26"/>
      <c r="CH41" s="26"/>
    </row>
    <row r="42" customFormat="false" ht="15" hidden="false" customHeight="true" outlineLevel="0" collapsed="false">
      <c r="A42" s="17" t="s">
        <v>166</v>
      </c>
      <c r="B42" s="18" t="n">
        <v>17.516569</v>
      </c>
      <c r="C42" s="18" t="n">
        <v>18.523162</v>
      </c>
      <c r="D42" s="18" t="n">
        <v>19.217765</v>
      </c>
      <c r="E42" s="18" t="n">
        <v>23.939185</v>
      </c>
      <c r="F42" s="18" t="n">
        <v>29.474551</v>
      </c>
      <c r="G42" s="18" t="n">
        <v>32.697175</v>
      </c>
      <c r="H42" s="18" t="n">
        <v>36.478364</v>
      </c>
      <c r="I42" s="18" t="n">
        <v>42.278878</v>
      </c>
      <c r="J42" s="18" t="n">
        <v>36.396861</v>
      </c>
      <c r="K42" s="18" t="n">
        <v>38.59461</v>
      </c>
      <c r="L42" s="18" t="n">
        <v>43.93758</v>
      </c>
      <c r="M42" s="18" t="n">
        <v>51.31934</v>
      </c>
      <c r="N42" s="18" t="n">
        <v>43.053044</v>
      </c>
      <c r="O42" s="18" t="n">
        <v>46.408974</v>
      </c>
      <c r="P42" s="18" t="n">
        <v>49.797292</v>
      </c>
      <c r="Q42" s="18" t="n">
        <v>54.929348</v>
      </c>
      <c r="R42" s="18" t="n">
        <v>66.020328</v>
      </c>
      <c r="S42" s="18" t="n">
        <v>70.716898</v>
      </c>
      <c r="T42" s="18" t="n">
        <v>78.509696</v>
      </c>
      <c r="U42" s="18" t="n">
        <v>78.873056</v>
      </c>
      <c r="V42" s="18" t="n">
        <v>106.836963</v>
      </c>
      <c r="W42" s="18" t="n">
        <v>92.21449</v>
      </c>
      <c r="X42" s="18" t="n">
        <v>120.543404</v>
      </c>
      <c r="Y42" s="18" t="n">
        <v>130.020194</v>
      </c>
      <c r="Z42" s="18" t="n">
        <v>148.876183</v>
      </c>
      <c r="AA42" s="18" t="n">
        <v>164.372413</v>
      </c>
      <c r="AB42" s="18" t="n">
        <v>171.558027</v>
      </c>
      <c r="AC42" s="18" t="n">
        <v>187.36745</v>
      </c>
      <c r="AD42" s="18" t="n">
        <v>195.812076</v>
      </c>
      <c r="AE42" s="18" t="n">
        <v>201.099011</v>
      </c>
      <c r="AF42" s="18" t="n">
        <v>215.279969</v>
      </c>
      <c r="AG42" s="18" t="n">
        <v>254.492003</v>
      </c>
      <c r="AH42" s="18" t="n">
        <v>263.143</v>
      </c>
      <c r="AI42" s="18" t="n">
        <v>299.753</v>
      </c>
      <c r="AJ42" s="18" t="n">
        <v>303.703</v>
      </c>
      <c r="AK42" s="18" t="n">
        <v>338.216</v>
      </c>
      <c r="AL42" s="18" t="n">
        <v>308.625</v>
      </c>
      <c r="AM42" s="18" t="n">
        <v>350.219</v>
      </c>
      <c r="AN42" s="18" t="n">
        <v>406.621</v>
      </c>
      <c r="AO42" s="18" t="n">
        <v>468.284</v>
      </c>
      <c r="AP42" s="18" t="n">
        <v>540.87</v>
      </c>
      <c r="AQ42" s="18" t="n">
        <v>590.834</v>
      </c>
      <c r="AR42" s="18" t="n">
        <v>646.723</v>
      </c>
      <c r="AS42" s="18" t="n">
        <v>784.269</v>
      </c>
      <c r="AT42" s="18" t="n">
        <v>894.257</v>
      </c>
      <c r="AU42" s="18" t="n">
        <v>938.51</v>
      </c>
      <c r="AV42" s="18" t="n">
        <v>793.89</v>
      </c>
      <c r="AW42" s="18" t="n">
        <v>836.849</v>
      </c>
      <c r="AX42" s="18" t="n">
        <v>991.28</v>
      </c>
      <c r="AY42" s="18" t="n">
        <v>1035.463</v>
      </c>
      <c r="AZ42" s="18" t="n">
        <v>1194.486</v>
      </c>
      <c r="BA42" s="18" t="n">
        <v>1170.994</v>
      </c>
      <c r="BB42" s="18" t="n">
        <v>1395.01</v>
      </c>
      <c r="BC42" s="18" t="n">
        <v>1130.178</v>
      </c>
      <c r="BD42" s="18" t="n">
        <v>1882.587</v>
      </c>
      <c r="BE42" s="18" t="n">
        <v>2117.247</v>
      </c>
      <c r="BF42" s="18" t="n">
        <v>2757.641</v>
      </c>
      <c r="BG42" s="18" t="n">
        <v>2354.038</v>
      </c>
      <c r="BH42" s="18" t="n">
        <v>2919.934</v>
      </c>
      <c r="BI42" s="18" t="n">
        <v>3193.656</v>
      </c>
      <c r="BJ42" s="18" t="n">
        <v>4083</v>
      </c>
      <c r="BK42" s="18" t="n">
        <v>4258</v>
      </c>
      <c r="BL42" s="18" t="n">
        <v>4373</v>
      </c>
      <c r="BM42" s="18" t="n">
        <v>4480</v>
      </c>
      <c r="BN42" s="18" t="n">
        <v>5736</v>
      </c>
      <c r="BO42" s="18" t="n">
        <v>5829</v>
      </c>
      <c r="BP42" s="18" t="n">
        <v>6600</v>
      </c>
      <c r="BQ42" s="18" t="n">
        <v>7202</v>
      </c>
      <c r="BR42" s="18" t="n">
        <v>8229</v>
      </c>
      <c r="BS42" s="18" t="n">
        <v>9145</v>
      </c>
      <c r="BT42" s="18" t="n">
        <v>9946</v>
      </c>
      <c r="BU42" s="18" t="n">
        <v>11175</v>
      </c>
      <c r="BV42" s="18" t="n">
        <v>12841</v>
      </c>
      <c r="BW42" s="18" t="n">
        <v>13553</v>
      </c>
      <c r="BX42" s="18" t="n">
        <v>16555</v>
      </c>
      <c r="BY42" s="18" t="n">
        <v>18519</v>
      </c>
      <c r="BZ42" s="18" t="n">
        <v>22218</v>
      </c>
      <c r="CA42" s="19" t="n">
        <v>24555</v>
      </c>
      <c r="CB42" s="20" t="n">
        <f aca="false">CB6*'Assumptions (Quarterly)'!F39</f>
        <v>25383.2348</v>
      </c>
      <c r="CC42" s="20" t="n">
        <f aca="false">CC6*'Assumptions (Quarterly)'!G39</f>
        <v>28307.495496</v>
      </c>
      <c r="CD42" s="20" t="n">
        <f aca="false">CD6*'Assumptions (Quarterly)'!H39</f>
        <v>32400.3857</v>
      </c>
      <c r="CE42" s="20" t="n">
        <f aca="false">CE6*'Assumptions (Quarterly)'!I39</f>
        <v>32201.792</v>
      </c>
      <c r="CF42" s="20" t="n">
        <f aca="false">CF6*'Assumptions (Quarterly)'!J39</f>
        <v>32693.757984</v>
      </c>
      <c r="CG42" s="20" t="n">
        <f aca="false">CG6*'Assumptions (Quarterly)'!K39</f>
        <v>35856.108767808</v>
      </c>
      <c r="CH42" s="20" t="n">
        <f aca="false">CH6*'Assumptions (Quarterly)'!L39</f>
        <v>40274.670387072</v>
      </c>
    </row>
    <row r="43" customFormat="false" ht="15" hidden="false" customHeight="true" outlineLevel="0" collapsed="false">
      <c r="A43" s="17" t="s">
        <v>167</v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18" t="n">
        <v>0</v>
      </c>
      <c r="K43" s="18" t="n">
        <v>0</v>
      </c>
      <c r="L43" s="18" t="n">
        <v>0</v>
      </c>
      <c r="M43" s="18" t="n">
        <v>0</v>
      </c>
      <c r="N43" s="18" t="n">
        <v>0</v>
      </c>
      <c r="O43" s="18" t="n">
        <v>0</v>
      </c>
      <c r="P43" s="18" t="n">
        <v>0</v>
      </c>
      <c r="Q43" s="18" t="n">
        <v>0</v>
      </c>
      <c r="R43" s="18" t="n">
        <v>0</v>
      </c>
      <c r="S43" s="18" t="n">
        <v>0</v>
      </c>
      <c r="T43" s="18" t="n">
        <v>0</v>
      </c>
      <c r="U43" s="18" t="n">
        <v>0</v>
      </c>
      <c r="V43" s="18" t="n">
        <v>0</v>
      </c>
      <c r="W43" s="18" t="n">
        <v>0</v>
      </c>
      <c r="X43" s="18" t="n">
        <v>0</v>
      </c>
      <c r="Y43" s="18" t="n">
        <v>0</v>
      </c>
      <c r="Z43" s="18" t="n">
        <v>0</v>
      </c>
      <c r="AA43" s="18" t="n">
        <v>0</v>
      </c>
      <c r="AB43" s="18" t="n">
        <v>0</v>
      </c>
      <c r="AC43" s="18" t="n">
        <v>0</v>
      </c>
      <c r="AD43" s="18" t="n">
        <v>0</v>
      </c>
      <c r="AE43" s="18" t="n">
        <v>0</v>
      </c>
      <c r="AF43" s="18" t="n">
        <v>0</v>
      </c>
      <c r="AG43" s="18" t="n">
        <v>0</v>
      </c>
      <c r="AH43" s="18" t="n">
        <v>0</v>
      </c>
      <c r="AI43" s="18" t="n">
        <v>0</v>
      </c>
      <c r="AJ43" s="18" t="n">
        <v>0</v>
      </c>
      <c r="AK43" s="18" t="n">
        <v>0</v>
      </c>
      <c r="AL43" s="18" t="n">
        <v>0</v>
      </c>
      <c r="AM43" s="18" t="n">
        <v>0</v>
      </c>
      <c r="AN43" s="18" t="n">
        <v>0</v>
      </c>
      <c r="AO43" s="18" t="n">
        <v>0</v>
      </c>
      <c r="AP43" s="18" t="n">
        <v>0</v>
      </c>
      <c r="AQ43" s="18" t="n">
        <v>0</v>
      </c>
      <c r="AR43" s="18" t="n">
        <v>0</v>
      </c>
      <c r="AS43" s="18" t="n">
        <v>0</v>
      </c>
      <c r="AT43" s="18" t="n">
        <v>0</v>
      </c>
      <c r="AU43" s="18" t="n">
        <v>0</v>
      </c>
      <c r="AV43" s="18" t="n">
        <v>0</v>
      </c>
      <c r="AW43" s="18" t="n">
        <v>0</v>
      </c>
      <c r="AX43" s="18" t="n">
        <v>0</v>
      </c>
      <c r="AY43" s="18" t="n">
        <v>0</v>
      </c>
      <c r="AZ43" s="18" t="n">
        <v>0</v>
      </c>
      <c r="BA43" s="18" t="n">
        <v>0</v>
      </c>
      <c r="BB43" s="18" t="n">
        <v>0</v>
      </c>
      <c r="BC43" s="18" t="n">
        <v>0</v>
      </c>
      <c r="BD43" s="18" t="n">
        <v>0</v>
      </c>
      <c r="BE43" s="18" t="n">
        <v>0</v>
      </c>
      <c r="BF43" s="18" t="n">
        <v>0</v>
      </c>
      <c r="BG43" s="18" t="n">
        <v>0</v>
      </c>
      <c r="BH43" s="18" t="n">
        <v>0</v>
      </c>
      <c r="BI43" s="18" t="n">
        <v>0</v>
      </c>
      <c r="BJ43" s="18" t="n">
        <v>0</v>
      </c>
      <c r="BK43" s="18" t="n">
        <v>0</v>
      </c>
      <c r="BL43" s="18" t="n">
        <v>0</v>
      </c>
      <c r="BM43" s="18" t="n">
        <v>0</v>
      </c>
      <c r="BN43" s="18" t="n">
        <v>0</v>
      </c>
      <c r="BO43" s="18" t="n">
        <v>0</v>
      </c>
      <c r="BP43" s="18" t="n">
        <v>0</v>
      </c>
      <c r="BQ43" s="18" t="n">
        <v>0</v>
      </c>
      <c r="BR43" s="18" t="n">
        <v>0</v>
      </c>
      <c r="BS43" s="18" t="n">
        <v>0</v>
      </c>
      <c r="BT43" s="18" t="n">
        <v>0</v>
      </c>
      <c r="BU43" s="18" t="n">
        <v>0</v>
      </c>
      <c r="BV43" s="18" t="n">
        <v>0</v>
      </c>
      <c r="BW43" s="18" t="n">
        <v>0</v>
      </c>
      <c r="BX43" s="18" t="n">
        <v>0</v>
      </c>
      <c r="BY43" s="18" t="n">
        <v>0</v>
      </c>
      <c r="BZ43" s="18" t="n">
        <v>0</v>
      </c>
      <c r="CA43" s="19" t="n">
        <v>0</v>
      </c>
      <c r="CB43" s="39" t="n">
        <v>0</v>
      </c>
      <c r="CC43" s="39" t="n">
        <v>0</v>
      </c>
      <c r="CD43" s="39" t="n">
        <v>0</v>
      </c>
      <c r="CE43" s="39" t="n">
        <v>0</v>
      </c>
      <c r="CF43" s="39" t="n">
        <v>0</v>
      </c>
      <c r="CG43" s="39" t="n">
        <v>0</v>
      </c>
      <c r="CH43" s="39" t="n">
        <v>0</v>
      </c>
    </row>
    <row r="44" customFormat="false" ht="15" hidden="false" customHeight="true" outlineLevel="0" collapsed="false">
      <c r="A44" s="17" t="s">
        <v>168</v>
      </c>
      <c r="B44" s="18" t="n">
        <v>0.097527</v>
      </c>
      <c r="C44" s="18" t="n">
        <v>0.256076</v>
      </c>
      <c r="D44" s="18" t="n">
        <v>0.415647</v>
      </c>
      <c r="E44" s="18" t="n">
        <v>3.05058</v>
      </c>
      <c r="F44" s="18" t="n">
        <v>9.713227</v>
      </c>
      <c r="G44" s="18" t="n">
        <v>3.619514</v>
      </c>
      <c r="H44" s="18" t="n">
        <v>2.667192</v>
      </c>
      <c r="I44" s="18" t="n">
        <v>18.497771</v>
      </c>
      <c r="J44" s="18" t="n">
        <v>14.963421</v>
      </c>
      <c r="K44" s="18" t="n">
        <v>18.4906</v>
      </c>
      <c r="L44" s="18" t="n">
        <v>15.465001</v>
      </c>
      <c r="M44" s="18" t="n">
        <v>6.343964</v>
      </c>
      <c r="N44" s="18" t="n">
        <v>3.213992</v>
      </c>
      <c r="O44" s="18" t="n">
        <v>0</v>
      </c>
      <c r="P44" s="18" t="n">
        <v>0.056121</v>
      </c>
      <c r="Q44" s="18" t="n">
        <v>0.030905</v>
      </c>
      <c r="R44" s="18" t="n">
        <v>0.100031</v>
      </c>
      <c r="S44" s="18" t="n">
        <v>0.092513</v>
      </c>
      <c r="T44" s="18" t="n">
        <v>0.105498</v>
      </c>
      <c r="U44" s="18" t="n">
        <v>0.140107</v>
      </c>
      <c r="V44" s="18" t="n">
        <v>0.146194</v>
      </c>
      <c r="W44" s="18" t="n">
        <v>0.142687</v>
      </c>
      <c r="X44" s="18" t="n">
        <v>0.146604</v>
      </c>
      <c r="Y44" s="18" t="n">
        <v>0.124753</v>
      </c>
      <c r="Z44" s="18" t="n">
        <v>0.08457</v>
      </c>
      <c r="AA44" s="18" t="n">
        <v>0.115017</v>
      </c>
      <c r="AB44" s="18" t="n">
        <v>11.870676</v>
      </c>
      <c r="AC44" s="18" t="n">
        <v>18.909134</v>
      </c>
      <c r="AD44" s="18" t="n">
        <v>13.370823</v>
      </c>
      <c r="AE44" s="18" t="n">
        <v>7.677659</v>
      </c>
      <c r="AF44" s="18" t="n">
        <v>2.258026</v>
      </c>
      <c r="AG44" s="18" t="n">
        <v>1.548537</v>
      </c>
      <c r="AH44" s="18" t="n">
        <v>1.642</v>
      </c>
      <c r="AI44" s="18" t="n">
        <v>1.565</v>
      </c>
      <c r="AJ44" s="18" t="n">
        <v>1.499</v>
      </c>
      <c r="AK44" s="18" t="n">
        <v>4.294</v>
      </c>
      <c r="AL44" s="18" t="n">
        <v>1.965</v>
      </c>
      <c r="AM44" s="18" t="n">
        <v>3.277</v>
      </c>
      <c r="AN44" s="18" t="n">
        <v>0.782</v>
      </c>
      <c r="AO44" s="18" t="n">
        <v>6.077</v>
      </c>
      <c r="AP44" s="18" t="n">
        <v>11.583</v>
      </c>
      <c r="AQ44" s="18" t="n">
        <v>16.43</v>
      </c>
      <c r="AR44" s="18" t="n">
        <v>18.24</v>
      </c>
      <c r="AS44" s="18" t="n">
        <v>24.701</v>
      </c>
      <c r="AT44" s="18" t="n">
        <v>56.325</v>
      </c>
      <c r="AU44" s="18" t="n">
        <v>134.466</v>
      </c>
      <c r="AV44" s="18" t="n">
        <v>146.655</v>
      </c>
      <c r="AW44" s="18" t="n">
        <v>141.502</v>
      </c>
      <c r="AX44" s="18" t="n">
        <v>132.949</v>
      </c>
      <c r="AY44" s="18" t="n">
        <v>153.747</v>
      </c>
      <c r="AZ44" s="18" t="n">
        <v>176.94</v>
      </c>
      <c r="BA44" s="18" t="n">
        <v>126.349</v>
      </c>
      <c r="BB44" s="18" t="n">
        <v>209.397</v>
      </c>
      <c r="BC44" s="18" t="n">
        <v>339.533</v>
      </c>
      <c r="BD44" s="18" t="n">
        <v>616.796</v>
      </c>
      <c r="BE44" s="18" t="n">
        <v>657.784</v>
      </c>
      <c r="BF44" s="18" t="n">
        <v>603.639</v>
      </c>
      <c r="BG44" s="18" t="n">
        <v>581.804</v>
      </c>
      <c r="BH44" s="18" t="n">
        <v>660.383</v>
      </c>
      <c r="BI44" s="18" t="n">
        <v>848.812</v>
      </c>
      <c r="BJ44" s="18" t="n">
        <v>1377</v>
      </c>
      <c r="BK44" s="18" t="n">
        <v>1568</v>
      </c>
      <c r="BL44" s="18" t="n">
        <v>2033</v>
      </c>
      <c r="BM44" s="18" t="n">
        <v>2067</v>
      </c>
      <c r="BN44" s="18" t="n">
        <v>2273</v>
      </c>
      <c r="BO44" s="18" t="n">
        <v>2491</v>
      </c>
      <c r="BP44" s="18" t="n">
        <v>2452</v>
      </c>
      <c r="BQ44" s="18" t="n">
        <v>2443</v>
      </c>
      <c r="BR44" s="18" t="n">
        <v>2458</v>
      </c>
      <c r="BS44" s="18" t="n">
        <v>2409</v>
      </c>
      <c r="BT44" s="18" t="n">
        <v>2341</v>
      </c>
      <c r="BU44" s="18" t="n">
        <v>2451</v>
      </c>
      <c r="BV44" s="18" t="n">
        <v>3069</v>
      </c>
      <c r="BW44" s="18" t="n">
        <v>3853</v>
      </c>
      <c r="BX44" s="18" t="n">
        <v>4162</v>
      </c>
      <c r="BY44" s="18" t="n">
        <v>4832</v>
      </c>
      <c r="BZ44" s="18" t="n">
        <v>5053</v>
      </c>
      <c r="CA44" s="19" t="n">
        <v>5788</v>
      </c>
      <c r="CB44" s="26" t="n">
        <f aca="false">CB95+CB93</f>
        <v>5971.45164</v>
      </c>
      <c r="CC44" s="26" t="n">
        <f aca="false">CC95+CC93</f>
        <v>6611.82216228</v>
      </c>
      <c r="CD44" s="26" t="n">
        <f aca="false">CD95+CD93</f>
        <v>7622.24901</v>
      </c>
      <c r="CE44" s="26" t="n">
        <f aca="false">CE95+CE93</f>
        <v>7521.41856</v>
      </c>
      <c r="CF44" s="26" t="n">
        <f aca="false">CF95+CF93</f>
        <v>7582.1694048</v>
      </c>
      <c r="CG44" s="26" t="n">
        <f aca="false">CG95+CG93</f>
        <v>8257.0053289248</v>
      </c>
      <c r="CH44" s="26" t="n">
        <f aca="false">CH95+CH93</f>
        <v>9340.2958982784</v>
      </c>
    </row>
    <row r="45" customFormat="false" ht="15" hidden="false" customHeight="true" outlineLevel="0" collapsed="false">
      <c r="A45" s="17" t="s">
        <v>169</v>
      </c>
      <c r="B45" s="18" t="n">
        <v>2.046823</v>
      </c>
      <c r="C45" s="18" t="n">
        <v>1.983115</v>
      </c>
      <c r="D45" s="18" t="n">
        <v>5.998696</v>
      </c>
      <c r="E45" s="18" t="n">
        <v>2.037854</v>
      </c>
      <c r="F45" s="18" t="n">
        <v>2.563728</v>
      </c>
      <c r="G45" s="18" t="n">
        <v>3.38286</v>
      </c>
      <c r="H45" s="18" t="n">
        <v>4.118796</v>
      </c>
      <c r="I45" s="18" t="n">
        <v>5.760862</v>
      </c>
      <c r="J45" s="18" t="n">
        <v>4.949603</v>
      </c>
      <c r="K45" s="18" t="n">
        <v>3.655538</v>
      </c>
      <c r="L45" s="18" t="n">
        <v>10.489046</v>
      </c>
      <c r="M45" s="18" t="n">
        <v>12.011736</v>
      </c>
      <c r="N45" s="18" t="n">
        <v>14.225856</v>
      </c>
      <c r="O45" s="18" t="n">
        <v>12.247271</v>
      </c>
      <c r="P45" s="18" t="n">
        <v>15.670723</v>
      </c>
      <c r="Q45" s="18" t="n">
        <v>18.935442</v>
      </c>
      <c r="R45" s="18" t="n">
        <v>22.274108</v>
      </c>
      <c r="S45" s="18" t="n">
        <v>23.083075</v>
      </c>
      <c r="T45" s="18" t="n">
        <v>22.138218</v>
      </c>
      <c r="U45" s="18" t="n">
        <v>25.251283</v>
      </c>
      <c r="V45" s="18" t="n">
        <v>11.320368</v>
      </c>
      <c r="W45" s="18" t="n">
        <v>27.845935</v>
      </c>
      <c r="X45" s="18" t="n">
        <v>11.340572</v>
      </c>
      <c r="Y45" s="18" t="n">
        <v>13.271075</v>
      </c>
      <c r="Z45" s="18" t="n">
        <v>20.570519</v>
      </c>
      <c r="AA45" s="18" t="n">
        <v>18.241547</v>
      </c>
      <c r="AB45" s="18" t="n">
        <v>15.360454</v>
      </c>
      <c r="AC45" s="18" t="n">
        <v>13.946211</v>
      </c>
      <c r="AD45" s="18" t="n">
        <v>14.98271</v>
      </c>
      <c r="AE45" s="18" t="n">
        <v>18.063286</v>
      </c>
      <c r="AF45" s="18" t="n">
        <v>22.911069</v>
      </c>
      <c r="AG45" s="18" t="n">
        <v>26.875266</v>
      </c>
      <c r="AH45" s="18" t="n">
        <v>27.838</v>
      </c>
      <c r="AI45" s="18" t="n">
        <v>21.842</v>
      </c>
      <c r="AJ45" s="18" t="n">
        <v>40.477</v>
      </c>
      <c r="AK45" s="18" t="n">
        <v>24.801</v>
      </c>
      <c r="AL45" s="18" t="n">
        <v>11.885</v>
      </c>
      <c r="AM45" s="18" t="n">
        <v>32.832</v>
      </c>
      <c r="AN45" s="18" t="n">
        <v>14.952</v>
      </c>
      <c r="AO45" s="18" t="n">
        <v>21.952</v>
      </c>
      <c r="AP45" s="18" t="n">
        <v>24.148</v>
      </c>
      <c r="AQ45" s="18" t="n">
        <v>30.4</v>
      </c>
      <c r="AR45" s="18" t="n">
        <v>11.074</v>
      </c>
      <c r="AS45" s="18" t="n">
        <v>13.823</v>
      </c>
      <c r="AT45" s="18" t="n">
        <v>17.45</v>
      </c>
      <c r="AU45" s="18" t="n">
        <v>12.875</v>
      </c>
      <c r="AV45" s="18" t="n">
        <v>34.519</v>
      </c>
      <c r="AW45" s="18" t="n">
        <v>11.181</v>
      </c>
      <c r="AX45" s="18" t="n">
        <v>41.995</v>
      </c>
      <c r="AY45" s="18" t="n">
        <v>59.005</v>
      </c>
      <c r="AZ45" s="18" t="n">
        <v>78.083</v>
      </c>
      <c r="BA45" s="18" t="n">
        <v>87.467</v>
      </c>
      <c r="BB45" s="18" t="n">
        <v>147.913</v>
      </c>
      <c r="BC45" s="18" t="n">
        <v>106.789</v>
      </c>
      <c r="BD45" s="18" t="n">
        <v>160.396</v>
      </c>
      <c r="BE45" s="18" t="n">
        <v>232.229</v>
      </c>
      <c r="BF45" s="18" t="n">
        <v>274.6</v>
      </c>
      <c r="BG45" s="18" t="n">
        <v>269.107</v>
      </c>
      <c r="BH45" s="18" t="n">
        <v>288.973</v>
      </c>
      <c r="BI45" s="18" t="n">
        <v>244.063</v>
      </c>
      <c r="BJ45" s="18" t="n">
        <v>377</v>
      </c>
      <c r="BK45" s="18" t="n">
        <v>402</v>
      </c>
      <c r="BL45" s="18" t="n">
        <v>417</v>
      </c>
      <c r="BM45" s="18" t="n">
        <v>455</v>
      </c>
      <c r="BN45" s="18" t="n">
        <v>553</v>
      </c>
      <c r="BO45" s="18" t="n">
        <v>507</v>
      </c>
      <c r="BP45" s="18" t="n">
        <v>564</v>
      </c>
      <c r="BQ45" s="18" t="n">
        <v>661</v>
      </c>
      <c r="BR45" s="18" t="n">
        <v>576</v>
      </c>
      <c r="BS45" s="18" t="n">
        <v>702</v>
      </c>
      <c r="BT45" s="18" t="n">
        <v>627</v>
      </c>
      <c r="BU45" s="18" t="n">
        <v>687</v>
      </c>
      <c r="BV45" s="18" t="n">
        <v>693</v>
      </c>
      <c r="BW45" s="18" t="n">
        <v>659</v>
      </c>
      <c r="BX45" s="18" t="n">
        <v>1033</v>
      </c>
      <c r="BY45" s="18" t="n">
        <v>1171</v>
      </c>
      <c r="BZ45" s="18" t="n">
        <v>1362</v>
      </c>
      <c r="CA45" s="19" t="n">
        <v>1626</v>
      </c>
      <c r="CB45" s="20" t="n">
        <f aca="false">CB6*'Assumptions (Quarterly)'!F40</f>
        <v>1680.04144</v>
      </c>
      <c r="CC45" s="20" t="n">
        <f aca="false">CC6*'Assumptions (Quarterly)'!G40</f>
        <v>1860.20684688</v>
      </c>
      <c r="CD45" s="20" t="n">
        <f aca="false">CD6*'Assumptions (Quarterly)'!H40</f>
        <v>2144.48596</v>
      </c>
      <c r="CE45" s="20" t="n">
        <f aca="false">CE6*'Assumptions (Quarterly)'!I40</f>
        <v>2116.11776</v>
      </c>
      <c r="CF45" s="20" t="n">
        <f aca="false">CF6*'Assumptions (Quarterly)'!J40</f>
        <v>2133.2097408</v>
      </c>
      <c r="CG45" s="20" t="n">
        <f aca="false">CG6*'Assumptions (Quarterly)'!K40</f>
        <v>2323.0718356608</v>
      </c>
      <c r="CH45" s="20" t="n">
        <f aca="false">CH6*'Assumptions (Quarterly)'!L40</f>
        <v>2627.8508337664</v>
      </c>
    </row>
    <row r="46" customFormat="false" ht="15" hidden="false" customHeight="true" outlineLevel="0" collapsed="false">
      <c r="A46" s="21" t="s">
        <v>170</v>
      </c>
      <c r="B46" s="22" t="n">
        <f aca="false">B42+B43+B44+B45</f>
        <v>19.660919</v>
      </c>
      <c r="C46" s="22" t="n">
        <f aca="false">C42+C43+C44+C45</f>
        <v>20.762353</v>
      </c>
      <c r="D46" s="22" t="n">
        <f aca="false">D42+D43+D44+D45</f>
        <v>25.632108</v>
      </c>
      <c r="E46" s="22" t="n">
        <f aca="false">E42+E43+E44+E45</f>
        <v>29.027619</v>
      </c>
      <c r="F46" s="22" t="n">
        <f aca="false">F42+F43+F44+F45</f>
        <v>41.751506</v>
      </c>
      <c r="G46" s="22" t="n">
        <f aca="false">G42+G43+G44+G45</f>
        <v>39.699549</v>
      </c>
      <c r="H46" s="22" t="n">
        <f aca="false">H42+H43+H44+H45</f>
        <v>43.264352</v>
      </c>
      <c r="I46" s="22" t="n">
        <f aca="false">I42+I43+I44+I45</f>
        <v>66.537511</v>
      </c>
      <c r="J46" s="22" t="n">
        <f aca="false">J42+J43+J44+J45</f>
        <v>56.309885</v>
      </c>
      <c r="K46" s="22" t="n">
        <f aca="false">K42+K43+K44+K45</f>
        <v>60.740748</v>
      </c>
      <c r="L46" s="22" t="n">
        <f aca="false">L42+L43+L44+L45</f>
        <v>69.891627</v>
      </c>
      <c r="M46" s="22" t="n">
        <f aca="false">M42+M43+M44+M45</f>
        <v>69.67504</v>
      </c>
      <c r="N46" s="22" t="n">
        <f aca="false">N42+N43+N44+N45</f>
        <v>60.492892</v>
      </c>
      <c r="O46" s="22" t="n">
        <f aca="false">O42+O43+O44+O45</f>
        <v>58.656245</v>
      </c>
      <c r="P46" s="22" t="n">
        <f aca="false">P42+P43+P44+P45</f>
        <v>65.524136</v>
      </c>
      <c r="Q46" s="22" t="n">
        <f aca="false">Q42+Q43+Q44+Q45</f>
        <v>73.895695</v>
      </c>
      <c r="R46" s="22" t="n">
        <f aca="false">R42+R43+R44+R45</f>
        <v>88.394467</v>
      </c>
      <c r="S46" s="22" t="n">
        <f aca="false">S42+S43+S44+S45</f>
        <v>93.892486</v>
      </c>
      <c r="T46" s="22" t="n">
        <f aca="false">T42+T43+T44+T45</f>
        <v>100.753412</v>
      </c>
      <c r="U46" s="22" t="n">
        <f aca="false">U42+U43+U44+U45</f>
        <v>104.264446</v>
      </c>
      <c r="V46" s="22" t="n">
        <f aca="false">V42+V43+V44+V45</f>
        <v>118.303525</v>
      </c>
      <c r="W46" s="22" t="n">
        <f aca="false">W42+W43+W44+W45</f>
        <v>120.203112</v>
      </c>
      <c r="X46" s="22" t="n">
        <f aca="false">X42+X43+X44+X45</f>
        <v>132.03058</v>
      </c>
      <c r="Y46" s="22" t="n">
        <f aca="false">Y42+Y43+Y44+Y45</f>
        <v>143.416022</v>
      </c>
      <c r="Z46" s="22" t="n">
        <f aca="false">Z42+Z43+Z44+Z45</f>
        <v>169.531272</v>
      </c>
      <c r="AA46" s="22" t="n">
        <f aca="false">AA42+AA43+AA44+AA45</f>
        <v>182.728977</v>
      </c>
      <c r="AB46" s="22" t="n">
        <f aca="false">AB42+AB43+AB44+AB45</f>
        <v>198.789157</v>
      </c>
      <c r="AC46" s="22" t="n">
        <f aca="false">AC42+AC43+AC44+AC45</f>
        <v>220.222795</v>
      </c>
      <c r="AD46" s="22" t="n">
        <f aca="false">AD42+AD43+AD44+AD45</f>
        <v>224.165609</v>
      </c>
      <c r="AE46" s="22" t="n">
        <f aca="false">AE42+AE43+AE44+AE45</f>
        <v>226.839956</v>
      </c>
      <c r="AF46" s="22" t="n">
        <f aca="false">AF42+AF43+AF44+AF45</f>
        <v>240.449064</v>
      </c>
      <c r="AG46" s="22" t="n">
        <f aca="false">AG42+AG43+AG44+AG45</f>
        <v>282.915806</v>
      </c>
      <c r="AH46" s="22" t="n">
        <f aca="false">AH42+AH43+AH44+AH45</f>
        <v>292.623</v>
      </c>
      <c r="AI46" s="22" t="n">
        <f aca="false">AI42+AI43+AI44+AI45</f>
        <v>323.16</v>
      </c>
      <c r="AJ46" s="22" t="n">
        <f aca="false">AJ42+AJ43+AJ44+AJ45</f>
        <v>345.679</v>
      </c>
      <c r="AK46" s="22" t="n">
        <f aca="false">AK42+AK43+AK44+AK45</f>
        <v>367.311</v>
      </c>
      <c r="AL46" s="22" t="n">
        <f aca="false">AL42+AL43+AL44+AL45</f>
        <v>322.475</v>
      </c>
      <c r="AM46" s="22" t="n">
        <f aca="false">AM42+AM43+AM44+AM45</f>
        <v>386.328</v>
      </c>
      <c r="AN46" s="22" t="n">
        <f aca="false">AN42+AN43+AN44+AN45</f>
        <v>422.355</v>
      </c>
      <c r="AO46" s="22" t="n">
        <f aca="false">AO42+AO43+AO44+AO45</f>
        <v>496.313</v>
      </c>
      <c r="AP46" s="22" t="n">
        <f aca="false">AP42+AP43+AP44+AP45</f>
        <v>576.601</v>
      </c>
      <c r="AQ46" s="22" t="n">
        <f aca="false">AQ42+AQ43+AQ44+AQ45</f>
        <v>637.664</v>
      </c>
      <c r="AR46" s="22" t="n">
        <f aca="false">AR42+AR43+AR44+AR45</f>
        <v>676.037</v>
      </c>
      <c r="AS46" s="22" t="n">
        <f aca="false">AS42+AS43+AS44+AS45</f>
        <v>822.793</v>
      </c>
      <c r="AT46" s="22" t="n">
        <f aca="false">AT42+AT43+AT44+AT45</f>
        <v>968.032</v>
      </c>
      <c r="AU46" s="22" t="n">
        <f aca="false">AU42+AU43+AU44+AU45</f>
        <v>1085.851</v>
      </c>
      <c r="AV46" s="22" t="n">
        <f aca="false">AV42+AV43+AV44+AV45</f>
        <v>975.064</v>
      </c>
      <c r="AW46" s="22" t="n">
        <f aca="false">AW42+AW43+AW44+AW45</f>
        <v>989.532</v>
      </c>
      <c r="AX46" s="22" t="n">
        <f aca="false">AX42+AX43+AX44+AX45</f>
        <v>1166.224</v>
      </c>
      <c r="AY46" s="22" t="n">
        <f aca="false">AY42+AY43+AY44+AY45</f>
        <v>1248.215</v>
      </c>
      <c r="AZ46" s="22" t="n">
        <f aca="false">AZ42+AZ43+AZ44+AZ45</f>
        <v>1449.509</v>
      </c>
      <c r="BA46" s="22" t="n">
        <f aca="false">BA42+BA43+BA44+BA45</f>
        <v>1384.81</v>
      </c>
      <c r="BB46" s="22" t="n">
        <f aca="false">BB42+BB43+BB44+BB45</f>
        <v>1752.32</v>
      </c>
      <c r="BC46" s="22" t="n">
        <f aca="false">BC42+BC43+BC44+BC45</f>
        <v>1576.5</v>
      </c>
      <c r="BD46" s="22" t="n">
        <f aca="false">BD42+BD43+BD44+BD45</f>
        <v>2659.779</v>
      </c>
      <c r="BE46" s="22" t="n">
        <f aca="false">BE42+BE43+BE44+BE45</f>
        <v>3007.26</v>
      </c>
      <c r="BF46" s="22" t="n">
        <f aca="false">BF42+BF43+BF44+BF45</f>
        <v>3635.88</v>
      </c>
      <c r="BG46" s="22" t="n">
        <f aca="false">BG42+BG43+BG44+BG45</f>
        <v>3204.949</v>
      </c>
      <c r="BH46" s="22" t="n">
        <f aca="false">BH42+BH43+BH44+BH45</f>
        <v>3869.29</v>
      </c>
      <c r="BI46" s="22" t="n">
        <f aca="false">BI42+BI43+BI44+BI45</f>
        <v>4286.531</v>
      </c>
      <c r="BJ46" s="22" t="n">
        <f aca="false">BJ42+BJ43+BJ44+BJ45</f>
        <v>5837</v>
      </c>
      <c r="BK46" s="22" t="n">
        <f aca="false">BK42+BK43+BK44+BK45</f>
        <v>6228</v>
      </c>
      <c r="BL46" s="22" t="n">
        <f aca="false">BL42+BL43+BL44+BL45</f>
        <v>6823</v>
      </c>
      <c r="BM46" s="22" t="n">
        <f aca="false">BM42+BM43+BM44+BM45</f>
        <v>7002</v>
      </c>
      <c r="BN46" s="22" t="n">
        <f aca="false">BN42+BN43+BN44+BN45</f>
        <v>8562</v>
      </c>
      <c r="BO46" s="22" t="n">
        <f aca="false">BO42+BO43+BO44+BO45</f>
        <v>8827</v>
      </c>
      <c r="BP46" s="22" t="n">
        <f aca="false">BP42+BP43+BP44+BP45</f>
        <v>9616</v>
      </c>
      <c r="BQ46" s="22" t="n">
        <f aca="false">BQ42+BQ43+BQ44+BQ45</f>
        <v>10306</v>
      </c>
      <c r="BR46" s="22" t="n">
        <f aca="false">BR42+BR43+BR44+BR45</f>
        <v>11263</v>
      </c>
      <c r="BS46" s="22" t="n">
        <f aca="false">BS42+BS43+BS44+BS45</f>
        <v>12256</v>
      </c>
      <c r="BT46" s="22" t="n">
        <f aca="false">BT42+BT43+BT44+BT45</f>
        <v>12914</v>
      </c>
      <c r="BU46" s="22" t="n">
        <f aca="false">BU42+BU43+BU44+BU45</f>
        <v>14313</v>
      </c>
      <c r="BV46" s="22" t="n">
        <f aca="false">BV42+BV43+BV44+BV45</f>
        <v>16603</v>
      </c>
      <c r="BW46" s="22" t="n">
        <f aca="false">BW42+BW43+BW44+BW45</f>
        <v>18065</v>
      </c>
      <c r="BX46" s="22" t="n">
        <f aca="false">BX42+BX43+BX44+BX45</f>
        <v>21750</v>
      </c>
      <c r="BY46" s="22" t="n">
        <f aca="false">BY42+BY43+BY44+BY45</f>
        <v>24522</v>
      </c>
      <c r="BZ46" s="22" t="n">
        <f aca="false">BZ42+BZ43+BZ44+BZ45</f>
        <v>28633</v>
      </c>
      <c r="CA46" s="22" t="n">
        <f aca="false">CA42+CA43+CA44+CA45</f>
        <v>31969</v>
      </c>
      <c r="CB46" s="22" t="n">
        <f aca="false">CB42+CB43+CB44+CB45</f>
        <v>33034.72788</v>
      </c>
      <c r="CC46" s="22" t="n">
        <f aca="false">CC42+CC43+CC44+CC45</f>
        <v>36779.52450516</v>
      </c>
      <c r="CD46" s="22" t="n">
        <f aca="false">CD42+CD43+CD44+CD45</f>
        <v>42167.12067</v>
      </c>
      <c r="CE46" s="22" t="n">
        <f aca="false">CE42+CE43+CE44+CE45</f>
        <v>41839.32832</v>
      </c>
      <c r="CF46" s="22" t="n">
        <f aca="false">CF42+CF43+CF44+CF45</f>
        <v>42409.1371296</v>
      </c>
      <c r="CG46" s="22" t="n">
        <f aca="false">CG42+CG43+CG44+CG45</f>
        <v>46436.1859323936</v>
      </c>
      <c r="CH46" s="22" t="n">
        <f aca="false">CH42+CH43+CH44+CH45</f>
        <v>52242.8171191168</v>
      </c>
    </row>
    <row r="47" customFormat="false" ht="15" hidden="false" customHeight="true" outlineLevel="0" collapsed="false">
      <c r="A47" s="17" t="s">
        <v>171</v>
      </c>
      <c r="B47" s="18" t="n">
        <v>9</v>
      </c>
      <c r="C47" s="18" t="n">
        <v>9</v>
      </c>
      <c r="D47" s="18" t="n">
        <v>9</v>
      </c>
      <c r="E47" s="18" t="n">
        <v>0</v>
      </c>
      <c r="F47" s="18" t="n">
        <v>0</v>
      </c>
      <c r="G47" s="18" t="n">
        <v>0.009018</v>
      </c>
      <c r="H47" s="18" t="n">
        <v>0.005959</v>
      </c>
      <c r="I47" s="18" t="n">
        <v>0</v>
      </c>
      <c r="J47" s="18" t="n">
        <v>3.050061</v>
      </c>
      <c r="K47" s="18" t="n">
        <v>0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0.161008</v>
      </c>
      <c r="Q47" s="18" t="n">
        <v>0.280228</v>
      </c>
      <c r="R47" s="18" t="n">
        <v>0.188846</v>
      </c>
      <c r="S47" s="18" t="n">
        <v>0.166592</v>
      </c>
      <c r="T47" s="18" t="n">
        <v>0.125721</v>
      </c>
      <c r="U47" s="18" t="n">
        <v>0.178543</v>
      </c>
      <c r="V47" s="18" t="n">
        <v>0.136227</v>
      </c>
      <c r="W47" s="18" t="n">
        <v>0.101249</v>
      </c>
      <c r="X47" s="18" t="n">
        <v>0.094093</v>
      </c>
      <c r="Y47" s="18" t="n">
        <v>0.074937</v>
      </c>
      <c r="Z47" s="18" t="n">
        <v>0.059493</v>
      </c>
      <c r="AA47" s="18" t="n">
        <v>0.046463</v>
      </c>
      <c r="AB47" s="18" t="n">
        <v>0.033977</v>
      </c>
      <c r="AC47" s="18" t="n">
        <v>0.023575</v>
      </c>
      <c r="AD47" s="18" t="n">
        <v>2.489819</v>
      </c>
      <c r="AE47" s="18" t="n">
        <v>1.812047</v>
      </c>
      <c r="AF47" s="18" t="n">
        <v>278.362784</v>
      </c>
      <c r="AG47" s="18" t="n">
        <v>282.945512</v>
      </c>
      <c r="AH47" s="18" t="n">
        <v>282.184</v>
      </c>
      <c r="AI47" s="18" t="n">
        <v>286.18</v>
      </c>
      <c r="AJ47" s="18" t="n">
        <v>286.525</v>
      </c>
      <c r="AK47" s="18" t="n">
        <v>292.726</v>
      </c>
      <c r="AL47" s="18" t="n">
        <v>294.342</v>
      </c>
      <c r="AM47" s="18" t="n">
        <v>295.683</v>
      </c>
      <c r="AN47" s="18" t="n">
        <v>296.691</v>
      </c>
      <c r="AO47" s="18" t="n">
        <v>299.472</v>
      </c>
      <c r="AP47" s="18" t="n">
        <v>301.94</v>
      </c>
      <c r="AQ47" s="18" t="n">
        <v>304.534</v>
      </c>
      <c r="AR47" s="18" t="n">
        <v>306.706</v>
      </c>
      <c r="AS47" s="18" t="n">
        <v>309.444</v>
      </c>
      <c r="AT47" s="18" t="n">
        <v>312.089</v>
      </c>
      <c r="AU47" s="18" t="n">
        <v>314.953</v>
      </c>
      <c r="AV47" s="18" t="n">
        <v>333.364</v>
      </c>
      <c r="AW47" s="18" t="n">
        <v>554.83</v>
      </c>
      <c r="AX47" s="18" t="n">
        <v>602.228</v>
      </c>
      <c r="AY47" s="18" t="n">
        <v>745.108</v>
      </c>
      <c r="AZ47" s="18" t="n">
        <v>767.225</v>
      </c>
      <c r="BA47" s="18" t="n">
        <v>782.115</v>
      </c>
      <c r="BB47" s="18" t="n">
        <v>808.026</v>
      </c>
      <c r="BC47" s="18" t="n">
        <v>785.442</v>
      </c>
      <c r="BD47" s="18" t="n">
        <v>779.488</v>
      </c>
      <c r="BE47" s="18" t="n">
        <v>807.435</v>
      </c>
      <c r="BF47" s="18" t="n">
        <v>1104.477</v>
      </c>
      <c r="BG47" s="18" t="n">
        <v>1937.162</v>
      </c>
      <c r="BH47" s="18" t="n">
        <v>2101.96</v>
      </c>
      <c r="BI47" s="18" t="n">
        <v>2277.726</v>
      </c>
      <c r="BJ47" s="18" t="n">
        <v>2605</v>
      </c>
      <c r="BK47" s="18" t="n">
        <v>3072</v>
      </c>
      <c r="BL47" s="18" t="n">
        <v>2935</v>
      </c>
      <c r="BM47" s="18" t="n">
        <v>3213</v>
      </c>
      <c r="BN47" s="18" t="n">
        <v>3141</v>
      </c>
      <c r="BO47" s="18" t="n">
        <v>3029</v>
      </c>
      <c r="BP47" s="18" t="n">
        <v>3076</v>
      </c>
      <c r="BQ47" s="18" t="n">
        <v>2797</v>
      </c>
      <c r="BR47" s="18" t="n">
        <v>2875</v>
      </c>
      <c r="BS47" s="18" t="n">
        <v>2877</v>
      </c>
      <c r="BT47" s="18" t="n">
        <v>3062</v>
      </c>
      <c r="BU47" s="18" t="n">
        <v>3873</v>
      </c>
      <c r="BV47" s="18" t="n">
        <v>3781</v>
      </c>
      <c r="BW47" s="18" t="n">
        <v>3873</v>
      </c>
      <c r="BX47" s="18" t="n">
        <v>4817</v>
      </c>
      <c r="BY47" s="18" t="n">
        <v>5045</v>
      </c>
      <c r="BZ47" s="18" t="n">
        <v>6339</v>
      </c>
      <c r="CA47" s="19" t="n">
        <v>6557</v>
      </c>
      <c r="CB47" s="20" t="n">
        <f aca="false">CA47*(1+'Assumptions (Quarterly)'!F45)</f>
        <v>6786.495</v>
      </c>
      <c r="CC47" s="20" t="n">
        <f aca="false">CB47*(1+'Assumptions (Quarterly)'!G45)</f>
        <v>7024.022325</v>
      </c>
      <c r="CD47" s="20" t="n">
        <f aca="false">CC47*(1+'Assumptions (Quarterly)'!H45)</f>
        <v>7269.863106375</v>
      </c>
      <c r="CE47" s="20" t="n">
        <f aca="false">CD47*(1+'Assumptions (Quarterly)'!I45)</f>
        <v>7487.95899956625</v>
      </c>
      <c r="CF47" s="20" t="n">
        <f aca="false">CE47*(1+'Assumptions (Quarterly)'!J45)</f>
        <v>7712.59776955324</v>
      </c>
      <c r="CG47" s="20" t="n">
        <f aca="false">CF47*(1+'Assumptions (Quarterly)'!K45)</f>
        <v>7943.97570263983</v>
      </c>
      <c r="CH47" s="20" t="n">
        <f aca="false">CG47*(1+'Assumptions (Quarterly)'!L45)</f>
        <v>8142.57509520583</v>
      </c>
    </row>
    <row r="48" customFormat="false" ht="15" hidden="false" customHeight="true" outlineLevel="0" collapsed="false">
      <c r="A48" s="17" t="s">
        <v>172</v>
      </c>
      <c r="B48" s="18" t="n">
        <v>1.803315</v>
      </c>
      <c r="C48" s="18" t="n">
        <v>2.417652</v>
      </c>
      <c r="D48" s="18" t="n">
        <v>0.723764</v>
      </c>
      <c r="E48" s="18" t="n">
        <v>0.948406</v>
      </c>
      <c r="F48" s="18" t="n">
        <v>1.068155</v>
      </c>
      <c r="G48" s="18" t="n">
        <v>2.733187</v>
      </c>
      <c r="H48" s="18" t="n">
        <v>3.172724</v>
      </c>
      <c r="I48" s="18" t="n">
        <v>3.717399</v>
      </c>
      <c r="J48" s="18" t="n">
        <v>3.954822</v>
      </c>
      <c r="K48" s="18" t="n">
        <v>4.631162</v>
      </c>
      <c r="L48" s="18" t="n">
        <v>6.900108</v>
      </c>
      <c r="M48" s="18" t="n">
        <v>7.39903</v>
      </c>
      <c r="N48" s="18" t="n">
        <v>7.92852</v>
      </c>
      <c r="O48" s="18" t="n">
        <v>10.434277</v>
      </c>
      <c r="P48" s="18" t="n">
        <v>9.235074</v>
      </c>
      <c r="Q48" s="18" t="n">
        <v>10.397032</v>
      </c>
      <c r="R48" s="18" t="n">
        <v>9.38144</v>
      </c>
      <c r="S48" s="18" t="n">
        <v>9.56896</v>
      </c>
      <c r="T48" s="18" t="n">
        <v>10.017673</v>
      </c>
      <c r="U48" s="18" t="n">
        <v>13.046558</v>
      </c>
      <c r="V48" s="18" t="n">
        <v>14.312668</v>
      </c>
      <c r="W48" s="18" t="n">
        <v>14.585279</v>
      </c>
      <c r="X48" s="18" t="n">
        <v>14.586006</v>
      </c>
      <c r="Y48" s="18" t="n">
        <v>15.027837</v>
      </c>
      <c r="Z48" s="18" t="n">
        <v>15.264885</v>
      </c>
      <c r="AA48" s="18" t="n">
        <v>16.436933</v>
      </c>
      <c r="AB48" s="18" t="n">
        <v>17.855036</v>
      </c>
      <c r="AC48" s="18" t="n">
        <v>20.874334</v>
      </c>
      <c r="AD48" s="18" t="n">
        <v>18.223737</v>
      </c>
      <c r="AE48" s="18" t="n">
        <v>15.341309</v>
      </c>
      <c r="AF48" s="18" t="n">
        <v>30.637945</v>
      </c>
      <c r="AG48" s="18" t="n">
        <v>28.488017</v>
      </c>
      <c r="AH48" s="18" t="n">
        <v>36.253</v>
      </c>
      <c r="AI48" s="18" t="n">
        <v>36.325</v>
      </c>
      <c r="AJ48" s="18" t="n">
        <v>43.988</v>
      </c>
      <c r="AK48" s="18" t="n">
        <v>45.339</v>
      </c>
      <c r="AL48" s="18" t="n">
        <v>47.331</v>
      </c>
      <c r="AM48" s="18" t="n">
        <v>48.392</v>
      </c>
      <c r="AN48" s="18" t="n">
        <v>56.536</v>
      </c>
      <c r="AO48" s="18" t="n">
        <v>65.285</v>
      </c>
      <c r="AP48" s="18" t="n">
        <v>60.04</v>
      </c>
      <c r="AQ48" s="18" t="n">
        <v>59.204</v>
      </c>
      <c r="AR48" s="18" t="n">
        <v>69.68</v>
      </c>
      <c r="AS48" s="18" t="n">
        <v>79.899</v>
      </c>
      <c r="AT48" s="18" t="n">
        <v>67.287</v>
      </c>
      <c r="AU48" s="18" t="n">
        <v>66.016</v>
      </c>
      <c r="AV48" s="18" t="n">
        <v>56.276</v>
      </c>
      <c r="AW48" s="18" t="n">
        <v>132.237</v>
      </c>
      <c r="AX48" s="18" t="n">
        <v>134.367</v>
      </c>
      <c r="AY48" s="18" t="n">
        <v>142.091</v>
      </c>
      <c r="AZ48" s="18" t="n">
        <v>134.146</v>
      </c>
      <c r="BA48" s="18" t="n">
        <v>135.399</v>
      </c>
      <c r="BB48" s="18" t="n">
        <v>139.382</v>
      </c>
      <c r="BC48" s="18" t="n">
        <v>130.728</v>
      </c>
      <c r="BD48" s="18" t="n">
        <v>106.377</v>
      </c>
      <c r="BE48" s="18" t="n">
        <v>127.498</v>
      </c>
      <c r="BF48" s="18" t="n">
        <v>134.397</v>
      </c>
      <c r="BG48" s="18" t="n">
        <v>86.148</v>
      </c>
      <c r="BH48" s="18" t="n">
        <v>90.414</v>
      </c>
      <c r="BI48" s="18" t="n">
        <v>112.784</v>
      </c>
      <c r="BJ48" s="18" t="n">
        <v>128</v>
      </c>
      <c r="BK48" s="18" t="n">
        <v>134</v>
      </c>
      <c r="BL48" s="18" t="n">
        <v>109</v>
      </c>
      <c r="BM48" s="18" t="n">
        <v>116</v>
      </c>
      <c r="BN48" s="18" t="n">
        <v>206</v>
      </c>
      <c r="BO48" s="18" t="n">
        <v>305</v>
      </c>
      <c r="BP48" s="18" t="n">
        <v>299</v>
      </c>
      <c r="BQ48" s="18" t="n">
        <v>280</v>
      </c>
      <c r="BR48" s="18" t="n">
        <v>403</v>
      </c>
      <c r="BS48" s="18" t="n">
        <v>539</v>
      </c>
      <c r="BT48" s="18" t="n">
        <v>398</v>
      </c>
      <c r="BU48" s="18" t="n">
        <v>435</v>
      </c>
      <c r="BV48" s="18" t="n">
        <v>461</v>
      </c>
      <c r="BW48" s="18" t="n">
        <v>740</v>
      </c>
      <c r="BX48" s="18" t="n">
        <v>668</v>
      </c>
      <c r="BY48" s="18" t="n">
        <v>906</v>
      </c>
      <c r="BZ48" s="18" t="n">
        <v>947</v>
      </c>
      <c r="CA48" s="19" t="n">
        <v>1127</v>
      </c>
      <c r="CB48" s="20" t="n">
        <f aca="false">CB6*'Assumptions (Quarterly)'!F43</f>
        <v>1159.59382</v>
      </c>
      <c r="CC48" s="20" t="n">
        <f aca="false">CC6*'Assumptions (Quarterly)'!G43</f>
        <v>1283.94711714</v>
      </c>
      <c r="CD48" s="20" t="n">
        <f aca="false">CD6*'Assumptions (Quarterly)'!H43</f>
        <v>1480.161505</v>
      </c>
      <c r="CE48" s="20" t="n">
        <f aca="false">CE6*'Assumptions (Quarterly)'!I43</f>
        <v>1460.58128</v>
      </c>
      <c r="CF48" s="20" t="n">
        <f aca="false">CF6*'Assumptions (Quarterly)'!J43</f>
        <v>1472.3784624</v>
      </c>
      <c r="CG48" s="20" t="n">
        <f aca="false">CG6*'Assumptions (Quarterly)'!K43</f>
        <v>1603.4245822224</v>
      </c>
      <c r="CH48" s="20" t="n">
        <f aca="false">CH6*'Assumptions (Quarterly)'!L43</f>
        <v>1813.7883472192</v>
      </c>
    </row>
    <row r="49" customFormat="false" ht="15" hidden="false" customHeight="true" outlineLevel="0" collapsed="false">
      <c r="A49" s="21" t="s">
        <v>173</v>
      </c>
      <c r="B49" s="22" t="n">
        <f aca="false">B47+B48</f>
        <v>10.803315</v>
      </c>
      <c r="C49" s="22" t="n">
        <f aca="false">C47+C48</f>
        <v>11.417652</v>
      </c>
      <c r="D49" s="22" t="n">
        <f aca="false">D47+D48</f>
        <v>9.723764</v>
      </c>
      <c r="E49" s="22" t="n">
        <f aca="false">E47+E48</f>
        <v>0.948406</v>
      </c>
      <c r="F49" s="22" t="n">
        <f aca="false">F47+F48</f>
        <v>1.068155</v>
      </c>
      <c r="G49" s="22" t="n">
        <f aca="false">G47+G48</f>
        <v>2.742205</v>
      </c>
      <c r="H49" s="22" t="n">
        <f aca="false">H47+H48</f>
        <v>3.178683</v>
      </c>
      <c r="I49" s="22" t="n">
        <f aca="false">I47+I48</f>
        <v>3.717399</v>
      </c>
      <c r="J49" s="22" t="n">
        <f aca="false">J47+J48</f>
        <v>7.004883</v>
      </c>
      <c r="K49" s="22" t="n">
        <f aca="false">K47+K48</f>
        <v>4.631162</v>
      </c>
      <c r="L49" s="22" t="n">
        <f aca="false">L47+L48</f>
        <v>6.900108</v>
      </c>
      <c r="M49" s="22" t="n">
        <f aca="false">M47+M48</f>
        <v>7.39903</v>
      </c>
      <c r="N49" s="22" t="n">
        <f aca="false">N47+N48</f>
        <v>7.92852</v>
      </c>
      <c r="O49" s="22" t="n">
        <f aca="false">O47+O48</f>
        <v>10.434277</v>
      </c>
      <c r="P49" s="22" t="n">
        <f aca="false">P47+P48</f>
        <v>9.396082</v>
      </c>
      <c r="Q49" s="22" t="n">
        <f aca="false">Q47+Q48</f>
        <v>10.67726</v>
      </c>
      <c r="R49" s="22" t="n">
        <f aca="false">R47+R48</f>
        <v>9.570286</v>
      </c>
      <c r="S49" s="22" t="n">
        <f aca="false">S47+S48</f>
        <v>9.735552</v>
      </c>
      <c r="T49" s="22" t="n">
        <f aca="false">T47+T48</f>
        <v>10.143394</v>
      </c>
      <c r="U49" s="22" t="n">
        <f aca="false">U47+U48</f>
        <v>13.225101</v>
      </c>
      <c r="V49" s="22" t="n">
        <f aca="false">V47+V48</f>
        <v>14.448895</v>
      </c>
      <c r="W49" s="22" t="n">
        <f aca="false">W47+W48</f>
        <v>14.686528</v>
      </c>
      <c r="X49" s="22" t="n">
        <f aca="false">X47+X48</f>
        <v>14.680099</v>
      </c>
      <c r="Y49" s="22" t="n">
        <f aca="false">Y47+Y48</f>
        <v>15.102774</v>
      </c>
      <c r="Z49" s="22" t="n">
        <f aca="false">Z47+Z48</f>
        <v>15.324378</v>
      </c>
      <c r="AA49" s="22" t="n">
        <f aca="false">AA47+AA48</f>
        <v>16.483396</v>
      </c>
      <c r="AB49" s="22" t="n">
        <f aca="false">AB47+AB48</f>
        <v>17.889013</v>
      </c>
      <c r="AC49" s="22" t="n">
        <f aca="false">AC47+AC48</f>
        <v>20.897909</v>
      </c>
      <c r="AD49" s="22" t="n">
        <f aca="false">AD47+AD48</f>
        <v>20.713556</v>
      </c>
      <c r="AE49" s="22" t="n">
        <f aca="false">AE47+AE48</f>
        <v>17.153356</v>
      </c>
      <c r="AF49" s="22" t="n">
        <f aca="false">AF47+AF48</f>
        <v>309.000729</v>
      </c>
      <c r="AG49" s="22" t="n">
        <f aca="false">AG47+AG48</f>
        <v>311.433529</v>
      </c>
      <c r="AH49" s="22" t="n">
        <f aca="false">AH47+AH48</f>
        <v>318.437</v>
      </c>
      <c r="AI49" s="22" t="n">
        <f aca="false">AI47+AI48</f>
        <v>322.505</v>
      </c>
      <c r="AJ49" s="22" t="n">
        <f aca="false">AJ47+AJ48</f>
        <v>330.513</v>
      </c>
      <c r="AK49" s="22" t="n">
        <f aca="false">AK47+AK48</f>
        <v>338.065</v>
      </c>
      <c r="AL49" s="22" t="n">
        <f aca="false">AL47+AL48</f>
        <v>341.673</v>
      </c>
      <c r="AM49" s="22" t="n">
        <f aca="false">AM47+AM48</f>
        <v>344.075</v>
      </c>
      <c r="AN49" s="22" t="n">
        <f aca="false">AN47+AN48</f>
        <v>353.227</v>
      </c>
      <c r="AO49" s="22" t="n">
        <f aca="false">AO47+AO48</f>
        <v>364.757</v>
      </c>
      <c r="AP49" s="22" t="n">
        <f aca="false">AP47+AP48</f>
        <v>361.98</v>
      </c>
      <c r="AQ49" s="22" t="n">
        <f aca="false">AQ47+AQ48</f>
        <v>363.738</v>
      </c>
      <c r="AR49" s="22" t="n">
        <f aca="false">AR47+AR48</f>
        <v>376.386</v>
      </c>
      <c r="AS49" s="22" t="n">
        <f aca="false">AS47+AS48</f>
        <v>389.343</v>
      </c>
      <c r="AT49" s="22" t="n">
        <f aca="false">AT47+AT48</f>
        <v>379.376</v>
      </c>
      <c r="AU49" s="22" t="n">
        <f aca="false">AU47+AU48</f>
        <v>380.969</v>
      </c>
      <c r="AV49" s="22" t="n">
        <f aca="false">AV47+AV48</f>
        <v>389.64</v>
      </c>
      <c r="AW49" s="22" t="n">
        <f aca="false">AW47+AW48</f>
        <v>687.067</v>
      </c>
      <c r="AX49" s="22" t="n">
        <f aca="false">AX47+AX48</f>
        <v>736.595</v>
      </c>
      <c r="AY49" s="22" t="n">
        <f aca="false">AY47+AY48</f>
        <v>887.199</v>
      </c>
      <c r="AZ49" s="22" t="n">
        <f aca="false">AZ47+AZ48</f>
        <v>901.371</v>
      </c>
      <c r="BA49" s="22" t="n">
        <f aca="false">BA47+BA48</f>
        <v>917.514</v>
      </c>
      <c r="BB49" s="22" t="n">
        <f aca="false">BB47+BB48</f>
        <v>947.408</v>
      </c>
      <c r="BC49" s="22" t="n">
        <f aca="false">BC47+BC48</f>
        <v>916.17</v>
      </c>
      <c r="BD49" s="22" t="n">
        <f aca="false">BD47+BD48</f>
        <v>885.865</v>
      </c>
      <c r="BE49" s="22" t="n">
        <f aca="false">BE47+BE48</f>
        <v>934.933</v>
      </c>
      <c r="BF49" s="22" t="n">
        <f aca="false">BF47+BF48</f>
        <v>1238.874</v>
      </c>
      <c r="BG49" s="22" t="n">
        <f aca="false">BG47+BG48</f>
        <v>2023.31</v>
      </c>
      <c r="BH49" s="22" t="n">
        <f aca="false">BH47+BH48</f>
        <v>2192.374</v>
      </c>
      <c r="BI49" s="22" t="n">
        <f aca="false">BI47+BI48</f>
        <v>2390.51</v>
      </c>
      <c r="BJ49" s="22" t="n">
        <f aca="false">BJ47+BJ48</f>
        <v>2733</v>
      </c>
      <c r="BK49" s="22" t="n">
        <f aca="false">BK47+BK48</f>
        <v>3206</v>
      </c>
      <c r="BL49" s="22" t="n">
        <f aca="false">BL47+BL48</f>
        <v>3044</v>
      </c>
      <c r="BM49" s="22" t="n">
        <f aca="false">BM47+BM48</f>
        <v>3329</v>
      </c>
      <c r="BN49" s="22" t="n">
        <f aca="false">BN47+BN48</f>
        <v>3347</v>
      </c>
      <c r="BO49" s="22" t="n">
        <f aca="false">BO47+BO48</f>
        <v>3334</v>
      </c>
      <c r="BP49" s="22" t="n">
        <f aca="false">BP47+BP48</f>
        <v>3375</v>
      </c>
      <c r="BQ49" s="22" t="n">
        <f aca="false">BQ47+BQ48</f>
        <v>3077</v>
      </c>
      <c r="BR49" s="22" t="n">
        <f aca="false">BR47+BR48</f>
        <v>3278</v>
      </c>
      <c r="BS49" s="22" t="n">
        <f aca="false">BS47+BS48</f>
        <v>3416</v>
      </c>
      <c r="BT49" s="22" t="n">
        <f aca="false">BT47+BT48</f>
        <v>3460</v>
      </c>
      <c r="BU49" s="22" t="n">
        <f aca="false">BU47+BU48</f>
        <v>4308</v>
      </c>
      <c r="BV49" s="22" t="n">
        <f aca="false">BV47+BV48</f>
        <v>4242</v>
      </c>
      <c r="BW49" s="22" t="n">
        <f aca="false">BW47+BW48</f>
        <v>4613</v>
      </c>
      <c r="BX49" s="22" t="n">
        <f aca="false">BX47+BX48</f>
        <v>5485</v>
      </c>
      <c r="BY49" s="22" t="n">
        <f aca="false">BY47+BY48</f>
        <v>5951</v>
      </c>
      <c r="BZ49" s="22" t="n">
        <f aca="false">BZ47+BZ48</f>
        <v>7286</v>
      </c>
      <c r="CA49" s="22" t="n">
        <f aca="false">CA47+CA48</f>
        <v>7684</v>
      </c>
      <c r="CB49" s="22" t="n">
        <f aca="false">CB47+CB48</f>
        <v>7946.08882</v>
      </c>
      <c r="CC49" s="22" t="n">
        <f aca="false">CC47+CC48</f>
        <v>8307.96944214</v>
      </c>
      <c r="CD49" s="22" t="n">
        <f aca="false">CD47+CD48</f>
        <v>8750.024611375</v>
      </c>
      <c r="CE49" s="22" t="n">
        <f aca="false">CE47+CE48</f>
        <v>8948.54027956625</v>
      </c>
      <c r="CF49" s="22" t="n">
        <f aca="false">CF47+CF48</f>
        <v>9184.97623195324</v>
      </c>
      <c r="CG49" s="22" t="n">
        <f aca="false">CG47+CG48</f>
        <v>9547.40028486223</v>
      </c>
      <c r="CH49" s="22" t="n">
        <f aca="false">CH47+CH48</f>
        <v>9956.36344242503</v>
      </c>
    </row>
    <row r="50" customFormat="false" ht="15" hidden="false" customHeight="true" outlineLevel="0" collapsed="false">
      <c r="A50" s="21" t="s">
        <v>174</v>
      </c>
      <c r="B50" s="22" t="n">
        <f aca="false">B46+B49</f>
        <v>30.464234</v>
      </c>
      <c r="C50" s="22" t="n">
        <f aca="false">C46+C49</f>
        <v>32.180005</v>
      </c>
      <c r="D50" s="22" t="n">
        <f aca="false">D46+D49</f>
        <v>35.355872</v>
      </c>
      <c r="E50" s="22" t="n">
        <f aca="false">E46+E49</f>
        <v>29.976025</v>
      </c>
      <c r="F50" s="22" t="n">
        <f aca="false">F46+F49</f>
        <v>42.819661</v>
      </c>
      <c r="G50" s="22" t="n">
        <f aca="false">G46+G49</f>
        <v>42.441754</v>
      </c>
      <c r="H50" s="22" t="n">
        <f aca="false">H46+H49</f>
        <v>46.443035</v>
      </c>
      <c r="I50" s="22" t="n">
        <f aca="false">I46+I49</f>
        <v>70.25491</v>
      </c>
      <c r="J50" s="22" t="n">
        <f aca="false">J46+J49</f>
        <v>63.314768</v>
      </c>
      <c r="K50" s="22" t="n">
        <f aca="false">K46+K49</f>
        <v>65.37191</v>
      </c>
      <c r="L50" s="22" t="n">
        <f aca="false">L46+L49</f>
        <v>76.791735</v>
      </c>
      <c r="M50" s="22" t="n">
        <f aca="false">M46+M49</f>
        <v>77.07407</v>
      </c>
      <c r="N50" s="22" t="n">
        <f aca="false">N46+N49</f>
        <v>68.421412</v>
      </c>
      <c r="O50" s="22" t="n">
        <f aca="false">O46+O49</f>
        <v>69.090522</v>
      </c>
      <c r="P50" s="22" t="n">
        <f aca="false">P46+P49</f>
        <v>74.920218</v>
      </c>
      <c r="Q50" s="22" t="n">
        <f aca="false">Q46+Q49</f>
        <v>84.572955</v>
      </c>
      <c r="R50" s="22" t="n">
        <f aca="false">R46+R49</f>
        <v>97.964753</v>
      </c>
      <c r="S50" s="22" t="n">
        <f aca="false">S46+S49</f>
        <v>103.628038</v>
      </c>
      <c r="T50" s="22" t="n">
        <f aca="false">T46+T49</f>
        <v>110.896806</v>
      </c>
      <c r="U50" s="22" t="n">
        <f aca="false">U46+U49</f>
        <v>117.489547</v>
      </c>
      <c r="V50" s="22" t="n">
        <f aca="false">V46+V49</f>
        <v>132.75242</v>
      </c>
      <c r="W50" s="22" t="n">
        <f aca="false">W46+W49</f>
        <v>134.88964</v>
      </c>
      <c r="X50" s="22" t="n">
        <f aca="false">X46+X49</f>
        <v>146.710679</v>
      </c>
      <c r="Y50" s="22" t="n">
        <f aca="false">Y46+Y49</f>
        <v>158.518796</v>
      </c>
      <c r="Z50" s="22" t="n">
        <f aca="false">Z46+Z49</f>
        <v>184.85565</v>
      </c>
      <c r="AA50" s="22" t="n">
        <f aca="false">AA46+AA49</f>
        <v>199.212373</v>
      </c>
      <c r="AB50" s="22" t="n">
        <f aca="false">AB46+AB49</f>
        <v>216.67817</v>
      </c>
      <c r="AC50" s="22" t="n">
        <f aca="false">AC46+AC49</f>
        <v>241.120704</v>
      </c>
      <c r="AD50" s="22" t="n">
        <f aca="false">AD46+AD49</f>
        <v>244.879165</v>
      </c>
      <c r="AE50" s="22" t="n">
        <f aca="false">AE46+AE49</f>
        <v>243.993312</v>
      </c>
      <c r="AF50" s="22" t="n">
        <f aca="false">AF46+AF49</f>
        <v>549.449793</v>
      </c>
      <c r="AG50" s="22" t="n">
        <f aca="false">AG46+AG49</f>
        <v>594.349335</v>
      </c>
      <c r="AH50" s="22" t="n">
        <f aca="false">AH46+AH49</f>
        <v>611.06</v>
      </c>
      <c r="AI50" s="22" t="n">
        <f aca="false">AI46+AI49</f>
        <v>645.665</v>
      </c>
      <c r="AJ50" s="22" t="n">
        <f aca="false">AJ46+AJ49</f>
        <v>676.192</v>
      </c>
      <c r="AK50" s="22" t="n">
        <f aca="false">AK46+AK49</f>
        <v>705.376</v>
      </c>
      <c r="AL50" s="22" t="n">
        <f aca="false">AL46+AL49</f>
        <v>664.148</v>
      </c>
      <c r="AM50" s="22" t="n">
        <f aca="false">AM46+AM49</f>
        <v>730.403</v>
      </c>
      <c r="AN50" s="22" t="n">
        <f aca="false">AN46+AN49</f>
        <v>775.582</v>
      </c>
      <c r="AO50" s="22" t="n">
        <f aca="false">AO46+AO49</f>
        <v>861.07</v>
      </c>
      <c r="AP50" s="22" t="n">
        <f aca="false">AP46+AP49</f>
        <v>938.581</v>
      </c>
      <c r="AQ50" s="22" t="n">
        <f aca="false">AQ46+AQ49</f>
        <v>1001.402</v>
      </c>
      <c r="AR50" s="22" t="n">
        <f aca="false">AR46+AR49</f>
        <v>1052.423</v>
      </c>
      <c r="AS50" s="22" t="n">
        <f aca="false">AS46+AS49</f>
        <v>1212.136</v>
      </c>
      <c r="AT50" s="22" t="n">
        <f aca="false">AT46+AT49</f>
        <v>1347.408</v>
      </c>
      <c r="AU50" s="22" t="n">
        <f aca="false">AU46+AU49</f>
        <v>1466.82</v>
      </c>
      <c r="AV50" s="22" t="n">
        <f aca="false">AV46+AV49</f>
        <v>1364.704</v>
      </c>
      <c r="AW50" s="22" t="n">
        <f aca="false">AW46+AW49</f>
        <v>1676.599</v>
      </c>
      <c r="AX50" s="22" t="n">
        <f aca="false">AX46+AX49</f>
        <v>1902.819</v>
      </c>
      <c r="AY50" s="22" t="n">
        <f aca="false">AY46+AY49</f>
        <v>2135.414</v>
      </c>
      <c r="AZ50" s="22" t="n">
        <f aca="false">AZ46+AZ49</f>
        <v>2350.88</v>
      </c>
      <c r="BA50" s="22" t="n">
        <f aca="false">BA46+BA49</f>
        <v>2302.324</v>
      </c>
      <c r="BB50" s="22" t="n">
        <f aca="false">BB46+BB49</f>
        <v>2699.728</v>
      </c>
      <c r="BC50" s="22" t="n">
        <f aca="false">BC46+BC49</f>
        <v>2492.67</v>
      </c>
      <c r="BD50" s="22" t="n">
        <f aca="false">BD46+BD49</f>
        <v>3545.644</v>
      </c>
      <c r="BE50" s="22" t="n">
        <f aca="false">BE46+BE49</f>
        <v>3942.193</v>
      </c>
      <c r="BF50" s="22" t="n">
        <f aca="false">BF46+BF49</f>
        <v>4874.754</v>
      </c>
      <c r="BG50" s="22" t="n">
        <f aca="false">BG46+BG49</f>
        <v>5228.259</v>
      </c>
      <c r="BH50" s="22" t="n">
        <f aca="false">BH46+BH49</f>
        <v>6061.664</v>
      </c>
      <c r="BI50" s="22" t="n">
        <f aca="false">BI46+BI49</f>
        <v>6677.041</v>
      </c>
      <c r="BJ50" s="22" t="n">
        <f aca="false">BJ46+BJ49</f>
        <v>8570</v>
      </c>
      <c r="BK50" s="22" t="n">
        <f aca="false">BK46+BK49</f>
        <v>9434</v>
      </c>
      <c r="BL50" s="22" t="n">
        <f aca="false">BL46+BL49</f>
        <v>9867</v>
      </c>
      <c r="BM50" s="22" t="n">
        <f aca="false">BM46+BM49</f>
        <v>10331</v>
      </c>
      <c r="BN50" s="22" t="n">
        <f aca="false">BN46+BN49</f>
        <v>11909</v>
      </c>
      <c r="BO50" s="22" t="n">
        <f aca="false">BO46+BO49</f>
        <v>12161</v>
      </c>
      <c r="BP50" s="22" t="n">
        <f aca="false">BP46+BP49</f>
        <v>12991</v>
      </c>
      <c r="BQ50" s="22" t="n">
        <f aca="false">BQ46+BQ49</f>
        <v>13383</v>
      </c>
      <c r="BR50" s="22" t="n">
        <f aca="false">BR46+BR49</f>
        <v>14541</v>
      </c>
      <c r="BS50" s="22" t="n">
        <f aca="false">BS46+BS49</f>
        <v>15672</v>
      </c>
      <c r="BT50" s="22" t="n">
        <f aca="false">BT46+BT49</f>
        <v>16374</v>
      </c>
      <c r="BU50" s="22" t="n">
        <f aca="false">BU46+BU49</f>
        <v>18621</v>
      </c>
      <c r="BV50" s="22" t="n">
        <f aca="false">BV46+BV49</f>
        <v>20845</v>
      </c>
      <c r="BW50" s="22" t="n">
        <f aca="false">BW46+BW49</f>
        <v>22678</v>
      </c>
      <c r="BX50" s="22" t="n">
        <f aca="false">BX46+BX49</f>
        <v>27235</v>
      </c>
      <c r="BY50" s="22" t="n">
        <f aca="false">BY46+BY49</f>
        <v>30473</v>
      </c>
      <c r="BZ50" s="22" t="n">
        <f aca="false">BZ46+BZ49</f>
        <v>35919</v>
      </c>
      <c r="CA50" s="22" t="n">
        <f aca="false">CA46+CA49</f>
        <v>39653</v>
      </c>
      <c r="CB50" s="22" t="n">
        <f aca="false">CB46+CB49</f>
        <v>40980.8167</v>
      </c>
      <c r="CC50" s="22" t="n">
        <f aca="false">CC46+CC49</f>
        <v>45087.4939473</v>
      </c>
      <c r="CD50" s="22" t="n">
        <f aca="false">CD46+CD49</f>
        <v>50917.145281375</v>
      </c>
      <c r="CE50" s="22" t="n">
        <f aca="false">CE46+CE49</f>
        <v>50787.8685995663</v>
      </c>
      <c r="CF50" s="22" t="n">
        <f aca="false">CF46+CF49</f>
        <v>51594.1133615532</v>
      </c>
      <c r="CG50" s="22" t="n">
        <f aca="false">CG46+CG49</f>
        <v>55983.5862172558</v>
      </c>
      <c r="CH50" s="22" t="n">
        <f aca="false">CH46+CH49</f>
        <v>62199.1805615418</v>
      </c>
    </row>
    <row r="51" customFormat="false" ht="15" hidden="false" customHeight="true" outlineLevel="0" collapsed="false">
      <c r="A51" s="17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6"/>
      <c r="CC51" s="26"/>
      <c r="CD51" s="26"/>
      <c r="CE51" s="26"/>
      <c r="CF51" s="26"/>
      <c r="CG51" s="26"/>
      <c r="CH51" s="26"/>
    </row>
    <row r="52" customFormat="false" ht="15" hidden="false" customHeight="true" outlineLevel="0" collapsed="false">
      <c r="A52" s="17" t="s">
        <v>175</v>
      </c>
      <c r="B52" s="18" t="n">
        <v>-40.728207</v>
      </c>
      <c r="C52" s="18" t="n">
        <v>-39.20167</v>
      </c>
      <c r="D52" s="18" t="n">
        <v>-37.456538</v>
      </c>
      <c r="E52" s="18" t="n">
        <v>85.482516</v>
      </c>
      <c r="F52" s="18" t="n">
        <v>91.673139</v>
      </c>
      <c r="G52" s="18" t="n">
        <v>94.634814</v>
      </c>
      <c r="H52" s="18" t="n">
        <v>100.973177</v>
      </c>
      <c r="I52" s="18" t="n">
        <v>98.869851</v>
      </c>
      <c r="J52" s="18" t="n">
        <v>93.423981</v>
      </c>
      <c r="K52" s="18" t="n">
        <v>95.52658</v>
      </c>
      <c r="L52" s="18" t="n">
        <v>106.427977</v>
      </c>
      <c r="M52" s="18" t="n">
        <v>118.409952</v>
      </c>
      <c r="N52" s="18" t="n">
        <v>114.193237</v>
      </c>
      <c r="O52" s="18" t="n">
        <v>123.24671</v>
      </c>
      <c r="P52" s="18" t="n">
        <v>133.721512</v>
      </c>
      <c r="Q52" s="18" t="n">
        <v>156.159697</v>
      </c>
      <c r="R52" s="18" t="n">
        <v>171.71827</v>
      </c>
      <c r="S52" s="18" t="n">
        <v>183.105136</v>
      </c>
      <c r="T52" s="18" t="n">
        <v>197.62917</v>
      </c>
      <c r="U52" s="18" t="n">
        <v>204.44341</v>
      </c>
      <c r="V52" s="18" t="n">
        <v>219.179016</v>
      </c>
      <c r="W52" s="18" t="n">
        <v>237.679816</v>
      </c>
      <c r="X52" s="18" t="n">
        <v>247.841054</v>
      </c>
      <c r="Y52" s="18" t="n">
        <v>268.105756</v>
      </c>
      <c r="Z52" s="18" t="n">
        <v>289.813626</v>
      </c>
      <c r="AA52" s="18" t="n">
        <v>300.008419</v>
      </c>
      <c r="AB52" s="18" t="n">
        <v>308.904062</v>
      </c>
      <c r="AC52" s="18" t="n">
        <v>324.200541</v>
      </c>
      <c r="AD52" s="18" t="n">
        <v>343.483608</v>
      </c>
      <c r="AE52" s="18" t="n">
        <v>349.865356</v>
      </c>
      <c r="AF52" s="18" t="n">
        <v>334.515105</v>
      </c>
      <c r="AG52" s="18" t="n">
        <v>340.849293</v>
      </c>
      <c r="AH52" s="18" t="n">
        <v>355.788</v>
      </c>
      <c r="AI52" s="18" t="n">
        <v>331.118</v>
      </c>
      <c r="AJ52" s="18" t="n">
        <v>344.443</v>
      </c>
      <c r="AK52" s="18" t="n">
        <v>363.452</v>
      </c>
      <c r="AL52" s="18" t="n">
        <v>339.458</v>
      </c>
      <c r="AM52" s="18" t="n">
        <v>353.066</v>
      </c>
      <c r="AN52" s="18" t="n">
        <v>364.567</v>
      </c>
      <c r="AO52" s="18" t="n">
        <v>394.987</v>
      </c>
      <c r="AP52" s="18" t="n">
        <v>428.854</v>
      </c>
      <c r="AQ52" s="18" t="n">
        <v>482.244</v>
      </c>
      <c r="AR52" s="18" t="n">
        <v>459.015</v>
      </c>
      <c r="AS52" s="18" t="n">
        <v>406.156</v>
      </c>
      <c r="AT52" s="18" t="n">
        <v>325.779</v>
      </c>
      <c r="AU52" s="18" t="n">
        <v>252.867</v>
      </c>
      <c r="AV52" s="18" t="n">
        <v>154.737</v>
      </c>
      <c r="AW52" s="18" t="n">
        <v>341.752</v>
      </c>
      <c r="AX52" s="18" t="n">
        <v>336.7</v>
      </c>
      <c r="AY52" s="18" t="n">
        <v>2214.058</v>
      </c>
      <c r="AZ52" s="18" t="n">
        <v>2145.769</v>
      </c>
      <c r="BA52" s="18" t="n">
        <v>2038.174</v>
      </c>
      <c r="BB52" s="18" t="n">
        <v>1983.12</v>
      </c>
      <c r="BC52" s="18" t="n">
        <v>1866.567</v>
      </c>
      <c r="BD52" s="18" t="n">
        <v>1808.249</v>
      </c>
      <c r="BE52" s="18" t="n">
        <v>1746.099</v>
      </c>
      <c r="BF52" s="18" t="n">
        <v>1651.578</v>
      </c>
      <c r="BG52" s="18" t="n">
        <v>-30.404</v>
      </c>
      <c r="BH52" s="18" t="n">
        <v>81.03</v>
      </c>
      <c r="BI52" s="18" t="n">
        <v>122.976</v>
      </c>
      <c r="BJ52" s="18" t="n">
        <v>1531</v>
      </c>
      <c r="BK52" s="18" t="n">
        <v>1589</v>
      </c>
      <c r="BL52" s="18" t="n">
        <v>1580</v>
      </c>
      <c r="BM52" s="18" t="n">
        <v>1631</v>
      </c>
      <c r="BN52" s="18" t="n">
        <v>1827</v>
      </c>
      <c r="BO52" s="18" t="n">
        <v>2040</v>
      </c>
      <c r="BP52" s="18" t="n">
        <v>2252</v>
      </c>
      <c r="BQ52" s="18" t="n">
        <v>2741</v>
      </c>
      <c r="BR52" s="18" t="n">
        <v>3071</v>
      </c>
      <c r="BS52" s="18" t="n">
        <v>3390</v>
      </c>
      <c r="BT52" s="18" t="n">
        <v>3656</v>
      </c>
      <c r="BU52" s="18" t="n">
        <v>4002</v>
      </c>
      <c r="BV52" s="18" t="n">
        <v>4351</v>
      </c>
      <c r="BW52" s="18" t="n">
        <v>5004</v>
      </c>
      <c r="BX52" s="18" t="n">
        <v>5713</v>
      </c>
      <c r="BY52" s="18" t="n">
        <v>6218</v>
      </c>
      <c r="BZ52" s="18" t="n">
        <v>6748</v>
      </c>
      <c r="CA52" s="19" t="n">
        <v>7281</v>
      </c>
      <c r="CB52" s="20" t="n">
        <f aca="false">CA52+CB18+CB64+'Assumptions (Quarterly)'!F30+'Assumptions (Quarterly)'!F31-CB19+'Assumptions (Quarterly)'!F32</f>
        <v>7887.0932108</v>
      </c>
      <c r="CC52" s="20" t="n">
        <f aca="false">CB52+CC18+CC64+'Assumptions (Quarterly)'!G30+'Assumptions (Quarterly)'!G31-CC19+'Assumptions (Quarterly)'!G32</f>
        <v>8622.7847991014</v>
      </c>
      <c r="CD52" s="20" t="n">
        <f aca="false">CC52+CD18+CD64+'Assumptions (Quarterly)'!H30+'Assumptions (Quarterly)'!H31-CD19+'Assumptions (Quarterly)'!H32</f>
        <v>9570.2047104514</v>
      </c>
      <c r="CE52" s="20" t="n">
        <f aca="false">CD52+CE18+CE64+'Assumptions (Quarterly)'!I30+'Assumptions (Quarterly)'!I31-CE19+'Assumptions (Quarterly)'!I32</f>
        <v>10382.6099200514</v>
      </c>
      <c r="CF52" s="20" t="n">
        <f aca="false">CE52+CF18+CF64+'Assumptions (Quarterly)'!J30+'Assumptions (Quarterly)'!J31-CF19+'Assumptions (Quarterly)'!J32</f>
        <v>11283.8910355394</v>
      </c>
      <c r="CG52" s="20" t="n">
        <f aca="false">CF52+CG18+CG64+'Assumptions (Quarterly)'!K30+'Assumptions (Quarterly)'!K31-CG19+'Assumptions (Quarterly)'!K32</f>
        <v>12346.0651308337</v>
      </c>
      <c r="CH52" s="20" t="n">
        <f aca="false">CG52+CH18+CH64+'Assumptions (Quarterly)'!L30+'Assumptions (Quarterly)'!L31-CH19+'Assumptions (Quarterly)'!L32</f>
        <v>13659.1336398363</v>
      </c>
    </row>
    <row r="53" customFormat="false" ht="15.75" hidden="false" customHeight="true" outlineLevel="0" collapsed="false">
      <c r="A53" s="24" t="s">
        <v>176</v>
      </c>
      <c r="B53" s="23" t="n">
        <f aca="false">B50+B52</f>
        <v>-10.263973</v>
      </c>
      <c r="C53" s="23" t="n">
        <f aca="false">C50+C52</f>
        <v>-7.021665</v>
      </c>
      <c r="D53" s="23" t="n">
        <f aca="false">D50+D52</f>
        <v>-2.100666</v>
      </c>
      <c r="E53" s="23" t="n">
        <f aca="false">E50+E52</f>
        <v>115.458541</v>
      </c>
      <c r="F53" s="23" t="n">
        <f aca="false">F50+F52</f>
        <v>134.4928</v>
      </c>
      <c r="G53" s="23" t="n">
        <f aca="false">G50+G52</f>
        <v>137.076568</v>
      </c>
      <c r="H53" s="23" t="n">
        <f aca="false">H50+H52</f>
        <v>147.416212</v>
      </c>
      <c r="I53" s="23" t="n">
        <f aca="false">I50+I52</f>
        <v>169.124761</v>
      </c>
      <c r="J53" s="23" t="n">
        <f aca="false">J50+J52</f>
        <v>156.738749</v>
      </c>
      <c r="K53" s="23" t="n">
        <f aca="false">K50+K52</f>
        <v>160.89849</v>
      </c>
      <c r="L53" s="23" t="n">
        <f aca="false">L50+L52</f>
        <v>183.219712</v>
      </c>
      <c r="M53" s="23" t="n">
        <f aca="false">M50+M52</f>
        <v>195.484022</v>
      </c>
      <c r="N53" s="23" t="n">
        <f aca="false">N50+N52</f>
        <v>182.614649</v>
      </c>
      <c r="O53" s="23" t="n">
        <f aca="false">O50+O52</f>
        <v>192.337232</v>
      </c>
      <c r="P53" s="23" t="n">
        <f aca="false">P50+P52</f>
        <v>208.64173</v>
      </c>
      <c r="Q53" s="23" t="n">
        <f aca="false">Q50+Q52</f>
        <v>240.732652</v>
      </c>
      <c r="R53" s="23" t="n">
        <f aca="false">R50+R52</f>
        <v>269.683023</v>
      </c>
      <c r="S53" s="23" t="n">
        <f aca="false">S50+S52</f>
        <v>286.733174</v>
      </c>
      <c r="T53" s="23" t="n">
        <f aca="false">T50+T52</f>
        <v>308.525976</v>
      </c>
      <c r="U53" s="23" t="n">
        <f aca="false">U50+U52</f>
        <v>321.932957</v>
      </c>
      <c r="V53" s="23" t="n">
        <f aca="false">V50+V52</f>
        <v>351.931436</v>
      </c>
      <c r="W53" s="23" t="n">
        <f aca="false">W50+W52</f>
        <v>372.569456</v>
      </c>
      <c r="X53" s="23" t="n">
        <f aca="false">X50+X52</f>
        <v>394.551733</v>
      </c>
      <c r="Y53" s="23" t="n">
        <f aca="false">Y50+Y52</f>
        <v>426.624552</v>
      </c>
      <c r="Z53" s="23" t="n">
        <f aca="false">Z50+Z52</f>
        <v>474.669276</v>
      </c>
      <c r="AA53" s="23" t="n">
        <f aca="false">AA50+AA52</f>
        <v>499.220792</v>
      </c>
      <c r="AB53" s="23" t="n">
        <f aca="false">AB50+AB52</f>
        <v>525.582232</v>
      </c>
      <c r="AC53" s="23" t="n">
        <f aca="false">AC50+AC52</f>
        <v>565.321245</v>
      </c>
      <c r="AD53" s="23" t="n">
        <f aca="false">AD50+AD52</f>
        <v>588.362773</v>
      </c>
      <c r="AE53" s="23" t="n">
        <f aca="false">AE50+AE52</f>
        <v>593.858668</v>
      </c>
      <c r="AF53" s="23" t="n">
        <f aca="false">AF50+AF52</f>
        <v>883.964898</v>
      </c>
      <c r="AG53" s="23" t="n">
        <f aca="false">AG50+AG52</f>
        <v>935.198628</v>
      </c>
      <c r="AH53" s="23" t="n">
        <f aca="false">AH50+AH52</f>
        <v>966.848</v>
      </c>
      <c r="AI53" s="23" t="n">
        <f aca="false">AI50+AI52</f>
        <v>976.783</v>
      </c>
      <c r="AJ53" s="23" t="n">
        <f aca="false">AJ50+AJ52</f>
        <v>1020.635</v>
      </c>
      <c r="AK53" s="23" t="n">
        <f aca="false">AK50+AK52</f>
        <v>1068.828</v>
      </c>
      <c r="AL53" s="23" t="n">
        <f aca="false">AL50+AL52</f>
        <v>1003.606</v>
      </c>
      <c r="AM53" s="23" t="n">
        <f aca="false">AM50+AM52</f>
        <v>1083.469</v>
      </c>
      <c r="AN53" s="23" t="n">
        <f aca="false">AN50+AN52</f>
        <v>1140.149</v>
      </c>
      <c r="AO53" s="23" t="n">
        <f aca="false">AO50+AO52</f>
        <v>1256.057</v>
      </c>
      <c r="AP53" s="23" t="n">
        <f aca="false">AP50+AP52</f>
        <v>1367.435</v>
      </c>
      <c r="AQ53" s="23" t="n">
        <f aca="false">AQ50+AQ52</f>
        <v>1483.646</v>
      </c>
      <c r="AR53" s="23" t="n">
        <f aca="false">AR50+AR52</f>
        <v>1511.438</v>
      </c>
      <c r="AS53" s="23" t="n">
        <f aca="false">AS50+AS52</f>
        <v>1618.292</v>
      </c>
      <c r="AT53" s="23" t="n">
        <f aca="false">AT50+AT52</f>
        <v>1673.187</v>
      </c>
      <c r="AU53" s="23" t="n">
        <f aca="false">AU50+AU52</f>
        <v>1719.687</v>
      </c>
      <c r="AV53" s="23" t="n">
        <f aca="false">AV50+AV52</f>
        <v>1519.441</v>
      </c>
      <c r="AW53" s="23" t="n">
        <f aca="false">AW50+AW52</f>
        <v>2018.351</v>
      </c>
      <c r="AX53" s="23" t="n">
        <f aca="false">AX50+AX52</f>
        <v>2239.519</v>
      </c>
      <c r="AY53" s="23" t="n">
        <f aca="false">AY50+AY52</f>
        <v>4349.472</v>
      </c>
      <c r="AZ53" s="23" t="n">
        <f aca="false">AZ50+AZ52</f>
        <v>4496.649</v>
      </c>
      <c r="BA53" s="23" t="n">
        <f aca="false">BA50+BA52</f>
        <v>4340.498</v>
      </c>
      <c r="BB53" s="23" t="n">
        <f aca="false">BB50+BB52</f>
        <v>4682.848</v>
      </c>
      <c r="BC53" s="23" t="n">
        <f aca="false">BC50+BC52</f>
        <v>4359.237</v>
      </c>
      <c r="BD53" s="23" t="n">
        <f aca="false">BD50+BD52</f>
        <v>5353.893</v>
      </c>
      <c r="BE53" s="23" t="n">
        <f aca="false">BE50+BE52</f>
        <v>5688.292</v>
      </c>
      <c r="BF53" s="23" t="n">
        <f aca="false">BF50+BF52</f>
        <v>6526.332</v>
      </c>
      <c r="BG53" s="23" t="n">
        <f aca="false">BG50+BG52</f>
        <v>5197.855</v>
      </c>
      <c r="BH53" s="23" t="n">
        <f aca="false">BH50+BH52</f>
        <v>6142.694</v>
      </c>
      <c r="BI53" s="23" t="n">
        <f aca="false">BI50+BI52</f>
        <v>6800.017</v>
      </c>
      <c r="BJ53" s="23" t="n">
        <f aca="false">BJ50+BJ52</f>
        <v>10101</v>
      </c>
      <c r="BK53" s="23" t="n">
        <f aca="false">BK50+BK52</f>
        <v>11023</v>
      </c>
      <c r="BL53" s="23" t="n">
        <f aca="false">BL50+BL52</f>
        <v>11447</v>
      </c>
      <c r="BM53" s="23" t="n">
        <f aca="false">BM50+BM52</f>
        <v>11962</v>
      </c>
      <c r="BN53" s="23" t="n">
        <f aca="false">BN50+BN52</f>
        <v>13736</v>
      </c>
      <c r="BO53" s="23" t="n">
        <f aca="false">BO50+BO52</f>
        <v>14201</v>
      </c>
      <c r="BP53" s="23" t="n">
        <f aca="false">BP50+BP52</f>
        <v>15243</v>
      </c>
      <c r="BQ53" s="23" t="n">
        <f aca="false">BQ50+BQ52</f>
        <v>16124</v>
      </c>
      <c r="BR53" s="23" t="n">
        <f aca="false">BR50+BR52</f>
        <v>17612</v>
      </c>
      <c r="BS53" s="23" t="n">
        <f aca="false">BS50+BS52</f>
        <v>19062</v>
      </c>
      <c r="BT53" s="23" t="n">
        <f aca="false">BT50+BT52</f>
        <v>20030</v>
      </c>
      <c r="BU53" s="23" t="n">
        <f aca="false">BU50+BU52</f>
        <v>22623</v>
      </c>
      <c r="BV53" s="23" t="n">
        <f aca="false">BV50+BV52</f>
        <v>25196</v>
      </c>
      <c r="BW53" s="23" t="n">
        <f aca="false">BW50+BW52</f>
        <v>27682</v>
      </c>
      <c r="BX53" s="23" t="n">
        <f aca="false">BX50+BX52</f>
        <v>32948</v>
      </c>
      <c r="BY53" s="23" t="n">
        <f aca="false">BY50+BY52</f>
        <v>36691</v>
      </c>
      <c r="BZ53" s="23" t="n">
        <f aca="false">BZ50+BZ52</f>
        <v>42667</v>
      </c>
      <c r="CA53" s="23" t="n">
        <f aca="false">CA50+CA52</f>
        <v>46934</v>
      </c>
      <c r="CB53" s="23" t="n">
        <f aca="false">CB50+CB52</f>
        <v>48867.9099108</v>
      </c>
      <c r="CC53" s="23" t="n">
        <f aca="false">CC50+CC52</f>
        <v>53710.2787464014</v>
      </c>
      <c r="CD53" s="23" t="n">
        <f aca="false">CD50+CD52</f>
        <v>60487.3499918264</v>
      </c>
      <c r="CE53" s="23" t="n">
        <f aca="false">CE50+CE52</f>
        <v>61170.4785196177</v>
      </c>
      <c r="CF53" s="23" t="n">
        <f aca="false">CF50+CF52</f>
        <v>62878.0043970926</v>
      </c>
      <c r="CG53" s="23" t="n">
        <f aca="false">CG50+CG52</f>
        <v>68329.6513480895</v>
      </c>
      <c r="CH53" s="23" t="n">
        <f aca="false">CH50+CH52</f>
        <v>75858.3142013781</v>
      </c>
    </row>
    <row r="54" customFormat="false" ht="15.75" hidden="false" customHeight="true" outlineLevel="0" collapsed="false">
      <c r="A54" s="17" t="s">
        <v>177</v>
      </c>
      <c r="B54" s="25" t="n">
        <f aca="false">B40-B53</f>
        <v>64.076545</v>
      </c>
      <c r="C54" s="25" t="n">
        <f aca="false">C40-C53</f>
        <v>64.200264</v>
      </c>
      <c r="D54" s="25" t="n">
        <f aca="false">D40-D53</f>
        <v>64.323984</v>
      </c>
      <c r="E54" s="25" t="n">
        <f aca="false">E40-E53</f>
        <v>0</v>
      </c>
      <c r="F54" s="25" t="n">
        <f aca="false">F40-F53</f>
        <v>0</v>
      </c>
      <c r="G54" s="25" t="n">
        <f aca="false">G40-G53</f>
        <v>0</v>
      </c>
      <c r="H54" s="25" t="n">
        <f aca="false">H40-H53</f>
        <v>0</v>
      </c>
      <c r="I54" s="25" t="n">
        <f aca="false">I40-I53</f>
        <v>0</v>
      </c>
      <c r="J54" s="25" t="n">
        <f aca="false">J40-J53</f>
        <v>0</v>
      </c>
      <c r="K54" s="25" t="n">
        <f aca="false">K40-K53</f>
        <v>0</v>
      </c>
      <c r="L54" s="25" t="n">
        <f aca="false">L40-L53</f>
        <v>0</v>
      </c>
      <c r="M54" s="25" t="n">
        <f aca="false">M40-M53</f>
        <v>0</v>
      </c>
      <c r="N54" s="25" t="n">
        <f aca="false">N40-N53</f>
        <v>0</v>
      </c>
      <c r="O54" s="25" t="n">
        <f aca="false">O40-O53</f>
        <v>0</v>
      </c>
      <c r="P54" s="25" t="n">
        <f aca="false">P40-P53</f>
        <v>0</v>
      </c>
      <c r="Q54" s="25" t="n">
        <f aca="false">Q40-Q53</f>
        <v>0</v>
      </c>
      <c r="R54" s="25" t="n">
        <f aca="false">R40-R53</f>
        <v>0</v>
      </c>
      <c r="S54" s="25" t="n">
        <f aca="false">S40-S53</f>
        <v>0</v>
      </c>
      <c r="T54" s="25" t="n">
        <f aca="false">T40-T53</f>
        <v>0</v>
      </c>
      <c r="U54" s="25" t="n">
        <f aca="false">U40-U53</f>
        <v>3.41063299999996</v>
      </c>
      <c r="V54" s="25" t="n">
        <f aca="false">V40-V53</f>
        <v>4</v>
      </c>
      <c r="W54" s="25" t="n">
        <f aca="false">W40-W53</f>
        <v>4.00000000000006</v>
      </c>
      <c r="X54" s="25" t="n">
        <f aca="false">X40-X53</f>
        <v>4</v>
      </c>
      <c r="Y54" s="25" t="n">
        <f aca="false">Y40-Y53</f>
        <v>4</v>
      </c>
      <c r="Z54" s="25" t="n">
        <f aca="false">Z40-Z53</f>
        <v>4</v>
      </c>
      <c r="AA54" s="25" t="n">
        <f aca="false">AA40-AA53</f>
        <v>4.00000000000011</v>
      </c>
      <c r="AB54" s="25" t="n">
        <f aca="false">AB40-AB53</f>
        <v>4</v>
      </c>
      <c r="AC54" s="25" t="n">
        <f aca="false">AC40-AC53</f>
        <v>4.00000000000011</v>
      </c>
      <c r="AD54" s="25" t="n">
        <f aca="false">AD40-AD53</f>
        <v>3.99999999999989</v>
      </c>
      <c r="AE54" s="25" t="n">
        <f aca="false">AE40-AE53</f>
        <v>4</v>
      </c>
      <c r="AF54" s="25" t="n">
        <f aca="false">AF40-AF53</f>
        <v>4.00000000000011</v>
      </c>
      <c r="AG54" s="25" t="n">
        <f aca="false">AG40-AG53</f>
        <v>3.99999999999989</v>
      </c>
      <c r="AH54" s="25" t="n">
        <f aca="false">AH40-AH53</f>
        <v>0</v>
      </c>
      <c r="AI54" s="25" t="n">
        <f aca="false">AI40-AI53</f>
        <v>0</v>
      </c>
      <c r="AJ54" s="25" t="n">
        <f aca="false">AJ40-AJ53</f>
        <v>0</v>
      </c>
      <c r="AK54" s="25" t="n">
        <f aca="false">AK40-AK53</f>
        <v>0</v>
      </c>
      <c r="AL54" s="25" t="n">
        <f aca="false">AL40-AL53</f>
        <v>0</v>
      </c>
      <c r="AM54" s="25" t="n">
        <f aca="false">AM40-AM53</f>
        <v>0</v>
      </c>
      <c r="AN54" s="25" t="n">
        <f aca="false">AN40-AN53</f>
        <v>0</v>
      </c>
      <c r="AO54" s="25" t="n">
        <f aca="false">AO40-AO53</f>
        <v>0</v>
      </c>
      <c r="AP54" s="25" t="n">
        <f aca="false">AP40-AP53</f>
        <v>0</v>
      </c>
      <c r="AQ54" s="25" t="n">
        <f aca="false">AQ40-AQ53</f>
        <v>0</v>
      </c>
      <c r="AR54" s="25" t="n">
        <f aca="false">AR40-AR53</f>
        <v>0</v>
      </c>
      <c r="AS54" s="25" t="n">
        <f aca="false">AS40-AS53</f>
        <v>0</v>
      </c>
      <c r="AT54" s="25" t="n">
        <f aca="false">AT40-AT53</f>
        <v>0</v>
      </c>
      <c r="AU54" s="25" t="n">
        <f aca="false">AU40-AU53</f>
        <v>0</v>
      </c>
      <c r="AV54" s="25" t="n">
        <f aca="false">AV40-AV53</f>
        <v>0</v>
      </c>
      <c r="AW54" s="25" t="n">
        <f aca="false">AW40-AW53</f>
        <v>0</v>
      </c>
      <c r="AX54" s="25" t="n">
        <f aca="false">AX40-AX53</f>
        <v>0</v>
      </c>
      <c r="AY54" s="25" t="n">
        <f aca="false">AY40-AY53</f>
        <v>98.6880000000001</v>
      </c>
      <c r="AZ54" s="25" t="n">
        <f aca="false">AZ40-AZ53</f>
        <v>98.8430000000008</v>
      </c>
      <c r="BA54" s="25" t="n">
        <f aca="false">BA40-BA53</f>
        <v>98.8430000000008</v>
      </c>
      <c r="BB54" s="25" t="n">
        <f aca="false">BB40-BB53</f>
        <v>98.8430000000008</v>
      </c>
      <c r="BC54" s="25" t="n">
        <f aca="false">BC40-BC53</f>
        <v>98.8429999999999</v>
      </c>
      <c r="BD54" s="25" t="n">
        <f aca="false">BD40-BD53</f>
        <v>98.8429999999999</v>
      </c>
      <c r="BE54" s="25" t="n">
        <f aca="false">BE40-BE53</f>
        <v>49.4270000000006</v>
      </c>
      <c r="BF54" s="25" t="n">
        <f aca="false">BF40-BF53</f>
        <v>0</v>
      </c>
      <c r="BG54" s="25" t="n">
        <f aca="false">BG40-BG53</f>
        <v>0</v>
      </c>
      <c r="BH54" s="25" t="n">
        <f aca="false">BH40-BH53</f>
        <v>0</v>
      </c>
      <c r="BI54" s="25" t="n">
        <f aca="false">BI40-BI53</f>
        <v>0</v>
      </c>
      <c r="BJ54" s="25" t="n">
        <f aca="false">BJ40-BJ53</f>
        <v>0</v>
      </c>
      <c r="BK54" s="25" t="n">
        <f aca="false">BK40-BK53</f>
        <v>0</v>
      </c>
      <c r="BL54" s="25" t="n">
        <f aca="false">BL40-BL53</f>
        <v>0</v>
      </c>
      <c r="BM54" s="25" t="n">
        <f aca="false">BM40-BM53</f>
        <v>0</v>
      </c>
      <c r="BN54" s="25" t="n">
        <f aca="false">BN40-BN53</f>
        <v>0</v>
      </c>
      <c r="BO54" s="25" t="n">
        <f aca="false">BO40-BO53</f>
        <v>0</v>
      </c>
      <c r="BP54" s="25" t="n">
        <f aca="false">BP40-BP53</f>
        <v>0</v>
      </c>
      <c r="BQ54" s="25" t="n">
        <f aca="false">BQ40-BQ53</f>
        <v>0</v>
      </c>
      <c r="BR54" s="25" t="n">
        <f aca="false">BR40-BR53</f>
        <v>0</v>
      </c>
      <c r="BS54" s="25" t="n">
        <f aca="false">BS40-BS53</f>
        <v>0</v>
      </c>
      <c r="BT54" s="25" t="n">
        <f aca="false">BT40-BT53</f>
        <v>0</v>
      </c>
      <c r="BU54" s="25" t="n">
        <f aca="false">BU40-BU53</f>
        <v>0</v>
      </c>
      <c r="BV54" s="25" t="n">
        <f aca="false">BV40-BV53</f>
        <v>0</v>
      </c>
      <c r="BW54" s="25" t="n">
        <f aca="false">BW40-BW53</f>
        <v>0</v>
      </c>
      <c r="BX54" s="25" t="n">
        <f aca="false">BX40-BX53</f>
        <v>0</v>
      </c>
      <c r="BY54" s="25" t="n">
        <f aca="false">BY40-BY53</f>
        <v>0</v>
      </c>
      <c r="BZ54" s="25" t="n">
        <f aca="false">BZ40-BZ53</f>
        <v>0</v>
      </c>
      <c r="CA54" s="34" t="n">
        <f aca="false">CA40-CA53</f>
        <v>0</v>
      </c>
      <c r="CB54" s="26" t="n">
        <f aca="false">CB40-CB53</f>
        <v>0</v>
      </c>
      <c r="CC54" s="26" t="n">
        <f aca="false">CC40-CC53</f>
        <v>0</v>
      </c>
      <c r="CD54" s="26" t="n">
        <f aca="false">CD40-CD53</f>
        <v>0</v>
      </c>
      <c r="CE54" s="26" t="n">
        <f aca="false">CE40-CE53</f>
        <v>0</v>
      </c>
      <c r="CF54" s="26" t="n">
        <f aca="false">CF40-CF53</f>
        <v>0</v>
      </c>
      <c r="CG54" s="26" t="n">
        <f aca="false">CG40-CG53</f>
        <v>0</v>
      </c>
      <c r="CH54" s="26" t="n">
        <f aca="false">CH40-CH53</f>
        <v>0</v>
      </c>
    </row>
    <row r="55" customFormat="false" ht="15" hidden="false" customHeight="true" outlineLevel="0" collapsed="false">
      <c r="A55" s="17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6"/>
      <c r="CC55" s="26"/>
      <c r="CD55" s="26"/>
      <c r="CE55" s="26"/>
      <c r="CF55" s="26"/>
      <c r="CG55" s="26"/>
      <c r="CH55" s="26"/>
    </row>
    <row r="56" customFormat="false" ht="15" hidden="false" customHeight="true" outlineLevel="0" collapsed="false">
      <c r="A56" s="40" t="s">
        <v>178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</row>
    <row r="57" customFormat="false" ht="15" hidden="false" customHeight="true" outlineLevel="0" collapsed="false">
      <c r="A57" s="41" t="s">
        <v>179</v>
      </c>
      <c r="B57" s="25" t="n">
        <f aca="false">B44+B47</f>
        <v>9.097527</v>
      </c>
      <c r="C57" s="25" t="n">
        <f aca="false">C44+C47</f>
        <v>9.256076</v>
      </c>
      <c r="D57" s="25" t="n">
        <f aca="false">D44+D47</f>
        <v>9.415647</v>
      </c>
      <c r="E57" s="25" t="n">
        <f aca="false">E44+E47</f>
        <v>3.05058</v>
      </c>
      <c r="F57" s="25" t="n">
        <f aca="false">F44+F47</f>
        <v>9.713227</v>
      </c>
      <c r="G57" s="25" t="n">
        <f aca="false">G44+G47</f>
        <v>3.628532</v>
      </c>
      <c r="H57" s="25" t="n">
        <f aca="false">H44+H47</f>
        <v>2.673151</v>
      </c>
      <c r="I57" s="25" t="n">
        <f aca="false">I44+I47</f>
        <v>18.497771</v>
      </c>
      <c r="J57" s="25" t="n">
        <f aca="false">J44+J47</f>
        <v>18.013482</v>
      </c>
      <c r="K57" s="25" t="n">
        <f aca="false">K44+K47</f>
        <v>18.4906</v>
      </c>
      <c r="L57" s="25" t="n">
        <f aca="false">L44+L47</f>
        <v>15.465001</v>
      </c>
      <c r="M57" s="25" t="n">
        <f aca="false">M44+M47</f>
        <v>6.343964</v>
      </c>
      <c r="N57" s="25" t="n">
        <f aca="false">N44+N47</f>
        <v>3.213992</v>
      </c>
      <c r="O57" s="25" t="n">
        <f aca="false">O44+O47</f>
        <v>0</v>
      </c>
      <c r="P57" s="25" t="n">
        <f aca="false">P44+P47</f>
        <v>0.217129</v>
      </c>
      <c r="Q57" s="25" t="n">
        <f aca="false">Q44+Q47</f>
        <v>0.311133</v>
      </c>
      <c r="R57" s="25" t="n">
        <f aca="false">R44+R47</f>
        <v>0.288877</v>
      </c>
      <c r="S57" s="25" t="n">
        <f aca="false">S44+S47</f>
        <v>0.259105</v>
      </c>
      <c r="T57" s="25" t="n">
        <f aca="false">T44+T47</f>
        <v>0.231219</v>
      </c>
      <c r="U57" s="25" t="n">
        <f aca="false">U44+U47</f>
        <v>0.31865</v>
      </c>
      <c r="V57" s="25" t="n">
        <f aca="false">V44+V47</f>
        <v>0.282421</v>
      </c>
      <c r="W57" s="25" t="n">
        <f aca="false">W44+W47</f>
        <v>0.243936</v>
      </c>
      <c r="X57" s="25" t="n">
        <f aca="false">X44+X47</f>
        <v>0.240697</v>
      </c>
      <c r="Y57" s="25" t="n">
        <f aca="false">Y44+Y47</f>
        <v>0.19969</v>
      </c>
      <c r="Z57" s="25" t="n">
        <f aca="false">Z44+Z47</f>
        <v>0.144063</v>
      </c>
      <c r="AA57" s="25" t="n">
        <f aca="false">AA44+AA47</f>
        <v>0.16148</v>
      </c>
      <c r="AB57" s="25" t="n">
        <f aca="false">AB44+AB47</f>
        <v>11.904653</v>
      </c>
      <c r="AC57" s="25" t="n">
        <f aca="false">AC44+AC47</f>
        <v>18.932709</v>
      </c>
      <c r="AD57" s="25" t="n">
        <f aca="false">AD44+AD47</f>
        <v>15.860642</v>
      </c>
      <c r="AE57" s="25" t="n">
        <f aca="false">AE44+AE47</f>
        <v>9.489706</v>
      </c>
      <c r="AF57" s="25" t="n">
        <f aca="false">AF44+AF47</f>
        <v>280.62081</v>
      </c>
      <c r="AG57" s="25" t="n">
        <f aca="false">AG44+AG47</f>
        <v>284.494049</v>
      </c>
      <c r="AH57" s="25" t="n">
        <f aca="false">AH44+AH47</f>
        <v>283.826</v>
      </c>
      <c r="AI57" s="25" t="n">
        <f aca="false">AI44+AI47</f>
        <v>287.745</v>
      </c>
      <c r="AJ57" s="25" t="n">
        <f aca="false">AJ44+AJ47</f>
        <v>288.024</v>
      </c>
      <c r="AK57" s="25" t="n">
        <f aca="false">AK44+AK47</f>
        <v>297.02</v>
      </c>
      <c r="AL57" s="25" t="n">
        <f aca="false">AL44+AL47</f>
        <v>296.307</v>
      </c>
      <c r="AM57" s="25" t="n">
        <f aca="false">AM44+AM47</f>
        <v>298.96</v>
      </c>
      <c r="AN57" s="25" t="n">
        <f aca="false">AN44+AN47</f>
        <v>297.473</v>
      </c>
      <c r="AO57" s="25" t="n">
        <f aca="false">AO44+AO47</f>
        <v>305.549</v>
      </c>
      <c r="AP57" s="25" t="n">
        <f aca="false">AP44+AP47</f>
        <v>313.523</v>
      </c>
      <c r="AQ57" s="25" t="n">
        <f aca="false">AQ44+AQ47</f>
        <v>320.964</v>
      </c>
      <c r="AR57" s="25" t="n">
        <f aca="false">AR44+AR47</f>
        <v>324.946</v>
      </c>
      <c r="AS57" s="25" t="n">
        <f aca="false">AS44+AS47</f>
        <v>334.145</v>
      </c>
      <c r="AT57" s="25" t="n">
        <f aca="false">AT44+AT47</f>
        <v>368.414</v>
      </c>
      <c r="AU57" s="25" t="n">
        <f aca="false">AU44+AU47</f>
        <v>449.419</v>
      </c>
      <c r="AV57" s="25" t="n">
        <f aca="false">AV44+AV47</f>
        <v>480.019</v>
      </c>
      <c r="AW57" s="25" t="n">
        <f aca="false">AW44+AW47</f>
        <v>696.332</v>
      </c>
      <c r="AX57" s="25" t="n">
        <f aca="false">AX44+AX47</f>
        <v>735.177</v>
      </c>
      <c r="AY57" s="25" t="n">
        <f aca="false">AY44+AY47</f>
        <v>898.855</v>
      </c>
      <c r="AZ57" s="25" t="n">
        <f aca="false">AZ44+AZ47</f>
        <v>944.165</v>
      </c>
      <c r="BA57" s="25" t="n">
        <f aca="false">BA44+BA47</f>
        <v>908.464</v>
      </c>
      <c r="BB57" s="25" t="n">
        <f aca="false">BB44+BB47</f>
        <v>1017.423</v>
      </c>
      <c r="BC57" s="25" t="n">
        <f aca="false">BC44+BC47</f>
        <v>1124.975</v>
      </c>
      <c r="BD57" s="25" t="n">
        <f aca="false">BD44+BD47</f>
        <v>1396.284</v>
      </c>
      <c r="BE57" s="25" t="n">
        <f aca="false">BE44+BE47</f>
        <v>1465.219</v>
      </c>
      <c r="BF57" s="25" t="n">
        <f aca="false">BF44+BF47</f>
        <v>1708.116</v>
      </c>
      <c r="BG57" s="25" t="n">
        <f aca="false">BG44+BG47</f>
        <v>2518.966</v>
      </c>
      <c r="BH57" s="25" t="n">
        <f aca="false">BH44+BH47</f>
        <v>2762.343</v>
      </c>
      <c r="BI57" s="25" t="n">
        <f aca="false">BI44+BI47</f>
        <v>3126.538</v>
      </c>
      <c r="BJ57" s="25" t="n">
        <f aca="false">BJ44+BJ47</f>
        <v>3982</v>
      </c>
      <c r="BK57" s="25" t="n">
        <f aca="false">BK44+BK47</f>
        <v>4640</v>
      </c>
      <c r="BL57" s="25" t="n">
        <f aca="false">BL44+BL47</f>
        <v>4968</v>
      </c>
      <c r="BM57" s="25" t="n">
        <f aca="false">BM44+BM47</f>
        <v>5280</v>
      </c>
      <c r="BN57" s="25" t="n">
        <f aca="false">BN44+BN47</f>
        <v>5414</v>
      </c>
      <c r="BO57" s="25" t="n">
        <f aca="false">BO44+BO47</f>
        <v>5520</v>
      </c>
      <c r="BP57" s="25" t="n">
        <f aca="false">BP44+BP47</f>
        <v>5528</v>
      </c>
      <c r="BQ57" s="25" t="n">
        <f aca="false">BQ44+BQ47</f>
        <v>5240</v>
      </c>
      <c r="BR57" s="25" t="n">
        <f aca="false">BR44+BR47</f>
        <v>5333</v>
      </c>
      <c r="BS57" s="25" t="n">
        <f aca="false">BS44+BS47</f>
        <v>5286</v>
      </c>
      <c r="BT57" s="25" t="n">
        <f aca="false">BT44+BT47</f>
        <v>5403</v>
      </c>
      <c r="BU57" s="25" t="n">
        <f aca="false">BU44+BU47</f>
        <v>6324</v>
      </c>
      <c r="BV57" s="25" t="n">
        <f aca="false">BV44+BV47</f>
        <v>6850</v>
      </c>
      <c r="BW57" s="25" t="n">
        <f aca="false">BW44+BW47</f>
        <v>7726</v>
      </c>
      <c r="BX57" s="25" t="n">
        <f aca="false">BX44+BX47</f>
        <v>8979</v>
      </c>
      <c r="BY57" s="25" t="n">
        <f aca="false">BY44+BY47</f>
        <v>9877</v>
      </c>
      <c r="BZ57" s="25" t="n">
        <f aca="false">BZ44+BZ47</f>
        <v>11392</v>
      </c>
      <c r="CA57" s="34" t="n">
        <f aca="false">CA44+CA47</f>
        <v>12345</v>
      </c>
      <c r="CB57" s="26" t="n">
        <f aca="false">CB44+CB47</f>
        <v>12757.94664</v>
      </c>
      <c r="CC57" s="26" t="n">
        <f aca="false">CC44+CC47</f>
        <v>13635.84448728</v>
      </c>
      <c r="CD57" s="26" t="n">
        <f aca="false">CD44+CD47</f>
        <v>14892.112116375</v>
      </c>
      <c r="CE57" s="26" t="n">
        <f aca="false">CE44+CE47</f>
        <v>15009.3775595662</v>
      </c>
      <c r="CF57" s="26" t="n">
        <f aca="false">CF44+CF47</f>
        <v>15294.7671743532</v>
      </c>
      <c r="CG57" s="26" t="n">
        <f aca="false">CG44+CG47</f>
        <v>16200.9810315646</v>
      </c>
      <c r="CH57" s="26" t="n">
        <f aca="false">CH44+CH47</f>
        <v>17482.8709934842</v>
      </c>
    </row>
    <row r="58" customFormat="false" ht="15" hidden="false" customHeight="true" outlineLevel="0" collapsed="false">
      <c r="A58" s="41" t="s">
        <v>180</v>
      </c>
      <c r="B58" s="25" t="n">
        <f aca="false">B30-B57</f>
        <v>4.366156</v>
      </c>
      <c r="C58" s="25" t="n">
        <f aca="false">C30-C57</f>
        <v>4.870679</v>
      </c>
      <c r="D58" s="25" t="n">
        <f aca="false">D30-D57</f>
        <v>6.82076</v>
      </c>
      <c r="E58" s="25" t="n">
        <f aca="false">E30-E57</f>
        <v>59.859017</v>
      </c>
      <c r="F58" s="25" t="n">
        <f aca="false">F30-F57</f>
        <v>58.264187</v>
      </c>
      <c r="G58" s="25" t="n">
        <f aca="false">G30-G57</f>
        <v>48.241058</v>
      </c>
      <c r="H58" s="25" t="n">
        <f aca="false">H30-H57</f>
        <v>46.744229</v>
      </c>
      <c r="I58" s="25" t="n">
        <f aca="false">I30-I57</f>
        <v>12.39482</v>
      </c>
      <c r="J58" s="25" t="n">
        <f aca="false">J30-J57</f>
        <v>31.10003</v>
      </c>
      <c r="K58" s="25" t="n">
        <f aca="false">K30-K57</f>
        <v>27.869803</v>
      </c>
      <c r="L58" s="25" t="n">
        <f aca="false">L30-L57</f>
        <v>32.557286</v>
      </c>
      <c r="M58" s="25" t="n">
        <f aca="false">M30-M57</f>
        <v>46.855619</v>
      </c>
      <c r="N58" s="25" t="n">
        <f aca="false">N30-N57</f>
        <v>61.169595</v>
      </c>
      <c r="O58" s="25" t="n">
        <f aca="false">O30-O57</f>
        <v>41.712161</v>
      </c>
      <c r="P58" s="25" t="n">
        <f aca="false">P30-P57</f>
        <v>42.631211</v>
      </c>
      <c r="Q58" s="25" t="n">
        <f aca="false">Q30-Q57</f>
        <v>50.72522</v>
      </c>
      <c r="R58" s="25" t="n">
        <f aca="false">R30-R57</f>
        <v>61.884355</v>
      </c>
      <c r="S58" s="25" t="n">
        <f aca="false">S30-S57</f>
        <v>53.888358</v>
      </c>
      <c r="T58" s="25" t="n">
        <f aca="false">T30-T57</f>
        <v>116.402932</v>
      </c>
      <c r="U58" s="25" t="n">
        <f aca="false">U30-U57</f>
        <v>126.343261</v>
      </c>
      <c r="V58" s="25" t="n">
        <f aca="false">V30-V57</f>
        <v>142.027876</v>
      </c>
      <c r="W58" s="25" t="n">
        <f aca="false">W30-W57</f>
        <v>158.353152</v>
      </c>
      <c r="X58" s="25" t="n">
        <f aca="false">X30-X57</f>
        <v>170.371209</v>
      </c>
      <c r="Y58" s="25" t="n">
        <f aca="false">Y30-Y57</f>
        <v>177.362654</v>
      </c>
      <c r="Z58" s="25" t="n">
        <f aca="false">Z30-Z57</f>
        <v>195.039744</v>
      </c>
      <c r="AA58" s="25" t="n">
        <f aca="false">AA30-AA57</f>
        <v>197.551429</v>
      </c>
      <c r="AB58" s="25" t="n">
        <f aca="false">AB30-AB57</f>
        <v>190.586635</v>
      </c>
      <c r="AC58" s="25" t="n">
        <f aca="false">AC30-AC57</f>
        <v>200.494464</v>
      </c>
      <c r="AD58" s="25" t="n">
        <f aca="false">AD30-AD57</f>
        <v>201.017676</v>
      </c>
      <c r="AE58" s="25" t="n">
        <f aca="false">AE30-AE57</f>
        <v>209.040687</v>
      </c>
      <c r="AF58" s="25" t="n">
        <f aca="false">AF30-AF57</f>
        <v>210.127963</v>
      </c>
      <c r="AG58" s="25" t="n">
        <f aca="false">AG30-AG57</f>
        <v>122.853455</v>
      </c>
      <c r="AH58" s="25" t="n">
        <f aca="false">AH30-AH57</f>
        <v>88.128</v>
      </c>
      <c r="AI58" s="25" t="n">
        <f aca="false">AI30-AI57</f>
        <v>80.075</v>
      </c>
      <c r="AJ58" s="25" t="n">
        <f aca="false">AJ30-AJ57</f>
        <v>49.528</v>
      </c>
      <c r="AK58" s="25" t="n">
        <f aca="false">AK30-AK57</f>
        <v>44.019</v>
      </c>
      <c r="AL58" s="25" t="n">
        <f aca="false">AL30-AL57</f>
        <v>72.686</v>
      </c>
      <c r="AM58" s="25" t="n">
        <f aca="false">AM30-AM57</f>
        <v>41.494</v>
      </c>
      <c r="AN58" s="25" t="n">
        <f aca="false">AN30-AN57</f>
        <v>97.9590000000001</v>
      </c>
      <c r="AO58" s="25" t="n">
        <f aca="false">AO30-AO57</f>
        <v>166.096</v>
      </c>
      <c r="AP58" s="25" t="n">
        <f aca="false">AP30-AP57</f>
        <v>180.221</v>
      </c>
      <c r="AQ58" s="25" t="n">
        <f aca="false">AQ30-AQ57</f>
        <v>256.969</v>
      </c>
      <c r="AR58" s="25" t="n">
        <f aca="false">AR30-AR57</f>
        <v>289.3</v>
      </c>
      <c r="AS58" s="25" t="n">
        <f aca="false">AS30-AS57</f>
        <v>354.061</v>
      </c>
      <c r="AT58" s="25" t="n">
        <f aca="false">AT30-AT57</f>
        <v>302.687</v>
      </c>
      <c r="AU58" s="25" t="n">
        <f aca="false">AU30-AU57</f>
        <v>182.766</v>
      </c>
      <c r="AV58" s="25" t="n">
        <f aca="false">AV30-AV57</f>
        <v>225.49</v>
      </c>
      <c r="AW58" s="25" t="n">
        <f aca="false">AW30-AW57</f>
        <v>539.266</v>
      </c>
      <c r="AX58" s="25" t="n">
        <f aca="false">AX30-AX57</f>
        <v>286.837</v>
      </c>
      <c r="AY58" s="25" t="n">
        <f aca="false">AY30-AY57</f>
        <v>2190.503</v>
      </c>
      <c r="AZ58" s="25" t="n">
        <f aca="false">AZ30-AZ57</f>
        <v>2166.392</v>
      </c>
      <c r="BA58" s="25" t="n">
        <f aca="false">BA30-BA57</f>
        <v>2450.764</v>
      </c>
      <c r="BB58" s="25" t="n">
        <f aca="false">BB30-BB57</f>
        <v>2213.347</v>
      </c>
      <c r="BC58" s="25" t="n">
        <f aca="false">BC30-BC57</f>
        <v>1840.152</v>
      </c>
      <c r="BD58" s="25" t="n">
        <f aca="false">BD30-BD57</f>
        <v>2531.094</v>
      </c>
      <c r="BE58" s="25" t="n">
        <f aca="false">BE30-BE57</f>
        <v>2585.524</v>
      </c>
      <c r="BF58" s="25" t="n">
        <f aca="false">BF30-BF57</f>
        <v>2426.45</v>
      </c>
      <c r="BG58" s="25" t="n">
        <f aca="false">BG30-BG57</f>
        <v>66.0660000000003</v>
      </c>
      <c r="BH58" s="25" t="n">
        <f aca="false">BH30-BH57</f>
        <v>114.296</v>
      </c>
      <c r="BI58" s="25" t="n">
        <f aca="false">BI30-BI57</f>
        <v>110.644</v>
      </c>
      <c r="BJ58" s="25" t="n">
        <f aca="false">BJ30-BJ57</f>
        <v>1675</v>
      </c>
      <c r="BK58" s="25" t="n">
        <f aca="false">BK30-BK57</f>
        <v>843</v>
      </c>
      <c r="BL58" s="25" t="n">
        <f aca="false">BL30-BL57</f>
        <v>720</v>
      </c>
      <c r="BM58" s="25" t="n">
        <f aca="false">BM30-BM57</f>
        <v>915</v>
      </c>
      <c r="BN58" s="25" t="n">
        <f aca="false">BN30-BN57</f>
        <v>1992</v>
      </c>
      <c r="BO58" s="25" t="n">
        <f aca="false">BO30-BO57</f>
        <v>2360</v>
      </c>
      <c r="BP58" s="25" t="n">
        <f aca="false">BP30-BP57</f>
        <v>3186</v>
      </c>
      <c r="BQ58" s="25" t="n">
        <f aca="false">BQ30-BQ57</f>
        <v>3672</v>
      </c>
      <c r="BR58" s="25" t="n">
        <f aca="false">BR30-BR57</f>
        <v>4624</v>
      </c>
      <c r="BS58" s="25" t="n">
        <f aca="false">BS30-BS57</f>
        <v>5322</v>
      </c>
      <c r="BT58" s="25" t="n">
        <f aca="false">BT30-BT57</f>
        <v>5933</v>
      </c>
      <c r="BU58" s="25" t="n">
        <f aca="false">BU30-BU57</f>
        <v>5913</v>
      </c>
      <c r="BV58" s="25" t="n">
        <f aca="false">BV30-BV57</f>
        <v>7050</v>
      </c>
      <c r="BW58" s="25" t="n">
        <f aca="false">BW30-BW57</f>
        <v>7355</v>
      </c>
      <c r="BX58" s="25" t="n">
        <f aca="false">BX30-BX57</f>
        <v>9150</v>
      </c>
      <c r="BY58" s="25" t="n">
        <f aca="false">BY30-BY57</f>
        <v>10847</v>
      </c>
      <c r="BZ58" s="25" t="n">
        <f aca="false">BZ30-BZ57</f>
        <v>13629</v>
      </c>
      <c r="CA58" s="34" t="n">
        <f aca="false">CA30-CA57</f>
        <v>14938</v>
      </c>
      <c r="CB58" s="26" t="n">
        <f aca="false">CB30-CB57</f>
        <v>15858.5293708</v>
      </c>
      <c r="CC58" s="26" t="n">
        <f aca="false">CC30-CC57</f>
        <v>18233.4349038214</v>
      </c>
      <c r="CD58" s="26" t="n">
        <f aca="false">CD30-CD57</f>
        <v>21498.4129745814</v>
      </c>
      <c r="CE58" s="26" t="n">
        <f aca="false">CE30-CE57</f>
        <v>21906.7013393377</v>
      </c>
      <c r="CF58" s="26" t="n">
        <f aca="false">CF30-CF57</f>
        <v>22974.1527574608</v>
      </c>
      <c r="CG58" s="26" t="n">
        <f aca="false">CG30-CG57</f>
        <v>25847.9036049929</v>
      </c>
      <c r="CH58" s="26" t="n">
        <f aca="false">CH30-CH57</f>
        <v>29711.7816034004</v>
      </c>
    </row>
    <row r="59" customFormat="false" ht="15" hidden="false" customHeight="true" outlineLevel="0" collapsed="false">
      <c r="A59" s="41" t="s">
        <v>181</v>
      </c>
      <c r="B59" s="25" t="n">
        <f aca="false">B34-B46</f>
        <v>9.458959</v>
      </c>
      <c r="C59" s="25" t="n">
        <f aca="false">C34-C46</f>
        <v>9.6179</v>
      </c>
      <c r="D59" s="25" t="n">
        <f aca="false">D34-D46</f>
        <v>7.774298</v>
      </c>
      <c r="E59" s="25" t="n">
        <f aca="false">E34-E46</f>
        <v>57.053601</v>
      </c>
      <c r="F59" s="25" t="n">
        <f aca="false">F34-F46</f>
        <v>63.222664</v>
      </c>
      <c r="G59" s="25" t="n">
        <f aca="false">G34-G46</f>
        <v>48.144939</v>
      </c>
      <c r="H59" s="25" t="n">
        <f aca="false">H34-H46</f>
        <v>51.929181</v>
      </c>
      <c r="I59" s="25" t="n">
        <f aca="false">I34-I46</f>
        <v>12.578005</v>
      </c>
      <c r="J59" s="25" t="n">
        <f aca="false">J34-J46</f>
        <v>3.99133900000001</v>
      </c>
      <c r="K59" s="25" t="n">
        <f aca="false">K34-K46</f>
        <v>-3.466381</v>
      </c>
      <c r="L59" s="25" t="n">
        <f aca="false">L34-L46</f>
        <v>-5.493984</v>
      </c>
      <c r="M59" s="25" t="n">
        <f aca="false">M34-M46</f>
        <v>4.71755400000001</v>
      </c>
      <c r="N59" s="25" t="n">
        <f aca="false">N34-N46</f>
        <v>21.642124</v>
      </c>
      <c r="O59" s="25" t="n">
        <f aca="false">O34-O46</f>
        <v>3.23889199999999</v>
      </c>
      <c r="P59" s="25" t="n">
        <f aca="false">P34-P46</f>
        <v>1.76026299999999</v>
      </c>
      <c r="Q59" s="25" t="n">
        <f aca="false">Q34-Q46</f>
        <v>11.539474</v>
      </c>
      <c r="R59" s="25" t="n">
        <f aca="false">R34-R46</f>
        <v>13.240741</v>
      </c>
      <c r="S59" s="25" t="n">
        <f aca="false">S34-S46</f>
        <v>0.331977000000009</v>
      </c>
      <c r="T59" s="25" t="n">
        <f aca="false">T34-T46</f>
        <v>58.468304</v>
      </c>
      <c r="U59" s="25" t="n">
        <f aca="false">U34-U46</f>
        <v>70.226501</v>
      </c>
      <c r="V59" s="25" t="n">
        <f aca="false">V34-V46</f>
        <v>81.94203</v>
      </c>
      <c r="W59" s="25" t="n">
        <f aca="false">W34-W46</f>
        <v>96.996051</v>
      </c>
      <c r="X59" s="25" t="n">
        <f aca="false">X34-X46</f>
        <v>101.513824</v>
      </c>
      <c r="Y59" s="25" t="n">
        <f aca="false">Y34-Y46</f>
        <v>111.4957</v>
      </c>
      <c r="Z59" s="25" t="n">
        <f aca="false">Z34-Z46</f>
        <v>105.829903</v>
      </c>
      <c r="AA59" s="25" t="n">
        <f aca="false">AA34-AA46</f>
        <v>105.836082</v>
      </c>
      <c r="AB59" s="25" t="n">
        <f aca="false">AB34-AB46</f>
        <v>114.210455</v>
      </c>
      <c r="AC59" s="25" t="n">
        <f aca="false">AC34-AC46</f>
        <v>97.5263</v>
      </c>
      <c r="AD59" s="25" t="n">
        <f aca="false">AD34-AD46</f>
        <v>101.998626</v>
      </c>
      <c r="AE59" s="25" t="n">
        <f aca="false">AE34-AE46</f>
        <v>110.371176</v>
      </c>
      <c r="AF59" s="25" t="n">
        <f aca="false">AF34-AF46</f>
        <v>373.767083</v>
      </c>
      <c r="AG59" s="25" t="n">
        <f aca="false">AG34-AG46</f>
        <v>286.975823</v>
      </c>
      <c r="AH59" s="25" t="n">
        <f aca="false">AH34-AH46</f>
        <v>240.127</v>
      </c>
      <c r="AI59" s="25" t="n">
        <f aca="false">AI34-AI46</f>
        <v>265.015</v>
      </c>
      <c r="AJ59" s="25" t="n">
        <f aca="false">AJ34-AJ46</f>
        <v>201.675</v>
      </c>
      <c r="AK59" s="25" t="n">
        <f aca="false">AK34-AK46</f>
        <v>257.903</v>
      </c>
      <c r="AL59" s="25" t="n">
        <f aca="false">AL34-AL46</f>
        <v>222.698</v>
      </c>
      <c r="AM59" s="25" t="n">
        <f aca="false">AM34-AM46</f>
        <v>218.721</v>
      </c>
      <c r="AN59" s="25" t="n">
        <f aca="false">AN34-AN46</f>
        <v>250.912</v>
      </c>
      <c r="AO59" s="25" t="n">
        <f aca="false">AO34-AO46</f>
        <v>262.794</v>
      </c>
      <c r="AP59" s="25" t="n">
        <f aca="false">AP34-AP46</f>
        <v>292.86</v>
      </c>
      <c r="AQ59" s="25" t="n">
        <f aca="false">AQ34-AQ46</f>
        <v>308.728</v>
      </c>
      <c r="AR59" s="25" t="n">
        <f aca="false">AR34-AR46</f>
        <v>282.148</v>
      </c>
      <c r="AS59" s="25" t="n">
        <f aca="false">AS34-AS46</f>
        <v>359.363</v>
      </c>
      <c r="AT59" s="25" t="n">
        <f aca="false">AT34-AT46</f>
        <v>318.887</v>
      </c>
      <c r="AU59" s="25" t="n">
        <f aca="false">AU34-AU46</f>
        <v>199.709</v>
      </c>
      <c r="AV59" s="25" t="n">
        <f aca="false">AV34-AV46</f>
        <v>150.09</v>
      </c>
      <c r="AW59" s="25" t="n">
        <f aca="false">AW34-AW46</f>
        <v>612.147</v>
      </c>
      <c r="AX59" s="25" t="n">
        <f aca="false">AX34-AX46</f>
        <v>344.899</v>
      </c>
      <c r="AY59" s="25" t="n">
        <f aca="false">AY34-AY46</f>
        <v>2272.238</v>
      </c>
      <c r="AZ59" s="25" t="n">
        <f aca="false">AZ34-AZ46</f>
        <v>2226.923</v>
      </c>
      <c r="BA59" s="25" t="n">
        <f aca="false">BA34-BA46</f>
        <v>2395.82</v>
      </c>
      <c r="BB59" s="25" t="n">
        <f aca="false">BB34-BB46</f>
        <v>2036.536</v>
      </c>
      <c r="BC59" s="25" t="n">
        <f aca="false">BC34-BC46</f>
        <v>1933.774</v>
      </c>
      <c r="BD59" s="25" t="n">
        <f aca="false">BD34-BD46</f>
        <v>2094.775</v>
      </c>
      <c r="BE59" s="25" t="n">
        <f aca="false">BE34-BE46</f>
        <v>1916.631</v>
      </c>
      <c r="BF59" s="25" t="n">
        <f aca="false">BF34-BF46</f>
        <v>1710.927</v>
      </c>
      <c r="BG59" s="25" t="n">
        <f aca="false">BG34-BG46</f>
        <v>695.242</v>
      </c>
      <c r="BH59" s="25" t="n">
        <f aca="false">BH34-BH46</f>
        <v>698.361</v>
      </c>
      <c r="BI59" s="25" t="n">
        <f aca="false">BI34-BI46</f>
        <v>996.59</v>
      </c>
      <c r="BJ59" s="25" t="n">
        <f aca="false">BJ34-BJ46</f>
        <v>2338</v>
      </c>
      <c r="BK59" s="25" t="n">
        <f aca="false">BK34-BK46</f>
        <v>2477</v>
      </c>
      <c r="BL59" s="25" t="n">
        <f aca="false">BL34-BL46</f>
        <v>2040</v>
      </c>
      <c r="BM59" s="25" t="n">
        <f aca="false">BM34-BM46</f>
        <v>2349</v>
      </c>
      <c r="BN59" s="25" t="n">
        <f aca="false">BN34-BN46</f>
        <v>2391</v>
      </c>
      <c r="BO59" s="25" t="n">
        <f aca="false">BO34-BO46</f>
        <v>2509</v>
      </c>
      <c r="BP59" s="25" t="n">
        <f aca="false">BP34-BP46</f>
        <v>2674</v>
      </c>
      <c r="BQ59" s="25" t="n">
        <f aca="false">BQ34-BQ46</f>
        <v>2744</v>
      </c>
      <c r="BR59" s="25" t="n">
        <f aca="false">BR34-BR46</f>
        <v>2997</v>
      </c>
      <c r="BS59" s="25" t="n">
        <f aca="false">BS34-BS46</f>
        <v>3249</v>
      </c>
      <c r="BT59" s="25" t="n">
        <f aca="false">BT34-BT46</f>
        <v>3565</v>
      </c>
      <c r="BU59" s="25" t="n">
        <f aca="false">BU34-BU46</f>
        <v>3511</v>
      </c>
      <c r="BV59" s="25" t="n">
        <f aca="false">BV34-BV46</f>
        <v>3539</v>
      </c>
      <c r="BW59" s="25" t="n">
        <f aca="false">BW34-BW46</f>
        <v>3675</v>
      </c>
      <c r="BX59" s="25" t="n">
        <f aca="false">BX34-BX46</f>
        <v>4312</v>
      </c>
      <c r="BY59" s="25" t="n">
        <f aca="false">BY34-BY46</f>
        <v>4273</v>
      </c>
      <c r="BZ59" s="25" t="n">
        <f aca="false">BZ34-BZ46</f>
        <v>4940</v>
      </c>
      <c r="CA59" s="34" t="n">
        <f aca="false">CA34-CA46</f>
        <v>5154</v>
      </c>
      <c r="CB59" s="26" t="n">
        <f aca="false">CB34-CB46</f>
        <v>5735.0420508</v>
      </c>
      <c r="CC59" s="26" t="n">
        <f aca="false">CC34-CC46</f>
        <v>6331.8745257814</v>
      </c>
      <c r="CD59" s="26" t="n">
        <f aca="false">CD34-CD46</f>
        <v>7043.7009209564</v>
      </c>
      <c r="CE59" s="26" t="n">
        <f aca="false">CE34-CE46</f>
        <v>7865.4622589039</v>
      </c>
      <c r="CF59" s="26" t="n">
        <f aca="false">CF34-CF46</f>
        <v>8751.78949661405</v>
      </c>
      <c r="CG59" s="26" t="n">
        <f aca="false">CG34-CG46</f>
        <v>9652.13284141833</v>
      </c>
      <c r="CH59" s="26" t="n">
        <f aca="false">CH34-CH46</f>
        <v>10661.8132883278</v>
      </c>
    </row>
    <row r="60" customFormat="false" ht="15" hidden="false" customHeight="true" outlineLevel="0" collapsed="false">
      <c r="A60" s="17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6"/>
      <c r="CC60" s="26"/>
      <c r="CD60" s="26"/>
      <c r="CE60" s="26"/>
      <c r="CF60" s="26"/>
      <c r="CG60" s="26"/>
      <c r="CH60" s="26"/>
    </row>
    <row r="61" customFormat="false" ht="18" hidden="false" customHeight="true" outlineLevel="0" collapsed="false">
      <c r="A61" s="48" t="s">
        <v>187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48"/>
      <c r="CC61" s="48"/>
      <c r="CD61" s="48"/>
      <c r="CE61" s="48"/>
      <c r="CF61" s="48"/>
      <c r="CG61" s="48"/>
      <c r="CH61" s="48"/>
    </row>
    <row r="62" customFormat="false" ht="15" hidden="false" customHeight="true" outlineLevel="0" collapsed="false">
      <c r="A62" s="17" t="s">
        <v>138</v>
      </c>
      <c r="B62" s="25" t="n">
        <f aca="false">B18</f>
        <v>1.845086</v>
      </c>
      <c r="C62" s="25" t="n">
        <f aca="false">C18</f>
        <v>0.994187000000001</v>
      </c>
      <c r="D62" s="25" t="n">
        <f aca="false">D18</f>
        <v>0.590886000000002</v>
      </c>
      <c r="E62" s="25" t="n">
        <f aca="false">E18</f>
        <v>2.785474</v>
      </c>
      <c r="F62" s="25" t="n">
        <f aca="false">F18</f>
        <v>5.322393</v>
      </c>
      <c r="G62" s="25" t="n">
        <f aca="false">G18</f>
        <v>2.067677</v>
      </c>
      <c r="H62" s="25" t="n">
        <f aca="false">H18</f>
        <v>2.947095</v>
      </c>
      <c r="I62" s="25" t="n">
        <f aca="false">I18</f>
        <v>5.875792</v>
      </c>
      <c r="J62" s="25" t="n">
        <f aca="false">J18</f>
        <v>7.921097</v>
      </c>
      <c r="K62" s="25" t="n">
        <f aca="false">K18</f>
        <v>5.391176</v>
      </c>
      <c r="L62" s="25" t="n">
        <f aca="false">L18</f>
        <v>6.679779</v>
      </c>
      <c r="M62" s="25" t="n">
        <f aca="false">M18</f>
        <v>9.85226800000001</v>
      </c>
      <c r="N62" s="25" t="n">
        <f aca="false">N18</f>
        <v>11.28557</v>
      </c>
      <c r="O62" s="25" t="n">
        <f aca="false">O18</f>
        <v>9.620601</v>
      </c>
      <c r="P62" s="25" t="n">
        <f aca="false">P18</f>
        <v>11.673963</v>
      </c>
      <c r="Q62" s="25" t="n">
        <f aca="false">Q18</f>
        <v>18.790963</v>
      </c>
      <c r="R62" s="25" t="n">
        <f aca="false">R18</f>
        <v>15.939493</v>
      </c>
      <c r="S62" s="25" t="n">
        <f aca="false">S18</f>
        <v>14.057634</v>
      </c>
      <c r="T62" s="25" t="n">
        <f aca="false">T18</f>
        <v>14.820826</v>
      </c>
      <c r="U62" s="25" t="n">
        <f aca="false">U18</f>
        <v>26.295925</v>
      </c>
      <c r="V62" s="25" t="n">
        <f aca="false">V18</f>
        <v>21.605666</v>
      </c>
      <c r="W62" s="25" t="n">
        <f aca="false">W18</f>
        <v>19.63461</v>
      </c>
      <c r="X62" s="25" t="n">
        <f aca="false">X18</f>
        <v>25.379192</v>
      </c>
      <c r="Y62" s="25" t="n">
        <f aca="false">Y18</f>
        <v>26.043093</v>
      </c>
      <c r="Z62" s="25" t="n">
        <f aca="false">Z18</f>
        <v>30.190405</v>
      </c>
      <c r="AA62" s="25" t="n">
        <f aca="false">AA18</f>
        <v>17.480253</v>
      </c>
      <c r="AB62" s="25" t="n">
        <f aca="false">AB18</f>
        <v>29.978641</v>
      </c>
      <c r="AC62" s="25" t="n">
        <f aca="false">AC18</f>
        <v>29.284174</v>
      </c>
      <c r="AD62" s="25" t="n">
        <f aca="false">AD18</f>
        <v>40.763491</v>
      </c>
      <c r="AE62" s="25" t="n">
        <f aca="false">AE18</f>
        <v>30.264</v>
      </c>
      <c r="AF62" s="25" t="n">
        <f aca="false">AF18</f>
        <v>-25.595</v>
      </c>
      <c r="AG62" s="25" t="n">
        <f aca="false">AG18</f>
        <v>33.766</v>
      </c>
      <c r="AH62" s="25" t="n">
        <f aca="false">AH18</f>
        <v>34.146</v>
      </c>
      <c r="AI62" s="25" t="n">
        <f aca="false">AI18</f>
        <v>1.72100000000001</v>
      </c>
      <c r="AJ62" s="25" t="n">
        <f aca="false">AJ18</f>
        <v>19.463</v>
      </c>
      <c r="AK62" s="25" t="n">
        <f aca="false">AK18</f>
        <v>45.64</v>
      </c>
      <c r="AL62" s="25" t="n">
        <f aca="false">AL18</f>
        <v>38.965</v>
      </c>
      <c r="AM62" s="25" t="n">
        <f aca="false">AM18</f>
        <v>30.247</v>
      </c>
      <c r="AN62" s="25" t="n">
        <f aca="false">AN18</f>
        <v>15.858</v>
      </c>
      <c r="AO62" s="25" t="n">
        <f aca="false">AO18</f>
        <v>38.912</v>
      </c>
      <c r="AP62" s="25" t="n">
        <f aca="false">AP18</f>
        <v>51.349</v>
      </c>
      <c r="AQ62" s="25" t="n">
        <f aca="false">AQ18</f>
        <v>48.518</v>
      </c>
      <c r="AR62" s="25" t="n">
        <f aca="false">AR18</f>
        <v>5.31600000000001</v>
      </c>
      <c r="AS62" s="25" t="n">
        <f aca="false">AS18</f>
        <v>27.666</v>
      </c>
      <c r="AT62" s="25" t="n">
        <f aca="false">AT18</f>
        <v>-67.72</v>
      </c>
      <c r="AU62" s="25" t="n">
        <f aca="false">AU18</f>
        <v>-12.919</v>
      </c>
      <c r="AV62" s="25" t="n">
        <f aca="false">AV18</f>
        <v>-11.252</v>
      </c>
      <c r="AW62" s="25" t="n">
        <f aca="false">AW18</f>
        <v>-10.078</v>
      </c>
      <c r="AX62" s="25" t="n">
        <f aca="false">AX18</f>
        <v>-2.33599999999998</v>
      </c>
      <c r="AY62" s="25" t="n">
        <f aca="false">AY18</f>
        <v>11.864</v>
      </c>
      <c r="AZ62" s="25" t="n">
        <f aca="false">AZ18</f>
        <v>16.2169999999999</v>
      </c>
      <c r="BA62" s="25" t="n">
        <f aca="false">BA18</f>
        <v>-146.082</v>
      </c>
      <c r="BB62" s="25" t="n">
        <f aca="false">BB18</f>
        <v>-53.998</v>
      </c>
      <c r="BC62" s="25" t="n">
        <f aca="false">BC18</f>
        <v>-21.109</v>
      </c>
      <c r="BD62" s="25" t="n">
        <f aca="false">BD18</f>
        <v>55.947</v>
      </c>
      <c r="BE62" s="25" t="n">
        <f aca="false">BE18</f>
        <v>15.0350000000001</v>
      </c>
      <c r="BF62" s="25" t="n">
        <f aca="false">BF18</f>
        <v>-50.8730000000001</v>
      </c>
      <c r="BG62" s="25" t="n">
        <f aca="false">BG18</f>
        <v>-34</v>
      </c>
      <c r="BH62" s="25" t="n">
        <f aca="false">BH18</f>
        <v>68</v>
      </c>
      <c r="BI62" s="25" t="n">
        <f aca="false">BI18</f>
        <v>95</v>
      </c>
      <c r="BJ62" s="25" t="n">
        <f aca="false">BJ18</f>
        <v>-46</v>
      </c>
      <c r="BK62" s="25" t="n">
        <f aca="false">BK18</f>
        <v>65</v>
      </c>
      <c r="BL62" s="25" t="n">
        <f aca="false">BL18</f>
        <v>123</v>
      </c>
      <c r="BM62" s="25" t="n">
        <f aca="false">BM18</f>
        <v>129</v>
      </c>
      <c r="BN62" s="25" t="n">
        <f aca="false">BN18</f>
        <v>165</v>
      </c>
      <c r="BO62" s="25" t="n">
        <f aca="false">BO18</f>
        <v>201</v>
      </c>
      <c r="BP62" s="25" t="n">
        <f aca="false">BP18</f>
        <v>262</v>
      </c>
      <c r="BQ62" s="25" t="n">
        <f aca="false">BQ18</f>
        <v>359</v>
      </c>
      <c r="BR62" s="25" t="n">
        <f aca="false">BR18</f>
        <v>165</v>
      </c>
      <c r="BS62" s="25" t="n">
        <f aca="false">BS18</f>
        <v>344</v>
      </c>
      <c r="BT62" s="25" t="n">
        <f aca="false">BT18</f>
        <v>531</v>
      </c>
      <c r="BU62" s="25" t="n">
        <f aca="false">BU18</f>
        <v>397</v>
      </c>
      <c r="BV62" s="25" t="n">
        <f aca="false">BV18</f>
        <v>639</v>
      </c>
      <c r="BW62" s="25" t="n">
        <f aca="false">BW18</f>
        <v>494</v>
      </c>
      <c r="BX62" s="25" t="n">
        <f aca="false">BX18</f>
        <v>523</v>
      </c>
      <c r="BY62" s="25" t="n">
        <f aca="false">BY18</f>
        <v>421</v>
      </c>
      <c r="BZ62" s="25" t="n">
        <f aca="false">BZ18</f>
        <v>559</v>
      </c>
      <c r="CA62" s="34" t="n">
        <f aca="false">CA18</f>
        <v>417</v>
      </c>
      <c r="CB62" s="26" t="n">
        <f aca="false">CB18</f>
        <v>505.6559508</v>
      </c>
      <c r="CC62" s="26" t="n">
        <f aca="false">CC18</f>
        <v>624.4835702814</v>
      </c>
      <c r="CD62" s="26" t="n">
        <f aca="false">CD18</f>
        <v>819.216946350001</v>
      </c>
      <c r="CE62" s="26" t="n">
        <f aca="false">CE18</f>
        <v>685.8981696</v>
      </c>
      <c r="CF62" s="26" t="n">
        <f aca="false">CF18</f>
        <v>773.752272288</v>
      </c>
      <c r="CG62" s="26" t="n">
        <f aca="false">CG18</f>
        <v>923.294800771056</v>
      </c>
      <c r="CH62" s="26" t="n">
        <f aca="false">CH18</f>
        <v>1155.96873089702</v>
      </c>
    </row>
    <row r="63" customFormat="false" ht="15" hidden="false" customHeight="true" outlineLevel="0" collapsed="false">
      <c r="A63" s="17" t="s">
        <v>188</v>
      </c>
      <c r="B63" s="18" t="n">
        <v>0.535833</v>
      </c>
      <c r="C63" s="18" t="n">
        <v>0.534556</v>
      </c>
      <c r="D63" s="18" t="n">
        <v>0.566494</v>
      </c>
      <c r="E63" s="18" t="n">
        <v>0.566868</v>
      </c>
      <c r="F63" s="18" t="n">
        <v>0.639731</v>
      </c>
      <c r="G63" s="18" t="n">
        <v>0.70745</v>
      </c>
      <c r="H63" s="18" t="n">
        <v>0.813252</v>
      </c>
      <c r="I63" s="18" t="n">
        <v>0.955148</v>
      </c>
      <c r="J63" s="18" t="n">
        <v>0.859823</v>
      </c>
      <c r="K63" s="18" t="n">
        <v>0.956491</v>
      </c>
      <c r="L63" s="18" t="n">
        <v>0.988891</v>
      </c>
      <c r="M63" s="18" t="n">
        <v>1.013895</v>
      </c>
      <c r="N63" s="18" t="n">
        <v>0.934475</v>
      </c>
      <c r="O63" s="18" t="n">
        <v>0.946873</v>
      </c>
      <c r="P63" s="18" t="n">
        <v>1.24048</v>
      </c>
      <c r="Q63" s="18" t="n">
        <v>1.406803</v>
      </c>
      <c r="R63" s="18" t="n">
        <v>1.327494</v>
      </c>
      <c r="S63" s="18" t="n">
        <v>1.541143</v>
      </c>
      <c r="T63" s="18" t="n">
        <v>1.764652</v>
      </c>
      <c r="U63" s="18" t="n">
        <v>1.943373</v>
      </c>
      <c r="V63" s="18" t="n">
        <v>2.018907</v>
      </c>
      <c r="W63" s="18" t="n">
        <v>1.966624</v>
      </c>
      <c r="X63" s="18" t="n">
        <v>2.090847</v>
      </c>
      <c r="Y63" s="18" t="n">
        <v>2.354739</v>
      </c>
      <c r="Z63" s="18" t="n">
        <v>2.547083</v>
      </c>
      <c r="AA63" s="18" t="n">
        <v>2.621339</v>
      </c>
      <c r="AB63" s="18" t="n">
        <v>2.834684</v>
      </c>
      <c r="AC63" s="18" t="n">
        <v>3.137368</v>
      </c>
      <c r="AD63" s="18" t="n">
        <v>3.285609</v>
      </c>
      <c r="AE63" s="18" t="n">
        <v>3.519</v>
      </c>
      <c r="AF63" s="18" t="n">
        <v>4.064</v>
      </c>
      <c r="AG63" s="18" t="n">
        <v>4.763</v>
      </c>
      <c r="AH63" s="18" t="n">
        <v>4.601</v>
      </c>
      <c r="AI63" s="18" t="n">
        <v>5.081</v>
      </c>
      <c r="AJ63" s="18" t="n">
        <v>5.889</v>
      </c>
      <c r="AK63" s="18" t="n">
        <v>5.986</v>
      </c>
      <c r="AL63" s="18" t="n">
        <v>6.253</v>
      </c>
      <c r="AM63" s="18" t="n">
        <v>6.252</v>
      </c>
      <c r="AN63" s="18" t="n">
        <v>6.926</v>
      </c>
      <c r="AO63" s="18" t="n">
        <v>7.52</v>
      </c>
      <c r="AP63" s="18" t="n">
        <v>8.324</v>
      </c>
      <c r="AQ63" s="18" t="n">
        <v>9.003</v>
      </c>
      <c r="AR63" s="18" t="n">
        <v>10.08</v>
      </c>
      <c r="AS63" s="18" t="n">
        <v>10.87</v>
      </c>
      <c r="AT63" s="18" t="n">
        <v>10.968</v>
      </c>
      <c r="AU63" s="18" t="n">
        <v>11.084</v>
      </c>
      <c r="AV63" s="18" t="n">
        <v>11.482</v>
      </c>
      <c r="AW63" s="18" t="n">
        <v>11.295</v>
      </c>
      <c r="AX63" s="18" t="n">
        <v>11.931</v>
      </c>
      <c r="AY63" s="18" t="n">
        <v>15.694</v>
      </c>
      <c r="AZ63" s="18" t="n">
        <v>17.281</v>
      </c>
      <c r="BA63" s="18" t="n">
        <v>19.543</v>
      </c>
      <c r="BB63" s="18" t="n">
        <v>20.802</v>
      </c>
      <c r="BC63" s="18" t="n">
        <v>21.55</v>
      </c>
      <c r="BD63" s="18" t="n">
        <v>22.652</v>
      </c>
      <c r="BE63" s="18" t="n">
        <v>28.234</v>
      </c>
      <c r="BF63" s="18" t="n">
        <v>32.564</v>
      </c>
      <c r="BG63" s="18" t="n">
        <v>38</v>
      </c>
      <c r="BH63" s="18" t="n">
        <v>47</v>
      </c>
      <c r="BI63" s="18" t="n">
        <v>52</v>
      </c>
      <c r="BJ63" s="18" t="n">
        <v>67</v>
      </c>
      <c r="BK63" s="18" t="n">
        <v>84</v>
      </c>
      <c r="BL63" s="18" t="n">
        <v>100</v>
      </c>
      <c r="BM63" s="18" t="n">
        <v>97</v>
      </c>
      <c r="BN63" s="18" t="n">
        <v>122</v>
      </c>
      <c r="BO63" s="18" t="n">
        <v>126</v>
      </c>
      <c r="BP63" s="18" t="n">
        <v>128</v>
      </c>
      <c r="BQ63" s="18" t="n">
        <v>135</v>
      </c>
      <c r="BR63" s="18" t="n">
        <v>135</v>
      </c>
      <c r="BS63" s="18" t="n">
        <v>154</v>
      </c>
      <c r="BT63" s="18" t="n">
        <v>154</v>
      </c>
      <c r="BU63" s="18" t="n">
        <v>157</v>
      </c>
      <c r="BV63" s="18" t="n">
        <v>152</v>
      </c>
      <c r="BW63" s="18" t="n">
        <v>172</v>
      </c>
      <c r="BX63" s="18" t="n">
        <v>199</v>
      </c>
      <c r="BY63" s="18" t="n">
        <v>209</v>
      </c>
      <c r="BZ63" s="18" t="n">
        <v>238</v>
      </c>
      <c r="CA63" s="19" t="n">
        <v>246</v>
      </c>
      <c r="CB63" s="20" t="n">
        <f aca="false">CB6*'Assumptions (Quarterly)'!F26</f>
        <v>264.78914</v>
      </c>
      <c r="CC63" s="20" t="n">
        <f aca="false">CC6*'Assumptions (Quarterly)'!G26</f>
        <v>293.18477478</v>
      </c>
      <c r="CD63" s="20" t="n">
        <f aca="false">CD6*'Assumptions (Quarterly)'!H26</f>
        <v>337.989635</v>
      </c>
      <c r="CE63" s="20" t="n">
        <f aca="false">CE6*'Assumptions (Quarterly)'!I26</f>
        <v>333.51856</v>
      </c>
      <c r="CF63" s="20" t="n">
        <f aca="false">CF6*'Assumptions (Quarterly)'!J26</f>
        <v>336.2124048</v>
      </c>
      <c r="CG63" s="20" t="n">
        <f aca="false">CG6*'Assumptions (Quarterly)'!K26</f>
        <v>378.761712336</v>
      </c>
      <c r="CH63" s="20" t="n">
        <f aca="false">CH6*'Assumptions (Quarterly)'!L26</f>
        <v>428.453940288</v>
      </c>
    </row>
    <row r="64" customFormat="false" ht="15" hidden="false" customHeight="true" outlineLevel="0" collapsed="false">
      <c r="A64" s="17" t="s">
        <v>189</v>
      </c>
      <c r="B64" s="18" t="n">
        <v>0.009856</v>
      </c>
      <c r="C64" s="18" t="n">
        <v>0.005725</v>
      </c>
      <c r="D64" s="18" t="n">
        <v>0.007823</v>
      </c>
      <c r="E64" s="18" t="n">
        <v>0.008863</v>
      </c>
      <c r="F64" s="18" t="n">
        <v>0.009032</v>
      </c>
      <c r="G64" s="18" t="n">
        <v>0.021299</v>
      </c>
      <c r="H64" s="18" t="n">
        <v>0.027477</v>
      </c>
      <c r="I64" s="18" t="n">
        <v>0.389054</v>
      </c>
      <c r="J64" s="18" t="n">
        <v>0.511752</v>
      </c>
      <c r="K64" s="18" t="n">
        <v>0.22262</v>
      </c>
      <c r="L64" s="18" t="n">
        <v>1.252874</v>
      </c>
      <c r="M64" s="18" t="n">
        <v>-0.258337</v>
      </c>
      <c r="N64" s="18" t="n">
        <v>0.783126</v>
      </c>
      <c r="O64" s="18" t="n">
        <v>0.345872</v>
      </c>
      <c r="P64" s="18" t="n">
        <v>1.207607</v>
      </c>
      <c r="Q64" s="18" t="n">
        <v>1.283056</v>
      </c>
      <c r="R64" s="18" t="n">
        <v>0.680471</v>
      </c>
      <c r="S64" s="18" t="n">
        <v>1.17071</v>
      </c>
      <c r="T64" s="18" t="n">
        <v>1.132832</v>
      </c>
      <c r="U64" s="18" t="n">
        <v>0.223952</v>
      </c>
      <c r="V64" s="18" t="n">
        <v>1.551771</v>
      </c>
      <c r="W64" s="18" t="n">
        <v>1.849633</v>
      </c>
      <c r="X64" s="18" t="n">
        <v>0.353209</v>
      </c>
      <c r="Y64" s="18" t="n">
        <v>1.135526</v>
      </c>
      <c r="Z64" s="18" t="n">
        <v>1.104454</v>
      </c>
      <c r="AA64" s="18" t="n">
        <v>1.710752</v>
      </c>
      <c r="AB64" s="18" t="n">
        <v>2.586791</v>
      </c>
      <c r="AC64" s="18" t="n">
        <v>5.699671</v>
      </c>
      <c r="AD64" s="18" t="n">
        <v>1.647786</v>
      </c>
      <c r="AE64" s="18" t="n">
        <v>0</v>
      </c>
      <c r="AF64" s="18" t="n">
        <v>0</v>
      </c>
      <c r="AG64" s="18" t="n">
        <v>0</v>
      </c>
      <c r="AH64" s="18" t="n">
        <v>11.852</v>
      </c>
      <c r="AI64" s="18" t="n">
        <v>3.327</v>
      </c>
      <c r="AJ64" s="18" t="n">
        <v>5.136</v>
      </c>
      <c r="AK64" s="18" t="n">
        <v>-0.431</v>
      </c>
      <c r="AL64" s="18" t="n">
        <v>2.181</v>
      </c>
      <c r="AM64" s="18" t="n">
        <v>3.19</v>
      </c>
      <c r="AN64" s="18" t="n">
        <v>6.936</v>
      </c>
      <c r="AO64" s="18" t="n">
        <v>9.125</v>
      </c>
      <c r="AP64" s="18" t="n">
        <v>3.732</v>
      </c>
      <c r="AQ64" s="18" t="n">
        <v>9.176</v>
      </c>
      <c r="AR64" s="18" t="n">
        <v>12.892</v>
      </c>
      <c r="AS64" s="18" t="n">
        <v>6.666</v>
      </c>
      <c r="AT64" s="18" t="n">
        <v>6.985</v>
      </c>
      <c r="AU64" s="18" t="n">
        <v>15.737</v>
      </c>
      <c r="AV64" s="18" t="n">
        <v>1.055</v>
      </c>
      <c r="AW64" s="18" t="n">
        <v>10.914</v>
      </c>
      <c r="AX64" s="18" t="n">
        <v>-0.181</v>
      </c>
      <c r="AY64" s="18" t="n">
        <v>13.441</v>
      </c>
      <c r="AZ64" s="18" t="n">
        <v>18.767</v>
      </c>
      <c r="BA64" s="18" t="n">
        <v>16.319</v>
      </c>
      <c r="BB64" s="18" t="n">
        <v>3.53</v>
      </c>
      <c r="BC64" s="18" t="n">
        <v>15.843</v>
      </c>
      <c r="BD64" s="18" t="n">
        <v>36.43</v>
      </c>
      <c r="BE64" s="18" t="n">
        <v>23.417</v>
      </c>
      <c r="BF64" s="18" t="n">
        <v>55.31</v>
      </c>
      <c r="BG64" s="18" t="n">
        <v>22</v>
      </c>
      <c r="BH64" s="18" t="n">
        <v>29</v>
      </c>
      <c r="BI64" s="18" t="n">
        <v>33</v>
      </c>
      <c r="BJ64" s="18" t="n">
        <v>5</v>
      </c>
      <c r="BK64" s="18" t="n">
        <v>30</v>
      </c>
      <c r="BL64" s="18" t="n">
        <v>5</v>
      </c>
      <c r="BM64" s="18" t="n">
        <v>25</v>
      </c>
      <c r="BN64" s="18" t="n">
        <v>24</v>
      </c>
      <c r="BO64" s="18" t="n">
        <v>47</v>
      </c>
      <c r="BP64" s="18" t="n">
        <v>36</v>
      </c>
      <c r="BQ64" s="18" t="n">
        <v>39</v>
      </c>
      <c r="BR64" s="18" t="n">
        <v>45</v>
      </c>
      <c r="BS64" s="18" t="n">
        <v>68</v>
      </c>
      <c r="BT64" s="18" t="n">
        <v>59</v>
      </c>
      <c r="BU64" s="18" t="n">
        <v>83</v>
      </c>
      <c r="BV64" s="18" t="n">
        <v>51</v>
      </c>
      <c r="BW64" s="18" t="n">
        <v>92</v>
      </c>
      <c r="BX64" s="18" t="n">
        <v>96</v>
      </c>
      <c r="BY64" s="18" t="n">
        <v>64</v>
      </c>
      <c r="BZ64" s="18" t="n">
        <v>51</v>
      </c>
      <c r="CA64" s="19" t="n">
        <v>96</v>
      </c>
      <c r="CB64" s="20" t="n">
        <f aca="false">CB6*'Assumptions (Quarterly)'!F27</f>
        <v>100.43726</v>
      </c>
      <c r="CC64" s="20" t="n">
        <f aca="false">CC6*'Assumptions (Quarterly)'!G27</f>
        <v>111.20801802</v>
      </c>
      <c r="CD64" s="20" t="n">
        <f aca="false">CD6*'Assumptions (Quarterly)'!H27</f>
        <v>128.202965</v>
      </c>
      <c r="CE64" s="20" t="n">
        <f aca="false">CE6*'Assumptions (Quarterly)'!I27</f>
        <v>126.50704</v>
      </c>
      <c r="CF64" s="20" t="n">
        <f aca="false">CF6*'Assumptions (Quarterly)'!J27</f>
        <v>127.5288432</v>
      </c>
      <c r="CG64" s="20" t="n">
        <f aca="false">CG6*'Assumptions (Quarterly)'!K27</f>
        <v>138.8792945232</v>
      </c>
      <c r="CH64" s="20" t="n">
        <f aca="false">CH6*'Assumptions (Quarterly)'!L27</f>
        <v>157.0997781056</v>
      </c>
    </row>
    <row r="65" customFormat="false" ht="15" hidden="false" customHeight="true" outlineLevel="0" collapsed="false">
      <c r="A65" s="17" t="s">
        <v>190</v>
      </c>
      <c r="B65" s="18" t="n">
        <v>0.106856</v>
      </c>
      <c r="C65" s="18" t="n">
        <v>0.977798</v>
      </c>
      <c r="D65" s="18" t="n">
        <v>1.852786</v>
      </c>
      <c r="E65" s="18" t="n">
        <v>-0.787294</v>
      </c>
      <c r="F65" s="18" t="n">
        <v>-6.467341</v>
      </c>
      <c r="G65" s="18" t="n">
        <v>4.102245</v>
      </c>
      <c r="H65" s="18" t="n">
        <v>-4.118901</v>
      </c>
      <c r="I65" s="18" t="n">
        <v>2.400382</v>
      </c>
      <c r="J65" s="18" t="n">
        <v>30.298535</v>
      </c>
      <c r="K65" s="18" t="n">
        <v>-1.717406</v>
      </c>
      <c r="L65" s="18" t="n">
        <v>-0.747974</v>
      </c>
      <c r="M65" s="18" t="n">
        <v>3.329422</v>
      </c>
      <c r="N65" s="18" t="n">
        <v>9.734116</v>
      </c>
      <c r="O65" s="18" t="n">
        <v>0.541202</v>
      </c>
      <c r="P65" s="18" t="n">
        <v>0.515172</v>
      </c>
      <c r="Q65" s="18" t="n">
        <v>-5.582932</v>
      </c>
      <c r="R65" s="18" t="n">
        <v>7.959335</v>
      </c>
      <c r="S65" s="18" t="n">
        <v>-1.60051</v>
      </c>
      <c r="T65" s="18" t="n">
        <v>0.845027</v>
      </c>
      <c r="U65" s="18" t="n">
        <v>0.098108</v>
      </c>
      <c r="V65" s="18" t="n">
        <v>1.955615</v>
      </c>
      <c r="W65" s="18" t="n">
        <v>-4.464685</v>
      </c>
      <c r="X65" s="18" t="n">
        <v>11.67936</v>
      </c>
      <c r="Y65" s="18" t="n">
        <v>-4.31401</v>
      </c>
      <c r="Z65" s="18" t="n">
        <v>22.341309</v>
      </c>
      <c r="AA65" s="18" t="n">
        <v>8.279153</v>
      </c>
      <c r="AB65" s="18" t="n">
        <v>-6.329849</v>
      </c>
      <c r="AC65" s="18" t="n">
        <v>25.565475</v>
      </c>
      <c r="AD65" s="18" t="n">
        <v>-26.032338</v>
      </c>
      <c r="AE65" s="18" t="n">
        <v>-6.155</v>
      </c>
      <c r="AF65" s="18" t="n">
        <v>81.81</v>
      </c>
      <c r="AG65" s="18" t="n">
        <v>12.003</v>
      </c>
      <c r="AH65" s="18" t="n">
        <v>7.755</v>
      </c>
      <c r="AI65" s="18" t="n">
        <v>28.05</v>
      </c>
      <c r="AJ65" s="18" t="n">
        <v>28.164</v>
      </c>
      <c r="AK65" s="18" t="n">
        <v>-36.747</v>
      </c>
      <c r="AL65" s="18" t="n">
        <v>62.692</v>
      </c>
      <c r="AM65" s="18" t="n">
        <v>-51.491</v>
      </c>
      <c r="AN65" s="18" t="n">
        <v>26.937</v>
      </c>
      <c r="AO65" s="18" t="n">
        <v>47.27</v>
      </c>
      <c r="AP65" s="18" t="n">
        <v>-20.828</v>
      </c>
      <c r="AQ65" s="18" t="n">
        <v>38.06</v>
      </c>
      <c r="AR65" s="18" t="n">
        <v>93.269</v>
      </c>
      <c r="AS65" s="18" t="n">
        <v>-29.127</v>
      </c>
      <c r="AT65" s="18" t="n">
        <v>76.388</v>
      </c>
      <c r="AU65" s="18" t="n">
        <v>-50.908</v>
      </c>
      <c r="AV65" s="18" t="n">
        <v>142.875</v>
      </c>
      <c r="AW65" s="18" t="n">
        <v>76.816</v>
      </c>
      <c r="AX65" s="18" t="n">
        <v>25.392</v>
      </c>
      <c r="AY65" s="18" t="n">
        <v>97.372</v>
      </c>
      <c r="AZ65" s="18" t="n">
        <v>-24.711</v>
      </c>
      <c r="BA65" s="18" t="n">
        <v>317.112</v>
      </c>
      <c r="BB65" s="18" t="n">
        <v>107.94</v>
      </c>
      <c r="BC65" s="18" t="n">
        <v>-101.935</v>
      </c>
      <c r="BD65" s="18" t="n">
        <v>535.307</v>
      </c>
      <c r="BE65" s="18" t="n">
        <v>294.624</v>
      </c>
      <c r="BF65" s="18" t="n">
        <v>219.004</v>
      </c>
      <c r="BG65" s="18" t="n">
        <v>-291</v>
      </c>
      <c r="BH65" s="18" t="n">
        <v>120</v>
      </c>
      <c r="BI65" s="18" t="n">
        <v>85</v>
      </c>
      <c r="BJ65" s="18" t="n">
        <v>675</v>
      </c>
      <c r="BK65" s="18" t="n">
        <v>-412</v>
      </c>
      <c r="BL65" s="18" t="n">
        <v>679</v>
      </c>
      <c r="BM65" s="18" t="n">
        <v>473</v>
      </c>
      <c r="BN65" s="18" t="n">
        <v>1231</v>
      </c>
      <c r="BO65" s="18" t="n">
        <v>485</v>
      </c>
      <c r="BP65" s="18" t="n">
        <v>986</v>
      </c>
      <c r="BQ65" s="18" t="n">
        <v>408</v>
      </c>
      <c r="BR65" s="18" t="n">
        <v>1583</v>
      </c>
      <c r="BS65" s="18" t="n">
        <v>946</v>
      </c>
      <c r="BT65" s="18" t="n">
        <v>1138</v>
      </c>
      <c r="BU65" s="18" t="n">
        <v>963</v>
      </c>
      <c r="BV65" s="18" t="n">
        <v>2082</v>
      </c>
      <c r="BW65" s="18" t="n">
        <v>273</v>
      </c>
      <c r="BX65" s="18" t="n">
        <v>2099</v>
      </c>
      <c r="BY65" s="18" t="n">
        <v>2265</v>
      </c>
      <c r="BZ65" s="18" t="n">
        <v>4361</v>
      </c>
      <c r="CA65" s="19" t="n">
        <v>1316</v>
      </c>
      <c r="CB65" s="26" t="n">
        <f aca="false">-(CB31-CA31)-(CB32-CA32)-(CB33-CA33)+(CB42-CA42)+(CB45-CA45)+(CB48-CA48)-(CB38-CA38)</f>
        <v>517.076719999998</v>
      </c>
      <c r="CC65" s="26" t="n">
        <f aca="false">-(CC31-CB31)-(CC32-CB32)-(CC33-CB33)+(CC42-CB42)+(CC45-CB45)+(CC48-CB48)-(CC38-CB38)</f>
        <v>1858.93481184</v>
      </c>
      <c r="CD65" s="26" t="n">
        <f aca="false">-(CD31-CC31)-(CD32-CC32)-(CD33-CC33)+(CD42-CC42)+(CD45-CC45)+(CD48-CC48)-(CD38-CC38)</f>
        <v>2551.79322816</v>
      </c>
      <c r="CE65" s="26" t="n">
        <f aca="false">-(CE31-CD31)-(CE32-CD32)-(CE33-CD33)+(CE42-CD42)+(CE45-CD45)+(CE48-CD48)-(CE38-CD38)</f>
        <v>-170.70908</v>
      </c>
      <c r="CF65" s="26" t="n">
        <f aca="false">-(CF31-CE31)-(CF32-CE32)-(CF33-CE33)+(CF42-CE42)+(CF45-CE45)+(CF48-CE48)-(CF38-CE38)</f>
        <v>390.900358399998</v>
      </c>
      <c r="CG65" s="26" t="n">
        <f aca="false">-(CG31-CF31)-(CG32-CF32)-(CG33-CF33)+(CG42-CF42)+(CG45-CF45)+(CG48-CF48)-(CG38-CF38)</f>
        <v>2039.6879620224</v>
      </c>
      <c r="CH65" s="26" t="n">
        <f aca="false">-(CH31-CG31)-(CH32-CG32)-(CH33-CG33)+(CH42-CG42)+(CH45-CG45)+(CH48-CG48)-(CH38-CG38)</f>
        <v>2787.77172831999</v>
      </c>
    </row>
    <row r="66" customFormat="false" ht="15" hidden="false" customHeight="true" outlineLevel="0" collapsed="false">
      <c r="A66" s="21" t="s">
        <v>191</v>
      </c>
      <c r="B66" s="23" t="n">
        <f aca="false">B62+B63+B64+B65</f>
        <v>2.497631</v>
      </c>
      <c r="C66" s="23" t="n">
        <f aca="false">C62+C63+C64+C65</f>
        <v>2.512266</v>
      </c>
      <c r="D66" s="23" t="n">
        <f aca="false">D62+D63+D64+D65</f>
        <v>3.017989</v>
      </c>
      <c r="E66" s="23" t="n">
        <f aca="false">E62+E63+E64+E65</f>
        <v>2.573911</v>
      </c>
      <c r="F66" s="23" t="n">
        <f aca="false">F62+F63+F64+F65</f>
        <v>-0.496185000000001</v>
      </c>
      <c r="G66" s="23" t="n">
        <f aca="false">G62+G63+G64+G65</f>
        <v>6.898671</v>
      </c>
      <c r="H66" s="23" t="n">
        <f aca="false">H62+H63+H64+H65</f>
        <v>-0.331076999999996</v>
      </c>
      <c r="I66" s="23" t="n">
        <f aca="false">I62+I63+I64+I65</f>
        <v>9.620376</v>
      </c>
      <c r="J66" s="23" t="n">
        <f aca="false">J62+J63+J64+J65</f>
        <v>39.591207</v>
      </c>
      <c r="K66" s="23" t="n">
        <f aca="false">K62+K63+K64+K65</f>
        <v>4.852881</v>
      </c>
      <c r="L66" s="23" t="n">
        <f aca="false">L62+L63+L64+L65</f>
        <v>8.17357</v>
      </c>
      <c r="M66" s="23" t="n">
        <f aca="false">M62+M63+M64+M65</f>
        <v>13.937248</v>
      </c>
      <c r="N66" s="23" t="n">
        <f aca="false">N62+N63+N64+N65</f>
        <v>22.737287</v>
      </c>
      <c r="O66" s="23" t="n">
        <f aca="false">O62+O63+O64+O65</f>
        <v>11.454548</v>
      </c>
      <c r="P66" s="23" t="n">
        <f aca="false">P62+P63+P64+P65</f>
        <v>14.637222</v>
      </c>
      <c r="Q66" s="23" t="n">
        <f aca="false">Q62+Q63+Q64+Q65</f>
        <v>15.89789</v>
      </c>
      <c r="R66" s="23" t="n">
        <f aca="false">R62+R63+R64+R65</f>
        <v>25.906793</v>
      </c>
      <c r="S66" s="23" t="n">
        <f aca="false">S62+S63+S64+S65</f>
        <v>15.168977</v>
      </c>
      <c r="T66" s="23" t="n">
        <f aca="false">T62+T63+T64+T65</f>
        <v>18.563337</v>
      </c>
      <c r="U66" s="23" t="n">
        <f aca="false">U62+U63+U64+U65</f>
        <v>28.561358</v>
      </c>
      <c r="V66" s="23" t="n">
        <f aca="false">V62+V63+V64+V65</f>
        <v>27.131959</v>
      </c>
      <c r="W66" s="23" t="n">
        <f aca="false">W62+W63+W64+W65</f>
        <v>18.986182</v>
      </c>
      <c r="X66" s="23" t="n">
        <f aca="false">X62+X63+X64+X65</f>
        <v>39.502608</v>
      </c>
      <c r="Y66" s="23" t="n">
        <f aca="false">Y62+Y63+Y64+Y65</f>
        <v>25.219348</v>
      </c>
      <c r="Z66" s="23" t="n">
        <f aca="false">Z62+Z63+Z64+Z65</f>
        <v>56.183251</v>
      </c>
      <c r="AA66" s="23" t="n">
        <f aca="false">AA62+AA63+AA64+AA65</f>
        <v>30.091497</v>
      </c>
      <c r="AB66" s="23" t="n">
        <f aca="false">AB62+AB63+AB64+AB65</f>
        <v>29.070267</v>
      </c>
      <c r="AC66" s="23" t="n">
        <f aca="false">AC62+AC63+AC64+AC65</f>
        <v>63.686688</v>
      </c>
      <c r="AD66" s="23" t="n">
        <f aca="false">AD62+AD63+AD64+AD65</f>
        <v>19.664548</v>
      </c>
      <c r="AE66" s="23" t="n">
        <f aca="false">AE62+AE63+AE64+AE65</f>
        <v>27.628</v>
      </c>
      <c r="AF66" s="23" t="n">
        <f aca="false">AF62+AF63+AF64+AF65</f>
        <v>60.279</v>
      </c>
      <c r="AG66" s="23" t="n">
        <f aca="false">AG62+AG63+AG64+AG65</f>
        <v>50.532</v>
      </c>
      <c r="AH66" s="23" t="n">
        <f aca="false">AH62+AH63+AH64+AH65</f>
        <v>58.354</v>
      </c>
      <c r="AI66" s="23" t="n">
        <f aca="false">AI62+AI63+AI64+AI65</f>
        <v>38.179</v>
      </c>
      <c r="AJ66" s="23" t="n">
        <f aca="false">AJ62+AJ63+AJ64+AJ65</f>
        <v>58.652</v>
      </c>
      <c r="AK66" s="23" t="n">
        <f aca="false">AK62+AK63+AK64+AK65</f>
        <v>14.448</v>
      </c>
      <c r="AL66" s="23" t="n">
        <f aca="false">AL62+AL63+AL64+AL65</f>
        <v>110.091</v>
      </c>
      <c r="AM66" s="23" t="n">
        <f aca="false">AM62+AM63+AM64+AM65</f>
        <v>-11.802</v>
      </c>
      <c r="AN66" s="23" t="n">
        <f aca="false">AN62+AN63+AN64+AN65</f>
        <v>56.657</v>
      </c>
      <c r="AO66" s="23" t="n">
        <f aca="false">AO62+AO63+AO64+AO65</f>
        <v>102.827</v>
      </c>
      <c r="AP66" s="23" t="n">
        <f aca="false">AP62+AP63+AP64+AP65</f>
        <v>42.577</v>
      </c>
      <c r="AQ66" s="23" t="n">
        <f aca="false">AQ62+AQ63+AQ64+AQ65</f>
        <v>104.757</v>
      </c>
      <c r="AR66" s="23" t="n">
        <f aca="false">AR62+AR63+AR64+AR65</f>
        <v>121.557</v>
      </c>
      <c r="AS66" s="23" t="n">
        <f aca="false">AS62+AS63+AS64+AS65</f>
        <v>16.075</v>
      </c>
      <c r="AT66" s="23" t="n">
        <f aca="false">AT62+AT63+AT64+AT65</f>
        <v>26.621</v>
      </c>
      <c r="AU66" s="23" t="n">
        <f aca="false">AU62+AU63+AU64+AU65</f>
        <v>-37.006</v>
      </c>
      <c r="AV66" s="23" t="n">
        <f aca="false">AV62+AV63+AV64+AV65</f>
        <v>144.16</v>
      </c>
      <c r="AW66" s="23" t="n">
        <f aca="false">AW62+AW63+AW64+AW65</f>
        <v>88.947</v>
      </c>
      <c r="AX66" s="23" t="n">
        <f aca="false">AX62+AX63+AX64+AX65</f>
        <v>34.806</v>
      </c>
      <c r="AY66" s="23" t="n">
        <f aca="false">AY62+AY63+AY64+AY65</f>
        <v>138.371</v>
      </c>
      <c r="AZ66" s="23" t="n">
        <f aca="false">AZ62+AZ63+AZ64+AZ65</f>
        <v>27.5539999999999</v>
      </c>
      <c r="BA66" s="23" t="n">
        <f aca="false">BA62+BA63+BA64+BA65</f>
        <v>206.892</v>
      </c>
      <c r="BB66" s="23" t="n">
        <f aca="false">BB62+BB63+BB64+BB65</f>
        <v>78.274</v>
      </c>
      <c r="BC66" s="23" t="n">
        <f aca="false">BC62+BC63+BC64+BC65</f>
        <v>-85.651</v>
      </c>
      <c r="BD66" s="23" t="n">
        <f aca="false">BD62+BD63+BD64+BD65</f>
        <v>650.336</v>
      </c>
      <c r="BE66" s="23" t="n">
        <f aca="false">BE62+BE63+BE64+BE65</f>
        <v>361.31</v>
      </c>
      <c r="BF66" s="23" t="n">
        <f aca="false">BF62+BF63+BF64+BF65</f>
        <v>256.005</v>
      </c>
      <c r="BG66" s="23" t="n">
        <f aca="false">BG62+BG63+BG64+BG65</f>
        <v>-265</v>
      </c>
      <c r="BH66" s="23" t="n">
        <f aca="false">BH62+BH63+BH64+BH65</f>
        <v>264</v>
      </c>
      <c r="BI66" s="23" t="n">
        <f aca="false">BI62+BI63+BI64+BI65</f>
        <v>265</v>
      </c>
      <c r="BJ66" s="23" t="n">
        <f aca="false">BJ62+BJ63+BJ64+BJ65</f>
        <v>701</v>
      </c>
      <c r="BK66" s="23" t="n">
        <f aca="false">BK62+BK63+BK64+BK65</f>
        <v>-233</v>
      </c>
      <c r="BL66" s="23" t="n">
        <f aca="false">BL62+BL63+BL64+BL65</f>
        <v>907</v>
      </c>
      <c r="BM66" s="23" t="n">
        <f aca="false">BM62+BM63+BM64+BM65</f>
        <v>724</v>
      </c>
      <c r="BN66" s="23" t="n">
        <f aca="false">BN62+BN63+BN64+BN65</f>
        <v>1542</v>
      </c>
      <c r="BO66" s="23" t="n">
        <f aca="false">BO62+BO63+BO64+BO65</f>
        <v>859</v>
      </c>
      <c r="BP66" s="23" t="n">
        <f aca="false">BP62+BP63+BP64+BP65</f>
        <v>1412</v>
      </c>
      <c r="BQ66" s="23" t="n">
        <f aca="false">BQ62+BQ63+BQ64+BQ65</f>
        <v>941</v>
      </c>
      <c r="BR66" s="23" t="n">
        <f aca="false">BR62+BR63+BR64+BR65</f>
        <v>1928</v>
      </c>
      <c r="BS66" s="23" t="n">
        <f aca="false">BS62+BS63+BS64+BS65</f>
        <v>1512</v>
      </c>
      <c r="BT66" s="23" t="n">
        <f aca="false">BT62+BT63+BT64+BT65</f>
        <v>1882</v>
      </c>
      <c r="BU66" s="23" t="n">
        <f aca="false">BU62+BU63+BU64+BU65</f>
        <v>1600</v>
      </c>
      <c r="BV66" s="23" t="n">
        <f aca="false">BV62+BV63+BV64+BV65</f>
        <v>2924</v>
      </c>
      <c r="BW66" s="23" t="n">
        <f aca="false">BW62+BW63+BW64+BW65</f>
        <v>1031</v>
      </c>
      <c r="BX66" s="23" t="n">
        <f aca="false">BX62+BX63+BX64+BX65</f>
        <v>2917</v>
      </c>
      <c r="BY66" s="23" t="n">
        <f aca="false">BY62+BY63+BY64+BY65</f>
        <v>2959</v>
      </c>
      <c r="BZ66" s="23" t="n">
        <f aca="false">BZ62+BZ63+BZ64+BZ65</f>
        <v>5209</v>
      </c>
      <c r="CA66" s="23" t="n">
        <f aca="false">CA62+CA63+CA64+CA65</f>
        <v>2075</v>
      </c>
      <c r="CB66" s="23" t="n">
        <f aca="false">CB62+CB63+CB64+CB65</f>
        <v>1387.9590708</v>
      </c>
      <c r="CC66" s="23" t="n">
        <f aca="false">CC62+CC63+CC64+CC65</f>
        <v>2887.8111749214</v>
      </c>
      <c r="CD66" s="23" t="n">
        <f aca="false">CD62+CD63+CD64+CD65</f>
        <v>3837.20277451</v>
      </c>
      <c r="CE66" s="23" t="n">
        <f aca="false">CE62+CE63+CE64+CE65</f>
        <v>975.214689599999</v>
      </c>
      <c r="CF66" s="23" t="n">
        <f aca="false">CF62+CF63+CF64+CF65</f>
        <v>1628.393878688</v>
      </c>
      <c r="CG66" s="23" t="n">
        <f aca="false">CG62+CG63+CG64+CG65</f>
        <v>3480.62376965266</v>
      </c>
      <c r="CH66" s="23" t="n">
        <f aca="false">CH62+CH63+CH64+CH65</f>
        <v>4529.29417761062</v>
      </c>
    </row>
    <row r="67" customFormat="false" ht="15" hidden="false" customHeight="true" outlineLevel="0" collapsed="false">
      <c r="A67" s="17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6"/>
      <c r="CC67" s="26"/>
      <c r="CD67" s="26"/>
      <c r="CE67" s="26"/>
      <c r="CF67" s="26"/>
      <c r="CG67" s="26"/>
      <c r="CH67" s="26"/>
    </row>
    <row r="68" customFormat="false" ht="15" hidden="false" customHeight="true" outlineLevel="0" collapsed="false">
      <c r="A68" s="17" t="s">
        <v>192</v>
      </c>
      <c r="B68" s="18" t="n">
        <v>-0.673613</v>
      </c>
      <c r="C68" s="18" t="n">
        <v>-0.574291</v>
      </c>
      <c r="D68" s="18" t="n">
        <v>-1.367898</v>
      </c>
      <c r="E68" s="18" t="n">
        <v>-0.119288</v>
      </c>
      <c r="F68" s="18" t="n">
        <v>-0.997336</v>
      </c>
      <c r="G68" s="18" t="n">
        <v>-1.139166</v>
      </c>
      <c r="H68" s="18" t="n">
        <v>-1.536199</v>
      </c>
      <c r="I68" s="18" t="n">
        <v>-1.193944</v>
      </c>
      <c r="J68" s="18" t="n">
        <v>-1.035682</v>
      </c>
      <c r="K68" s="18" t="n">
        <v>-1.720008</v>
      </c>
      <c r="L68" s="18" t="n">
        <v>-0.46235</v>
      </c>
      <c r="M68" s="18" t="n">
        <v>-0.767465</v>
      </c>
      <c r="N68" s="18" t="n">
        <v>-0.848347</v>
      </c>
      <c r="O68" s="18" t="n">
        <v>-1.396672</v>
      </c>
      <c r="P68" s="18" t="n">
        <v>-2.509615</v>
      </c>
      <c r="Q68" s="18" t="n">
        <v>-6.648695</v>
      </c>
      <c r="R68" s="18" t="n">
        <v>-2.659061</v>
      </c>
      <c r="S68" s="18" t="n">
        <v>-2.886154</v>
      </c>
      <c r="T68" s="18" t="n">
        <v>-10.361262</v>
      </c>
      <c r="U68" s="18" t="n">
        <v>-3.836981</v>
      </c>
      <c r="V68" s="18" t="n">
        <v>-1.839764</v>
      </c>
      <c r="W68" s="18" t="n">
        <v>-3.696281</v>
      </c>
      <c r="X68" s="18" t="n">
        <v>-4.627624</v>
      </c>
      <c r="Y68" s="18" t="n">
        <v>-3.358934</v>
      </c>
      <c r="Z68" s="18" t="n">
        <v>-5.064907</v>
      </c>
      <c r="AA68" s="18" t="n">
        <v>-2.861295</v>
      </c>
      <c r="AB68" s="18" t="n">
        <v>-35.232028</v>
      </c>
      <c r="AC68" s="18" t="n">
        <v>-38.002593</v>
      </c>
      <c r="AD68" s="18" t="n">
        <v>-37.660084</v>
      </c>
      <c r="AE68" s="18" t="n">
        <v>-6.966</v>
      </c>
      <c r="AF68" s="18" t="n">
        <v>-7.668</v>
      </c>
      <c r="AG68" s="18" t="n">
        <v>-9.812</v>
      </c>
      <c r="AH68" s="18" t="n">
        <v>-9.98</v>
      </c>
      <c r="AI68" s="18" t="n">
        <v>-7.315</v>
      </c>
      <c r="AJ68" s="18" t="n">
        <v>-16.463</v>
      </c>
      <c r="AK68" s="18" t="n">
        <v>-13.064</v>
      </c>
      <c r="AL68" s="18" t="n">
        <v>-25.688</v>
      </c>
      <c r="AM68" s="18" t="n">
        <v>-15.424</v>
      </c>
      <c r="AN68" s="18" t="n">
        <v>-22.129</v>
      </c>
      <c r="AO68" s="18" t="n">
        <v>-24.086</v>
      </c>
      <c r="AP68" s="18" t="n">
        <v>-15.3</v>
      </c>
      <c r="AQ68" s="18" t="n">
        <v>-12.773</v>
      </c>
      <c r="AR68" s="18" t="n">
        <v>-21.725</v>
      </c>
      <c r="AS68" s="18" t="n">
        <v>-17.559</v>
      </c>
      <c r="AT68" s="18" t="n">
        <v>-22.794</v>
      </c>
      <c r="AU68" s="18" t="n">
        <v>-22.932</v>
      </c>
      <c r="AV68" s="18" t="n">
        <v>-23.586</v>
      </c>
      <c r="AW68" s="18" t="n">
        <v>-23.041</v>
      </c>
      <c r="AX68" s="18" t="n">
        <v>-28.003</v>
      </c>
      <c r="AY68" s="18" t="n">
        <v>-32.928</v>
      </c>
      <c r="AZ68" s="18" t="n">
        <v>-38.433</v>
      </c>
      <c r="BA68" s="18" t="n">
        <v>-29.371</v>
      </c>
      <c r="BB68" s="18" t="n">
        <v>-36.066</v>
      </c>
      <c r="BC68" s="18" t="n">
        <v>-45.175</v>
      </c>
      <c r="BD68" s="18" t="n">
        <v>-49.659</v>
      </c>
      <c r="BE68" s="18" t="n">
        <v>-64.689</v>
      </c>
      <c r="BF68" s="18" t="n">
        <v>-87.477</v>
      </c>
      <c r="BG68" s="18" t="n">
        <v>-113</v>
      </c>
      <c r="BH68" s="18" t="n">
        <v>-150</v>
      </c>
      <c r="BI68" s="18" t="n">
        <v>-162</v>
      </c>
      <c r="BJ68" s="18" t="n">
        <v>-148</v>
      </c>
      <c r="BK68" s="18" t="n">
        <v>-137</v>
      </c>
      <c r="BL68" s="18" t="n">
        <v>-99</v>
      </c>
      <c r="BM68" s="18" t="n">
        <v>-106</v>
      </c>
      <c r="BN68" s="18" t="n">
        <v>-113</v>
      </c>
      <c r="BO68" s="18" t="n">
        <v>-89</v>
      </c>
      <c r="BP68" s="18" t="n">
        <v>-114</v>
      </c>
      <c r="BQ68" s="18" t="n">
        <v>-126</v>
      </c>
      <c r="BR68" s="18" t="n">
        <v>-180</v>
      </c>
      <c r="BS68" s="18" t="n">
        <v>-148</v>
      </c>
      <c r="BT68" s="18" t="n">
        <v>-184</v>
      </c>
      <c r="BU68" s="18" t="n">
        <v>-223</v>
      </c>
      <c r="BV68" s="18" t="n">
        <v>-305</v>
      </c>
      <c r="BW68" s="18" t="n">
        <v>-272</v>
      </c>
      <c r="BX68" s="18" t="n">
        <v>-287</v>
      </c>
      <c r="BY68" s="18" t="n">
        <v>-357</v>
      </c>
      <c r="BZ68" s="18" t="n">
        <v>-427</v>
      </c>
      <c r="CA68" s="19" t="n">
        <v>-271</v>
      </c>
      <c r="CB68" s="20" t="n">
        <f aca="false">-CB6*'Assumptions (Quarterly)'!F28</f>
        <v>-410.8797</v>
      </c>
      <c r="CC68" s="20" t="n">
        <f aca="false">-CC6*'Assumptions (Quarterly)'!G28</f>
        <v>-454.9418919</v>
      </c>
      <c r="CD68" s="20" t="n">
        <f aca="false">-CD6*'Assumptions (Quarterly)'!H28</f>
        <v>-512.81186</v>
      </c>
      <c r="CE68" s="20" t="n">
        <f aca="false">-CE6*'Assumptions (Quarterly)'!I28</f>
        <v>-506.02816</v>
      </c>
      <c r="CF68" s="20" t="n">
        <f aca="false">-CF6*'Assumptions (Quarterly)'!J28</f>
        <v>-498.5218416</v>
      </c>
      <c r="CG68" s="20" t="n">
        <f aca="false">-CG6*'Assumptions (Quarterly)'!K28</f>
        <v>-542.8917876816</v>
      </c>
      <c r="CH68" s="20" t="n">
        <f aca="false">-CH6*'Assumptions (Quarterly)'!L28</f>
        <v>-599.8355164032</v>
      </c>
    </row>
    <row r="69" customFormat="false" ht="15" hidden="false" customHeight="true" outlineLevel="0" collapsed="false">
      <c r="A69" s="17" t="s">
        <v>193</v>
      </c>
      <c r="B69" s="18" t="n">
        <v>0</v>
      </c>
      <c r="C69" s="18" t="n">
        <v>0</v>
      </c>
      <c r="D69" s="18" t="n">
        <v>0</v>
      </c>
      <c r="E69" s="18" t="n">
        <v>0</v>
      </c>
      <c r="F69" s="18" t="n">
        <v>0</v>
      </c>
      <c r="G69" s="18" t="n">
        <v>-16.824065</v>
      </c>
      <c r="H69" s="18" t="n">
        <v>0</v>
      </c>
      <c r="I69" s="18" t="n">
        <v>-22.354384</v>
      </c>
      <c r="J69" s="18" t="n">
        <v>-0.003024</v>
      </c>
      <c r="K69" s="18" t="n">
        <v>0</v>
      </c>
      <c r="L69" s="18" t="n">
        <v>0</v>
      </c>
      <c r="M69" s="18" t="n">
        <v>0</v>
      </c>
      <c r="N69" s="18" t="n">
        <v>0</v>
      </c>
      <c r="O69" s="18" t="n">
        <v>0</v>
      </c>
      <c r="P69" s="18" t="n">
        <v>0</v>
      </c>
      <c r="Q69" s="18" t="n">
        <v>0</v>
      </c>
      <c r="R69" s="18" t="n">
        <v>0</v>
      </c>
      <c r="S69" s="18" t="n">
        <v>0</v>
      </c>
      <c r="T69" s="18" t="n">
        <v>0</v>
      </c>
      <c r="U69" s="18" t="n">
        <v>-5.46818</v>
      </c>
      <c r="V69" s="18" t="n">
        <v>0</v>
      </c>
      <c r="W69" s="18" t="n">
        <v>0</v>
      </c>
      <c r="X69" s="18" t="n">
        <v>0</v>
      </c>
      <c r="Y69" s="18" t="n">
        <v>0</v>
      </c>
      <c r="Z69" s="18" t="n">
        <v>0</v>
      </c>
      <c r="AA69" s="18" t="n">
        <v>-3.224162</v>
      </c>
      <c r="AB69" s="18" t="n">
        <v>0</v>
      </c>
      <c r="AC69" s="18" t="n">
        <v>0</v>
      </c>
      <c r="AD69" s="18" t="n">
        <v>-0.198838</v>
      </c>
      <c r="AE69" s="18" t="n">
        <v>0</v>
      </c>
      <c r="AF69" s="18" t="n">
        <v>-32.127</v>
      </c>
      <c r="AG69" s="18" t="n">
        <v>0</v>
      </c>
      <c r="AH69" s="18" t="n">
        <v>-8.687</v>
      </c>
      <c r="AI69" s="18" t="n">
        <v>0</v>
      </c>
      <c r="AJ69" s="18" t="n">
        <v>-45.009</v>
      </c>
      <c r="AK69" s="18" t="n">
        <v>0</v>
      </c>
      <c r="AL69" s="18" t="n">
        <v>0</v>
      </c>
      <c r="AM69" s="18" t="n">
        <v>-1.838</v>
      </c>
      <c r="AN69" s="18" t="n">
        <v>-5.446</v>
      </c>
      <c r="AO69" s="18" t="n">
        <v>0</v>
      </c>
      <c r="AP69" s="18" t="n">
        <v>0</v>
      </c>
      <c r="AQ69" s="18" t="n">
        <v>0</v>
      </c>
      <c r="AR69" s="18" t="n">
        <v>0</v>
      </c>
      <c r="AS69" s="18" t="n">
        <v>0</v>
      </c>
      <c r="AT69" s="18" t="n">
        <v>-35.798</v>
      </c>
      <c r="AU69" s="18" t="n">
        <v>0</v>
      </c>
      <c r="AV69" s="18" t="n">
        <v>0</v>
      </c>
      <c r="AW69" s="18" t="n">
        <v>-2.281</v>
      </c>
      <c r="AX69" s="18" t="n">
        <v>-1.914</v>
      </c>
      <c r="AY69" s="18" t="n">
        <v>0</v>
      </c>
      <c r="AZ69" s="18" t="n">
        <v>0</v>
      </c>
      <c r="BA69" s="18" t="n">
        <v>0</v>
      </c>
      <c r="BB69" s="18" t="n">
        <v>0</v>
      </c>
      <c r="BC69" s="18" t="n">
        <v>-7.561</v>
      </c>
      <c r="BD69" s="18" t="n">
        <v>0.624</v>
      </c>
      <c r="BE69" s="18" t="n">
        <v>0</v>
      </c>
      <c r="BF69" s="18" t="n">
        <v>-0.063</v>
      </c>
      <c r="BG69" s="18" t="n">
        <v>0</v>
      </c>
      <c r="BH69" s="18" t="n">
        <v>0</v>
      </c>
      <c r="BI69" s="18" t="n">
        <v>-5</v>
      </c>
      <c r="BJ69" s="18" t="n">
        <v>-51</v>
      </c>
      <c r="BK69" s="18" t="n">
        <v>0</v>
      </c>
      <c r="BL69" s="18" t="n">
        <v>0</v>
      </c>
      <c r="BM69" s="18" t="n">
        <v>0</v>
      </c>
      <c r="BN69" s="18" t="n">
        <v>0</v>
      </c>
      <c r="BO69" s="18" t="n">
        <v>0</v>
      </c>
      <c r="BP69" s="18" t="n">
        <v>0</v>
      </c>
      <c r="BQ69" s="18" t="n">
        <v>0</v>
      </c>
      <c r="BR69" s="18" t="n">
        <v>0</v>
      </c>
      <c r="BS69" s="18" t="n">
        <v>0</v>
      </c>
      <c r="BT69" s="18" t="n">
        <v>0</v>
      </c>
      <c r="BU69" s="18" t="n">
        <v>0</v>
      </c>
      <c r="BV69" s="18" t="n">
        <v>-6</v>
      </c>
      <c r="BW69" s="18" t="n">
        <v>0</v>
      </c>
      <c r="BX69" s="18" t="n">
        <v>0</v>
      </c>
      <c r="BY69" s="18" t="n">
        <v>0</v>
      </c>
      <c r="BZ69" s="18" t="n">
        <v>0</v>
      </c>
      <c r="CA69" s="19" t="n">
        <v>0</v>
      </c>
      <c r="CB69" s="20" t="n">
        <f aca="false">'Assumptions (Quarterly)'!F29</f>
        <v>0</v>
      </c>
      <c r="CC69" s="20" t="n">
        <f aca="false">'Assumptions (Quarterly)'!G29</f>
        <v>0</v>
      </c>
      <c r="CD69" s="20" t="n">
        <f aca="false">'Assumptions (Quarterly)'!H29</f>
        <v>0</v>
      </c>
      <c r="CE69" s="20" t="n">
        <f aca="false">'Assumptions (Quarterly)'!I29</f>
        <v>0</v>
      </c>
      <c r="CF69" s="20" t="n">
        <f aca="false">'Assumptions (Quarterly)'!J29</f>
        <v>0</v>
      </c>
      <c r="CG69" s="20" t="n">
        <f aca="false">'Assumptions (Quarterly)'!K29</f>
        <v>0</v>
      </c>
      <c r="CH69" s="20" t="n">
        <f aca="false">'Assumptions (Quarterly)'!L29</f>
        <v>0</v>
      </c>
    </row>
    <row r="70" customFormat="false" ht="15" hidden="false" customHeight="true" outlineLevel="0" collapsed="false">
      <c r="A70" s="17" t="s">
        <v>194</v>
      </c>
      <c r="B70" s="18" t="n">
        <v>0.115531</v>
      </c>
      <c r="C70" s="18" t="n">
        <v>-2.669171</v>
      </c>
      <c r="D70" s="18" t="n">
        <v>0.913499</v>
      </c>
      <c r="E70" s="18" t="n">
        <v>-40.549478</v>
      </c>
      <c r="F70" s="18" t="n">
        <v>-4.041538</v>
      </c>
      <c r="G70" s="18" t="n">
        <v>14.977998</v>
      </c>
      <c r="H70" s="18" t="n">
        <v>6.669243</v>
      </c>
      <c r="I70" s="18" t="n">
        <v>9.331976</v>
      </c>
      <c r="J70" s="18" t="n">
        <v>-25.693054</v>
      </c>
      <c r="K70" s="18" t="n">
        <v>-2.795175</v>
      </c>
      <c r="L70" s="18" t="n">
        <v>-3.215991</v>
      </c>
      <c r="M70" s="18" t="n">
        <v>8.398758</v>
      </c>
      <c r="N70" s="18" t="n">
        <v>-0.720016</v>
      </c>
      <c r="O70" s="18" t="n">
        <v>-21.630901</v>
      </c>
      <c r="P70" s="18" t="n">
        <v>-15.761137</v>
      </c>
      <c r="Q70" s="18" t="n">
        <v>3.199174</v>
      </c>
      <c r="R70" s="18" t="n">
        <v>-11.010664</v>
      </c>
      <c r="S70" s="18" t="n">
        <v>-18.246195</v>
      </c>
      <c r="T70" s="18" t="n">
        <v>-11.655533</v>
      </c>
      <c r="U70" s="18" t="n">
        <v>0.861168</v>
      </c>
      <c r="V70" s="18" t="n">
        <v>-13.168809</v>
      </c>
      <c r="W70" s="18" t="n">
        <v>-3.075129</v>
      </c>
      <c r="X70" s="18" t="n">
        <v>-15.461008</v>
      </c>
      <c r="Y70" s="18" t="n">
        <v>-5.767068</v>
      </c>
      <c r="Z70" s="18" t="n">
        <v>-42.180577</v>
      </c>
      <c r="AA70" s="18" t="n">
        <v>9.891804</v>
      </c>
      <c r="AB70" s="18" t="n">
        <v>27.520612</v>
      </c>
      <c r="AC70" s="18" t="n">
        <v>-36.468588</v>
      </c>
      <c r="AD70" s="18" t="n">
        <v>37.905172</v>
      </c>
      <c r="AE70" s="18" t="n">
        <v>-7.035</v>
      </c>
      <c r="AF70" s="18" t="n">
        <v>-21.27</v>
      </c>
      <c r="AG70" s="18" t="n">
        <v>-186.213</v>
      </c>
      <c r="AH70" s="18" t="n">
        <v>-31.776</v>
      </c>
      <c r="AI70" s="18" t="n">
        <v>11.566</v>
      </c>
      <c r="AJ70" s="18" t="n">
        <v>-36.144</v>
      </c>
      <c r="AK70" s="18" t="n">
        <v>13.073</v>
      </c>
      <c r="AL70" s="18" t="n">
        <v>-62.748</v>
      </c>
      <c r="AM70" s="18" t="n">
        <v>18.05</v>
      </c>
      <c r="AN70" s="18" t="n">
        <v>-11.809</v>
      </c>
      <c r="AO70" s="18" t="n">
        <v>-29.183</v>
      </c>
      <c r="AP70" s="18" t="n">
        <v>23.353</v>
      </c>
      <c r="AQ70" s="18" t="n">
        <v>-26.357</v>
      </c>
      <c r="AR70" s="18" t="n">
        <v>19.858</v>
      </c>
      <c r="AS70" s="18" t="n">
        <v>150.458</v>
      </c>
      <c r="AT70" s="18" t="n">
        <v>-55.918</v>
      </c>
      <c r="AU70" s="18" t="n">
        <v>-1.068</v>
      </c>
      <c r="AV70" s="18" t="n">
        <v>76.7</v>
      </c>
      <c r="AW70" s="18" t="n">
        <v>18.572</v>
      </c>
      <c r="AX70" s="18" t="n">
        <v>-664.714</v>
      </c>
      <c r="AY70" s="18" t="n">
        <v>-1227.123</v>
      </c>
      <c r="AZ70" s="18" t="n">
        <v>-116.428</v>
      </c>
      <c r="BA70" s="18" t="n">
        <v>170.94</v>
      </c>
      <c r="BB70" s="18" t="n">
        <v>-138.309</v>
      </c>
      <c r="BC70" s="18" t="n">
        <v>-97.253</v>
      </c>
      <c r="BD70" s="18" t="n">
        <v>-348.917</v>
      </c>
      <c r="BE70" s="18" t="n">
        <v>-225.407</v>
      </c>
      <c r="BF70" s="18" t="n">
        <v>673.577</v>
      </c>
      <c r="BG70" s="18" t="n">
        <v>23</v>
      </c>
      <c r="BH70" s="18" t="n">
        <v>4</v>
      </c>
      <c r="BI70" s="18" t="n">
        <v>-455</v>
      </c>
      <c r="BJ70" s="18" t="n">
        <v>-504</v>
      </c>
      <c r="BK70" s="18" t="n">
        <v>-1087</v>
      </c>
      <c r="BL70" s="18" t="n">
        <v>-1237</v>
      </c>
      <c r="BM70" s="18" t="n">
        <v>-558</v>
      </c>
      <c r="BN70" s="18" t="n">
        <v>-534</v>
      </c>
      <c r="BO70" s="18" t="n">
        <v>-449</v>
      </c>
      <c r="BP70" s="18" t="n">
        <v>-554</v>
      </c>
      <c r="BQ70" s="18" t="n">
        <v>-1204</v>
      </c>
      <c r="BR70" s="18" t="n">
        <v>-734</v>
      </c>
      <c r="BS70" s="18" t="n">
        <v>-1318</v>
      </c>
      <c r="BT70" s="18" t="n">
        <v>-1901</v>
      </c>
      <c r="BU70" s="18" t="n">
        <v>-2385</v>
      </c>
      <c r="BV70" s="18" t="n">
        <v>-1817</v>
      </c>
      <c r="BW70" s="18" t="n">
        <v>-1570</v>
      </c>
      <c r="BX70" s="18" t="n">
        <v>-938</v>
      </c>
      <c r="BY70" s="18" t="n">
        <v>-754</v>
      </c>
      <c r="BZ70" s="18" t="n">
        <v>-1649</v>
      </c>
      <c r="CA70" s="19" t="n">
        <v>-1200</v>
      </c>
      <c r="CB70" s="26" t="n">
        <f aca="false">-((CB29-CA29)+(CB36-CA36))</f>
        <v>-423.554200000001</v>
      </c>
      <c r="CC70" s="26" t="n">
        <f aca="false">-((CC29-CB29)+(CC36-CB36))</f>
        <v>-1197.216307</v>
      </c>
      <c r="CD70" s="26" t="n">
        <f aca="false">-((CD29-CC29)+(CD36-CC36))</f>
        <v>-1562.41558675</v>
      </c>
      <c r="CE70" s="26" t="n">
        <f aca="false">-((CE29-CD29)+(CE36-CD36))</f>
        <v>139.529335156252</v>
      </c>
      <c r="CF70" s="26" t="n">
        <f aca="false">-((CF29-CE29)+(CF36-CE36))</f>
        <v>48.6914450351574</v>
      </c>
      <c r="CG70" s="26" t="n">
        <f aca="false">-((CG29-CF29)+(CG36-CF36))</f>
        <v>-1132.25311655097</v>
      </c>
      <c r="CH70" s="26" t="n">
        <f aca="false">-((CH29-CG29)+(CH36-CG36))</f>
        <v>-1867.01827659194</v>
      </c>
    </row>
    <row r="71" customFormat="false" ht="15" hidden="false" customHeight="true" outlineLevel="0" collapsed="false">
      <c r="A71" s="17" t="s">
        <v>195</v>
      </c>
      <c r="B71" s="18" t="n">
        <v>-0.087575</v>
      </c>
      <c r="C71" s="18" t="n">
        <v>-0.021027</v>
      </c>
      <c r="D71" s="18" t="n">
        <v>0.000848</v>
      </c>
      <c r="E71" s="18" t="n">
        <v>-0.027282</v>
      </c>
      <c r="F71" s="18" t="n">
        <v>0.018713</v>
      </c>
      <c r="G71" s="18" t="n">
        <v>-0.007344</v>
      </c>
      <c r="H71" s="18" t="n">
        <v>-0.051754</v>
      </c>
      <c r="I71" s="18" t="n">
        <v>0.00086</v>
      </c>
      <c r="J71" s="18" t="n">
        <v>0</v>
      </c>
      <c r="K71" s="18" t="n">
        <v>-0.918479</v>
      </c>
      <c r="L71" s="18" t="n">
        <v>-0.034685</v>
      </c>
      <c r="M71" s="18" t="n">
        <v>0.006664</v>
      </c>
      <c r="N71" s="18" t="n">
        <v>-0.009179</v>
      </c>
      <c r="O71" s="18" t="n">
        <v>-0.012865</v>
      </c>
      <c r="P71" s="18" t="n">
        <v>0.000132</v>
      </c>
      <c r="Q71" s="18" t="n">
        <v>-5.5E-005</v>
      </c>
      <c r="R71" s="18" t="n">
        <v>-0.403662</v>
      </c>
      <c r="S71" s="18" t="n">
        <v>-0.073405</v>
      </c>
      <c r="T71" s="18" t="n">
        <v>-0.035418</v>
      </c>
      <c r="U71" s="18" t="n">
        <v>-0.010439</v>
      </c>
      <c r="V71" s="18" t="n">
        <v>-0.161444</v>
      </c>
      <c r="W71" s="18" t="n">
        <v>-0.031508</v>
      </c>
      <c r="X71" s="18" t="n">
        <v>-1.35923</v>
      </c>
      <c r="Y71" s="18" t="n">
        <v>0.048949</v>
      </c>
      <c r="Z71" s="18" t="n">
        <v>-0.048865</v>
      </c>
      <c r="AA71" s="18" t="n">
        <v>0</v>
      </c>
      <c r="AB71" s="18" t="n">
        <v>-0.012657</v>
      </c>
      <c r="AC71" s="18" t="n">
        <v>0.012657</v>
      </c>
      <c r="AD71" s="18" t="n">
        <v>-0.459</v>
      </c>
      <c r="AE71" s="18" t="n">
        <v>-0.144</v>
      </c>
      <c r="AF71" s="18" t="n">
        <v>-1.807</v>
      </c>
      <c r="AG71" s="18" t="n">
        <v>1.408</v>
      </c>
      <c r="AH71" s="18" t="n">
        <v>-0.314</v>
      </c>
      <c r="AI71" s="18" t="n">
        <v>-0.942</v>
      </c>
      <c r="AJ71" s="18" t="n">
        <v>-0.425</v>
      </c>
      <c r="AK71" s="18" t="n">
        <v>-0.135</v>
      </c>
      <c r="AL71" s="18" t="n">
        <v>-0.244</v>
      </c>
      <c r="AM71" s="18" t="n">
        <v>-0.011</v>
      </c>
      <c r="AN71" s="18" t="n">
        <v>-0.038</v>
      </c>
      <c r="AO71" s="18" t="n">
        <v>0</v>
      </c>
      <c r="AP71" s="18" t="n">
        <v>-0.382</v>
      </c>
      <c r="AQ71" s="18" t="n">
        <v>-0.017</v>
      </c>
      <c r="AR71" s="18" t="n">
        <v>-0.057</v>
      </c>
      <c r="AS71" s="18" t="n">
        <v>-0.01</v>
      </c>
      <c r="AT71" s="18" t="n">
        <v>0.051</v>
      </c>
      <c r="AU71" s="18" t="n">
        <v>-0.097</v>
      </c>
      <c r="AV71" s="18" t="n">
        <v>-0.145</v>
      </c>
      <c r="AW71" s="18" t="n">
        <v>0.025</v>
      </c>
      <c r="AX71" s="18" t="n">
        <v>0.025</v>
      </c>
      <c r="AY71" s="18" t="n">
        <v>-0.034</v>
      </c>
      <c r="AZ71" s="18" t="n">
        <v>0</v>
      </c>
      <c r="BA71" s="18" t="n">
        <v>-0.016</v>
      </c>
      <c r="BB71" s="18" t="n">
        <v>-0.022</v>
      </c>
      <c r="BC71" s="18" t="n">
        <v>-0.093</v>
      </c>
      <c r="BD71" s="18" t="n">
        <v>0.006</v>
      </c>
      <c r="BE71" s="18" t="n">
        <v>-0.006</v>
      </c>
      <c r="BF71" s="18" t="n">
        <v>0.093</v>
      </c>
      <c r="BG71" s="18" t="n">
        <v>-8</v>
      </c>
      <c r="BH71" s="18" t="n">
        <v>-12</v>
      </c>
      <c r="BI71" s="18" t="n">
        <v>-9</v>
      </c>
      <c r="BJ71" s="18" t="n">
        <v>-7</v>
      </c>
      <c r="BK71" s="18" t="n">
        <v>0</v>
      </c>
      <c r="BL71" s="18" t="n">
        <v>-1</v>
      </c>
      <c r="BM71" s="18" t="n">
        <v>0</v>
      </c>
      <c r="BN71" s="18" t="n">
        <v>1</v>
      </c>
      <c r="BO71" s="18" t="n">
        <v>0</v>
      </c>
      <c r="BP71" s="18" t="n">
        <v>0</v>
      </c>
      <c r="BQ71" s="18" t="n">
        <v>0</v>
      </c>
      <c r="BR71" s="18" t="n">
        <v>0</v>
      </c>
      <c r="BS71" s="18" t="n">
        <v>0</v>
      </c>
      <c r="BT71" s="18" t="n">
        <v>0</v>
      </c>
      <c r="BU71" s="18" t="n">
        <v>0</v>
      </c>
      <c r="BV71" s="18" t="n">
        <v>0</v>
      </c>
      <c r="BW71" s="18" t="n">
        <v>0</v>
      </c>
      <c r="BX71" s="18" t="n">
        <v>0</v>
      </c>
      <c r="BY71" s="18" t="n">
        <v>0</v>
      </c>
      <c r="BZ71" s="18" t="n">
        <v>75</v>
      </c>
      <c r="CA71" s="19" t="n">
        <v>0</v>
      </c>
      <c r="CB71" s="39" t="n">
        <v>0</v>
      </c>
      <c r="CC71" s="39" t="n">
        <v>0</v>
      </c>
      <c r="CD71" s="39" t="n">
        <v>0</v>
      </c>
      <c r="CE71" s="39" t="n">
        <v>0</v>
      </c>
      <c r="CF71" s="39" t="n">
        <v>0</v>
      </c>
      <c r="CG71" s="39" t="n">
        <v>0</v>
      </c>
      <c r="CH71" s="39" t="n">
        <v>0</v>
      </c>
    </row>
    <row r="72" customFormat="false" ht="15" hidden="false" customHeight="true" outlineLevel="0" collapsed="false">
      <c r="A72" s="21" t="s">
        <v>196</v>
      </c>
      <c r="B72" s="22" t="n">
        <f aca="false">B68+B69+B70+B71</f>
        <v>-0.645657</v>
      </c>
      <c r="C72" s="22" t="n">
        <f aca="false">C68+C69+C70+C71</f>
        <v>-3.264489</v>
      </c>
      <c r="D72" s="22" t="n">
        <f aca="false">D68+D69+D70+D71</f>
        <v>-0.453551</v>
      </c>
      <c r="E72" s="22" t="n">
        <f aca="false">E68+E69+E70+E71</f>
        <v>-40.696048</v>
      </c>
      <c r="F72" s="22" t="n">
        <f aca="false">F68+F69+F70+F71</f>
        <v>-5.020161</v>
      </c>
      <c r="G72" s="22" t="n">
        <f aca="false">G68+G69+G70+G71</f>
        <v>-2.992577</v>
      </c>
      <c r="H72" s="22" t="n">
        <f aca="false">H68+H69+H70+H71</f>
        <v>5.08129</v>
      </c>
      <c r="I72" s="22" t="n">
        <f aca="false">I68+I69+I70+I71</f>
        <v>-14.215492</v>
      </c>
      <c r="J72" s="22" t="n">
        <f aca="false">J68+J69+J70+J71</f>
        <v>-26.73176</v>
      </c>
      <c r="K72" s="22" t="n">
        <f aca="false">K68+K69+K70+K71</f>
        <v>-5.433662</v>
      </c>
      <c r="L72" s="22" t="n">
        <f aca="false">L68+L69+L70+L71</f>
        <v>-3.713026</v>
      </c>
      <c r="M72" s="22" t="n">
        <f aca="false">M68+M69+M70+M71</f>
        <v>7.637957</v>
      </c>
      <c r="N72" s="22" t="n">
        <f aca="false">N68+N69+N70+N71</f>
        <v>-1.577542</v>
      </c>
      <c r="O72" s="22" t="n">
        <f aca="false">O68+O69+O70+O71</f>
        <v>-23.040438</v>
      </c>
      <c r="P72" s="22" t="n">
        <f aca="false">P68+P69+P70+P71</f>
        <v>-18.27062</v>
      </c>
      <c r="Q72" s="22" t="n">
        <f aca="false">Q68+Q69+Q70+Q71</f>
        <v>-3.449576</v>
      </c>
      <c r="R72" s="22" t="n">
        <f aca="false">R68+R69+R70+R71</f>
        <v>-14.073387</v>
      </c>
      <c r="S72" s="22" t="n">
        <f aca="false">S68+S69+S70+S71</f>
        <v>-21.205754</v>
      </c>
      <c r="T72" s="22" t="n">
        <f aca="false">T68+T69+T70+T71</f>
        <v>-22.052213</v>
      </c>
      <c r="U72" s="22" t="n">
        <f aca="false">U68+U69+U70+U71</f>
        <v>-8.454432</v>
      </c>
      <c r="V72" s="22" t="n">
        <f aca="false">V68+V69+V70+V71</f>
        <v>-15.170017</v>
      </c>
      <c r="W72" s="22" t="n">
        <f aca="false">W68+W69+W70+W71</f>
        <v>-6.802918</v>
      </c>
      <c r="X72" s="22" t="n">
        <f aca="false">X68+X69+X70+X71</f>
        <v>-21.447862</v>
      </c>
      <c r="Y72" s="22" t="n">
        <f aca="false">Y68+Y69+Y70+Y71</f>
        <v>-9.077053</v>
      </c>
      <c r="Z72" s="22" t="n">
        <f aca="false">Z68+Z69+Z70+Z71</f>
        <v>-47.294349</v>
      </c>
      <c r="AA72" s="22" t="n">
        <f aca="false">AA68+AA69+AA70+AA71</f>
        <v>3.806347</v>
      </c>
      <c r="AB72" s="22" t="n">
        <f aca="false">AB68+AB69+AB70+AB71</f>
        <v>-7.724073</v>
      </c>
      <c r="AC72" s="22" t="n">
        <f aca="false">AC68+AC69+AC70+AC71</f>
        <v>-74.458524</v>
      </c>
      <c r="AD72" s="22" t="n">
        <f aca="false">AD68+AD69+AD70+AD71</f>
        <v>-0.412749999999999</v>
      </c>
      <c r="AE72" s="22" t="n">
        <f aca="false">AE68+AE69+AE70+AE71</f>
        <v>-14.145</v>
      </c>
      <c r="AF72" s="22" t="n">
        <f aca="false">AF68+AF69+AF70+AF71</f>
        <v>-62.872</v>
      </c>
      <c r="AG72" s="22" t="n">
        <f aca="false">AG68+AG69+AG70+AG71</f>
        <v>-194.617</v>
      </c>
      <c r="AH72" s="22" t="n">
        <f aca="false">AH68+AH69+AH70+AH71</f>
        <v>-50.757</v>
      </c>
      <c r="AI72" s="22" t="n">
        <f aca="false">AI68+AI69+AI70+AI71</f>
        <v>3.309</v>
      </c>
      <c r="AJ72" s="22" t="n">
        <f aca="false">AJ68+AJ69+AJ70+AJ71</f>
        <v>-98.041</v>
      </c>
      <c r="AK72" s="22" t="n">
        <f aca="false">AK68+AK69+AK70+AK71</f>
        <v>-0.126</v>
      </c>
      <c r="AL72" s="22" t="n">
        <f aca="false">AL68+AL69+AL70+AL71</f>
        <v>-88.68</v>
      </c>
      <c r="AM72" s="22" t="n">
        <f aca="false">AM68+AM69+AM70+AM71</f>
        <v>0.777</v>
      </c>
      <c r="AN72" s="22" t="n">
        <f aca="false">AN68+AN69+AN70+AN71</f>
        <v>-39.422</v>
      </c>
      <c r="AO72" s="22" t="n">
        <f aca="false">AO68+AO69+AO70+AO71</f>
        <v>-53.269</v>
      </c>
      <c r="AP72" s="22" t="n">
        <f aca="false">AP68+AP69+AP70+AP71</f>
        <v>7.671</v>
      </c>
      <c r="AQ72" s="22" t="n">
        <f aca="false">AQ68+AQ69+AQ70+AQ71</f>
        <v>-39.147</v>
      </c>
      <c r="AR72" s="22" t="n">
        <f aca="false">AR68+AR69+AR70+AR71</f>
        <v>-1.924</v>
      </c>
      <c r="AS72" s="22" t="n">
        <f aca="false">AS68+AS69+AS70+AS71</f>
        <v>132.889</v>
      </c>
      <c r="AT72" s="22" t="n">
        <f aca="false">AT68+AT69+AT70+AT71</f>
        <v>-114.459</v>
      </c>
      <c r="AU72" s="22" t="n">
        <f aca="false">AU68+AU69+AU70+AU71</f>
        <v>-24.097</v>
      </c>
      <c r="AV72" s="22" t="n">
        <f aca="false">AV68+AV69+AV70+AV71</f>
        <v>52.969</v>
      </c>
      <c r="AW72" s="22" t="n">
        <f aca="false">AW68+AW69+AW70+AW71</f>
        <v>-6.725</v>
      </c>
      <c r="AX72" s="22" t="n">
        <f aca="false">AX68+AX69+AX70+AX71</f>
        <v>-694.606</v>
      </c>
      <c r="AY72" s="22" t="n">
        <f aca="false">AY68+AY69+AY70+AY71</f>
        <v>-1260.085</v>
      </c>
      <c r="AZ72" s="22" t="n">
        <f aca="false">AZ68+AZ69+AZ70+AZ71</f>
        <v>-154.861</v>
      </c>
      <c r="BA72" s="22" t="n">
        <f aca="false">BA68+BA69+BA70+BA71</f>
        <v>141.553</v>
      </c>
      <c r="BB72" s="22" t="n">
        <f aca="false">BB68+BB69+BB70+BB71</f>
        <v>-174.397</v>
      </c>
      <c r="BC72" s="22" t="n">
        <f aca="false">BC68+BC69+BC70+BC71</f>
        <v>-150.082</v>
      </c>
      <c r="BD72" s="22" t="n">
        <f aca="false">BD68+BD69+BD70+BD71</f>
        <v>-397.946</v>
      </c>
      <c r="BE72" s="22" t="n">
        <f aca="false">BE68+BE69+BE70+BE71</f>
        <v>-290.102</v>
      </c>
      <c r="BF72" s="22" t="n">
        <f aca="false">BF68+BF69+BF70+BF71</f>
        <v>586.13</v>
      </c>
      <c r="BG72" s="22" t="n">
        <f aca="false">BG68+BG69+BG70+BG71</f>
        <v>-98</v>
      </c>
      <c r="BH72" s="22" t="n">
        <f aca="false">BH68+BH69+BH70+BH71</f>
        <v>-158</v>
      </c>
      <c r="BI72" s="22" t="n">
        <f aca="false">BI68+BI69+BI70+BI71</f>
        <v>-631</v>
      </c>
      <c r="BJ72" s="22" t="n">
        <f aca="false">BJ68+BJ69+BJ70+BJ71</f>
        <v>-710</v>
      </c>
      <c r="BK72" s="22" t="n">
        <f aca="false">BK68+BK69+BK70+BK71</f>
        <v>-1224</v>
      </c>
      <c r="BL72" s="22" t="n">
        <f aca="false">BL68+BL69+BL70+BL71</f>
        <v>-1337</v>
      </c>
      <c r="BM72" s="22" t="n">
        <f aca="false">BM68+BM69+BM70+BM71</f>
        <v>-664</v>
      </c>
      <c r="BN72" s="22" t="n">
        <f aca="false">BN68+BN69+BN70+BN71</f>
        <v>-646</v>
      </c>
      <c r="BO72" s="22" t="n">
        <f aca="false">BO68+BO69+BO70+BO71</f>
        <v>-538</v>
      </c>
      <c r="BP72" s="22" t="n">
        <f aca="false">BP68+BP69+BP70+BP71</f>
        <v>-668</v>
      </c>
      <c r="BQ72" s="22" t="n">
        <f aca="false">BQ68+BQ69+BQ70+BQ71</f>
        <v>-1330</v>
      </c>
      <c r="BR72" s="22" t="n">
        <f aca="false">BR68+BR69+BR70+BR71</f>
        <v>-914</v>
      </c>
      <c r="BS72" s="22" t="n">
        <f aca="false">BS68+BS69+BS70+BS71</f>
        <v>-1466</v>
      </c>
      <c r="BT72" s="22" t="n">
        <f aca="false">BT68+BT69+BT70+BT71</f>
        <v>-2085</v>
      </c>
      <c r="BU72" s="22" t="n">
        <f aca="false">BU68+BU69+BU70+BU71</f>
        <v>-2608</v>
      </c>
      <c r="BV72" s="22" t="n">
        <f aca="false">BV68+BV69+BV70+BV71</f>
        <v>-2128</v>
      </c>
      <c r="BW72" s="22" t="n">
        <f aca="false">BW68+BW69+BW70+BW71</f>
        <v>-1842</v>
      </c>
      <c r="BX72" s="22" t="n">
        <f aca="false">BX68+BX69+BX70+BX71</f>
        <v>-1225</v>
      </c>
      <c r="BY72" s="22" t="n">
        <f aca="false">BY68+BY69+BY70+BY71</f>
        <v>-1111</v>
      </c>
      <c r="BZ72" s="22" t="n">
        <f aca="false">BZ68+BZ69+BZ70+BZ71</f>
        <v>-2001</v>
      </c>
      <c r="CA72" s="22" t="n">
        <f aca="false">CA68+CA69+CA70+CA71</f>
        <v>-1471</v>
      </c>
      <c r="CB72" s="22" t="n">
        <f aca="false">CB68+CB69+CB70+CB71</f>
        <v>-834.433900000001</v>
      </c>
      <c r="CC72" s="22" t="n">
        <f aca="false">CC68+CC69+CC70+CC71</f>
        <v>-1652.1581989</v>
      </c>
      <c r="CD72" s="22" t="n">
        <f aca="false">CD68+CD69+CD70+CD71</f>
        <v>-2075.22744675</v>
      </c>
      <c r="CE72" s="22" t="n">
        <f aca="false">CE68+CE69+CE70+CE71</f>
        <v>-366.498824843748</v>
      </c>
      <c r="CF72" s="22" t="n">
        <f aca="false">CF68+CF69+CF70+CF71</f>
        <v>-449.830396564843</v>
      </c>
      <c r="CG72" s="22" t="n">
        <f aca="false">CG68+CG69+CG70+CG71</f>
        <v>-1675.14490423257</v>
      </c>
      <c r="CH72" s="22" t="n">
        <f aca="false">CH68+CH69+CH70+CH71</f>
        <v>-2466.85379299514</v>
      </c>
    </row>
    <row r="73" customFormat="false" ht="15" hidden="false" customHeight="true" outlineLevel="0" collapsed="false">
      <c r="A73" s="17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6"/>
      <c r="CC73" s="26"/>
      <c r="CD73" s="26"/>
      <c r="CE73" s="26"/>
      <c r="CF73" s="26"/>
      <c r="CG73" s="26"/>
      <c r="CH73" s="26"/>
    </row>
    <row r="74" customFormat="false" ht="15" hidden="false" customHeight="true" outlineLevel="0" collapsed="false">
      <c r="A74" s="17" t="s">
        <v>197</v>
      </c>
      <c r="B74" s="18" t="n">
        <v>0</v>
      </c>
      <c r="C74" s="18" t="n">
        <v>0</v>
      </c>
      <c r="D74" s="18" t="n">
        <v>0</v>
      </c>
      <c r="E74" s="18" t="n">
        <v>0</v>
      </c>
      <c r="F74" s="18" t="n">
        <v>0</v>
      </c>
      <c r="G74" s="18" t="n">
        <v>0</v>
      </c>
      <c r="H74" s="18" t="n">
        <v>0</v>
      </c>
      <c r="I74" s="18" t="n">
        <v>0</v>
      </c>
      <c r="J74" s="18" t="n">
        <v>0</v>
      </c>
      <c r="K74" s="18" t="n">
        <v>0</v>
      </c>
      <c r="L74" s="18" t="n">
        <v>0</v>
      </c>
      <c r="M74" s="18" t="n">
        <v>0</v>
      </c>
      <c r="N74" s="18" t="n">
        <v>0</v>
      </c>
      <c r="O74" s="18" t="n">
        <v>0</v>
      </c>
      <c r="P74" s="18" t="n">
        <v>0</v>
      </c>
      <c r="Q74" s="18" t="n">
        <v>0</v>
      </c>
      <c r="R74" s="18" t="n">
        <v>0</v>
      </c>
      <c r="S74" s="18" t="n">
        <v>0</v>
      </c>
      <c r="T74" s="18" t="n">
        <v>-3.53051</v>
      </c>
      <c r="U74" s="18" t="n">
        <v>-3.531337</v>
      </c>
      <c r="V74" s="18" t="n">
        <v>-3.531359</v>
      </c>
      <c r="W74" s="18" t="n">
        <v>-3.531362</v>
      </c>
      <c r="X74" s="18" t="n">
        <v>-4.812036</v>
      </c>
      <c r="Y74" s="18" t="n">
        <v>-4.81204</v>
      </c>
      <c r="Z74" s="18" t="n">
        <v>-4.812566</v>
      </c>
      <c r="AA74" s="18" t="n">
        <v>-4.812396</v>
      </c>
      <c r="AB74" s="18" t="n">
        <v>-6.313869</v>
      </c>
      <c r="AC74" s="18" t="n">
        <v>-6.31387</v>
      </c>
      <c r="AD74" s="18" t="n">
        <v>-6.313865</v>
      </c>
      <c r="AE74" s="18" t="n">
        <v>-6.314</v>
      </c>
      <c r="AF74" s="18" t="n">
        <v>-7.329</v>
      </c>
      <c r="AG74" s="18" t="n">
        <v>-7.294</v>
      </c>
      <c r="AH74" s="18" t="n">
        <v>-7.366</v>
      </c>
      <c r="AI74" s="18" t="n">
        <v>-7.33</v>
      </c>
      <c r="AJ74" s="18" t="n">
        <v>-4.548</v>
      </c>
      <c r="AK74" s="18" t="n">
        <v>-4.548</v>
      </c>
      <c r="AL74" s="18" t="n">
        <v>-4.548</v>
      </c>
      <c r="AM74" s="18" t="n">
        <v>-4.548</v>
      </c>
      <c r="AN74" s="18" t="n">
        <v>-6.624</v>
      </c>
      <c r="AO74" s="18" t="n">
        <v>-6.623</v>
      </c>
      <c r="AP74" s="18" t="n">
        <v>-6.624</v>
      </c>
      <c r="AQ74" s="18" t="n">
        <v>-6.624</v>
      </c>
      <c r="AR74" s="18" t="n">
        <v>-6.623</v>
      </c>
      <c r="AS74" s="18" t="n">
        <v>-6.624</v>
      </c>
      <c r="AT74" s="18" t="n">
        <v>-6.625</v>
      </c>
      <c r="AU74" s="18" t="n">
        <v>-6.624</v>
      </c>
      <c r="AV74" s="18" t="n">
        <v>0</v>
      </c>
      <c r="AW74" s="18" t="n">
        <v>0</v>
      </c>
      <c r="AX74" s="18" t="n">
        <v>0</v>
      </c>
      <c r="AY74" s="18" t="n">
        <v>0</v>
      </c>
      <c r="AZ74" s="18" t="n">
        <v>0</v>
      </c>
      <c r="BA74" s="18" t="n">
        <v>0</v>
      </c>
      <c r="BB74" s="18" t="n">
        <v>0</v>
      </c>
      <c r="BC74" s="18" t="n">
        <v>0</v>
      </c>
      <c r="BD74" s="18" t="n">
        <v>0</v>
      </c>
      <c r="BE74" s="18" t="n">
        <v>0</v>
      </c>
      <c r="BF74" s="18" t="n">
        <v>0</v>
      </c>
      <c r="BG74" s="18" t="n">
        <v>0</v>
      </c>
      <c r="BH74" s="18" t="n">
        <v>0</v>
      </c>
      <c r="BI74" s="18" t="n">
        <v>0</v>
      </c>
      <c r="BJ74" s="18" t="n">
        <v>0</v>
      </c>
      <c r="BK74" s="18" t="n">
        <v>0</v>
      </c>
      <c r="BL74" s="18" t="n">
        <v>0</v>
      </c>
      <c r="BM74" s="18" t="n">
        <v>0</v>
      </c>
      <c r="BN74" s="18" t="n">
        <v>0</v>
      </c>
      <c r="BO74" s="18" t="n">
        <v>0</v>
      </c>
      <c r="BP74" s="18" t="n">
        <v>0</v>
      </c>
      <c r="BQ74" s="18" t="n">
        <v>0</v>
      </c>
      <c r="BR74" s="18" t="n">
        <v>0</v>
      </c>
      <c r="BS74" s="18" t="n">
        <v>0</v>
      </c>
      <c r="BT74" s="18" t="n">
        <v>0</v>
      </c>
      <c r="BU74" s="18" t="n">
        <v>0</v>
      </c>
      <c r="BV74" s="18" t="n">
        <v>0</v>
      </c>
      <c r="BW74" s="18" t="n">
        <v>0</v>
      </c>
      <c r="BX74" s="18" t="n">
        <v>0</v>
      </c>
      <c r="BY74" s="18" t="n">
        <v>0</v>
      </c>
      <c r="BZ74" s="18" t="n">
        <v>0</v>
      </c>
      <c r="CA74" s="19" t="n">
        <v>0</v>
      </c>
      <c r="CB74" s="20" t="n">
        <f aca="false">'Assumptions (Quarterly)'!F31</f>
        <v>0</v>
      </c>
      <c r="CC74" s="20" t="n">
        <f aca="false">'Assumptions (Quarterly)'!G31</f>
        <v>0</v>
      </c>
      <c r="CD74" s="20" t="n">
        <f aca="false">'Assumptions (Quarterly)'!H31</f>
        <v>0</v>
      </c>
      <c r="CE74" s="20" t="n">
        <f aca="false">'Assumptions (Quarterly)'!I31</f>
        <v>0</v>
      </c>
      <c r="CF74" s="20" t="n">
        <f aca="false">'Assumptions (Quarterly)'!J31</f>
        <v>0</v>
      </c>
      <c r="CG74" s="20" t="n">
        <f aca="false">'Assumptions (Quarterly)'!K31</f>
        <v>0</v>
      </c>
      <c r="CH74" s="20" t="n">
        <f aca="false">'Assumptions (Quarterly)'!L31</f>
        <v>0</v>
      </c>
    </row>
    <row r="75" customFormat="false" ht="15" hidden="false" customHeight="true" outlineLevel="0" collapsed="false">
      <c r="A75" s="17" t="s">
        <v>198</v>
      </c>
      <c r="B75" s="18" t="n">
        <v>0.000709</v>
      </c>
      <c r="C75" s="18" t="n">
        <v>5E-005</v>
      </c>
      <c r="D75" s="18" t="n">
        <v>0.022838</v>
      </c>
      <c r="E75" s="18" t="n">
        <v>49.58893</v>
      </c>
      <c r="F75" s="18" t="n">
        <v>-3E-006</v>
      </c>
      <c r="G75" s="18" t="n">
        <v>0.004502</v>
      </c>
      <c r="H75" s="18" t="n">
        <v>0.058352</v>
      </c>
      <c r="I75" s="18" t="n">
        <v>0.002005</v>
      </c>
      <c r="J75" s="18" t="n">
        <v>-2.579993</v>
      </c>
      <c r="K75" s="18" t="n">
        <v>3E-006</v>
      </c>
      <c r="L75" s="18" t="n">
        <v>0.004001</v>
      </c>
      <c r="M75" s="18" t="n">
        <v>0.018526</v>
      </c>
      <c r="N75" s="18" t="n">
        <v>0.005824</v>
      </c>
      <c r="O75" s="18" t="n">
        <v>0.00197</v>
      </c>
      <c r="P75" s="18" t="n">
        <v>0.003479</v>
      </c>
      <c r="Q75" s="18" t="n">
        <v>0.01275</v>
      </c>
      <c r="R75" s="18" t="n">
        <v>0</v>
      </c>
      <c r="S75" s="18" t="n">
        <v>0.000885</v>
      </c>
      <c r="T75" s="18" t="n">
        <v>0.009821</v>
      </c>
      <c r="U75" s="18" t="n">
        <v>0.000469</v>
      </c>
      <c r="V75" s="18" t="n">
        <v>0</v>
      </c>
      <c r="W75" s="18" t="n">
        <v>0</v>
      </c>
      <c r="X75" s="18" t="n">
        <v>0.0024</v>
      </c>
      <c r="Y75" s="18" t="n">
        <v>0.0033</v>
      </c>
      <c r="Z75" s="18" t="n">
        <v>0</v>
      </c>
      <c r="AA75" s="18" t="n">
        <v>0.00302</v>
      </c>
      <c r="AB75" s="18" t="n">
        <v>-1.012216</v>
      </c>
      <c r="AC75" s="18" t="n">
        <v>0</v>
      </c>
      <c r="AD75" s="18" t="n">
        <v>0.000196</v>
      </c>
      <c r="AE75" s="18" t="n">
        <v>0</v>
      </c>
      <c r="AF75" s="18" t="n">
        <v>-1.944</v>
      </c>
      <c r="AG75" s="18" t="n">
        <v>0</v>
      </c>
      <c r="AH75" s="18" t="n">
        <v>0</v>
      </c>
      <c r="AI75" s="18" t="n">
        <v>0</v>
      </c>
      <c r="AJ75" s="18" t="n">
        <v>-2.714</v>
      </c>
      <c r="AK75" s="18" t="n">
        <v>0</v>
      </c>
      <c r="AL75" s="18" t="n">
        <v>0</v>
      </c>
      <c r="AM75" s="18" t="n">
        <v>0</v>
      </c>
      <c r="AN75" s="18" t="n">
        <v>0</v>
      </c>
      <c r="AO75" s="18" t="n">
        <v>0</v>
      </c>
      <c r="AP75" s="18" t="n">
        <v>0</v>
      </c>
      <c r="AQ75" s="18" t="n">
        <v>0</v>
      </c>
      <c r="AR75" s="18" t="n">
        <v>0</v>
      </c>
      <c r="AS75" s="18" t="n">
        <v>0</v>
      </c>
      <c r="AT75" s="18" t="n">
        <v>0</v>
      </c>
      <c r="AU75" s="18" t="n">
        <v>0</v>
      </c>
      <c r="AV75" s="18" t="n">
        <v>0</v>
      </c>
      <c r="AW75" s="18" t="n">
        <v>0</v>
      </c>
      <c r="AX75" s="18" t="n">
        <v>0</v>
      </c>
      <c r="AY75" s="18" t="n">
        <v>1866.5</v>
      </c>
      <c r="AZ75" s="18" t="n">
        <v>0.715</v>
      </c>
      <c r="BA75" s="18" t="n">
        <v>-0.72</v>
      </c>
      <c r="BB75" s="18" t="n">
        <v>0</v>
      </c>
      <c r="BC75" s="18" t="n">
        <v>0</v>
      </c>
      <c r="BD75" s="18" t="n">
        <v>-0.72</v>
      </c>
      <c r="BE75" s="18" t="n">
        <v>-38.951</v>
      </c>
      <c r="BF75" s="18" t="n">
        <v>-14.329</v>
      </c>
      <c r="BG75" s="18" t="n">
        <v>-25</v>
      </c>
      <c r="BH75" s="18" t="n">
        <v>-117</v>
      </c>
      <c r="BI75" s="18" t="n">
        <v>-298</v>
      </c>
      <c r="BJ75" s="18" t="n">
        <v>1474</v>
      </c>
      <c r="BK75" s="18" t="n">
        <v>-39</v>
      </c>
      <c r="BL75" s="18" t="n">
        <v>-35</v>
      </c>
      <c r="BM75" s="18" t="n">
        <v>-41</v>
      </c>
      <c r="BN75" s="18" t="n">
        <v>-33</v>
      </c>
      <c r="BO75" s="18" t="n">
        <v>-61</v>
      </c>
      <c r="BP75" s="18" t="n">
        <v>-146</v>
      </c>
      <c r="BQ75" s="18" t="n">
        <v>-149</v>
      </c>
      <c r="BR75" s="18" t="n">
        <v>0</v>
      </c>
      <c r="BS75" s="18" t="n">
        <v>0</v>
      </c>
      <c r="BT75" s="18" t="n">
        <v>-1</v>
      </c>
      <c r="BU75" s="18" t="n">
        <v>0</v>
      </c>
      <c r="BV75" s="18" t="n">
        <v>0</v>
      </c>
      <c r="BW75" s="18" t="n">
        <v>0</v>
      </c>
      <c r="BX75" s="18" t="n">
        <v>0</v>
      </c>
      <c r="BY75" s="18" t="n">
        <v>-1</v>
      </c>
      <c r="BZ75" s="18" t="n">
        <v>0</v>
      </c>
      <c r="CA75" s="19" t="n">
        <v>0</v>
      </c>
      <c r="CB75" s="20" t="n">
        <f aca="false">'Assumptions (Quarterly)'!F30</f>
        <v>0</v>
      </c>
      <c r="CC75" s="20" t="n">
        <f aca="false">'Assumptions (Quarterly)'!G30</f>
        <v>0</v>
      </c>
      <c r="CD75" s="20" t="n">
        <f aca="false">'Assumptions (Quarterly)'!H30</f>
        <v>0</v>
      </c>
      <c r="CE75" s="20" t="n">
        <f aca="false">'Assumptions (Quarterly)'!I30</f>
        <v>0</v>
      </c>
      <c r="CF75" s="20" t="n">
        <f aca="false">'Assumptions (Quarterly)'!J30</f>
        <v>0</v>
      </c>
      <c r="CG75" s="20" t="n">
        <f aca="false">'Assumptions (Quarterly)'!K30</f>
        <v>0</v>
      </c>
      <c r="CH75" s="20" t="n">
        <f aca="false">'Assumptions (Quarterly)'!L30</f>
        <v>0</v>
      </c>
    </row>
    <row r="76" customFormat="false" ht="15" hidden="false" customHeight="true" outlineLevel="0" collapsed="false">
      <c r="A76" s="17" t="s">
        <v>199</v>
      </c>
      <c r="B76" s="18" t="n">
        <v>-3.003969</v>
      </c>
      <c r="C76" s="18" t="n">
        <v>0.00105</v>
      </c>
      <c r="D76" s="18" t="n">
        <v>0.00032</v>
      </c>
      <c r="E76" s="18" t="n">
        <v>-6.20032</v>
      </c>
      <c r="F76" s="18" t="n">
        <v>6.082054</v>
      </c>
      <c r="G76" s="18" t="n">
        <v>-6.207947</v>
      </c>
      <c r="H76" s="18" t="n">
        <v>-1.416402</v>
      </c>
      <c r="I76" s="18" t="n">
        <v>-2.100371</v>
      </c>
      <c r="J76" s="18" t="n">
        <v>0.587497</v>
      </c>
      <c r="K76" s="18" t="n">
        <v>-0.057175</v>
      </c>
      <c r="L76" s="18" t="n">
        <v>-3.13653</v>
      </c>
      <c r="M76" s="18" t="n">
        <v>-9.119456</v>
      </c>
      <c r="N76" s="18" t="n">
        <v>-2.997473</v>
      </c>
      <c r="O76" s="18" t="n">
        <v>-3.213878</v>
      </c>
      <c r="P76" s="18" t="n">
        <v>0.219893</v>
      </c>
      <c r="Q76" s="18" t="n">
        <v>0.095283</v>
      </c>
      <c r="R76" s="18" t="n">
        <v>-0.101298</v>
      </c>
      <c r="S76" s="18" t="n">
        <v>0</v>
      </c>
      <c r="T76" s="18" t="n">
        <v>0</v>
      </c>
      <c r="U76" s="18" t="n">
        <v>0</v>
      </c>
      <c r="V76" s="18" t="n">
        <v>0</v>
      </c>
      <c r="W76" s="18" t="n">
        <v>0</v>
      </c>
      <c r="X76" s="18" t="n">
        <v>0</v>
      </c>
      <c r="Y76" s="18" t="n">
        <v>0</v>
      </c>
      <c r="Z76" s="18" t="n">
        <v>0</v>
      </c>
      <c r="AA76" s="18" t="n">
        <v>0</v>
      </c>
      <c r="AB76" s="18" t="n">
        <v>0</v>
      </c>
      <c r="AC76" s="18" t="n">
        <v>13.523158</v>
      </c>
      <c r="AD76" s="18" t="n">
        <v>1.993842</v>
      </c>
      <c r="AE76" s="18" t="n">
        <v>-0.582</v>
      </c>
      <c r="AF76" s="18" t="n">
        <v>327.856</v>
      </c>
      <c r="AG76" s="18" t="n">
        <v>-0.583</v>
      </c>
      <c r="AH76" s="18" t="n">
        <v>-4.395</v>
      </c>
      <c r="AI76" s="18" t="n">
        <v>-0.139</v>
      </c>
      <c r="AJ76" s="18" t="n">
        <v>-4.299</v>
      </c>
      <c r="AK76" s="18" t="n">
        <v>4.831</v>
      </c>
      <c r="AL76" s="18" t="n">
        <v>-4.419</v>
      </c>
      <c r="AM76" s="18" t="n">
        <v>-0.661</v>
      </c>
      <c r="AN76" s="18" t="n">
        <v>-5.638</v>
      </c>
      <c r="AO76" s="18" t="n">
        <v>3.699</v>
      </c>
      <c r="AP76" s="18" t="n">
        <v>7.351</v>
      </c>
      <c r="AQ76" s="18" t="n">
        <v>1.415</v>
      </c>
      <c r="AR76" s="18" t="n">
        <v>3.416</v>
      </c>
      <c r="AS76" s="18" t="n">
        <v>4.018</v>
      </c>
      <c r="AT76" s="18" t="n">
        <v>-33.256</v>
      </c>
      <c r="AU76" s="18" t="n">
        <v>76.342</v>
      </c>
      <c r="AV76" s="18" t="n">
        <v>55.431</v>
      </c>
      <c r="AW76" s="18" t="n">
        <v>599.177</v>
      </c>
      <c r="AX76" s="18" t="n">
        <v>-99.18</v>
      </c>
      <c r="AY76" s="18" t="n">
        <v>9.499</v>
      </c>
      <c r="AZ76" s="18" t="n">
        <v>29.979</v>
      </c>
      <c r="BA76" s="18" t="n">
        <v>26.622</v>
      </c>
      <c r="BB76" s="18" t="n">
        <v>-7.427</v>
      </c>
      <c r="BC76" s="18" t="n">
        <v>155.556</v>
      </c>
      <c r="BD76" s="18" t="n">
        <v>270.762</v>
      </c>
      <c r="BE76" s="18" t="n">
        <v>45.494</v>
      </c>
      <c r="BF76" s="18" t="n">
        <v>-172.812</v>
      </c>
      <c r="BG76" s="18" t="n">
        <v>-733</v>
      </c>
      <c r="BH76" s="18" t="n">
        <v>220</v>
      </c>
      <c r="BI76" s="18" t="n">
        <v>720</v>
      </c>
      <c r="BJ76" s="18" t="n">
        <v>684</v>
      </c>
      <c r="BK76" s="18" t="n">
        <v>191</v>
      </c>
      <c r="BL76" s="18" t="n">
        <v>469</v>
      </c>
      <c r="BM76" s="18" t="n">
        <v>383</v>
      </c>
      <c r="BN76" s="18" t="n">
        <v>21</v>
      </c>
      <c r="BO76" s="18" t="n">
        <v>-51</v>
      </c>
      <c r="BP76" s="18" t="n">
        <v>-214</v>
      </c>
      <c r="BQ76" s="18" t="n">
        <v>281</v>
      </c>
      <c r="BR76" s="18" t="n">
        <v>73</v>
      </c>
      <c r="BS76" s="18" t="n">
        <v>0</v>
      </c>
      <c r="BT76" s="18" t="n">
        <v>477</v>
      </c>
      <c r="BU76" s="18" t="n">
        <v>726</v>
      </c>
      <c r="BV76" s="18" t="n">
        <v>757</v>
      </c>
      <c r="BW76" s="18" t="n">
        <v>465</v>
      </c>
      <c r="BX76" s="18" t="n">
        <v>613</v>
      </c>
      <c r="BY76" s="18" t="n">
        <v>445</v>
      </c>
      <c r="BZ76" s="18" t="n">
        <v>1382</v>
      </c>
      <c r="CA76" s="19" t="n">
        <v>473</v>
      </c>
      <c r="CB76" s="26" t="n">
        <f aca="false">(CB95+CB47)-(CA44+CA47)</f>
        <v>412.94664</v>
      </c>
      <c r="CC76" s="26" t="n">
        <f aca="false">(CC95+CC47)-(CB95+CB47)</f>
        <v>877.897847279999</v>
      </c>
      <c r="CD76" s="26" t="n">
        <f aca="false">(CD95+CD47)-(CC95+CC47)</f>
        <v>1256.267629095</v>
      </c>
      <c r="CE76" s="26" t="n">
        <f aca="false">(CE95+CE47)-(CD95+CD47)</f>
        <v>117.265443191249</v>
      </c>
      <c r="CF76" s="26" t="n">
        <f aca="false">(CF95+CF47)-(CE95+CE47)</f>
        <v>285.389614786987</v>
      </c>
      <c r="CG76" s="26" t="n">
        <f aca="false">(CG95+CG47)-(CF95+CF47)</f>
        <v>906.213857211398</v>
      </c>
      <c r="CH76" s="26" t="n">
        <f aca="false">(CH95+CH47)-(CG95+CG47)</f>
        <v>1281.88996191959</v>
      </c>
    </row>
    <row r="77" customFormat="false" ht="15" hidden="false" customHeight="true" outlineLevel="0" collapsed="false">
      <c r="A77" s="17" t="s">
        <v>200</v>
      </c>
      <c r="B77" s="18" t="n">
        <v>0</v>
      </c>
      <c r="C77" s="18" t="n">
        <v>0</v>
      </c>
      <c r="D77" s="18" t="n">
        <v>0</v>
      </c>
      <c r="E77" s="18" t="n">
        <v>0.749991</v>
      </c>
      <c r="F77" s="18" t="n">
        <v>0</v>
      </c>
      <c r="G77" s="18" t="n">
        <v>0</v>
      </c>
      <c r="H77" s="18" t="n">
        <v>0</v>
      </c>
      <c r="I77" s="18" t="n">
        <v>0</v>
      </c>
      <c r="J77" s="18" t="n">
        <v>0</v>
      </c>
      <c r="K77" s="18" t="n">
        <v>0</v>
      </c>
      <c r="L77" s="18" t="n">
        <v>0</v>
      </c>
      <c r="M77" s="18" t="n">
        <v>0</v>
      </c>
      <c r="N77" s="18" t="n">
        <v>0</v>
      </c>
      <c r="O77" s="18" t="n">
        <v>0</v>
      </c>
      <c r="P77" s="18" t="n">
        <v>0</v>
      </c>
      <c r="Q77" s="18" t="n">
        <v>0</v>
      </c>
      <c r="R77" s="18" t="n">
        <v>0</v>
      </c>
      <c r="S77" s="18" t="n">
        <v>0</v>
      </c>
      <c r="T77" s="18" t="n">
        <v>0</v>
      </c>
      <c r="U77" s="18" t="n">
        <v>0</v>
      </c>
      <c r="V77" s="18" t="n">
        <v>0</v>
      </c>
      <c r="W77" s="18" t="n">
        <v>0</v>
      </c>
      <c r="X77" s="18" t="n">
        <v>0</v>
      </c>
      <c r="Y77" s="18" t="n">
        <v>0</v>
      </c>
      <c r="Z77" s="18" t="n">
        <v>0</v>
      </c>
      <c r="AA77" s="18" t="n">
        <v>0</v>
      </c>
      <c r="AB77" s="18" t="n">
        <v>0</v>
      </c>
      <c r="AC77" s="18" t="n">
        <v>0</v>
      </c>
      <c r="AD77" s="18" t="n">
        <v>0</v>
      </c>
      <c r="AE77" s="18" t="n">
        <v>0</v>
      </c>
      <c r="AF77" s="18" t="n">
        <v>-27.093</v>
      </c>
      <c r="AG77" s="18" t="n">
        <v>-0.659</v>
      </c>
      <c r="AH77" s="18" t="n">
        <v>0</v>
      </c>
      <c r="AI77" s="18" t="n">
        <v>0</v>
      </c>
      <c r="AJ77" s="18" t="n">
        <v>0</v>
      </c>
      <c r="AK77" s="18" t="n">
        <v>0</v>
      </c>
      <c r="AL77" s="18" t="n">
        <v>0</v>
      </c>
      <c r="AM77" s="18" t="n">
        <v>0</v>
      </c>
      <c r="AN77" s="18" t="n">
        <v>0</v>
      </c>
      <c r="AO77" s="18" t="n">
        <v>0</v>
      </c>
      <c r="AP77" s="18" t="n">
        <v>0</v>
      </c>
      <c r="AQ77" s="18" t="n">
        <v>0</v>
      </c>
      <c r="AR77" s="18" t="n">
        <v>0</v>
      </c>
      <c r="AS77" s="18" t="n">
        <v>-67.308</v>
      </c>
      <c r="AT77" s="18" t="n">
        <v>67.308</v>
      </c>
      <c r="AU77" s="18" t="n">
        <v>-45.692</v>
      </c>
      <c r="AV77" s="18" t="n">
        <v>0</v>
      </c>
      <c r="AW77" s="18" t="n">
        <v>-108.048</v>
      </c>
      <c r="AX77" s="18" t="n">
        <v>137.476</v>
      </c>
      <c r="AY77" s="18" t="n">
        <v>98.688</v>
      </c>
      <c r="AZ77" s="18" t="n">
        <v>-89.206</v>
      </c>
      <c r="BA77" s="18" t="n">
        <v>-1</v>
      </c>
      <c r="BB77" s="18" t="n">
        <v>87.362</v>
      </c>
      <c r="BC77" s="18" t="n">
        <v>-1</v>
      </c>
      <c r="BD77" s="18" t="n">
        <v>-105.095</v>
      </c>
      <c r="BE77" s="18" t="n">
        <v>-83.682</v>
      </c>
      <c r="BF77" s="18" t="n">
        <v>186.777</v>
      </c>
      <c r="BG77" s="18" t="n">
        <v>-101</v>
      </c>
      <c r="BH77" s="18" t="n">
        <v>0</v>
      </c>
      <c r="BI77" s="18" t="n">
        <v>0</v>
      </c>
      <c r="BJ77" s="18" t="n">
        <v>101</v>
      </c>
      <c r="BK77" s="18" t="n">
        <v>0</v>
      </c>
      <c r="BL77" s="18" t="n">
        <v>0</v>
      </c>
      <c r="BM77" s="18" t="n">
        <v>0</v>
      </c>
      <c r="BN77" s="18" t="n">
        <v>0</v>
      </c>
      <c r="BO77" s="18" t="n">
        <v>0</v>
      </c>
      <c r="BP77" s="18" t="n">
        <v>0</v>
      </c>
      <c r="BQ77" s="18" t="n">
        <v>0</v>
      </c>
      <c r="BR77" s="18" t="n">
        <v>0</v>
      </c>
      <c r="BS77" s="18" t="n">
        <v>0</v>
      </c>
      <c r="BT77" s="18" t="n">
        <v>0</v>
      </c>
      <c r="BU77" s="18" t="n">
        <v>0</v>
      </c>
      <c r="BV77" s="18" t="n">
        <v>0</v>
      </c>
      <c r="BW77" s="18" t="n">
        <v>0</v>
      </c>
      <c r="BX77" s="18" t="n">
        <v>0</v>
      </c>
      <c r="BY77" s="18" t="n">
        <v>0</v>
      </c>
      <c r="BZ77" s="18" t="n">
        <v>0</v>
      </c>
      <c r="CA77" s="19" t="n">
        <v>0</v>
      </c>
      <c r="CB77" s="26" t="n">
        <f aca="false">CB91</f>
        <v>-0</v>
      </c>
      <c r="CC77" s="26" t="n">
        <f aca="false">CC91</f>
        <v>-0</v>
      </c>
      <c r="CD77" s="26" t="n">
        <f aca="false">CD91</f>
        <v>-0</v>
      </c>
      <c r="CE77" s="26" t="n">
        <f aca="false">CE91</f>
        <v>-0</v>
      </c>
      <c r="CF77" s="26" t="n">
        <f aca="false">CF91</f>
        <v>-0</v>
      </c>
      <c r="CG77" s="26" t="n">
        <f aca="false">CG91</f>
        <v>-0</v>
      </c>
      <c r="CH77" s="26" t="n">
        <f aca="false">CH91</f>
        <v>-0</v>
      </c>
    </row>
    <row r="78" customFormat="false" ht="15" hidden="false" customHeight="true" outlineLevel="0" collapsed="false">
      <c r="A78" s="21" t="s">
        <v>201</v>
      </c>
      <c r="B78" s="23" t="n">
        <f aca="false">B74+B75+B76+B77</f>
        <v>-3.00326</v>
      </c>
      <c r="C78" s="23" t="n">
        <f aca="false">C74+C75+C76+C77</f>
        <v>0.0011</v>
      </c>
      <c r="D78" s="23" t="n">
        <f aca="false">D74+D75+D76+D77</f>
        <v>0.023158</v>
      </c>
      <c r="E78" s="23" t="n">
        <f aca="false">E74+E75+E76+E77</f>
        <v>44.138601</v>
      </c>
      <c r="F78" s="23" t="n">
        <f aca="false">F74+F75+F76+F77</f>
        <v>6.082051</v>
      </c>
      <c r="G78" s="23" t="n">
        <f aca="false">G74+G75+G76+G77</f>
        <v>-6.203445</v>
      </c>
      <c r="H78" s="23" t="n">
        <f aca="false">H74+H75+H76+H77</f>
        <v>-1.35805</v>
      </c>
      <c r="I78" s="23" t="n">
        <f aca="false">I74+I75+I76+I77</f>
        <v>-2.098366</v>
      </c>
      <c r="J78" s="23" t="n">
        <f aca="false">J74+J75+J76+J77</f>
        <v>-1.992496</v>
      </c>
      <c r="K78" s="23" t="n">
        <f aca="false">K74+K75+K76+K77</f>
        <v>-0.057172</v>
      </c>
      <c r="L78" s="23" t="n">
        <f aca="false">L74+L75+L76+L77</f>
        <v>-3.132529</v>
      </c>
      <c r="M78" s="23" t="n">
        <f aca="false">M74+M75+M76+M77</f>
        <v>-9.10093</v>
      </c>
      <c r="N78" s="23" t="n">
        <f aca="false">N74+N75+N76+N77</f>
        <v>-2.991649</v>
      </c>
      <c r="O78" s="23" t="n">
        <f aca="false">O74+O75+O76+O77</f>
        <v>-3.211908</v>
      </c>
      <c r="P78" s="23" t="n">
        <f aca="false">P74+P75+P76+P77</f>
        <v>0.223372</v>
      </c>
      <c r="Q78" s="23" t="n">
        <f aca="false">Q74+Q75+Q76+Q77</f>
        <v>0.108033</v>
      </c>
      <c r="R78" s="23" t="n">
        <f aca="false">R74+R75+R76+R77</f>
        <v>-0.101298</v>
      </c>
      <c r="S78" s="23" t="n">
        <f aca="false">S74+S75+S76+S77</f>
        <v>0.000885</v>
      </c>
      <c r="T78" s="23" t="n">
        <f aca="false">T74+T75+T76+T77</f>
        <v>-3.520689</v>
      </c>
      <c r="U78" s="23" t="n">
        <f aca="false">U74+U75+U76+U77</f>
        <v>-3.530868</v>
      </c>
      <c r="V78" s="23" t="n">
        <f aca="false">V74+V75+V76+V77</f>
        <v>-3.531359</v>
      </c>
      <c r="W78" s="23" t="n">
        <f aca="false">W74+W75+W76+W77</f>
        <v>-3.531362</v>
      </c>
      <c r="X78" s="23" t="n">
        <f aca="false">X74+X75+X76+X77</f>
        <v>-4.809636</v>
      </c>
      <c r="Y78" s="23" t="n">
        <f aca="false">Y74+Y75+Y76+Y77</f>
        <v>-4.80874</v>
      </c>
      <c r="Z78" s="23" t="n">
        <f aca="false">Z74+Z75+Z76+Z77</f>
        <v>-4.812566</v>
      </c>
      <c r="AA78" s="23" t="n">
        <f aca="false">AA74+AA75+AA76+AA77</f>
        <v>-4.809376</v>
      </c>
      <c r="AB78" s="23" t="n">
        <f aca="false">AB74+AB75+AB76+AB77</f>
        <v>-7.326085</v>
      </c>
      <c r="AC78" s="23" t="n">
        <f aca="false">AC74+AC75+AC76+AC77</f>
        <v>7.209288</v>
      </c>
      <c r="AD78" s="23" t="n">
        <f aca="false">AD74+AD75+AD76+AD77</f>
        <v>-4.319827</v>
      </c>
      <c r="AE78" s="23" t="n">
        <f aca="false">AE74+AE75+AE76+AE77</f>
        <v>-6.896</v>
      </c>
      <c r="AF78" s="23" t="n">
        <f aca="false">AF74+AF75+AF76+AF77</f>
        <v>291.49</v>
      </c>
      <c r="AG78" s="23" t="n">
        <f aca="false">AG74+AG75+AG76+AG77</f>
        <v>-8.536</v>
      </c>
      <c r="AH78" s="23" t="n">
        <f aca="false">AH74+AH75+AH76+AH77</f>
        <v>-11.761</v>
      </c>
      <c r="AI78" s="23" t="n">
        <f aca="false">AI74+AI75+AI76+AI77</f>
        <v>-7.469</v>
      </c>
      <c r="AJ78" s="23" t="n">
        <f aca="false">AJ74+AJ75+AJ76+AJ77</f>
        <v>-11.561</v>
      </c>
      <c r="AK78" s="23" t="n">
        <f aca="false">AK74+AK75+AK76+AK77</f>
        <v>0.283</v>
      </c>
      <c r="AL78" s="23" t="n">
        <f aca="false">AL74+AL75+AL76+AL77</f>
        <v>-8.967</v>
      </c>
      <c r="AM78" s="23" t="n">
        <f aca="false">AM74+AM75+AM76+AM77</f>
        <v>-5.209</v>
      </c>
      <c r="AN78" s="23" t="n">
        <f aca="false">AN74+AN75+AN76+AN77</f>
        <v>-12.262</v>
      </c>
      <c r="AO78" s="23" t="n">
        <f aca="false">AO74+AO75+AO76+AO77</f>
        <v>-2.924</v>
      </c>
      <c r="AP78" s="23" t="n">
        <f aca="false">AP74+AP75+AP76+AP77</f>
        <v>0.727</v>
      </c>
      <c r="AQ78" s="23" t="n">
        <f aca="false">AQ74+AQ75+AQ76+AQ77</f>
        <v>-5.209</v>
      </c>
      <c r="AR78" s="23" t="n">
        <f aca="false">AR74+AR75+AR76+AR77</f>
        <v>-3.207</v>
      </c>
      <c r="AS78" s="23" t="n">
        <f aca="false">AS74+AS75+AS76+AS77</f>
        <v>-69.914</v>
      </c>
      <c r="AT78" s="23" t="n">
        <f aca="false">AT74+AT75+AT76+AT77</f>
        <v>27.427</v>
      </c>
      <c r="AU78" s="23" t="n">
        <f aca="false">AU74+AU75+AU76+AU77</f>
        <v>24.026</v>
      </c>
      <c r="AV78" s="23" t="n">
        <f aca="false">AV74+AV75+AV76+AV77</f>
        <v>55.431</v>
      </c>
      <c r="AW78" s="23" t="n">
        <f aca="false">AW74+AW75+AW76+AW77</f>
        <v>491.129</v>
      </c>
      <c r="AX78" s="23" t="n">
        <f aca="false">AX74+AX75+AX76+AX77</f>
        <v>38.296</v>
      </c>
      <c r="AY78" s="23" t="n">
        <f aca="false">AY74+AY75+AY76+AY77</f>
        <v>1974.687</v>
      </c>
      <c r="AZ78" s="23" t="n">
        <f aca="false">AZ74+AZ75+AZ76+AZ77</f>
        <v>-58.512</v>
      </c>
      <c r="BA78" s="23" t="n">
        <f aca="false">BA74+BA75+BA76+BA77</f>
        <v>24.902</v>
      </c>
      <c r="BB78" s="23" t="n">
        <f aca="false">BB74+BB75+BB76+BB77</f>
        <v>79.935</v>
      </c>
      <c r="BC78" s="23" t="n">
        <f aca="false">BC74+BC75+BC76+BC77</f>
        <v>154.556</v>
      </c>
      <c r="BD78" s="23" t="n">
        <f aca="false">BD74+BD75+BD76+BD77</f>
        <v>164.947</v>
      </c>
      <c r="BE78" s="23" t="n">
        <f aca="false">BE74+BE75+BE76+BE77</f>
        <v>-77.139</v>
      </c>
      <c r="BF78" s="23" t="n">
        <f aca="false">BF74+BF75+BF76+BF77</f>
        <v>-0.364000000000033</v>
      </c>
      <c r="BG78" s="23" t="n">
        <f aca="false">BG74+BG75+BG76+BG77</f>
        <v>-859</v>
      </c>
      <c r="BH78" s="23" t="n">
        <f aca="false">BH74+BH75+BH76+BH77</f>
        <v>103</v>
      </c>
      <c r="BI78" s="23" t="n">
        <f aca="false">BI74+BI75+BI76+BI77</f>
        <v>422</v>
      </c>
      <c r="BJ78" s="23" t="n">
        <f aca="false">BJ74+BJ75+BJ76+BJ77</f>
        <v>2259</v>
      </c>
      <c r="BK78" s="23" t="n">
        <f aca="false">BK74+BK75+BK76+BK77</f>
        <v>152</v>
      </c>
      <c r="BL78" s="23" t="n">
        <f aca="false">BL74+BL75+BL76+BL77</f>
        <v>434</v>
      </c>
      <c r="BM78" s="23" t="n">
        <f aca="false">BM74+BM75+BM76+BM77</f>
        <v>342</v>
      </c>
      <c r="BN78" s="23" t="n">
        <f aca="false">BN74+BN75+BN76+BN77</f>
        <v>-12</v>
      </c>
      <c r="BO78" s="23" t="n">
        <f aca="false">BO74+BO75+BO76+BO77</f>
        <v>-112</v>
      </c>
      <c r="BP78" s="23" t="n">
        <f aca="false">BP74+BP75+BP76+BP77</f>
        <v>-360</v>
      </c>
      <c r="BQ78" s="23" t="n">
        <f aca="false">BQ74+BQ75+BQ76+BQ77</f>
        <v>132</v>
      </c>
      <c r="BR78" s="23" t="n">
        <f aca="false">BR74+BR75+BR76+BR77</f>
        <v>73</v>
      </c>
      <c r="BS78" s="23" t="n">
        <f aca="false">BS74+BS75+BS76+BS77</f>
        <v>0</v>
      </c>
      <c r="BT78" s="23" t="n">
        <f aca="false">BT74+BT75+BT76+BT77</f>
        <v>476</v>
      </c>
      <c r="BU78" s="23" t="n">
        <f aca="false">BU74+BU75+BU76+BU77</f>
        <v>726</v>
      </c>
      <c r="BV78" s="23" t="n">
        <f aca="false">BV74+BV75+BV76+BV77</f>
        <v>757</v>
      </c>
      <c r="BW78" s="23" t="n">
        <f aca="false">BW74+BW75+BW76+BW77</f>
        <v>465</v>
      </c>
      <c r="BX78" s="23" t="n">
        <f aca="false">BX74+BX75+BX76+BX77</f>
        <v>613</v>
      </c>
      <c r="BY78" s="23" t="n">
        <f aca="false">BY74+BY75+BY76+BY77</f>
        <v>444</v>
      </c>
      <c r="BZ78" s="23" t="n">
        <f aca="false">BZ74+BZ75+BZ76+BZ77</f>
        <v>1382</v>
      </c>
      <c r="CA78" s="23" t="n">
        <f aca="false">CA74+CA75+CA76+CA77</f>
        <v>473</v>
      </c>
      <c r="CB78" s="23" t="n">
        <f aca="false">CB74+CB75+CB76+CB77</f>
        <v>412.94664</v>
      </c>
      <c r="CC78" s="23" t="n">
        <f aca="false">CC74+CC75+CC76+CC77</f>
        <v>877.897847279999</v>
      </c>
      <c r="CD78" s="23" t="n">
        <f aca="false">CD74+CD75+CD76+CD77</f>
        <v>1256.267629095</v>
      </c>
      <c r="CE78" s="23" t="n">
        <f aca="false">CE74+CE75+CE76+CE77</f>
        <v>117.265443191249</v>
      </c>
      <c r="CF78" s="23" t="n">
        <f aca="false">CF74+CF75+CF76+CF77</f>
        <v>285.389614786987</v>
      </c>
      <c r="CG78" s="23" t="n">
        <f aca="false">CG74+CG75+CG76+CG77</f>
        <v>906.213857211398</v>
      </c>
      <c r="CH78" s="23" t="n">
        <f aca="false">CH74+CH75+CH76+CH77</f>
        <v>1281.88996191959</v>
      </c>
    </row>
    <row r="79" customFormat="false" ht="15" hidden="false" customHeight="true" outlineLevel="0" collapsed="false">
      <c r="A79" s="17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6"/>
      <c r="CC79" s="26"/>
      <c r="CD79" s="26"/>
      <c r="CE79" s="26"/>
      <c r="CF79" s="26"/>
      <c r="CG79" s="26"/>
      <c r="CH79" s="26"/>
    </row>
    <row r="80" customFormat="false" ht="15" hidden="false" customHeight="true" outlineLevel="0" collapsed="false">
      <c r="A80" s="17" t="s">
        <v>202</v>
      </c>
      <c r="B80" s="18" t="n">
        <v>0.0629319999999998</v>
      </c>
      <c r="C80" s="18" t="n">
        <v>-0.00174099999999966</v>
      </c>
      <c r="D80" s="18" t="n">
        <v>0.117171</v>
      </c>
      <c r="E80" s="18" t="n">
        <v>-0.575414000000007</v>
      </c>
      <c r="F80" s="18" t="n">
        <v>0.575722</v>
      </c>
      <c r="G80" s="18" t="n">
        <v>0.567871</v>
      </c>
      <c r="H80" s="18" t="n">
        <v>0.334165999999999</v>
      </c>
      <c r="I80" s="18" t="n">
        <v>-0.577189000000001</v>
      </c>
      <c r="J80" s="18" t="n">
        <v>-3.796424</v>
      </c>
      <c r="K80" s="18" t="n">
        <v>0.17015</v>
      </c>
      <c r="L80" s="18" t="n">
        <v>1.040577</v>
      </c>
      <c r="M80" s="18" t="n">
        <v>1.48333</v>
      </c>
      <c r="N80" s="18" t="n">
        <v>-1.6972</v>
      </c>
      <c r="O80" s="18" t="n">
        <v>-0.371305</v>
      </c>
      <c r="P80" s="18" t="n">
        <v>0.344447000000002</v>
      </c>
      <c r="Q80" s="18" t="n">
        <v>0.326832999999999</v>
      </c>
      <c r="R80" s="18" t="n">
        <v>0.646457999999999</v>
      </c>
      <c r="S80" s="18" t="n">
        <v>0.173683999999999</v>
      </c>
      <c r="T80" s="18" t="n">
        <v>0.291438999999998</v>
      </c>
      <c r="U80" s="18" t="n">
        <v>-1.742773</v>
      </c>
      <c r="V80" s="18" t="n">
        <v>-0.132322999999998</v>
      </c>
      <c r="W80" s="18" t="n">
        <v>-0.158640999999999</v>
      </c>
      <c r="X80" s="18" t="n">
        <v>-1.524318</v>
      </c>
      <c r="Y80" s="18" t="n">
        <v>-0.757433000000001</v>
      </c>
      <c r="Z80" s="18" t="n">
        <v>-0.759186000000002</v>
      </c>
      <c r="AA80" s="18" t="n">
        <v>-8.410089</v>
      </c>
      <c r="AB80" s="18" t="n">
        <v>-4.996143</v>
      </c>
      <c r="AC80" s="18" t="n">
        <v>0.468195000000001</v>
      </c>
      <c r="AD80" s="18" t="n">
        <v>-2.743963</v>
      </c>
      <c r="AE80" s="18" t="n">
        <v>-15.732</v>
      </c>
      <c r="AF80" s="18" t="n">
        <v>-34.516</v>
      </c>
      <c r="AG80" s="18" t="n">
        <v>4.60399999999999</v>
      </c>
      <c r="AH80" s="18" t="n">
        <v>-10.196</v>
      </c>
      <c r="AI80" s="18" t="n">
        <v>-37.395</v>
      </c>
      <c r="AJ80" s="18" t="n">
        <v>1.57299999999999</v>
      </c>
      <c r="AK80" s="18" t="n">
        <v>-11.972</v>
      </c>
      <c r="AL80" s="18" t="n">
        <v>-18.587</v>
      </c>
      <c r="AM80" s="18" t="n">
        <v>-5.762</v>
      </c>
      <c r="AN80" s="18" t="n">
        <v>-5.842</v>
      </c>
      <c r="AO80" s="18" t="n">
        <v>-2.655</v>
      </c>
      <c r="AP80" s="18" t="n">
        <v>-4.82999999999999</v>
      </c>
      <c r="AQ80" s="18" t="n">
        <v>6.84699999999999</v>
      </c>
      <c r="AR80" s="18" t="n">
        <v>-35.023</v>
      </c>
      <c r="AS80" s="18" t="n">
        <v>-0.643000000000001</v>
      </c>
      <c r="AT80" s="18" t="n">
        <v>-12.527</v>
      </c>
      <c r="AU80" s="18" t="n">
        <v>-0.771999999999999</v>
      </c>
      <c r="AV80" s="18" t="n">
        <v>-78.96</v>
      </c>
      <c r="AW80" s="18" t="n">
        <v>-19.632</v>
      </c>
      <c r="AX80" s="18" t="n">
        <v>8.46899999999994</v>
      </c>
      <c r="AY80" s="18" t="n">
        <v>-11.4069999999999</v>
      </c>
      <c r="AZ80" s="18" t="n">
        <v>7.88</v>
      </c>
      <c r="BA80" s="18" t="n">
        <v>-44.704</v>
      </c>
      <c r="BB80" s="18" t="n">
        <v>10.647</v>
      </c>
      <c r="BC80" s="18" t="n">
        <v>-104.864</v>
      </c>
      <c r="BD80" s="18" t="n">
        <v>-19.362</v>
      </c>
      <c r="BE80" s="18" t="n">
        <v>-33.298</v>
      </c>
      <c r="BF80" s="18" t="n">
        <v>42.524</v>
      </c>
      <c r="BG80" s="18" t="n">
        <v>-98</v>
      </c>
      <c r="BH80" s="18" t="n">
        <v>34</v>
      </c>
      <c r="BI80" s="18" t="n">
        <v>-64</v>
      </c>
      <c r="BJ80" s="18" t="n">
        <v>-25</v>
      </c>
      <c r="BK80" s="18" t="n">
        <v>71</v>
      </c>
      <c r="BL80" s="18" t="n">
        <v>-165</v>
      </c>
      <c r="BM80" s="18" t="n">
        <v>-127</v>
      </c>
      <c r="BN80" s="18" t="n">
        <v>-49</v>
      </c>
      <c r="BO80" s="18" t="n">
        <v>-48</v>
      </c>
      <c r="BP80" s="18" t="n">
        <v>-84</v>
      </c>
      <c r="BQ80" s="18" t="n">
        <v>-311</v>
      </c>
      <c r="BR80" s="18" t="n">
        <v>-495</v>
      </c>
      <c r="BS80" s="18" t="n">
        <v>-76</v>
      </c>
      <c r="BT80" s="18" t="n">
        <v>-268</v>
      </c>
      <c r="BU80" s="18" t="n">
        <v>-63</v>
      </c>
      <c r="BV80" s="18" t="n">
        <v>-332</v>
      </c>
      <c r="BW80" s="18" t="n">
        <v>145</v>
      </c>
      <c r="BX80" s="18" t="n">
        <v>85</v>
      </c>
      <c r="BY80" s="18" t="n">
        <v>19</v>
      </c>
      <c r="BZ80" s="18" t="n">
        <v>-252</v>
      </c>
      <c r="CA80" s="19" t="n">
        <v>527</v>
      </c>
      <c r="CB80" s="20" t="n">
        <f aca="false">'Assumptions (Quarterly)'!F32</f>
        <v>0</v>
      </c>
      <c r="CC80" s="20" t="n">
        <f aca="false">'Assumptions (Quarterly)'!G32</f>
        <v>0</v>
      </c>
      <c r="CD80" s="20" t="n">
        <f aca="false">'Assumptions (Quarterly)'!H32</f>
        <v>0</v>
      </c>
      <c r="CE80" s="20" t="n">
        <f aca="false">'Assumptions (Quarterly)'!I32</f>
        <v>0</v>
      </c>
      <c r="CF80" s="20" t="n">
        <f aca="false">'Assumptions (Quarterly)'!J32</f>
        <v>0</v>
      </c>
      <c r="CG80" s="20" t="n">
        <f aca="false">'Assumptions (Quarterly)'!K32</f>
        <v>0</v>
      </c>
      <c r="CH80" s="20" t="n">
        <f aca="false">'Assumptions (Quarterly)'!L32</f>
        <v>0</v>
      </c>
    </row>
    <row r="81" customFormat="false" ht="15.75" hidden="false" customHeight="true" outlineLevel="0" collapsed="false">
      <c r="A81" s="24" t="s">
        <v>203</v>
      </c>
      <c r="B81" s="23" t="n">
        <f aca="false">B66+B72+B78+B80</f>
        <v>-1.088354</v>
      </c>
      <c r="C81" s="23" t="n">
        <f aca="false">C66+C72+C78+C80</f>
        <v>-0.752863999999999</v>
      </c>
      <c r="D81" s="23" t="n">
        <f aca="false">D66+D72+D78+D80</f>
        <v>2.704767</v>
      </c>
      <c r="E81" s="23" t="n">
        <f aca="false">E66+E72+E78+E80</f>
        <v>5.44104999999999</v>
      </c>
      <c r="F81" s="23" t="n">
        <f aca="false">F66+F72+F78+F80</f>
        <v>1.141427</v>
      </c>
      <c r="G81" s="23" t="n">
        <f aca="false">G66+G72+G78+G80</f>
        <v>-1.72948</v>
      </c>
      <c r="H81" s="23" t="n">
        <f aca="false">H66+H72+H78+H80</f>
        <v>3.726329</v>
      </c>
      <c r="I81" s="23" t="n">
        <f aca="false">I66+I72+I78+I80</f>
        <v>-7.270671</v>
      </c>
      <c r="J81" s="23" t="n">
        <f aca="false">J66+J72+J78+J80</f>
        <v>7.070527</v>
      </c>
      <c r="K81" s="23" t="n">
        <f aca="false">K66+K72+K78+K80</f>
        <v>-0.467803</v>
      </c>
      <c r="L81" s="23" t="n">
        <f aca="false">L66+L72+L78+L80</f>
        <v>2.368592</v>
      </c>
      <c r="M81" s="23" t="n">
        <f aca="false">M66+M72+M78+M80</f>
        <v>13.957605</v>
      </c>
      <c r="N81" s="23" t="n">
        <f aca="false">N66+N72+N78+N80</f>
        <v>16.470896</v>
      </c>
      <c r="O81" s="23" t="n">
        <f aca="false">O66+O72+O78+O80</f>
        <v>-15.169103</v>
      </c>
      <c r="P81" s="23" t="n">
        <f aca="false">P66+P72+P78+P80</f>
        <v>-3.065579</v>
      </c>
      <c r="Q81" s="23" t="n">
        <f aca="false">Q66+Q72+Q78+Q80</f>
        <v>12.88318</v>
      </c>
      <c r="R81" s="23" t="n">
        <f aca="false">R66+R72+R78+R80</f>
        <v>12.378566</v>
      </c>
      <c r="S81" s="23" t="n">
        <f aca="false">S66+S72+S78+S80</f>
        <v>-5.862208</v>
      </c>
      <c r="T81" s="23" t="n">
        <f aca="false">T66+T72+T78+T80</f>
        <v>-6.71812600000001</v>
      </c>
      <c r="U81" s="23" t="n">
        <f aca="false">U66+U72+U78+U80</f>
        <v>14.833285</v>
      </c>
      <c r="V81" s="23" t="n">
        <f aca="false">V66+V72+V78+V80</f>
        <v>8.29826</v>
      </c>
      <c r="W81" s="23" t="n">
        <f aca="false">W66+W72+W78+W80</f>
        <v>8.49326100000001</v>
      </c>
      <c r="X81" s="23" t="n">
        <f aca="false">X66+X72+X78+X80</f>
        <v>11.720792</v>
      </c>
      <c r="Y81" s="23" t="n">
        <f aca="false">Y66+Y72+Y78+Y80</f>
        <v>10.576122</v>
      </c>
      <c r="Z81" s="23" t="n">
        <f aca="false">Z66+Z72+Z78+Z80</f>
        <v>3.31714999999999</v>
      </c>
      <c r="AA81" s="23" t="n">
        <f aca="false">AA66+AA72+AA78+AA80</f>
        <v>20.678379</v>
      </c>
      <c r="AB81" s="23" t="n">
        <f aca="false">AB66+AB72+AB78+AB80</f>
        <v>9.02396599999999</v>
      </c>
      <c r="AC81" s="23" t="n">
        <f aca="false">AC66+AC72+AC78+AC80</f>
        <v>-3.09435300000001</v>
      </c>
      <c r="AD81" s="23" t="n">
        <f aca="false">AD66+AD72+AD78+AD80</f>
        <v>12.188008</v>
      </c>
      <c r="AE81" s="23" t="n">
        <f aca="false">AE66+AE72+AE78+AE80</f>
        <v>-9.14499999999999</v>
      </c>
      <c r="AF81" s="23" t="n">
        <f aca="false">AF66+AF72+AF78+AF80</f>
        <v>254.381</v>
      </c>
      <c r="AG81" s="23" t="n">
        <f aca="false">AG66+AG72+AG78+AG80</f>
        <v>-148.017</v>
      </c>
      <c r="AH81" s="23" t="n">
        <f aca="false">AH66+AH72+AH78+AH80</f>
        <v>-14.36</v>
      </c>
      <c r="AI81" s="23" t="n">
        <f aca="false">AI66+AI72+AI78+AI80</f>
        <v>-3.376</v>
      </c>
      <c r="AJ81" s="23" t="n">
        <f aca="false">AJ66+AJ72+AJ78+AJ80</f>
        <v>-49.377</v>
      </c>
      <c r="AK81" s="23" t="n">
        <f aca="false">AK66+AK72+AK78+AK80</f>
        <v>2.63299999999999</v>
      </c>
      <c r="AL81" s="23" t="n">
        <f aca="false">AL66+AL72+AL78+AL80</f>
        <v>-6.14300000000001</v>
      </c>
      <c r="AM81" s="23" t="n">
        <f aca="false">AM66+AM72+AM78+AM80</f>
        <v>-21.996</v>
      </c>
      <c r="AN81" s="23" t="n">
        <f aca="false">AN66+AN72+AN78+AN80</f>
        <v>-0.869000000000001</v>
      </c>
      <c r="AO81" s="23" t="n">
        <f aca="false">AO66+AO72+AO78+AO80</f>
        <v>43.979</v>
      </c>
      <c r="AP81" s="23" t="n">
        <f aca="false">AP66+AP72+AP78+AP80</f>
        <v>46.145</v>
      </c>
      <c r="AQ81" s="23" t="n">
        <f aca="false">AQ66+AQ72+AQ78+AQ80</f>
        <v>67.248</v>
      </c>
      <c r="AR81" s="23" t="n">
        <f aca="false">AR66+AR72+AR78+AR80</f>
        <v>81.403</v>
      </c>
      <c r="AS81" s="23" t="n">
        <f aca="false">AS66+AS72+AS78+AS80</f>
        <v>78.407</v>
      </c>
      <c r="AT81" s="23" t="n">
        <f aca="false">AT66+AT72+AT78+AT80</f>
        <v>-72.938</v>
      </c>
      <c r="AU81" s="23" t="n">
        <f aca="false">AU66+AU72+AU78+AU80</f>
        <v>-37.849</v>
      </c>
      <c r="AV81" s="23" t="n">
        <f aca="false">AV66+AV72+AV78+AV80</f>
        <v>173.6</v>
      </c>
      <c r="AW81" s="23" t="n">
        <f aca="false">AW66+AW72+AW78+AW80</f>
        <v>553.719</v>
      </c>
      <c r="AX81" s="23" t="n">
        <f aca="false">AX66+AX72+AX78+AX80</f>
        <v>-613.035</v>
      </c>
      <c r="AY81" s="23" t="n">
        <f aca="false">AY66+AY72+AY78+AY80</f>
        <v>841.566</v>
      </c>
      <c r="AZ81" s="23" t="n">
        <f aca="false">AZ66+AZ72+AZ78+AZ80</f>
        <v>-177.939</v>
      </c>
      <c r="BA81" s="23" t="n">
        <f aca="false">BA66+BA72+BA78+BA80</f>
        <v>328.643</v>
      </c>
      <c r="BB81" s="23" t="n">
        <f aca="false">BB66+BB72+BB78+BB80</f>
        <v>-5.54099999999999</v>
      </c>
      <c r="BC81" s="23" t="n">
        <f aca="false">BC66+BC72+BC78+BC80</f>
        <v>-186.041</v>
      </c>
      <c r="BD81" s="23" t="n">
        <f aca="false">BD66+BD72+BD78+BD80</f>
        <v>397.975</v>
      </c>
      <c r="BE81" s="23" t="n">
        <f aca="false">BE66+BE72+BE78+BE80</f>
        <v>-39.2289999999999</v>
      </c>
      <c r="BF81" s="23" t="n">
        <f aca="false">BF66+BF72+BF78+BF80</f>
        <v>884.295</v>
      </c>
      <c r="BG81" s="23" t="n">
        <f aca="false">BG66+BG72+BG78+BG80</f>
        <v>-1320</v>
      </c>
      <c r="BH81" s="23" t="n">
        <f aca="false">BH66+BH72+BH78+BH80</f>
        <v>243</v>
      </c>
      <c r="BI81" s="23" t="n">
        <f aca="false">BI66+BI72+BI78+BI80</f>
        <v>-8</v>
      </c>
      <c r="BJ81" s="23" t="n">
        <f aca="false">BJ66+BJ72+BJ78+BJ80</f>
        <v>2225</v>
      </c>
      <c r="BK81" s="23" t="n">
        <f aca="false">BK66+BK72+BK78+BK80</f>
        <v>-1234</v>
      </c>
      <c r="BL81" s="23" t="n">
        <f aca="false">BL66+BL72+BL78+BL80</f>
        <v>-161</v>
      </c>
      <c r="BM81" s="23" t="n">
        <f aca="false">BM66+BM72+BM78+BM80</f>
        <v>275</v>
      </c>
      <c r="BN81" s="23" t="n">
        <f aca="false">BN66+BN72+BN78+BN80</f>
        <v>835</v>
      </c>
      <c r="BO81" s="23" t="n">
        <f aca="false">BO66+BO72+BO78+BO80</f>
        <v>161</v>
      </c>
      <c r="BP81" s="23" t="n">
        <f aca="false">BP66+BP72+BP78+BP80</f>
        <v>300</v>
      </c>
      <c r="BQ81" s="23" t="n">
        <f aca="false">BQ66+BQ72+BQ78+BQ80</f>
        <v>-568</v>
      </c>
      <c r="BR81" s="23" t="n">
        <f aca="false">BR66+BR72+BR78+BR80</f>
        <v>592</v>
      </c>
      <c r="BS81" s="23" t="n">
        <f aca="false">BS66+BS72+BS78+BS80</f>
        <v>-30</v>
      </c>
      <c r="BT81" s="23" t="n">
        <f aca="false">BT66+BT72+BT78+BT80</f>
        <v>5</v>
      </c>
      <c r="BU81" s="23" t="n">
        <f aca="false">BU66+BU72+BU78+BU80</f>
        <v>-345</v>
      </c>
      <c r="BV81" s="23" t="n">
        <f aca="false">BV66+BV72+BV78+BV80</f>
        <v>1221</v>
      </c>
      <c r="BW81" s="23" t="n">
        <f aca="false">BW66+BW72+BW78+BW80</f>
        <v>-201</v>
      </c>
      <c r="BX81" s="23" t="n">
        <f aca="false">BX66+BX72+BX78+BX80</f>
        <v>2390</v>
      </c>
      <c r="BY81" s="23" t="n">
        <f aca="false">BY66+BY72+BY78+BY80</f>
        <v>2311</v>
      </c>
      <c r="BZ81" s="23" t="n">
        <f aca="false">BZ66+BZ72+BZ78+BZ80</f>
        <v>4338</v>
      </c>
      <c r="CA81" s="23" t="n">
        <f aca="false">CA66+CA72+CA78+CA80</f>
        <v>1604</v>
      </c>
      <c r="CB81" s="23" t="n">
        <f aca="false">CB66+CB72+CB78+CB80</f>
        <v>966.471810799998</v>
      </c>
      <c r="CC81" s="23" t="n">
        <f aca="false">CC66+CC72+CC78+CC80</f>
        <v>2113.5508233014</v>
      </c>
      <c r="CD81" s="23" t="n">
        <f aca="false">CD66+CD72+CD78+CD80</f>
        <v>3018.242956855</v>
      </c>
      <c r="CE81" s="23" t="n">
        <f aca="false">CE66+CE72+CE78+CE80</f>
        <v>725.9813079475</v>
      </c>
      <c r="CF81" s="23" t="n">
        <f aca="false">CF66+CF72+CF78+CF80</f>
        <v>1463.95309691014</v>
      </c>
      <c r="CG81" s="23" t="n">
        <f aca="false">CG66+CG72+CG78+CG80</f>
        <v>2711.69272263149</v>
      </c>
      <c r="CH81" s="23" t="n">
        <f aca="false">CH66+CH72+CH78+CH80</f>
        <v>3344.33034653507</v>
      </c>
    </row>
    <row r="82" customFormat="false" ht="15.75" hidden="false" customHeight="true" outlineLevel="0" collapsed="false">
      <c r="A82" s="17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6"/>
      <c r="CC82" s="26"/>
      <c r="CD82" s="26"/>
      <c r="CE82" s="26"/>
      <c r="CF82" s="26"/>
      <c r="CG82" s="26"/>
      <c r="CH82" s="26"/>
    </row>
    <row r="83" customFormat="false" ht="15" hidden="false" customHeight="true" outlineLevel="0" collapsed="false">
      <c r="A83" s="40" t="s">
        <v>178</v>
      </c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</row>
    <row r="84" customFormat="false" ht="15" hidden="false" customHeight="true" outlineLevel="0" collapsed="false">
      <c r="A84" s="45" t="s">
        <v>204</v>
      </c>
      <c r="B84" s="23" t="n">
        <f aca="false">B66+B68</f>
        <v>1.824018</v>
      </c>
      <c r="C84" s="23" t="n">
        <f aca="false">C66+C68</f>
        <v>1.937975</v>
      </c>
      <c r="D84" s="23" t="n">
        <f aca="false">D66+D68</f>
        <v>1.650091</v>
      </c>
      <c r="E84" s="23" t="n">
        <f aca="false">E66+E68</f>
        <v>2.454623</v>
      </c>
      <c r="F84" s="23" t="n">
        <f aca="false">F66+F68</f>
        <v>-1.493521</v>
      </c>
      <c r="G84" s="23" t="n">
        <f aca="false">G66+G68</f>
        <v>5.759505</v>
      </c>
      <c r="H84" s="23" t="n">
        <f aca="false">H66+H68</f>
        <v>-1.867276</v>
      </c>
      <c r="I84" s="23" t="n">
        <f aca="false">I66+I68</f>
        <v>8.426432</v>
      </c>
      <c r="J84" s="23" t="n">
        <f aca="false">J66+J68</f>
        <v>38.555525</v>
      </c>
      <c r="K84" s="23" t="n">
        <f aca="false">K66+K68</f>
        <v>3.132873</v>
      </c>
      <c r="L84" s="23" t="n">
        <f aca="false">L66+L68</f>
        <v>7.71122</v>
      </c>
      <c r="M84" s="23" t="n">
        <f aca="false">M66+M68</f>
        <v>13.169783</v>
      </c>
      <c r="N84" s="23" t="n">
        <f aca="false">N66+N68</f>
        <v>21.88894</v>
      </c>
      <c r="O84" s="23" t="n">
        <f aca="false">O66+O68</f>
        <v>10.057876</v>
      </c>
      <c r="P84" s="23" t="n">
        <f aca="false">P66+P68</f>
        <v>12.127607</v>
      </c>
      <c r="Q84" s="23" t="n">
        <f aca="false">Q66+Q68</f>
        <v>9.249195</v>
      </c>
      <c r="R84" s="23" t="n">
        <f aca="false">R66+R68</f>
        <v>23.247732</v>
      </c>
      <c r="S84" s="23" t="n">
        <f aca="false">S66+S68</f>
        <v>12.282823</v>
      </c>
      <c r="T84" s="23" t="n">
        <f aca="false">T66+T68</f>
        <v>8.202075</v>
      </c>
      <c r="U84" s="23" t="n">
        <f aca="false">U66+U68</f>
        <v>24.724377</v>
      </c>
      <c r="V84" s="23" t="n">
        <f aca="false">V66+V68</f>
        <v>25.292195</v>
      </c>
      <c r="W84" s="23" t="n">
        <f aca="false">W66+W68</f>
        <v>15.289901</v>
      </c>
      <c r="X84" s="23" t="n">
        <f aca="false">X66+X68</f>
        <v>34.874984</v>
      </c>
      <c r="Y84" s="23" t="n">
        <f aca="false">Y66+Y68</f>
        <v>21.860414</v>
      </c>
      <c r="Z84" s="23" t="n">
        <f aca="false">Z66+Z68</f>
        <v>51.118344</v>
      </c>
      <c r="AA84" s="23" t="n">
        <f aca="false">AA66+AA68</f>
        <v>27.230202</v>
      </c>
      <c r="AB84" s="23" t="n">
        <f aca="false">AB66+AB68</f>
        <v>-6.16176100000001</v>
      </c>
      <c r="AC84" s="23" t="n">
        <f aca="false">AC66+AC68</f>
        <v>25.684095</v>
      </c>
      <c r="AD84" s="23" t="n">
        <f aca="false">AD66+AD68</f>
        <v>-17.995536</v>
      </c>
      <c r="AE84" s="23" t="n">
        <f aca="false">AE66+AE68</f>
        <v>20.662</v>
      </c>
      <c r="AF84" s="23" t="n">
        <f aca="false">AF66+AF68</f>
        <v>52.611</v>
      </c>
      <c r="AG84" s="23" t="n">
        <f aca="false">AG66+AG68</f>
        <v>40.72</v>
      </c>
      <c r="AH84" s="23" t="n">
        <f aca="false">AH66+AH68</f>
        <v>48.374</v>
      </c>
      <c r="AI84" s="23" t="n">
        <f aca="false">AI66+AI68</f>
        <v>30.864</v>
      </c>
      <c r="AJ84" s="23" t="n">
        <f aca="false">AJ66+AJ68</f>
        <v>42.189</v>
      </c>
      <c r="AK84" s="23" t="n">
        <f aca="false">AK66+AK68</f>
        <v>1.38399999999999</v>
      </c>
      <c r="AL84" s="23" t="n">
        <f aca="false">AL66+AL68</f>
        <v>84.403</v>
      </c>
      <c r="AM84" s="23" t="n">
        <f aca="false">AM66+AM68</f>
        <v>-27.226</v>
      </c>
      <c r="AN84" s="23" t="n">
        <f aca="false">AN66+AN68</f>
        <v>34.528</v>
      </c>
      <c r="AO84" s="23" t="n">
        <f aca="false">AO66+AO68</f>
        <v>78.741</v>
      </c>
      <c r="AP84" s="23" t="n">
        <f aca="false">AP66+AP68</f>
        <v>27.277</v>
      </c>
      <c r="AQ84" s="23" t="n">
        <f aca="false">AQ66+AQ68</f>
        <v>91.984</v>
      </c>
      <c r="AR84" s="23" t="n">
        <f aca="false">AR66+AR68</f>
        <v>99.832</v>
      </c>
      <c r="AS84" s="23" t="n">
        <f aca="false">AS66+AS68</f>
        <v>-1.484</v>
      </c>
      <c r="AT84" s="23" t="n">
        <f aca="false">AT66+AT68</f>
        <v>3.82699999999999</v>
      </c>
      <c r="AU84" s="23" t="n">
        <f aca="false">AU66+AU68</f>
        <v>-59.938</v>
      </c>
      <c r="AV84" s="23" t="n">
        <f aca="false">AV66+AV68</f>
        <v>120.574</v>
      </c>
      <c r="AW84" s="23" t="n">
        <f aca="false">AW66+AW68</f>
        <v>65.906</v>
      </c>
      <c r="AX84" s="23" t="n">
        <f aca="false">AX66+AX68</f>
        <v>6.80300000000002</v>
      </c>
      <c r="AY84" s="23" t="n">
        <f aca="false">AY66+AY68</f>
        <v>105.443</v>
      </c>
      <c r="AZ84" s="23" t="n">
        <f aca="false">AZ66+AZ68</f>
        <v>-10.8790000000001</v>
      </c>
      <c r="BA84" s="23" t="n">
        <f aca="false">BA66+BA68</f>
        <v>177.521</v>
      </c>
      <c r="BB84" s="23" t="n">
        <f aca="false">BB66+BB68</f>
        <v>42.208</v>
      </c>
      <c r="BC84" s="23" t="n">
        <f aca="false">BC66+BC68</f>
        <v>-130.826</v>
      </c>
      <c r="BD84" s="23" t="n">
        <f aca="false">BD66+BD68</f>
        <v>600.677</v>
      </c>
      <c r="BE84" s="23" t="n">
        <f aca="false">BE66+BE68</f>
        <v>296.621</v>
      </c>
      <c r="BF84" s="23" t="n">
        <f aca="false">BF66+BF68</f>
        <v>168.528</v>
      </c>
      <c r="BG84" s="23" t="n">
        <f aca="false">BG66+BG68</f>
        <v>-378</v>
      </c>
      <c r="BH84" s="23" t="n">
        <f aca="false">BH66+BH68</f>
        <v>114</v>
      </c>
      <c r="BI84" s="23" t="n">
        <f aca="false">BI66+BI68</f>
        <v>103</v>
      </c>
      <c r="BJ84" s="23" t="n">
        <f aca="false">BJ66+BJ68</f>
        <v>553</v>
      </c>
      <c r="BK84" s="23" t="n">
        <f aca="false">BK66+BK68</f>
        <v>-370</v>
      </c>
      <c r="BL84" s="23" t="n">
        <f aca="false">BL66+BL68</f>
        <v>808</v>
      </c>
      <c r="BM84" s="23" t="n">
        <f aca="false">BM66+BM68</f>
        <v>618</v>
      </c>
      <c r="BN84" s="23" t="n">
        <f aca="false">BN66+BN68</f>
        <v>1429</v>
      </c>
      <c r="BO84" s="23" t="n">
        <f aca="false">BO66+BO68</f>
        <v>770</v>
      </c>
      <c r="BP84" s="23" t="n">
        <f aca="false">BP66+BP68</f>
        <v>1298</v>
      </c>
      <c r="BQ84" s="23" t="n">
        <f aca="false">BQ66+BQ68</f>
        <v>815</v>
      </c>
      <c r="BR84" s="23" t="n">
        <f aca="false">BR66+BR68</f>
        <v>1748</v>
      </c>
      <c r="BS84" s="23" t="n">
        <f aca="false">BS66+BS68</f>
        <v>1364</v>
      </c>
      <c r="BT84" s="23" t="n">
        <f aca="false">BT66+BT68</f>
        <v>1698</v>
      </c>
      <c r="BU84" s="23" t="n">
        <f aca="false">BU66+BU68</f>
        <v>1377</v>
      </c>
      <c r="BV84" s="23" t="n">
        <f aca="false">BV66+BV68</f>
        <v>2619</v>
      </c>
      <c r="BW84" s="23" t="n">
        <f aca="false">BW66+BW68</f>
        <v>759</v>
      </c>
      <c r="BX84" s="23" t="n">
        <f aca="false">BX66+BX68</f>
        <v>2630</v>
      </c>
      <c r="BY84" s="23" t="n">
        <f aca="false">BY66+BY68</f>
        <v>2602</v>
      </c>
      <c r="BZ84" s="23" t="n">
        <f aca="false">BZ66+BZ68</f>
        <v>4782</v>
      </c>
      <c r="CA84" s="23" t="n">
        <f aca="false">CA66+CA68</f>
        <v>1804</v>
      </c>
      <c r="CB84" s="23" t="n">
        <f aca="false">CB66+CB68</f>
        <v>977.079370799999</v>
      </c>
      <c r="CC84" s="23" t="n">
        <f aca="false">CC66+CC68</f>
        <v>2432.8692830214</v>
      </c>
      <c r="CD84" s="23" t="n">
        <f aca="false">CD66+CD68</f>
        <v>3324.39091451</v>
      </c>
      <c r="CE84" s="23" t="n">
        <f aca="false">CE66+CE68</f>
        <v>469.186529599999</v>
      </c>
      <c r="CF84" s="23" t="n">
        <f aca="false">CF66+CF68</f>
        <v>1129.872037088</v>
      </c>
      <c r="CG84" s="23" t="n">
        <f aca="false">CG66+CG68</f>
        <v>2937.73198197106</v>
      </c>
      <c r="CH84" s="23" t="n">
        <f aca="false">CH66+CH68</f>
        <v>3929.45866120742</v>
      </c>
    </row>
    <row r="85" customFormat="false" ht="15" hidden="false" customHeight="true" outlineLevel="0" collapsed="false">
      <c r="A85" s="41" t="s">
        <v>303</v>
      </c>
      <c r="B85" s="36"/>
      <c r="C85" s="36"/>
      <c r="D85" s="36"/>
      <c r="E85" s="36"/>
      <c r="F85" s="36" t="n">
        <f aca="false">F84/B84-1</f>
        <v>-1.81880825737465</v>
      </c>
      <c r="G85" s="36" t="n">
        <f aca="false">G84/C84-1</f>
        <v>1.9719191424038</v>
      </c>
      <c r="H85" s="36" t="n">
        <f aca="false">H84/D84-1</f>
        <v>-2.13162001368409</v>
      </c>
      <c r="I85" s="36" t="n">
        <f aca="false">I84/E84-1</f>
        <v>2.43288236116096</v>
      </c>
      <c r="J85" s="36" t="n">
        <f aca="false">J84/F84-1</f>
        <v>-26.81518773422</v>
      </c>
      <c r="K85" s="36" t="n">
        <f aca="false">K84/G84-1</f>
        <v>-0.456051691942276</v>
      </c>
      <c r="L85" s="36" t="n">
        <f aca="false">L84/H84-1</f>
        <v>-5.12966267439844</v>
      </c>
      <c r="M85" s="36" t="n">
        <f aca="false">M84/I84-1</f>
        <v>0.562913342206999</v>
      </c>
      <c r="N85" s="36" t="n">
        <f aca="false">N84/J84-1</f>
        <v>-0.432274881485857</v>
      </c>
      <c r="O85" s="36" t="n">
        <f aca="false">O84/K84-1</f>
        <v>2.21043208582027</v>
      </c>
      <c r="P85" s="36" t="n">
        <f aca="false">P84/L84-1</f>
        <v>0.572722215161804</v>
      </c>
      <c r="Q85" s="36" t="n">
        <f aca="false">Q84/M84-1</f>
        <v>-0.29769571753764</v>
      </c>
      <c r="R85" s="36" t="n">
        <f aca="false">R84/N84-1</f>
        <v>0.0620766469276264</v>
      </c>
      <c r="S85" s="36" t="n">
        <f aca="false">S84/O84-1</f>
        <v>0.221214399541216</v>
      </c>
      <c r="T85" s="36" t="n">
        <f aca="false">T84/P84-1</f>
        <v>-0.323685620749419</v>
      </c>
      <c r="U85" s="36" t="n">
        <f aca="false">U84/Q84-1</f>
        <v>1.67313825689695</v>
      </c>
      <c r="V85" s="36" t="n">
        <f aca="false">V84/R84-1</f>
        <v>0.0879424711193333</v>
      </c>
      <c r="W85" s="36" t="n">
        <f aca="false">W84/S84-1</f>
        <v>0.244819777994032</v>
      </c>
      <c r="X85" s="36" t="n">
        <f aca="false">X84/T84-1</f>
        <v>3.25197087322416</v>
      </c>
      <c r="Y85" s="36" t="n">
        <f aca="false">Y84/U84-1</f>
        <v>-0.115835598203345</v>
      </c>
      <c r="Z85" s="36" t="n">
        <f aca="false">Z84/V84-1</f>
        <v>1.02111141401527</v>
      </c>
      <c r="AA85" s="36" t="n">
        <f aca="false">AA84/W84-1</f>
        <v>0.780927293119818</v>
      </c>
      <c r="AB85" s="36" t="n">
        <f aca="false">AB84/X84-1</f>
        <v>-1.17668140005455</v>
      </c>
      <c r="AC85" s="36" t="n">
        <f aca="false">AC84/Y84-1</f>
        <v>0.174913476021085</v>
      </c>
      <c r="AD85" s="36" t="n">
        <f aca="false">AD84/Z84-1</f>
        <v>-1.35203675612027</v>
      </c>
      <c r="AE85" s="36" t="n">
        <f aca="false">AE84/AA84-1</f>
        <v>-0.241210182722845</v>
      </c>
      <c r="AF85" s="36" t="n">
        <f aca="false">AF84/AB84-1</f>
        <v>-9.53830585120064</v>
      </c>
      <c r="AG85" s="36" t="n">
        <f aca="false">AG84/AC84-1</f>
        <v>0.585416967193122</v>
      </c>
      <c r="AH85" s="36" t="n">
        <f aca="false">AH84/AD84-1</f>
        <v>-3.68811109599625</v>
      </c>
      <c r="AI85" s="36" t="n">
        <f aca="false">AI84/AE84-1</f>
        <v>0.493756654728487</v>
      </c>
      <c r="AJ85" s="36" t="n">
        <f aca="false">AJ84/AF84-1</f>
        <v>-0.198095455323031</v>
      </c>
      <c r="AK85" s="36" t="n">
        <f aca="false">AK84/AG84-1</f>
        <v>-0.966011787819254</v>
      </c>
      <c r="AL85" s="36" t="n">
        <f aca="false">AL84/AH84-1</f>
        <v>0.744800926117335</v>
      </c>
      <c r="AM85" s="36" t="n">
        <f aca="false">AM84/AI84-1</f>
        <v>-1.88212804561949</v>
      </c>
      <c r="AN85" s="36" t="n">
        <f aca="false">AN84/AJ84-1</f>
        <v>-0.181587617625447</v>
      </c>
      <c r="AO85" s="36" t="n">
        <f aca="false">AO84/AK84-1</f>
        <v>55.8937861271682</v>
      </c>
      <c r="AP85" s="36" t="n">
        <f aca="false">AP84/AL84-1</f>
        <v>-0.676824283497033</v>
      </c>
      <c r="AQ85" s="36" t="n">
        <f aca="false">AQ84/AM84-1</f>
        <v>-4.37853522368324</v>
      </c>
      <c r="AR85" s="36" t="n">
        <f aca="false">AR84/AN84-1</f>
        <v>1.89133456904541</v>
      </c>
      <c r="AS85" s="36" t="n">
        <f aca="false">AS84/AO84-1</f>
        <v>-1.0188465983414</v>
      </c>
      <c r="AT85" s="36" t="n">
        <f aca="false">AT84/AP84-1</f>
        <v>-0.859698647211937</v>
      </c>
      <c r="AU85" s="36" t="n">
        <f aca="false">AU84/AQ84-1</f>
        <v>-1.65161332405636</v>
      </c>
      <c r="AV85" s="36" t="n">
        <f aca="false">AV84/AR84-1</f>
        <v>0.207769052007372</v>
      </c>
      <c r="AW85" s="36" t="n">
        <f aca="false">AW84/AS84-1</f>
        <v>-45.411051212938</v>
      </c>
      <c r="AX85" s="36" t="n">
        <f aca="false">AX84/AT84-1</f>
        <v>0.777632610399798</v>
      </c>
      <c r="AY85" s="36" t="n">
        <f aca="false">AY84/AU84-1</f>
        <v>-2.75920117454703</v>
      </c>
      <c r="AZ85" s="36" t="n">
        <f aca="false">AZ84/AV84-1</f>
        <v>-1.09022674871863</v>
      </c>
      <c r="BA85" s="36" t="n">
        <f aca="false">BA84/AW84-1</f>
        <v>1.69354838709677</v>
      </c>
      <c r="BB85" s="36" t="n">
        <f aca="false">BB84/AX84-1</f>
        <v>5.20432162281345</v>
      </c>
      <c r="BC85" s="36" t="n">
        <f aca="false">BC84/AY84-1</f>
        <v>-2.24072721754882</v>
      </c>
      <c r="BD85" s="36" t="n">
        <f aca="false">BD84/AZ84-1</f>
        <v>-56.2143579373101</v>
      </c>
      <c r="BE85" s="36" t="n">
        <f aca="false">BE84/BA84-1</f>
        <v>0.67090654063463</v>
      </c>
      <c r="BF85" s="36" t="n">
        <f aca="false">BF84/BB84-1</f>
        <v>2.99279757391963</v>
      </c>
      <c r="BG85" s="36" t="n">
        <f aca="false">BG84/BC84-1</f>
        <v>1.88933392444927</v>
      </c>
      <c r="BH85" s="36" t="n">
        <f aca="false">BH84/BD84-1</f>
        <v>-0.810214141710104</v>
      </c>
      <c r="BI85" s="36" t="n">
        <f aca="false">BI84/BE84-1</f>
        <v>-0.652755536526409</v>
      </c>
      <c r="BJ85" s="36" t="n">
        <f aca="false">BJ84/BF84-1</f>
        <v>2.2813538403114</v>
      </c>
      <c r="BK85" s="36" t="n">
        <f aca="false">BK84/BG84-1</f>
        <v>-0.0211640211640212</v>
      </c>
      <c r="BL85" s="36" t="n">
        <f aca="false">BL84/BH84-1</f>
        <v>6.08771929824561</v>
      </c>
      <c r="BM85" s="36" t="n">
        <f aca="false">BM84/BI84-1</f>
        <v>5</v>
      </c>
      <c r="BN85" s="36" t="n">
        <f aca="false">BN84/BJ84-1</f>
        <v>1.58408679927667</v>
      </c>
      <c r="BO85" s="36" t="n">
        <f aca="false">BO84/BK84-1</f>
        <v>-3.08108108108108</v>
      </c>
      <c r="BP85" s="36" t="n">
        <f aca="false">BP84/BL84-1</f>
        <v>0.606435643564357</v>
      </c>
      <c r="BQ85" s="36" t="n">
        <f aca="false">BQ84/BM84-1</f>
        <v>0.318770226537217</v>
      </c>
      <c r="BR85" s="36" t="n">
        <f aca="false">BR84/BN84-1</f>
        <v>0.223233030090973</v>
      </c>
      <c r="BS85" s="36" t="n">
        <f aca="false">BS84/BO84-1</f>
        <v>0.771428571428571</v>
      </c>
      <c r="BT85" s="36" t="n">
        <f aca="false">BT84/BP84-1</f>
        <v>0.308166409861325</v>
      </c>
      <c r="BU85" s="36" t="n">
        <f aca="false">BU84/BQ84-1</f>
        <v>0.689570552147239</v>
      </c>
      <c r="BV85" s="36" t="n">
        <f aca="false">BV84/BR84-1</f>
        <v>0.498283752860412</v>
      </c>
      <c r="BW85" s="36" t="n">
        <f aca="false">BW84/BS84-1</f>
        <v>-0.443548387096774</v>
      </c>
      <c r="BX85" s="36" t="n">
        <f aca="false">BX84/BT84-1</f>
        <v>0.548881036513545</v>
      </c>
      <c r="BY85" s="36" t="n">
        <f aca="false">BY84/BU84-1</f>
        <v>0.88961510530138</v>
      </c>
      <c r="BZ85" s="36" t="n">
        <f aca="false">BZ84/BV84-1</f>
        <v>0.825887743413517</v>
      </c>
      <c r="CA85" s="37" t="n">
        <f aca="false">CA84/BW84-1</f>
        <v>1.3768115942029</v>
      </c>
      <c r="CB85" s="38" t="n">
        <f aca="false">CB84/CA84-1</f>
        <v>-0.458381723503327</v>
      </c>
      <c r="CC85" s="38" t="n">
        <f aca="false">CC84/CB84-1</f>
        <v>1.48994028093076</v>
      </c>
      <c r="CD85" s="38" t="n">
        <f aca="false">CD84/CC84-1</f>
        <v>0.366448636476436</v>
      </c>
      <c r="CE85" s="38" t="n">
        <f aca="false">CE84/CD84-1</f>
        <v>-0.858865415751157</v>
      </c>
      <c r="CF85" s="38" t="n">
        <f aca="false">CF84/CE84-1</f>
        <v>1.40815105679027</v>
      </c>
      <c r="CG85" s="38" t="n">
        <f aca="false">CG84/CF84-1</f>
        <v>1.60005725032583</v>
      </c>
      <c r="CH85" s="38" t="n">
        <f aca="false">CH84/CG84-1</f>
        <v>0.337582422536368</v>
      </c>
    </row>
    <row r="86" customFormat="false" ht="15" hidden="false" customHeight="true" outlineLevel="0" collapsed="false">
      <c r="A86" s="17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6"/>
      <c r="CC86" s="26"/>
      <c r="CD86" s="26"/>
      <c r="CE86" s="26"/>
      <c r="CF86" s="26"/>
      <c r="CG86" s="26"/>
      <c r="CH86" s="26"/>
    </row>
    <row r="87" customFormat="false" ht="18" hidden="false" customHeight="true" outlineLevel="0" collapsed="false">
      <c r="A87" s="48" t="s">
        <v>207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  <c r="BW87" s="48"/>
      <c r="BX87" s="48"/>
      <c r="BY87" s="48"/>
      <c r="BZ87" s="48"/>
      <c r="CA87" s="48"/>
      <c r="CB87" s="48"/>
      <c r="CC87" s="48"/>
      <c r="CD87" s="48"/>
      <c r="CE87" s="48"/>
      <c r="CF87" s="48"/>
      <c r="CG87" s="48"/>
      <c r="CH87" s="48"/>
    </row>
    <row r="88" customFormat="false" ht="15" hidden="false" customHeight="true" outlineLevel="0" collapsed="false">
      <c r="A88" s="17" t="s">
        <v>208</v>
      </c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6" t="n">
        <f aca="false">CA28</f>
        <v>15141</v>
      </c>
      <c r="CC88" s="26" t="n">
        <f aca="false">CB28</f>
        <v>16107.4718108</v>
      </c>
      <c r="CD88" s="26" t="n">
        <f aca="false">CC28</f>
        <v>18221.0226341014</v>
      </c>
      <c r="CE88" s="26" t="n">
        <f aca="false">CD28</f>
        <v>21239.2655909564</v>
      </c>
      <c r="CF88" s="26" t="n">
        <f aca="false">CE28</f>
        <v>21965.2468989039</v>
      </c>
      <c r="CG88" s="26" t="n">
        <f aca="false">CF28</f>
        <v>23429.199995814</v>
      </c>
      <c r="CH88" s="26" t="n">
        <f aca="false">CG28</f>
        <v>26140.8927184455</v>
      </c>
    </row>
    <row r="89" customFormat="false" ht="15" hidden="false" customHeight="true" outlineLevel="0" collapsed="false">
      <c r="A89" s="17" t="s">
        <v>209</v>
      </c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6" t="n">
        <f aca="false">CB88+CB66+CB72+CB74+CB75+CB76+CB80</f>
        <v>16107.4718108</v>
      </c>
      <c r="CC89" s="26" t="n">
        <f aca="false">CC88+CC66+CC72+CC74+CC75+CC76+CC80</f>
        <v>18221.0226341014</v>
      </c>
      <c r="CD89" s="26" t="n">
        <f aca="false">CD88+CD66+CD72+CD74+CD75+CD76+CD80</f>
        <v>21239.2655909564</v>
      </c>
      <c r="CE89" s="26" t="n">
        <f aca="false">CE88+CE66+CE72+CE74+CE75+CE76+CE80</f>
        <v>21965.2468989039</v>
      </c>
      <c r="CF89" s="26" t="n">
        <f aca="false">CF88+CF66+CF72+CF74+CF75+CF76+CF80</f>
        <v>23429.199995814</v>
      </c>
      <c r="CG89" s="26" t="n">
        <f aca="false">CG88+CG66+CG72+CG74+CG75+CG76+CG80</f>
        <v>26140.8927184455</v>
      </c>
      <c r="CH89" s="26" t="n">
        <f aca="false">CH88+CH66+CH72+CH74+CH75+CH76+CH80</f>
        <v>29485.2230649806</v>
      </c>
    </row>
    <row r="90" customFormat="false" ht="15" hidden="false" customHeight="true" outlineLevel="0" collapsed="false">
      <c r="A90" s="17" t="s">
        <v>210</v>
      </c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0" t="n">
        <f aca="false">'Assumptions (Quarterly)'!F24</f>
        <v>2000</v>
      </c>
      <c r="CC90" s="20" t="n">
        <f aca="false">'Assumptions (Quarterly)'!G24</f>
        <v>2000</v>
      </c>
      <c r="CD90" s="20" t="n">
        <f aca="false">'Assumptions (Quarterly)'!H24</f>
        <v>2000</v>
      </c>
      <c r="CE90" s="20" t="n">
        <f aca="false">'Assumptions (Quarterly)'!I24</f>
        <v>2000</v>
      </c>
      <c r="CF90" s="20" t="n">
        <f aca="false">'Assumptions (Quarterly)'!J24</f>
        <v>2000</v>
      </c>
      <c r="CG90" s="20" t="n">
        <f aca="false">'Assumptions (Quarterly)'!K24</f>
        <v>2000</v>
      </c>
      <c r="CH90" s="20" t="n">
        <f aca="false">'Assumptions (Quarterly)'!L24</f>
        <v>2000</v>
      </c>
    </row>
    <row r="91" customFormat="false" ht="15" hidden="false" customHeight="true" outlineLevel="0" collapsed="false">
      <c r="A91" s="17" t="s">
        <v>211</v>
      </c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6" t="n">
        <f aca="false">IF(CB89&lt;CB90,CB90-CB89,-MIN(CB92,CB89-CB90))</f>
        <v>-0</v>
      </c>
      <c r="CC91" s="26" t="n">
        <f aca="false">IF(CC89&lt;CC90,CC90-CC89,-MIN(CC92,CC89-CC90))</f>
        <v>-0</v>
      </c>
      <c r="CD91" s="26" t="n">
        <f aca="false">IF(CD89&lt;CD90,CD90-CD89,-MIN(CD92,CD89-CD90))</f>
        <v>-0</v>
      </c>
      <c r="CE91" s="26" t="n">
        <f aca="false">IF(CE89&lt;CE90,CE90-CE89,-MIN(CE92,CE89-CE90))</f>
        <v>-0</v>
      </c>
      <c r="CF91" s="26" t="n">
        <f aca="false">IF(CF89&lt;CF90,CF90-CF89,-MIN(CF92,CF89-CF90))</f>
        <v>-0</v>
      </c>
      <c r="CG91" s="26" t="n">
        <f aca="false">IF(CG89&lt;CG90,CG90-CG89,-MIN(CG92,CG89-CG90))</f>
        <v>-0</v>
      </c>
      <c r="CH91" s="26" t="n">
        <f aca="false">IF(CH89&lt;CH90,CH90-CH89,-MIN(CH92,CH89-CH90))</f>
        <v>-0</v>
      </c>
    </row>
    <row r="92" customFormat="false" ht="15" hidden="false" customHeight="true" outlineLevel="0" collapsed="false">
      <c r="A92" s="17" t="s">
        <v>212</v>
      </c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6" t="n">
        <f aca="false">0</f>
        <v>0</v>
      </c>
      <c r="CC92" s="26" t="n">
        <f aca="false">CB93</f>
        <v>0</v>
      </c>
      <c r="CD92" s="26" t="n">
        <f aca="false">CC93</f>
        <v>0</v>
      </c>
      <c r="CE92" s="26" t="n">
        <f aca="false">CD93</f>
        <v>0</v>
      </c>
      <c r="CF92" s="26" t="n">
        <f aca="false">CE93</f>
        <v>0</v>
      </c>
      <c r="CG92" s="26" t="n">
        <f aca="false">CF93</f>
        <v>0</v>
      </c>
      <c r="CH92" s="26" t="n">
        <f aca="false">CG93</f>
        <v>0</v>
      </c>
    </row>
    <row r="93" customFormat="false" ht="15" hidden="false" customHeight="true" outlineLevel="0" collapsed="false">
      <c r="A93" s="35" t="s">
        <v>213</v>
      </c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 t="n">
        <f aca="false">CB92+CB91</f>
        <v>0</v>
      </c>
      <c r="CC93" s="22" t="n">
        <f aca="false">CC92+CC91</f>
        <v>0</v>
      </c>
      <c r="CD93" s="22" t="n">
        <f aca="false">CD92+CD91</f>
        <v>0</v>
      </c>
      <c r="CE93" s="22" t="n">
        <f aca="false">CE92+CE91</f>
        <v>0</v>
      </c>
      <c r="CF93" s="22" t="n">
        <f aca="false">CF92+CF91</f>
        <v>0</v>
      </c>
      <c r="CG93" s="22" t="n">
        <f aca="false">CG92+CG91</f>
        <v>0</v>
      </c>
      <c r="CH93" s="22" t="n">
        <f aca="false">CH92+CH91</f>
        <v>0</v>
      </c>
    </row>
    <row r="94" customFormat="false" ht="15" hidden="false" customHeight="true" outlineLevel="0" collapsed="false">
      <c r="A94" s="41" t="s">
        <v>214</v>
      </c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0" t="n">
        <f aca="false">'Assumptions (Quarterly)'!F23*CB92</f>
        <v>0</v>
      </c>
      <c r="CC94" s="20" t="n">
        <f aca="false">'Assumptions (Quarterly)'!G23*CC92</f>
        <v>0</v>
      </c>
      <c r="CD94" s="20" t="n">
        <f aca="false">'Assumptions (Quarterly)'!H23*CD92</f>
        <v>0</v>
      </c>
      <c r="CE94" s="20" t="n">
        <f aca="false">'Assumptions (Quarterly)'!I23*CE92</f>
        <v>0</v>
      </c>
      <c r="CF94" s="20" t="n">
        <f aca="false">'Assumptions (Quarterly)'!J23*CF92</f>
        <v>0</v>
      </c>
      <c r="CG94" s="20" t="n">
        <f aca="false">'Assumptions (Quarterly)'!K23*CG92</f>
        <v>0</v>
      </c>
      <c r="CH94" s="20" t="n">
        <f aca="false">'Assumptions (Quarterly)'!L23*CH92</f>
        <v>0</v>
      </c>
    </row>
    <row r="95" customFormat="false" ht="15" hidden="false" customHeight="true" outlineLevel="0" collapsed="false">
      <c r="A95" s="41" t="s">
        <v>215</v>
      </c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0" t="n">
        <f aca="false">CB6*'Assumptions (Quarterly)'!F41</f>
        <v>5971.45164</v>
      </c>
      <c r="CC95" s="20" t="n">
        <f aca="false">CC6*'Assumptions (Quarterly)'!G41</f>
        <v>6611.82216228</v>
      </c>
      <c r="CD95" s="20" t="n">
        <f aca="false">CD6*'Assumptions (Quarterly)'!H41</f>
        <v>7622.24901</v>
      </c>
      <c r="CE95" s="20" t="n">
        <f aca="false">CE6*'Assumptions (Quarterly)'!I41</f>
        <v>7521.41856</v>
      </c>
      <c r="CF95" s="20" t="n">
        <f aca="false">CF6*'Assumptions (Quarterly)'!J41</f>
        <v>7582.1694048</v>
      </c>
      <c r="CG95" s="20" t="n">
        <f aca="false">CG6*'Assumptions (Quarterly)'!K41</f>
        <v>8257.0053289248</v>
      </c>
      <c r="CH95" s="20" t="n">
        <f aca="false">CH6*'Assumptions (Quarterly)'!L41</f>
        <v>9340.2958982784</v>
      </c>
    </row>
  </sheetData>
  <mergeCells count="6">
    <mergeCell ref="A1:CH1"/>
    <mergeCell ref="A2:CH2"/>
    <mergeCell ref="A5:CH5"/>
    <mergeCell ref="A27:CH27"/>
    <mergeCell ref="A61:CH61"/>
    <mergeCell ref="A87:CH87"/>
  </mergeCells>
  <conditionalFormatting sqref="B54:CH54">
    <cfRule type="cellIs" priority="2" operator="between" aboveAverage="0" equalAverage="0" bottom="0" percent="0" rank="0" text="" dxfId="0">
      <formula>-0.5</formula>
      <formula>0.5</formula>
    </cfRule>
    <cfRule type="cellIs" priority="3" operator="notBetween" aboveAverage="0" equalAverage="0" bottom="0" percent="0" rank="0" text="" dxfId="1">
      <formula>-0.5</formula>
      <formula>0.5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1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B57"/>
    <pageSetUpPr fitToPage="true"/>
  </sheetPr>
  <dimension ref="A1:P1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3" topLeftCell="H4" activePane="bottomRight" state="frozen"/>
      <selection pane="topLeft" activeCell="A1" activeCellId="0" sqref="A1"/>
      <selection pane="topRight" activeCell="H1" activeCellId="0" sqref="H1"/>
      <selection pane="bottomLeft" activeCell="A4" activeCellId="0" sqref="A4"/>
      <selection pane="bottomRight" activeCell="H57" activeCellId="0" sqref="H57"/>
    </sheetView>
  </sheetViews>
  <sheetFormatPr defaultColWidth="8.71484375" defaultRowHeight="15" zeroHeight="false" outlineLevelRow="0" outlineLevelCol="0"/>
  <cols>
    <col collapsed="false" customWidth="true" hidden="false" outlineLevel="0" max="1" min="1" style="9" width="42"/>
    <col collapsed="false" customWidth="true" hidden="false" outlineLevel="0" max="7" min="2" style="9" width="10"/>
    <col collapsed="false" customWidth="true" hidden="false" outlineLevel="0" max="8" min="8" style="9" width="22"/>
    <col collapsed="false" customWidth="true" hidden="false" outlineLevel="0" max="23" min="9" style="9" width="9.57"/>
  </cols>
  <sheetData>
    <row r="1" customFormat="false" ht="24" hidden="false" customHeight="true" outlineLevel="0" collapsed="false">
      <c r="A1" s="49" t="s">
        <v>304</v>
      </c>
      <c r="B1" s="50"/>
      <c r="C1" s="50"/>
      <c r="D1" s="50"/>
      <c r="E1" s="50"/>
      <c r="F1" s="50"/>
      <c r="G1" s="50"/>
    </row>
    <row r="2" customFormat="false" ht="13.5" hidden="false" customHeight="true" outlineLevel="0" collapsed="false">
      <c r="A2" s="51" t="s">
        <v>305</v>
      </c>
      <c r="B2" s="52"/>
      <c r="C2" s="52"/>
      <c r="D2" s="52"/>
      <c r="E2" s="52"/>
      <c r="F2" s="52"/>
      <c r="G2" s="52"/>
    </row>
    <row r="3" customFormat="false" ht="25.5" hidden="false" customHeight="true" outlineLevel="0" collapsed="false">
      <c r="A3" s="13" t="s">
        <v>306</v>
      </c>
      <c r="B3" s="14" t="s">
        <v>307</v>
      </c>
      <c r="C3" s="14" t="s">
        <v>120</v>
      </c>
      <c r="D3" s="14" t="s">
        <v>121</v>
      </c>
      <c r="E3" s="14" t="s">
        <v>122</v>
      </c>
      <c r="F3" s="14" t="s">
        <v>123</v>
      </c>
      <c r="G3" s="14" t="s">
        <v>124</v>
      </c>
    </row>
    <row r="4" customFormat="false" ht="16.5" hidden="false" customHeight="true" outlineLevel="0" collapsed="false">
      <c r="A4" s="53" t="s">
        <v>308</v>
      </c>
      <c r="B4" s="54"/>
      <c r="C4" s="55"/>
      <c r="D4" s="55"/>
      <c r="E4" s="55"/>
      <c r="F4" s="55"/>
      <c r="G4" s="55"/>
    </row>
    <row r="5" customFormat="false" ht="15" hidden="false" customHeight="true" outlineLevel="0" collapsed="false">
      <c r="A5" s="35" t="s">
        <v>309</v>
      </c>
      <c r="B5" s="56" t="n">
        <v>121</v>
      </c>
      <c r="C5" s="57" t="n">
        <f aca="false">B5*(1+C6)</f>
        <v>150.04</v>
      </c>
      <c r="D5" s="57" t="n">
        <f aca="false">C5*(1+D6)</f>
        <v>177.0472</v>
      </c>
      <c r="E5" s="57" t="n">
        <f aca="false">D5*(1+E6)</f>
        <v>201.833808</v>
      </c>
      <c r="F5" s="57" t="n">
        <f aca="false">E5*(1+F6)</f>
        <v>224.03552688</v>
      </c>
      <c r="G5" s="57" t="n">
        <f aca="false">F5*(1+G6)</f>
        <v>244.1987242992</v>
      </c>
    </row>
    <row r="6" customFormat="false" ht="15" hidden="false" customHeight="true" outlineLevel="0" collapsed="false">
      <c r="A6" s="58" t="s">
        <v>310</v>
      </c>
      <c r="B6" s="59"/>
      <c r="C6" s="38" t="n">
        <f aca="false">D65</f>
        <v>0.24</v>
      </c>
      <c r="D6" s="38" t="n">
        <f aca="false">G65</f>
        <v>0.18</v>
      </c>
      <c r="E6" s="38" t="n">
        <f aca="false">J65</f>
        <v>0.14</v>
      </c>
      <c r="F6" s="38" t="n">
        <f aca="false">M65</f>
        <v>0.11</v>
      </c>
      <c r="G6" s="38" t="n">
        <f aca="false">P65</f>
        <v>0.09</v>
      </c>
    </row>
    <row r="7" customFormat="false" ht="15" hidden="false" customHeight="true" outlineLevel="0" collapsed="false">
      <c r="A7" s="35" t="s">
        <v>311</v>
      </c>
      <c r="B7" s="56" t="n">
        <v>537</v>
      </c>
      <c r="C7" s="57" t="n">
        <f aca="false">B7*(1+C8)</f>
        <v>579.96</v>
      </c>
      <c r="D7" s="57" t="n">
        <f aca="false">C7*(1+D8)</f>
        <v>620.5572</v>
      </c>
      <c r="E7" s="57" t="n">
        <f aca="false">D7*(1+E8)</f>
        <v>657.790632</v>
      </c>
      <c r="F7" s="57" t="n">
        <f aca="false">E7*(1+F8)</f>
        <v>690.6801636</v>
      </c>
      <c r="G7" s="57" t="n">
        <f aca="false">F7*(1+G8)</f>
        <v>718.307370144</v>
      </c>
    </row>
    <row r="8" customFormat="false" ht="15" hidden="false" customHeight="true" outlineLevel="0" collapsed="false">
      <c r="A8" s="58" t="s">
        <v>312</v>
      </c>
      <c r="B8" s="59"/>
      <c r="C8" s="38" t="n">
        <f aca="false">D67</f>
        <v>0.08</v>
      </c>
      <c r="D8" s="38" t="n">
        <f aca="false">G67</f>
        <v>0.07</v>
      </c>
      <c r="E8" s="38" t="n">
        <f aca="false">J67</f>
        <v>0.06</v>
      </c>
      <c r="F8" s="38" t="n">
        <f aca="false">M67</f>
        <v>0.05</v>
      </c>
      <c r="G8" s="38" t="n">
        <f aca="false">P67</f>
        <v>0.04</v>
      </c>
    </row>
    <row r="9" customFormat="false" ht="15" hidden="false" customHeight="true" outlineLevel="0" collapsed="false">
      <c r="A9" s="35" t="s">
        <v>313</v>
      </c>
      <c r="B9" s="60" t="n">
        <f aca="false">B5*B7</f>
        <v>64977</v>
      </c>
      <c r="C9" s="57" t="n">
        <f aca="false">C5*C7</f>
        <v>87017.1984</v>
      </c>
      <c r="D9" s="57" t="n">
        <f aca="false">D5*D7</f>
        <v>109867.91469984</v>
      </c>
      <c r="E9" s="57" t="n">
        <f aca="false">E5*E7</f>
        <v>132764.388123287</v>
      </c>
      <c r="F9" s="57" t="n">
        <f aca="false">F5*F7</f>
        <v>154736.894357691</v>
      </c>
      <c r="G9" s="57" t="n">
        <f aca="false">G5*G7</f>
        <v>175409.743443878</v>
      </c>
    </row>
    <row r="10" customFormat="false" ht="15" hidden="false" customHeight="true" outlineLevel="0" collapsed="false">
      <c r="A10" s="58" t="s">
        <v>314</v>
      </c>
      <c r="B10" s="59"/>
      <c r="C10" s="38" t="n">
        <f aca="false">C9/B9-1</f>
        <v>0.3392</v>
      </c>
      <c r="D10" s="38" t="n">
        <f aca="false">D9/C9-1</f>
        <v>0.2626</v>
      </c>
      <c r="E10" s="38" t="n">
        <f aca="false">E9/D9-1</f>
        <v>0.2084</v>
      </c>
      <c r="F10" s="38" t="n">
        <f aca="false">F9/E9-1</f>
        <v>0.1655</v>
      </c>
      <c r="G10" s="38" t="n">
        <f aca="false">G9/F9-1</f>
        <v>0.1336</v>
      </c>
    </row>
    <row r="11" customFormat="false" ht="15" hidden="false" customHeight="true" outlineLevel="0" collapsed="false">
      <c r="A11" s="35" t="s">
        <v>315</v>
      </c>
      <c r="B11" s="61" t="n">
        <v>0.249</v>
      </c>
      <c r="C11" s="38" t="n">
        <f aca="false">D70</f>
        <v>0.252</v>
      </c>
      <c r="D11" s="38" t="n">
        <f aca="false">G70</f>
        <v>0.254</v>
      </c>
      <c r="E11" s="38" t="n">
        <f aca="false">J70</f>
        <v>0.256</v>
      </c>
      <c r="F11" s="38" t="n">
        <f aca="false">M70</f>
        <v>0.258</v>
      </c>
      <c r="G11" s="38" t="n">
        <f aca="false">P70</f>
        <v>0.26</v>
      </c>
    </row>
    <row r="12" customFormat="false" ht="15" hidden="false" customHeight="true" outlineLevel="0" collapsed="false">
      <c r="A12" s="35" t="s">
        <v>316</v>
      </c>
      <c r="B12" s="60" t="n">
        <f aca="false">B9*B11</f>
        <v>16179.273</v>
      </c>
      <c r="C12" s="57" t="n">
        <f aca="false">C9*C11</f>
        <v>21928.3339968</v>
      </c>
      <c r="D12" s="57" t="n">
        <f aca="false">D9*D11</f>
        <v>27906.4503337594</v>
      </c>
      <c r="E12" s="57" t="n">
        <f aca="false">E9*E11</f>
        <v>33987.6833595614</v>
      </c>
      <c r="F12" s="57" t="n">
        <f aca="false">F9*F11</f>
        <v>39922.1187442842</v>
      </c>
      <c r="G12" s="57" t="n">
        <f aca="false">G9*G11</f>
        <v>45606.5332954083</v>
      </c>
    </row>
    <row r="13" customFormat="false" ht="15" hidden="false" customHeight="true" outlineLevel="0" collapsed="false">
      <c r="A13" s="35" t="s">
        <v>317</v>
      </c>
      <c r="B13" s="56" t="n">
        <v>78</v>
      </c>
      <c r="C13" s="57" t="n">
        <f aca="false">B13*(1+C14)</f>
        <v>96.72</v>
      </c>
      <c r="D13" s="57" t="n">
        <f aca="false">C13*(1+D14)</f>
        <v>114.1296</v>
      </c>
      <c r="E13" s="57" t="n">
        <f aca="false">D13*(1+E14)</f>
        <v>130.107744</v>
      </c>
      <c r="F13" s="57" t="n">
        <f aca="false">E13*(1+F14)</f>
        <v>144.41959584</v>
      </c>
      <c r="G13" s="57" t="n">
        <f aca="false">F13*(1+G14)</f>
        <v>157.4173594656</v>
      </c>
    </row>
    <row r="14" customFormat="false" ht="15" hidden="false" customHeight="true" outlineLevel="0" collapsed="false">
      <c r="A14" s="58" t="s">
        <v>318</v>
      </c>
      <c r="B14" s="59"/>
      <c r="C14" s="38" t="n">
        <f aca="false">D73</f>
        <v>0.24</v>
      </c>
      <c r="D14" s="38" t="n">
        <f aca="false">G73</f>
        <v>0.18</v>
      </c>
      <c r="E14" s="38" t="n">
        <f aca="false">J73</f>
        <v>0.14</v>
      </c>
      <c r="F14" s="38" t="n">
        <f aca="false">M73</f>
        <v>0.11</v>
      </c>
      <c r="G14" s="38" t="n">
        <f aca="false">P73</f>
        <v>0.09</v>
      </c>
    </row>
    <row r="15" customFormat="false" ht="15" hidden="false" customHeight="true" outlineLevel="0" collapsed="false">
      <c r="A15" s="35" t="s">
        <v>319</v>
      </c>
      <c r="B15" s="56" t="n">
        <v>3562</v>
      </c>
      <c r="C15" s="57" t="n">
        <f aca="false">B15*(1+C16)</f>
        <v>4060.68</v>
      </c>
      <c r="D15" s="57" t="n">
        <f aca="false">C15*(1+D16)</f>
        <v>4466.748</v>
      </c>
      <c r="E15" s="57" t="n">
        <f aca="false">D15*(1+E16)</f>
        <v>4824.08784</v>
      </c>
      <c r="F15" s="57" t="n">
        <f aca="false">E15*(1+F16)</f>
        <v>5113.5331104</v>
      </c>
      <c r="G15" s="57" t="n">
        <f aca="false">F15*(1+G16)</f>
        <v>5369.20976592</v>
      </c>
    </row>
    <row r="16" customFormat="false" ht="15" hidden="false" customHeight="true" outlineLevel="0" collapsed="false">
      <c r="A16" s="58" t="s">
        <v>320</v>
      </c>
      <c r="B16" s="59"/>
      <c r="C16" s="38" t="n">
        <f aca="false">D75</f>
        <v>0.14</v>
      </c>
      <c r="D16" s="38" t="n">
        <f aca="false">G75</f>
        <v>0.1</v>
      </c>
      <c r="E16" s="38" t="n">
        <f aca="false">J75</f>
        <v>0.08</v>
      </c>
      <c r="F16" s="38" t="n">
        <f aca="false">M75</f>
        <v>0.06</v>
      </c>
      <c r="G16" s="38" t="n">
        <f aca="false">P75</f>
        <v>0.05</v>
      </c>
    </row>
    <row r="17" customFormat="false" ht="15" hidden="false" customHeight="true" outlineLevel="0" collapsed="false">
      <c r="A17" s="35" t="s">
        <v>321</v>
      </c>
      <c r="B17" s="60" t="n">
        <f aca="false">B13*B15</f>
        <v>277836</v>
      </c>
      <c r="C17" s="57" t="n">
        <f aca="false">C13*C15</f>
        <v>392748.9696</v>
      </c>
      <c r="D17" s="57" t="n">
        <f aca="false">D13*D15</f>
        <v>509788.1625408</v>
      </c>
      <c r="E17" s="57" t="n">
        <f aca="false">E13*E15</f>
        <v>627651.185720233</v>
      </c>
      <c r="F17" s="57" t="n">
        <f aca="false">F13*F15</f>
        <v>738494.385118426</v>
      </c>
      <c r="G17" s="57" t="n">
        <f aca="false">G13*G15</f>
        <v>845206.823768039</v>
      </c>
    </row>
    <row r="18" customFormat="false" ht="15" hidden="false" customHeight="true" outlineLevel="0" collapsed="false">
      <c r="A18" s="58" t="s">
        <v>322</v>
      </c>
      <c r="B18" s="59"/>
      <c r="C18" s="38" t="n">
        <f aca="false">C17/B17-1</f>
        <v>0.4136</v>
      </c>
      <c r="D18" s="38" t="n">
        <f aca="false">D17/C17-1</f>
        <v>0.298</v>
      </c>
      <c r="E18" s="38" t="n">
        <f aca="false">E17/D17-1</f>
        <v>0.2312</v>
      </c>
      <c r="F18" s="38" t="n">
        <f aca="false">F17/E17-1</f>
        <v>0.1766</v>
      </c>
      <c r="G18" s="38" t="n">
        <f aca="false">G17/F17-1</f>
        <v>0.1445</v>
      </c>
    </row>
    <row r="19" customFormat="false" ht="15" hidden="false" customHeight="true" outlineLevel="0" collapsed="false">
      <c r="A19" s="35" t="s">
        <v>323</v>
      </c>
      <c r="B19" s="62" t="n">
        <v>0.0454</v>
      </c>
      <c r="C19" s="63" t="n">
        <f aca="false">D78</f>
        <v>0.0458</v>
      </c>
      <c r="D19" s="63" t="n">
        <f aca="false">G78</f>
        <v>0.0462</v>
      </c>
      <c r="E19" s="63" t="n">
        <f aca="false">J78</f>
        <v>0.0466</v>
      </c>
      <c r="F19" s="63" t="n">
        <f aca="false">M78</f>
        <v>0.047</v>
      </c>
      <c r="G19" s="63" t="n">
        <f aca="false">P78</f>
        <v>0.0474</v>
      </c>
    </row>
    <row r="20" customFormat="false" ht="15" hidden="false" customHeight="true" outlineLevel="0" collapsed="false">
      <c r="A20" s="35" t="s">
        <v>324</v>
      </c>
      <c r="B20" s="60" t="n">
        <f aca="false">B17*B19</f>
        <v>12613.7544</v>
      </c>
      <c r="C20" s="57" t="n">
        <f aca="false">C17*C19</f>
        <v>17987.90280768</v>
      </c>
      <c r="D20" s="57" t="n">
        <f aca="false">D17*D19</f>
        <v>23552.213109385</v>
      </c>
      <c r="E20" s="57" t="n">
        <f aca="false">E17*E19</f>
        <v>29248.5452545629</v>
      </c>
      <c r="F20" s="57" t="n">
        <f aca="false">F17*F19</f>
        <v>34709.236100566</v>
      </c>
      <c r="G20" s="57" t="n">
        <f aca="false">G17*G19</f>
        <v>40062.803446605</v>
      </c>
    </row>
    <row r="21" customFormat="false" ht="15" hidden="false" customHeight="true" outlineLevel="0" collapsed="false">
      <c r="A21" s="35" t="s">
        <v>325</v>
      </c>
      <c r="B21" s="60" t="n">
        <f aca="false">B12+B20</f>
        <v>28793.0274</v>
      </c>
      <c r="C21" s="57" t="n">
        <f aca="false">C12+C20</f>
        <v>39916.23680448</v>
      </c>
      <c r="D21" s="57" t="n">
        <f aca="false">D12+D20</f>
        <v>51458.6634431443</v>
      </c>
      <c r="E21" s="57" t="n">
        <f aca="false">E12+E20</f>
        <v>63236.2286141243</v>
      </c>
      <c r="F21" s="57" t="n">
        <f aca="false">F12+F20</f>
        <v>74631.3548448502</v>
      </c>
      <c r="G21" s="57" t="n">
        <f aca="false">G12+G20</f>
        <v>85669.3367420134</v>
      </c>
    </row>
    <row r="22" customFormat="false" ht="15" hidden="false" customHeight="true" outlineLevel="0" collapsed="false">
      <c r="A22" s="58" t="s">
        <v>326</v>
      </c>
      <c r="B22" s="59"/>
      <c r="C22" s="38" t="n">
        <f aca="false">C21/B21-1</f>
        <v>0.38631607749868</v>
      </c>
      <c r="D22" s="38" t="n">
        <f aca="false">D21/C21-1</f>
        <v>0.289166203096802</v>
      </c>
      <c r="E22" s="38" t="n">
        <f aca="false">E21/D21-1</f>
        <v>0.228874292158652</v>
      </c>
      <c r="F22" s="38" t="n">
        <f aca="false">F21/E21-1</f>
        <v>0.180199333205978</v>
      </c>
      <c r="G22" s="38" t="n">
        <f aca="false">G21/F21-1</f>
        <v>0.147900060505531</v>
      </c>
    </row>
    <row r="23" customFormat="false" ht="15" hidden="false" customHeight="true" outlineLevel="0" collapsed="false">
      <c r="A23" s="35" t="s">
        <v>327</v>
      </c>
      <c r="B23" s="56" t="n">
        <v>12500</v>
      </c>
      <c r="C23" s="57" t="n">
        <f aca="false">B23*(1+C24)</f>
        <v>22500</v>
      </c>
      <c r="D23" s="57" t="n">
        <f aca="false">C23*(1+D24)</f>
        <v>33750</v>
      </c>
      <c r="E23" s="57" t="n">
        <f aca="false">D23*(1+E24)</f>
        <v>45562.5</v>
      </c>
      <c r="F23" s="57" t="n">
        <f aca="false">E23*(1+F24)</f>
        <v>56953.125</v>
      </c>
      <c r="G23" s="57" t="n">
        <f aca="false">F23*(1+G24)</f>
        <v>67204.6875</v>
      </c>
    </row>
    <row r="24" customFormat="false" ht="15" hidden="false" customHeight="true" outlineLevel="0" collapsed="false">
      <c r="A24" s="58" t="s">
        <v>328</v>
      </c>
      <c r="B24" s="59"/>
      <c r="C24" s="38" t="n">
        <f aca="false">D83</f>
        <v>0.8</v>
      </c>
      <c r="D24" s="38" t="n">
        <f aca="false">G83</f>
        <v>0.5</v>
      </c>
      <c r="E24" s="38" t="n">
        <f aca="false">J83</f>
        <v>0.35</v>
      </c>
      <c r="F24" s="38" t="n">
        <f aca="false">M83</f>
        <v>0.25</v>
      </c>
      <c r="G24" s="38" t="n">
        <f aca="false">P83</f>
        <v>0.18</v>
      </c>
    </row>
    <row r="25" customFormat="false" ht="16.5" hidden="false" customHeight="true" outlineLevel="0" collapsed="false">
      <c r="A25" s="53" t="s">
        <v>329</v>
      </c>
      <c r="B25" s="64"/>
      <c r="C25" s="55"/>
      <c r="D25" s="55"/>
      <c r="E25" s="55"/>
      <c r="F25" s="55"/>
      <c r="G25" s="55"/>
    </row>
    <row r="26" customFormat="false" ht="15" hidden="false" customHeight="true" outlineLevel="0" collapsed="false">
      <c r="A26" s="35" t="s">
        <v>330</v>
      </c>
      <c r="B26" s="59"/>
      <c r="C26" s="38" t="n">
        <f aca="false">D85</f>
        <v>0.425</v>
      </c>
      <c r="D26" s="38" t="n">
        <f aca="false">G85</f>
        <v>0.428</v>
      </c>
      <c r="E26" s="38" t="n">
        <f aca="false">J85</f>
        <v>0.432</v>
      </c>
      <c r="F26" s="38" t="n">
        <f aca="false">M85</f>
        <v>0.436</v>
      </c>
      <c r="G26" s="38" t="n">
        <f aca="false">P85</f>
        <v>0.44</v>
      </c>
    </row>
    <row r="27" customFormat="false" ht="15" hidden="false" customHeight="true" outlineLevel="0" collapsed="false">
      <c r="A27" s="35" t="s">
        <v>331</v>
      </c>
      <c r="B27" s="59"/>
      <c r="C27" s="38" t="n">
        <f aca="false">D86</f>
        <v>0.155</v>
      </c>
      <c r="D27" s="38" t="n">
        <f aca="false">G86</f>
        <v>0.152</v>
      </c>
      <c r="E27" s="38" t="n">
        <f aca="false">J86</f>
        <v>0.148</v>
      </c>
      <c r="F27" s="38" t="n">
        <f aca="false">M86</f>
        <v>0.144</v>
      </c>
      <c r="G27" s="38" t="n">
        <f aca="false">P86</f>
        <v>0.14</v>
      </c>
    </row>
    <row r="28" customFormat="false" ht="15" hidden="false" customHeight="true" outlineLevel="0" collapsed="false">
      <c r="A28" s="35" t="s">
        <v>332</v>
      </c>
      <c r="B28" s="59"/>
      <c r="C28" s="38" t="n">
        <f aca="false">D87</f>
        <v>0.078</v>
      </c>
      <c r="D28" s="38" t="n">
        <f aca="false">G87</f>
        <v>0.077</v>
      </c>
      <c r="E28" s="38" t="n">
        <f aca="false">J87</f>
        <v>0.076</v>
      </c>
      <c r="F28" s="38" t="n">
        <f aca="false">M87</f>
        <v>0.075</v>
      </c>
      <c r="G28" s="38" t="n">
        <f aca="false">P87</f>
        <v>0.074</v>
      </c>
    </row>
    <row r="29" customFormat="false" ht="15" hidden="false" customHeight="true" outlineLevel="0" collapsed="false">
      <c r="A29" s="35" t="s">
        <v>333</v>
      </c>
      <c r="B29" s="59"/>
      <c r="C29" s="38" t="n">
        <f aca="false">D88</f>
        <v>0.126</v>
      </c>
      <c r="D29" s="38" t="n">
        <f aca="false">G88</f>
        <v>0.124</v>
      </c>
      <c r="E29" s="38" t="n">
        <f aca="false">J88</f>
        <v>0.122</v>
      </c>
      <c r="F29" s="38" t="n">
        <f aca="false">M88</f>
        <v>0.12</v>
      </c>
      <c r="G29" s="38" t="n">
        <f aca="false">P88</f>
        <v>0.117</v>
      </c>
    </row>
    <row r="30" customFormat="false" ht="15" hidden="false" customHeight="true" outlineLevel="0" collapsed="false">
      <c r="A30" s="35" t="s">
        <v>334</v>
      </c>
      <c r="B30" s="59"/>
      <c r="C30" s="38" t="n">
        <f aca="false">D89</f>
        <v>0.0085</v>
      </c>
      <c r="D30" s="38" t="n">
        <f aca="false">G89</f>
        <v>0.008</v>
      </c>
      <c r="E30" s="38" t="n">
        <f aca="false">J89</f>
        <v>0.0075</v>
      </c>
      <c r="F30" s="38" t="n">
        <f aca="false">M89</f>
        <v>0.007</v>
      </c>
      <c r="G30" s="38" t="n">
        <f aca="false">P89</f>
        <v>0.0065</v>
      </c>
    </row>
    <row r="31" customFormat="false" ht="15" hidden="false" customHeight="true" outlineLevel="0" collapsed="false">
      <c r="A31" s="35" t="s">
        <v>335</v>
      </c>
      <c r="B31" s="59"/>
      <c r="C31" s="38" t="n">
        <f aca="false">D90</f>
        <v>0.005</v>
      </c>
      <c r="D31" s="38" t="n">
        <f aca="false">G90</f>
        <v>0.005</v>
      </c>
      <c r="E31" s="38" t="n">
        <f aca="false">J90</f>
        <v>0.005</v>
      </c>
      <c r="F31" s="38" t="n">
        <f aca="false">M90</f>
        <v>0.005</v>
      </c>
      <c r="G31" s="38" t="n">
        <f aca="false">P90</f>
        <v>0.005</v>
      </c>
    </row>
    <row r="32" customFormat="false" ht="15" hidden="false" customHeight="true" outlineLevel="0" collapsed="false">
      <c r="A32" s="35" t="s">
        <v>336</v>
      </c>
      <c r="B32" s="59"/>
      <c r="C32" s="38" t="n">
        <f aca="false">D91</f>
        <v>0.295</v>
      </c>
      <c r="D32" s="38" t="n">
        <f aca="false">G91</f>
        <v>0.295</v>
      </c>
      <c r="E32" s="38" t="n">
        <f aca="false">J91</f>
        <v>0.295</v>
      </c>
      <c r="F32" s="38" t="n">
        <f aca="false">M91</f>
        <v>0.295</v>
      </c>
      <c r="G32" s="38" t="n">
        <f aca="false">P91</f>
        <v>0.295</v>
      </c>
    </row>
    <row r="33" customFormat="false" ht="15" hidden="false" customHeight="true" outlineLevel="0" collapsed="false">
      <c r="A33" s="35" t="s">
        <v>337</v>
      </c>
      <c r="B33" s="59"/>
      <c r="C33" s="38" t="n">
        <f aca="false">D92</f>
        <v>-0.002</v>
      </c>
      <c r="D33" s="38" t="n">
        <f aca="false">G92</f>
        <v>-0.002</v>
      </c>
      <c r="E33" s="38" t="n">
        <f aca="false">J92</f>
        <v>-0.002</v>
      </c>
      <c r="F33" s="38" t="n">
        <f aca="false">M92</f>
        <v>-0.002</v>
      </c>
      <c r="G33" s="38" t="n">
        <f aca="false">P92</f>
        <v>-0.002</v>
      </c>
    </row>
    <row r="34" customFormat="false" ht="15" hidden="false" customHeight="true" outlineLevel="0" collapsed="false">
      <c r="A34" s="35" t="s">
        <v>338</v>
      </c>
      <c r="B34" s="59"/>
      <c r="C34" s="38" t="n">
        <f aca="false">D93</f>
        <v>0.085</v>
      </c>
      <c r="D34" s="38" t="n">
        <f aca="false">G93</f>
        <v>0.082</v>
      </c>
      <c r="E34" s="38" t="n">
        <f aca="false">J93</f>
        <v>0.08</v>
      </c>
      <c r="F34" s="38" t="n">
        <f aca="false">M93</f>
        <v>0.078</v>
      </c>
      <c r="G34" s="38" t="n">
        <f aca="false">P93</f>
        <v>0.075</v>
      </c>
    </row>
    <row r="35" customFormat="false" ht="15" hidden="false" customHeight="true" outlineLevel="0" collapsed="false">
      <c r="A35" s="35" t="s">
        <v>339</v>
      </c>
      <c r="B35" s="65"/>
      <c r="C35" s="57" t="n">
        <f aca="false">D94</f>
        <v>2500</v>
      </c>
      <c r="D35" s="57" t="n">
        <f aca="false">G94</f>
        <v>2750</v>
      </c>
      <c r="E35" s="57" t="n">
        <f aca="false">J94</f>
        <v>3000</v>
      </c>
      <c r="F35" s="57" t="n">
        <f aca="false">M94</f>
        <v>3250</v>
      </c>
      <c r="G35" s="57" t="n">
        <f aca="false">P94</f>
        <v>3500</v>
      </c>
    </row>
    <row r="36" customFormat="false" ht="16.5" hidden="false" customHeight="true" outlineLevel="0" collapsed="false">
      <c r="A36" s="53" t="s">
        <v>340</v>
      </c>
      <c r="B36" s="64"/>
      <c r="C36" s="55"/>
      <c r="D36" s="55"/>
      <c r="E36" s="55"/>
      <c r="F36" s="55"/>
      <c r="G36" s="55"/>
    </row>
    <row r="37" customFormat="false" ht="15" hidden="false" customHeight="true" outlineLevel="0" collapsed="false">
      <c r="A37" s="35" t="s">
        <v>341</v>
      </c>
      <c r="B37" s="59"/>
      <c r="C37" s="38" t="n">
        <f aca="false">D96</f>
        <v>0.03</v>
      </c>
      <c r="D37" s="38" t="n">
        <f aca="false">G96</f>
        <v>0.031</v>
      </c>
      <c r="E37" s="38" t="n">
        <f aca="false">J96</f>
        <v>0.031</v>
      </c>
      <c r="F37" s="38" t="n">
        <f aca="false">M96</f>
        <v>0.03</v>
      </c>
      <c r="G37" s="38" t="n">
        <f aca="false">P96</f>
        <v>0.03</v>
      </c>
    </row>
    <row r="38" customFormat="false" ht="15" hidden="false" customHeight="true" outlineLevel="0" collapsed="false">
      <c r="A38" s="35" t="s">
        <v>342</v>
      </c>
      <c r="B38" s="59"/>
      <c r="C38" s="38" t="n">
        <f aca="false">D97</f>
        <v>0.011</v>
      </c>
      <c r="D38" s="38" t="n">
        <f aca="false">G97</f>
        <v>0.011</v>
      </c>
      <c r="E38" s="38" t="n">
        <f aca="false">J97</f>
        <v>0.01</v>
      </c>
      <c r="F38" s="38" t="n">
        <f aca="false">M97</f>
        <v>0.01</v>
      </c>
      <c r="G38" s="38" t="n">
        <f aca="false">P97</f>
        <v>0.009</v>
      </c>
    </row>
    <row r="39" customFormat="false" ht="15" hidden="false" customHeight="true" outlineLevel="0" collapsed="false">
      <c r="A39" s="35" t="s">
        <v>343</v>
      </c>
      <c r="B39" s="59"/>
      <c r="C39" s="38" t="n">
        <f aca="false">D98</f>
        <v>0.065</v>
      </c>
      <c r="D39" s="38" t="n">
        <f aca="false">G98</f>
        <v>0.06</v>
      </c>
      <c r="E39" s="38" t="n">
        <f aca="false">J98</f>
        <v>0.055</v>
      </c>
      <c r="F39" s="38" t="n">
        <f aca="false">M98</f>
        <v>0.05</v>
      </c>
      <c r="G39" s="38" t="n">
        <f aca="false">P98</f>
        <v>0.047</v>
      </c>
    </row>
    <row r="40" customFormat="false" ht="15" hidden="false" customHeight="true" outlineLevel="0" collapsed="false">
      <c r="A40" s="35" t="s">
        <v>344</v>
      </c>
      <c r="B40" s="65"/>
      <c r="C40" s="26" t="n">
        <f aca="false">D99</f>
        <v>0</v>
      </c>
      <c r="D40" s="26" t="n">
        <f aca="false">G99</f>
        <v>0</v>
      </c>
      <c r="E40" s="26" t="n">
        <f aca="false">J99</f>
        <v>0</v>
      </c>
      <c r="F40" s="26" t="n">
        <f aca="false">M99</f>
        <v>0</v>
      </c>
      <c r="G40" s="26" t="n">
        <f aca="false">P99</f>
        <v>0</v>
      </c>
    </row>
    <row r="41" customFormat="false" ht="15" hidden="false" customHeight="true" outlineLevel="0" collapsed="false">
      <c r="A41" s="35" t="s">
        <v>345</v>
      </c>
      <c r="B41" s="65"/>
      <c r="C41" s="26" t="n">
        <f aca="false">D100</f>
        <v>-250</v>
      </c>
      <c r="D41" s="26" t="n">
        <f aca="false">G100</f>
        <v>-500</v>
      </c>
      <c r="E41" s="26" t="n">
        <f aca="false">J100</f>
        <v>-750</v>
      </c>
      <c r="F41" s="26" t="n">
        <f aca="false">M100</f>
        <v>-1000</v>
      </c>
      <c r="G41" s="26" t="n">
        <f aca="false">P100</f>
        <v>-1250</v>
      </c>
    </row>
    <row r="42" customFormat="false" ht="15" hidden="false" customHeight="true" outlineLevel="0" collapsed="false">
      <c r="A42" s="35" t="s">
        <v>346</v>
      </c>
      <c r="B42" s="65"/>
      <c r="C42" s="26" t="n">
        <f aca="false">D101</f>
        <v>0</v>
      </c>
      <c r="D42" s="26" t="n">
        <f aca="false">G101</f>
        <v>0</v>
      </c>
      <c r="E42" s="26" t="n">
        <f aca="false">J101</f>
        <v>0</v>
      </c>
      <c r="F42" s="26" t="n">
        <f aca="false">M101</f>
        <v>0</v>
      </c>
      <c r="G42" s="26" t="n">
        <f aca="false">P101</f>
        <v>0</v>
      </c>
    </row>
    <row r="43" customFormat="false" ht="15" hidden="false" customHeight="true" outlineLevel="0" collapsed="false">
      <c r="A43" s="35" t="s">
        <v>347</v>
      </c>
      <c r="B43" s="65"/>
      <c r="C43" s="26" t="n">
        <f aca="false">D102</f>
        <v>-200</v>
      </c>
      <c r="D43" s="26" t="n">
        <f aca="false">G102</f>
        <v>-150</v>
      </c>
      <c r="E43" s="26" t="n">
        <f aca="false">J102</f>
        <v>-150</v>
      </c>
      <c r="F43" s="26" t="n">
        <f aca="false">M102</f>
        <v>-100</v>
      </c>
      <c r="G43" s="26" t="n">
        <f aca="false">P102</f>
        <v>-100</v>
      </c>
    </row>
    <row r="44" customFormat="false" ht="15" hidden="false" customHeight="true" outlineLevel="0" collapsed="false">
      <c r="A44" s="35" t="s">
        <v>348</v>
      </c>
      <c r="B44" s="65"/>
      <c r="C44" s="26" t="n">
        <f aca="false">D103</f>
        <v>0</v>
      </c>
      <c r="D44" s="26" t="n">
        <f aca="false">G103</f>
        <v>0</v>
      </c>
      <c r="E44" s="26" t="n">
        <f aca="false">J103</f>
        <v>0</v>
      </c>
      <c r="F44" s="26" t="n">
        <f aca="false">M103</f>
        <v>0</v>
      </c>
      <c r="G44" s="26" t="n">
        <f aca="false">P103</f>
        <v>0</v>
      </c>
    </row>
    <row r="45" customFormat="false" ht="16.5" hidden="false" customHeight="true" outlineLevel="0" collapsed="false">
      <c r="A45" s="53" t="s">
        <v>349</v>
      </c>
      <c r="B45" s="64"/>
      <c r="C45" s="55"/>
      <c r="D45" s="55"/>
      <c r="E45" s="55"/>
      <c r="F45" s="55"/>
      <c r="G45" s="55"/>
    </row>
    <row r="46" customFormat="false" ht="15" hidden="false" customHeight="true" outlineLevel="0" collapsed="false">
      <c r="A46" s="35" t="s">
        <v>350</v>
      </c>
      <c r="B46" s="59"/>
      <c r="C46" s="38" t="n">
        <f aca="false">D105</f>
        <v>0.3</v>
      </c>
      <c r="D46" s="38" t="n">
        <f aca="false">G105</f>
        <v>0.32</v>
      </c>
      <c r="E46" s="38" t="n">
        <f aca="false">J105</f>
        <v>0.33</v>
      </c>
      <c r="F46" s="38" t="n">
        <f aca="false">M105</f>
        <v>0.34</v>
      </c>
      <c r="G46" s="38" t="n">
        <f aca="false">P105</f>
        <v>0.35</v>
      </c>
    </row>
    <row r="47" customFormat="false" ht="15" hidden="false" customHeight="true" outlineLevel="0" collapsed="false">
      <c r="A47" s="35" t="s">
        <v>351</v>
      </c>
      <c r="B47" s="59"/>
      <c r="C47" s="38" t="n">
        <f aca="false">D106</f>
        <v>0.025</v>
      </c>
      <c r="D47" s="38" t="n">
        <f aca="false">G106</f>
        <v>0.027</v>
      </c>
      <c r="E47" s="38" t="n">
        <f aca="false">J106</f>
        <v>0.029</v>
      </c>
      <c r="F47" s="38" t="n">
        <f aca="false">M106</f>
        <v>0.03</v>
      </c>
      <c r="G47" s="38" t="n">
        <f aca="false">P106</f>
        <v>0.032</v>
      </c>
    </row>
    <row r="48" customFormat="false" ht="15" hidden="false" customHeight="true" outlineLevel="0" collapsed="false">
      <c r="A48" s="35" t="s">
        <v>352</v>
      </c>
      <c r="B48" s="59"/>
      <c r="C48" s="38" t="n">
        <f aca="false">D107</f>
        <v>0.02</v>
      </c>
      <c r="D48" s="38" t="n">
        <f aca="false">G107</f>
        <v>0.02</v>
      </c>
      <c r="E48" s="38" t="n">
        <f aca="false">J107</f>
        <v>0.02</v>
      </c>
      <c r="F48" s="38" t="n">
        <f aca="false">M107</f>
        <v>0.02</v>
      </c>
      <c r="G48" s="38" t="n">
        <f aca="false">P107</f>
        <v>0.02</v>
      </c>
    </row>
    <row r="49" customFormat="false" ht="15" hidden="false" customHeight="true" outlineLevel="0" collapsed="false">
      <c r="A49" s="35" t="s">
        <v>353</v>
      </c>
      <c r="B49" s="59"/>
      <c r="C49" s="38" t="n">
        <f aca="false">D108</f>
        <v>0.34</v>
      </c>
      <c r="D49" s="38" t="n">
        <f aca="false">G108</f>
        <v>0.33</v>
      </c>
      <c r="E49" s="38" t="n">
        <f aca="false">J108</f>
        <v>0.32</v>
      </c>
      <c r="F49" s="38" t="n">
        <f aca="false">M108</f>
        <v>0.31</v>
      </c>
      <c r="G49" s="38" t="n">
        <f aca="false">P108</f>
        <v>0.3</v>
      </c>
    </row>
    <row r="50" customFormat="false" ht="15" hidden="false" customHeight="true" outlineLevel="0" collapsed="false">
      <c r="A50" s="35" t="s">
        <v>354</v>
      </c>
      <c r="B50" s="59"/>
      <c r="C50" s="38" t="n">
        <f aca="false">D109</f>
        <v>0.77</v>
      </c>
      <c r="D50" s="38" t="n">
        <f aca="false">G109</f>
        <v>0.775</v>
      </c>
      <c r="E50" s="38" t="n">
        <f aca="false">J109</f>
        <v>0.78</v>
      </c>
      <c r="F50" s="38" t="n">
        <f aca="false">M109</f>
        <v>0.78</v>
      </c>
      <c r="G50" s="38" t="n">
        <f aca="false">P109</f>
        <v>0.785</v>
      </c>
    </row>
    <row r="51" customFormat="false" ht="15" hidden="false" customHeight="true" outlineLevel="0" collapsed="false">
      <c r="A51" s="35" t="s">
        <v>355</v>
      </c>
      <c r="B51" s="59"/>
      <c r="C51" s="38" t="n">
        <f aca="false">D110</f>
        <v>0.047</v>
      </c>
      <c r="D51" s="38" t="n">
        <f aca="false">G110</f>
        <v>0.047</v>
      </c>
      <c r="E51" s="38" t="n">
        <f aca="false">J110</f>
        <v>0.047</v>
      </c>
      <c r="F51" s="38" t="n">
        <f aca="false">M110</f>
        <v>0.047</v>
      </c>
      <c r="G51" s="38" t="n">
        <f aca="false">P110</f>
        <v>0.047</v>
      </c>
    </row>
    <row r="52" customFormat="false" ht="15" hidden="false" customHeight="true" outlineLevel="0" collapsed="false">
      <c r="A52" s="35" t="s">
        <v>356</v>
      </c>
      <c r="B52" s="59"/>
      <c r="C52" s="38" t="n">
        <f aca="false">D111</f>
        <v>0.175</v>
      </c>
      <c r="D52" s="38" t="n">
        <f aca="false">G111</f>
        <v>0.17</v>
      </c>
      <c r="E52" s="38" t="n">
        <f aca="false">J111</f>
        <v>0.165</v>
      </c>
      <c r="F52" s="38" t="n">
        <f aca="false">M111</f>
        <v>0.16</v>
      </c>
      <c r="G52" s="38" t="n">
        <f aca="false">P111</f>
        <v>0.155</v>
      </c>
    </row>
    <row r="53" customFormat="false" ht="15" hidden="false" customHeight="true" outlineLevel="0" collapsed="false">
      <c r="A53" s="35" t="s">
        <v>357</v>
      </c>
      <c r="B53" s="59"/>
      <c r="C53" s="38" t="n">
        <f aca="false">D112</f>
        <v>0.073</v>
      </c>
      <c r="D53" s="38" t="n">
        <f aca="false">G112</f>
        <v>0.073</v>
      </c>
      <c r="E53" s="38" t="n">
        <f aca="false">J112</f>
        <v>0.073</v>
      </c>
      <c r="F53" s="38" t="n">
        <f aca="false">M112</f>
        <v>0.073</v>
      </c>
      <c r="G53" s="38" t="n">
        <f aca="false">P112</f>
        <v>0.073</v>
      </c>
    </row>
    <row r="54" customFormat="false" ht="15" hidden="false" customHeight="true" outlineLevel="0" collapsed="false">
      <c r="A54" s="35" t="s">
        <v>358</v>
      </c>
      <c r="B54" s="59"/>
      <c r="C54" s="38" t="n">
        <f aca="false">D113</f>
        <v>0.033</v>
      </c>
      <c r="D54" s="38" t="n">
        <f aca="false">G113</f>
        <v>0.033</v>
      </c>
      <c r="E54" s="38" t="n">
        <f aca="false">J113</f>
        <v>0.033</v>
      </c>
      <c r="F54" s="38" t="n">
        <f aca="false">M113</f>
        <v>0.033</v>
      </c>
      <c r="G54" s="38" t="n">
        <f aca="false">P113</f>
        <v>0.033</v>
      </c>
    </row>
    <row r="55" customFormat="false" ht="15" hidden="false" customHeight="true" outlineLevel="0" collapsed="false">
      <c r="A55" s="35" t="s">
        <v>359</v>
      </c>
      <c r="B55" s="59"/>
      <c r="C55" s="38" t="n">
        <f aca="false">D114</f>
        <v>0.08</v>
      </c>
      <c r="D55" s="38" t="n">
        <f aca="false">G114</f>
        <v>0.07</v>
      </c>
      <c r="E55" s="38" t="n">
        <f aca="false">J114</f>
        <v>0.06</v>
      </c>
      <c r="F55" s="38" t="n">
        <f aca="false">M114</f>
        <v>0.05</v>
      </c>
      <c r="G55" s="38" t="n">
        <f aca="false">P114</f>
        <v>0.05</v>
      </c>
    </row>
    <row r="56" customFormat="false" ht="15" hidden="false" customHeight="true" outlineLevel="0" collapsed="false">
      <c r="A56" s="35" t="s">
        <v>360</v>
      </c>
      <c r="B56" s="59"/>
      <c r="C56" s="38" t="n">
        <f aca="false">D115</f>
        <v>0.12</v>
      </c>
      <c r="D56" s="38" t="n">
        <f aca="false">G115</f>
        <v>0.1</v>
      </c>
      <c r="E56" s="38" t="n">
        <f aca="false">J115</f>
        <v>0.08</v>
      </c>
      <c r="F56" s="38" t="n">
        <f aca="false">M115</f>
        <v>0.07</v>
      </c>
      <c r="G56" s="38" t="n">
        <f aca="false">P115</f>
        <v>0.06</v>
      </c>
    </row>
    <row r="57" customFormat="false" ht="15" hidden="false" customHeight="true" outlineLevel="0" collapsed="false">
      <c r="A57" s="35" t="s">
        <v>361</v>
      </c>
      <c r="B57" s="65"/>
      <c r="C57" s="57" t="n">
        <f aca="false">D116</f>
        <v>196</v>
      </c>
      <c r="D57" s="57" t="n">
        <f aca="false">G116</f>
        <v>196</v>
      </c>
      <c r="E57" s="57" t="n">
        <f aca="false">J116</f>
        <v>196</v>
      </c>
      <c r="F57" s="57" t="n">
        <f aca="false">M116</f>
        <v>196</v>
      </c>
      <c r="G57" s="57" t="n">
        <f aca="false">P116</f>
        <v>196</v>
      </c>
    </row>
    <row r="58" customFormat="false" ht="15" hidden="false" customHeight="true" outlineLevel="0" collapsed="false">
      <c r="A58" s="35"/>
      <c r="B58" s="65"/>
      <c r="C58" s="57"/>
      <c r="D58" s="57"/>
      <c r="E58" s="57"/>
      <c r="F58" s="57"/>
      <c r="G58" s="57"/>
    </row>
    <row r="59" customFormat="false" ht="15" hidden="false" customHeight="true" outlineLevel="0" collapsed="false">
      <c r="A59" s="35"/>
      <c r="B59" s="65"/>
      <c r="C59" s="57"/>
      <c r="D59" s="57"/>
      <c r="E59" s="57"/>
      <c r="F59" s="57"/>
      <c r="G59" s="57"/>
    </row>
    <row r="60" customFormat="false" ht="15.75" hidden="false" customHeight="true" outlineLevel="0" collapsed="false">
      <c r="A60" s="66" t="s">
        <v>362</v>
      </c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</row>
    <row r="61" customFormat="false" ht="15" hidden="false" customHeight="true" outlineLevel="0" collapsed="false">
      <c r="A61" s="67" t="s">
        <v>363</v>
      </c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</row>
    <row r="62" customFormat="false" ht="24.75" hidden="false" customHeight="true" outlineLevel="0" collapsed="false">
      <c r="A62" s="68" t="s">
        <v>364</v>
      </c>
      <c r="B62" s="69" t="s">
        <v>365</v>
      </c>
      <c r="C62" s="69" t="s">
        <v>366</v>
      </c>
      <c r="D62" s="69" t="s">
        <v>367</v>
      </c>
      <c r="E62" s="69" t="s">
        <v>368</v>
      </c>
      <c r="F62" s="69" t="s">
        <v>369</v>
      </c>
      <c r="G62" s="69" t="s">
        <v>370</v>
      </c>
      <c r="H62" s="69" t="s">
        <v>371</v>
      </c>
      <c r="I62" s="69" t="s">
        <v>372</v>
      </c>
      <c r="J62" s="69" t="s">
        <v>373</v>
      </c>
      <c r="K62" s="69" t="s">
        <v>374</v>
      </c>
      <c r="L62" s="69" t="s">
        <v>375</v>
      </c>
      <c r="M62" s="69" t="s">
        <v>376</v>
      </c>
      <c r="N62" s="69" t="s">
        <v>377</v>
      </c>
      <c r="O62" s="69" t="s">
        <v>378</v>
      </c>
      <c r="P62" s="69" t="s">
        <v>379</v>
      </c>
    </row>
    <row r="63" customFormat="false" ht="15" hidden="false" customHeight="true" outlineLevel="0" collapsed="false">
      <c r="A63" s="70" t="s">
        <v>308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</row>
    <row r="64" customFormat="false" ht="15" hidden="false" customHeight="true" outlineLevel="0" collapsed="false">
      <c r="A64" s="72" t="s">
        <v>309</v>
      </c>
      <c r="B64" s="73" t="n">
        <f aca="false">$B$5*(1+B$65)</f>
        <v>154.88</v>
      </c>
      <c r="C64" s="73" t="n">
        <f aca="false">$B$5*(1+C$65)</f>
        <v>151.25</v>
      </c>
      <c r="D64" s="74" t="n">
        <f aca="false">$B$5*(1+D$65)</f>
        <v>150.04</v>
      </c>
      <c r="E64" s="73" t="n">
        <f aca="false">B$64*(1+E$65)</f>
        <v>188.9536</v>
      </c>
      <c r="F64" s="73" t="n">
        <f aca="false">C$64*(1+F$65)</f>
        <v>181.5</v>
      </c>
      <c r="G64" s="74" t="n">
        <f aca="false">D$64*(1+G$65)</f>
        <v>177.0472</v>
      </c>
      <c r="H64" s="73" t="n">
        <f aca="false">E$64*(1+H$65)</f>
        <v>222.965248</v>
      </c>
      <c r="I64" s="73" t="n">
        <f aca="false">F$64*(1+I$65)</f>
        <v>210.54</v>
      </c>
      <c r="J64" s="74" t="n">
        <f aca="false">G$64*(1+J$65)</f>
        <v>201.833808</v>
      </c>
      <c r="K64" s="73" t="n">
        <f aca="false">H$64*(1+K$65)</f>
        <v>256.4100352</v>
      </c>
      <c r="L64" s="73" t="n">
        <f aca="false">I$64*(1+L$65)</f>
        <v>237.9102</v>
      </c>
      <c r="M64" s="74" t="n">
        <f aca="false">J$64*(1+M$65)</f>
        <v>224.03552688</v>
      </c>
      <c r="N64" s="73" t="n">
        <f aca="false">K$64*(1+N$65)</f>
        <v>287.179239424</v>
      </c>
      <c r="O64" s="73" t="n">
        <f aca="false">L$64*(1+O$65)</f>
        <v>261.70122</v>
      </c>
      <c r="P64" s="74" t="n">
        <f aca="false">M$64*(1+P$65)</f>
        <v>244.1987242992</v>
      </c>
    </row>
    <row r="65" customFormat="false" ht="15" hidden="false" customHeight="true" outlineLevel="0" collapsed="false">
      <c r="A65" s="72" t="s">
        <v>310</v>
      </c>
      <c r="B65" s="75" t="n">
        <v>0.28</v>
      </c>
      <c r="C65" s="75" t="n">
        <v>0.25</v>
      </c>
      <c r="D65" s="76" t="n">
        <v>0.24</v>
      </c>
      <c r="E65" s="75" t="n">
        <v>0.22</v>
      </c>
      <c r="F65" s="75" t="n">
        <v>0.2</v>
      </c>
      <c r="G65" s="76" t="n">
        <v>0.18</v>
      </c>
      <c r="H65" s="75" t="n">
        <v>0.18</v>
      </c>
      <c r="I65" s="75" t="n">
        <v>0.16</v>
      </c>
      <c r="J65" s="76" t="n">
        <v>0.14</v>
      </c>
      <c r="K65" s="75" t="n">
        <v>0.15</v>
      </c>
      <c r="L65" s="75" t="n">
        <v>0.13</v>
      </c>
      <c r="M65" s="76" t="n">
        <v>0.11</v>
      </c>
      <c r="N65" s="75" t="n">
        <v>0.12</v>
      </c>
      <c r="O65" s="75" t="n">
        <v>0.1</v>
      </c>
      <c r="P65" s="76" t="n">
        <v>0.09</v>
      </c>
    </row>
    <row r="66" customFormat="false" ht="15" hidden="false" customHeight="true" outlineLevel="0" collapsed="false">
      <c r="A66" s="72" t="s">
        <v>311</v>
      </c>
      <c r="B66" s="73" t="n">
        <f aca="false">$B$7*(1+B$67)</f>
        <v>596.07</v>
      </c>
      <c r="C66" s="73" t="n">
        <f aca="false">$B$7*(1+C$67)</f>
        <v>585.33</v>
      </c>
      <c r="D66" s="74" t="n">
        <f aca="false">$B$7*(1+D$67)</f>
        <v>579.96</v>
      </c>
      <c r="E66" s="73" t="n">
        <f aca="false">B$66*(1+E$67)</f>
        <v>649.7163</v>
      </c>
      <c r="F66" s="73" t="n">
        <f aca="false">C$66*(1+F$67)</f>
        <v>632.1564</v>
      </c>
      <c r="G66" s="74" t="n">
        <f aca="false">D$66*(1+G$67)</f>
        <v>620.5572</v>
      </c>
      <c r="H66" s="73" t="n">
        <f aca="false">E$66*(1+H$67)</f>
        <v>701.693604</v>
      </c>
      <c r="I66" s="73" t="n">
        <f aca="false">F$66*(1+I$67)</f>
        <v>676.407348</v>
      </c>
      <c r="J66" s="74" t="n">
        <f aca="false">G$66*(1+J$67)</f>
        <v>657.790632</v>
      </c>
      <c r="K66" s="73" t="n">
        <f aca="false">H$66*(1+K$67)</f>
        <v>750.81215628</v>
      </c>
      <c r="L66" s="73" t="n">
        <f aca="false">I$66*(1+L$67)</f>
        <v>716.99178888</v>
      </c>
      <c r="M66" s="74" t="n">
        <f aca="false">J$66*(1+M$67)</f>
        <v>690.6801636</v>
      </c>
      <c r="N66" s="73" t="n">
        <f aca="false">K$66*(1+N$67)</f>
        <v>795.8608856568</v>
      </c>
      <c r="O66" s="73" t="n">
        <f aca="false">L$66*(1+O$67)</f>
        <v>752.841378324</v>
      </c>
      <c r="P66" s="74" t="n">
        <f aca="false">M$66*(1+P$67)</f>
        <v>718.307370144</v>
      </c>
    </row>
    <row r="67" customFormat="false" ht="15" hidden="false" customHeight="true" outlineLevel="0" collapsed="false">
      <c r="A67" s="72" t="s">
        <v>312</v>
      </c>
      <c r="B67" s="75" t="n">
        <v>0.11</v>
      </c>
      <c r="C67" s="75" t="n">
        <v>0.09</v>
      </c>
      <c r="D67" s="76" t="n">
        <v>0.08</v>
      </c>
      <c r="E67" s="75" t="n">
        <v>0.09</v>
      </c>
      <c r="F67" s="75" t="n">
        <v>0.08</v>
      </c>
      <c r="G67" s="76" t="n">
        <v>0.07</v>
      </c>
      <c r="H67" s="75" t="n">
        <v>0.08</v>
      </c>
      <c r="I67" s="75" t="n">
        <v>0.07</v>
      </c>
      <c r="J67" s="76" t="n">
        <v>0.06</v>
      </c>
      <c r="K67" s="75" t="n">
        <v>0.07</v>
      </c>
      <c r="L67" s="75" t="n">
        <v>0.06</v>
      </c>
      <c r="M67" s="76" t="n">
        <v>0.05</v>
      </c>
      <c r="N67" s="75" t="n">
        <v>0.06</v>
      </c>
      <c r="O67" s="75" t="n">
        <v>0.05</v>
      </c>
      <c r="P67" s="76" t="n">
        <v>0.04</v>
      </c>
    </row>
    <row r="68" customFormat="false" ht="15" hidden="false" customHeight="true" outlineLevel="0" collapsed="false">
      <c r="A68" s="72" t="s">
        <v>313</v>
      </c>
      <c r="B68" s="73" t="n">
        <f aca="false">B$64*B$66</f>
        <v>92319.3216</v>
      </c>
      <c r="C68" s="73" t="n">
        <f aca="false">C$64*C$66</f>
        <v>88531.1625</v>
      </c>
      <c r="D68" s="74" t="n">
        <f aca="false">D$64*D$66</f>
        <v>87017.1984</v>
      </c>
      <c r="E68" s="73" t="n">
        <f aca="false">E$64*E$66</f>
        <v>122766.23386368</v>
      </c>
      <c r="F68" s="73" t="n">
        <f aca="false">F$64*F$66</f>
        <v>114736.3866</v>
      </c>
      <c r="G68" s="74" t="n">
        <f aca="false">G$64*G$66</f>
        <v>109867.91469984</v>
      </c>
      <c r="H68" s="73" t="n">
        <f aca="false">H$64*H$66</f>
        <v>156453.288435874</v>
      </c>
      <c r="I68" s="73" t="n">
        <f aca="false">I$64*I$66</f>
        <v>142410.80304792</v>
      </c>
      <c r="J68" s="74" t="n">
        <f aca="false">J$64*J$66</f>
        <v>132764.388123287</v>
      </c>
      <c r="K68" s="73" t="n">
        <f aca="false">K$64*K$66</f>
        <v>192515.771420343</v>
      </c>
      <c r="L68" s="73" t="n">
        <f aca="false">L$64*L$66</f>
        <v>170579.659890799</v>
      </c>
      <c r="M68" s="74" t="n">
        <f aca="false">M$64*M$66</f>
        <v>154736.894357691</v>
      </c>
      <c r="N68" s="73" t="n">
        <f aca="false">N$64*N$66</f>
        <v>228554.723830231</v>
      </c>
      <c r="O68" s="73" t="n">
        <f aca="false">O$64*O$66</f>
        <v>197019.507173872</v>
      </c>
      <c r="P68" s="74" t="n">
        <f aca="false">P$64*P$66</f>
        <v>175409.743443878</v>
      </c>
    </row>
    <row r="69" customFormat="false" ht="15" hidden="false" customHeight="true" outlineLevel="0" collapsed="false">
      <c r="A69" s="72" t="s">
        <v>314</v>
      </c>
      <c r="B69" s="36" t="n">
        <f aca="false">B$68/$B$9-1</f>
        <v>0.4208</v>
      </c>
      <c r="C69" s="36" t="n">
        <f aca="false">C$68/$B$9-1</f>
        <v>0.3625</v>
      </c>
      <c r="D69" s="77" t="n">
        <f aca="false">D$68/$B$9-1</f>
        <v>0.3392</v>
      </c>
      <c r="E69" s="36" t="n">
        <f aca="false">E$68/B$68-1</f>
        <v>0.3298</v>
      </c>
      <c r="F69" s="36" t="n">
        <f aca="false">F$68/C$68-1</f>
        <v>0.296</v>
      </c>
      <c r="G69" s="77" t="n">
        <f aca="false">G$68/D$68-1</f>
        <v>0.2626</v>
      </c>
      <c r="H69" s="36" t="n">
        <f aca="false">H$68/E$68-1</f>
        <v>0.2744</v>
      </c>
      <c r="I69" s="36" t="n">
        <f aca="false">I$68/F$68-1</f>
        <v>0.2412</v>
      </c>
      <c r="J69" s="77" t="n">
        <f aca="false">J$68/G$68-1</f>
        <v>0.2084</v>
      </c>
      <c r="K69" s="36" t="n">
        <f aca="false">K$68/H$68-1</f>
        <v>0.2305</v>
      </c>
      <c r="L69" s="36" t="n">
        <f aca="false">L$68/I$68-1</f>
        <v>0.1978</v>
      </c>
      <c r="M69" s="77" t="n">
        <f aca="false">M$68/J$68-1</f>
        <v>0.1655</v>
      </c>
      <c r="N69" s="36" t="n">
        <f aca="false">N$68/K$68-1</f>
        <v>0.1872</v>
      </c>
      <c r="O69" s="36" t="n">
        <f aca="false">O$68/L$68-1</f>
        <v>0.155</v>
      </c>
      <c r="P69" s="77" t="n">
        <f aca="false">P$68/M$68-1</f>
        <v>0.1336</v>
      </c>
    </row>
    <row r="70" customFormat="false" ht="15" hidden="false" customHeight="true" outlineLevel="0" collapsed="false">
      <c r="A70" s="72" t="s">
        <v>315</v>
      </c>
      <c r="B70" s="75" t="n">
        <v>0.255</v>
      </c>
      <c r="C70" s="75" t="n">
        <v>0.252</v>
      </c>
      <c r="D70" s="76" t="n">
        <v>0.252</v>
      </c>
      <c r="E70" s="75" t="n">
        <v>0.258</v>
      </c>
      <c r="F70" s="75" t="n">
        <v>0.254</v>
      </c>
      <c r="G70" s="76" t="n">
        <v>0.254</v>
      </c>
      <c r="H70" s="75" t="n">
        <v>0.261</v>
      </c>
      <c r="I70" s="75" t="n">
        <v>0.256</v>
      </c>
      <c r="J70" s="76" t="n">
        <v>0.256</v>
      </c>
      <c r="K70" s="75" t="n">
        <v>0.264</v>
      </c>
      <c r="L70" s="75" t="n">
        <v>0.258</v>
      </c>
      <c r="M70" s="76" t="n">
        <v>0.258</v>
      </c>
      <c r="N70" s="75" t="n">
        <v>0.267</v>
      </c>
      <c r="O70" s="75" t="n">
        <v>0.26</v>
      </c>
      <c r="P70" s="76" t="n">
        <v>0.26</v>
      </c>
    </row>
    <row r="71" customFormat="false" ht="15" hidden="false" customHeight="true" outlineLevel="0" collapsed="false">
      <c r="A71" s="72" t="s">
        <v>316</v>
      </c>
      <c r="B71" s="73" t="n">
        <f aca="false">B$68*B$70</f>
        <v>23541.427008</v>
      </c>
      <c r="C71" s="73" t="n">
        <f aca="false">C$68*C$70</f>
        <v>22309.85295</v>
      </c>
      <c r="D71" s="74" t="n">
        <f aca="false">D$68*D$70</f>
        <v>21928.3339968</v>
      </c>
      <c r="E71" s="73" t="n">
        <f aca="false">E$68*E$70</f>
        <v>31673.6883368294</v>
      </c>
      <c r="F71" s="73" t="n">
        <f aca="false">F$68*F$70</f>
        <v>29143.0421964</v>
      </c>
      <c r="G71" s="74" t="n">
        <f aca="false">G$68*G$70</f>
        <v>27906.4503337594</v>
      </c>
      <c r="H71" s="73" t="n">
        <f aca="false">H$68*H$70</f>
        <v>40834.3082817631</v>
      </c>
      <c r="I71" s="73" t="n">
        <f aca="false">I$68*I$70</f>
        <v>36457.1655802675</v>
      </c>
      <c r="J71" s="74" t="n">
        <f aca="false">J$68*J$70</f>
        <v>33987.6833595614</v>
      </c>
      <c r="K71" s="73" t="n">
        <f aca="false">K$68*K$70</f>
        <v>50824.1636549705</v>
      </c>
      <c r="L71" s="73" t="n">
        <f aca="false">L$68*L$70</f>
        <v>44009.552251826</v>
      </c>
      <c r="M71" s="74" t="n">
        <f aca="false">M$68*M$70</f>
        <v>39922.1187442842</v>
      </c>
      <c r="N71" s="73" t="n">
        <f aca="false">N$68*N$70</f>
        <v>61024.1112626716</v>
      </c>
      <c r="O71" s="73" t="n">
        <f aca="false">O$68*O$70</f>
        <v>51225.0718652068</v>
      </c>
      <c r="P71" s="74" t="n">
        <f aca="false">P$68*P$70</f>
        <v>45606.5332954083</v>
      </c>
    </row>
    <row r="72" customFormat="false" ht="15" hidden="false" customHeight="true" outlineLevel="0" collapsed="false">
      <c r="A72" s="72" t="s">
        <v>317</v>
      </c>
      <c r="B72" s="73" t="n">
        <f aca="false">$B$13*(1+B$73)</f>
        <v>99.84</v>
      </c>
      <c r="C72" s="73" t="n">
        <f aca="false">$B$13*(1+C$73)</f>
        <v>97.5</v>
      </c>
      <c r="D72" s="74" t="n">
        <f aca="false">$B$13*(1+D$73)</f>
        <v>96.72</v>
      </c>
      <c r="E72" s="73" t="n">
        <f aca="false">B$72*(1+E$73)</f>
        <v>121.8048</v>
      </c>
      <c r="F72" s="73" t="n">
        <f aca="false">C$72*(1+F$73)</f>
        <v>117</v>
      </c>
      <c r="G72" s="74" t="n">
        <f aca="false">D$72*(1+G$73)</f>
        <v>114.1296</v>
      </c>
      <c r="H72" s="73" t="n">
        <f aca="false">E$72*(1+H$73)</f>
        <v>143.729664</v>
      </c>
      <c r="I72" s="73" t="n">
        <f aca="false">F$72*(1+I$73)</f>
        <v>135.72</v>
      </c>
      <c r="J72" s="74" t="n">
        <f aca="false">G$72*(1+J$73)</f>
        <v>130.107744</v>
      </c>
      <c r="K72" s="73" t="n">
        <f aca="false">H$72*(1+K$73)</f>
        <v>165.2891136</v>
      </c>
      <c r="L72" s="73" t="n">
        <f aca="false">I$72*(1+L$73)</f>
        <v>153.3636</v>
      </c>
      <c r="M72" s="74" t="n">
        <f aca="false">J$72*(1+M$73)</f>
        <v>144.41959584</v>
      </c>
      <c r="N72" s="73" t="n">
        <f aca="false">K$72*(1+N$73)</f>
        <v>185.123807232</v>
      </c>
      <c r="O72" s="73" t="n">
        <f aca="false">L$72*(1+O$73)</f>
        <v>168.69996</v>
      </c>
      <c r="P72" s="74" t="n">
        <f aca="false">M$72*(1+P$73)</f>
        <v>157.4173594656</v>
      </c>
    </row>
    <row r="73" customFormat="false" ht="15" hidden="false" customHeight="true" outlineLevel="0" collapsed="false">
      <c r="A73" s="72" t="s">
        <v>318</v>
      </c>
      <c r="B73" s="75" t="n">
        <v>0.28</v>
      </c>
      <c r="C73" s="75" t="n">
        <v>0.25</v>
      </c>
      <c r="D73" s="76" t="n">
        <v>0.24</v>
      </c>
      <c r="E73" s="75" t="n">
        <v>0.22</v>
      </c>
      <c r="F73" s="75" t="n">
        <v>0.2</v>
      </c>
      <c r="G73" s="76" t="n">
        <v>0.18</v>
      </c>
      <c r="H73" s="75" t="n">
        <v>0.18</v>
      </c>
      <c r="I73" s="75" t="n">
        <v>0.16</v>
      </c>
      <c r="J73" s="76" t="n">
        <v>0.14</v>
      </c>
      <c r="K73" s="75" t="n">
        <v>0.15</v>
      </c>
      <c r="L73" s="75" t="n">
        <v>0.13</v>
      </c>
      <c r="M73" s="76" t="n">
        <v>0.11</v>
      </c>
      <c r="N73" s="75" t="n">
        <v>0.12</v>
      </c>
      <c r="O73" s="75" t="n">
        <v>0.1</v>
      </c>
      <c r="P73" s="76" t="n">
        <v>0.09</v>
      </c>
    </row>
    <row r="74" customFormat="false" ht="15" hidden="false" customHeight="true" outlineLevel="0" collapsed="false">
      <c r="A74" s="72" t="s">
        <v>319</v>
      </c>
      <c r="B74" s="73" t="n">
        <f aca="false">$B$15*(1+B$75)</f>
        <v>4167.54</v>
      </c>
      <c r="C74" s="73" t="n">
        <f aca="false">$B$15*(1+C$75)</f>
        <v>4096.3</v>
      </c>
      <c r="D74" s="74" t="n">
        <f aca="false">$B$15*(1+D$75)</f>
        <v>4060.68</v>
      </c>
      <c r="E74" s="73" t="n">
        <f aca="false">B$74*(1+E$75)</f>
        <v>4750.9956</v>
      </c>
      <c r="F74" s="73" t="n">
        <f aca="false">C$74*(1+F$75)</f>
        <v>4587.856</v>
      </c>
      <c r="G74" s="74" t="n">
        <f aca="false">D$74*(1+G$75)</f>
        <v>4466.748</v>
      </c>
      <c r="H74" s="73" t="n">
        <f aca="false">E$74*(1+H$75)</f>
        <v>5321.115072</v>
      </c>
      <c r="I74" s="73" t="n">
        <f aca="false">F$74*(1+I$75)</f>
        <v>5046.6416</v>
      </c>
      <c r="J74" s="74" t="n">
        <f aca="false">G$74*(1+J$75)</f>
        <v>4824.08784</v>
      </c>
      <c r="K74" s="73" t="n">
        <f aca="false">H$74*(1+K$75)</f>
        <v>5853.2265792</v>
      </c>
      <c r="L74" s="73" t="n">
        <f aca="false">I$74*(1+L$75)</f>
        <v>5450.372928</v>
      </c>
      <c r="M74" s="74" t="n">
        <f aca="false">J$74*(1+M$75)</f>
        <v>5113.5331104</v>
      </c>
      <c r="N74" s="73" t="n">
        <f aca="false">K$74*(1+N$75)</f>
        <v>6321.484705536</v>
      </c>
      <c r="O74" s="73" t="n">
        <f aca="false">L$74*(1+O$75)</f>
        <v>5777.39530368</v>
      </c>
      <c r="P74" s="74" t="n">
        <f aca="false">M$74*(1+P$75)</f>
        <v>5369.20976592</v>
      </c>
    </row>
    <row r="75" customFormat="false" ht="15" hidden="false" customHeight="true" outlineLevel="0" collapsed="false">
      <c r="A75" s="72" t="s">
        <v>320</v>
      </c>
      <c r="B75" s="75" t="n">
        <v>0.17</v>
      </c>
      <c r="C75" s="75" t="n">
        <v>0.15</v>
      </c>
      <c r="D75" s="76" t="n">
        <v>0.14</v>
      </c>
      <c r="E75" s="75" t="n">
        <v>0.14</v>
      </c>
      <c r="F75" s="75" t="n">
        <v>0.12</v>
      </c>
      <c r="G75" s="76" t="n">
        <v>0.1</v>
      </c>
      <c r="H75" s="75" t="n">
        <v>0.12</v>
      </c>
      <c r="I75" s="75" t="n">
        <v>0.1</v>
      </c>
      <c r="J75" s="76" t="n">
        <v>0.08</v>
      </c>
      <c r="K75" s="75" t="n">
        <v>0.1</v>
      </c>
      <c r="L75" s="75" t="n">
        <v>0.08</v>
      </c>
      <c r="M75" s="76" t="n">
        <v>0.06</v>
      </c>
      <c r="N75" s="75" t="n">
        <v>0.08</v>
      </c>
      <c r="O75" s="75" t="n">
        <v>0.06</v>
      </c>
      <c r="P75" s="76" t="n">
        <v>0.05</v>
      </c>
    </row>
    <row r="76" customFormat="false" ht="15" hidden="false" customHeight="true" outlineLevel="0" collapsed="false">
      <c r="A76" s="72" t="s">
        <v>321</v>
      </c>
      <c r="B76" s="73" t="n">
        <f aca="false">B$72*B$74</f>
        <v>416087.1936</v>
      </c>
      <c r="C76" s="73" t="n">
        <f aca="false">C$72*C$74</f>
        <v>399389.25</v>
      </c>
      <c r="D76" s="74" t="n">
        <f aca="false">D$72*D$74</f>
        <v>392748.9696</v>
      </c>
      <c r="E76" s="73" t="n">
        <f aca="false">E$72*E$74</f>
        <v>578694.06885888</v>
      </c>
      <c r="F76" s="73" t="n">
        <f aca="false">F$72*F$74</f>
        <v>536779.152</v>
      </c>
      <c r="G76" s="74" t="n">
        <f aca="false">G$72*G$74</f>
        <v>509788.1625408</v>
      </c>
      <c r="H76" s="73" t="n">
        <f aca="false">H$72*H$74</f>
        <v>764802.081403896</v>
      </c>
      <c r="I76" s="73" t="n">
        <f aca="false">I$72*I$74</f>
        <v>684930.197952</v>
      </c>
      <c r="J76" s="74" t="n">
        <f aca="false">J$72*J$74</f>
        <v>627651.185720233</v>
      </c>
      <c r="K76" s="73" t="n">
        <f aca="false">K$72*K$74</f>
        <v>967474.632975928</v>
      </c>
      <c r="L76" s="73" t="n">
        <f aca="false">L$72*L$74</f>
        <v>835888.813580621</v>
      </c>
      <c r="M76" s="74" t="n">
        <f aca="false">M$72*M$74</f>
        <v>738494.385118426</v>
      </c>
      <c r="N76" s="73" t="n">
        <f aca="false">N$72*N$74</f>
        <v>1170257.31604768</v>
      </c>
      <c r="O76" s="73" t="n">
        <f aca="false">O$72*O$74</f>
        <v>974646.356635004</v>
      </c>
      <c r="P76" s="74" t="n">
        <f aca="false">P$72*P$74</f>
        <v>845206.823768039</v>
      </c>
    </row>
    <row r="77" customFormat="false" ht="15" hidden="false" customHeight="true" outlineLevel="0" collapsed="false">
      <c r="A77" s="72" t="s">
        <v>322</v>
      </c>
      <c r="B77" s="36" t="n">
        <f aca="false">B$76/$B$17-1</f>
        <v>0.4976</v>
      </c>
      <c r="C77" s="36" t="n">
        <f aca="false">C$76/$B$17-1</f>
        <v>0.4375</v>
      </c>
      <c r="D77" s="77" t="n">
        <f aca="false">D$76/$B$17-1</f>
        <v>0.4136</v>
      </c>
      <c r="E77" s="36" t="n">
        <f aca="false">E$76/B$76-1</f>
        <v>0.3908</v>
      </c>
      <c r="F77" s="36" t="n">
        <f aca="false">F$76/C$76-1</f>
        <v>0.344</v>
      </c>
      <c r="G77" s="77" t="n">
        <f aca="false">G$76/D$76-1</f>
        <v>0.298</v>
      </c>
      <c r="H77" s="36" t="n">
        <f aca="false">H$76/E$76-1</f>
        <v>0.3216</v>
      </c>
      <c r="I77" s="36" t="n">
        <f aca="false">I$76/F$76-1</f>
        <v>0.276</v>
      </c>
      <c r="J77" s="77" t="n">
        <f aca="false">J$76/G$76-1</f>
        <v>0.2312</v>
      </c>
      <c r="K77" s="36" t="n">
        <f aca="false">K$76/H$76-1</f>
        <v>0.265</v>
      </c>
      <c r="L77" s="36" t="n">
        <f aca="false">L$76/I$76-1</f>
        <v>0.2204</v>
      </c>
      <c r="M77" s="77" t="n">
        <f aca="false">M$76/J$76-1</f>
        <v>0.1766</v>
      </c>
      <c r="N77" s="36" t="n">
        <f aca="false">N$76/K$76-1</f>
        <v>0.2096</v>
      </c>
      <c r="O77" s="36" t="n">
        <f aca="false">O$76/L$76-1</f>
        <v>0.166</v>
      </c>
      <c r="P77" s="77" t="n">
        <f aca="false">P$76/M$76-1</f>
        <v>0.1445</v>
      </c>
    </row>
    <row r="78" customFormat="false" ht="15" hidden="false" customHeight="true" outlineLevel="0" collapsed="false">
      <c r="A78" s="72" t="s">
        <v>323</v>
      </c>
      <c r="B78" s="78" t="n">
        <v>0.0475</v>
      </c>
      <c r="C78" s="78" t="n">
        <v>0.0465</v>
      </c>
      <c r="D78" s="79" t="n">
        <v>0.0458</v>
      </c>
      <c r="E78" s="78" t="n">
        <v>0.0485</v>
      </c>
      <c r="F78" s="78" t="n">
        <v>0.047</v>
      </c>
      <c r="G78" s="79" t="n">
        <v>0.0462</v>
      </c>
      <c r="H78" s="78" t="n">
        <v>0.0495</v>
      </c>
      <c r="I78" s="78" t="n">
        <v>0.0473</v>
      </c>
      <c r="J78" s="79" t="n">
        <v>0.0466</v>
      </c>
      <c r="K78" s="78" t="n">
        <v>0.05</v>
      </c>
      <c r="L78" s="78" t="n">
        <v>0.0475</v>
      </c>
      <c r="M78" s="79" t="n">
        <v>0.047</v>
      </c>
      <c r="N78" s="78" t="n">
        <v>0.0505</v>
      </c>
      <c r="O78" s="78" t="n">
        <v>0.0478</v>
      </c>
      <c r="P78" s="79" t="n">
        <v>0.0474</v>
      </c>
    </row>
    <row r="79" customFormat="false" ht="15" hidden="false" customHeight="true" outlineLevel="0" collapsed="false">
      <c r="A79" s="72" t="s">
        <v>324</v>
      </c>
      <c r="B79" s="73" t="n">
        <f aca="false">B$76*B$78</f>
        <v>19764.141696</v>
      </c>
      <c r="C79" s="73" t="n">
        <f aca="false">C$76*C$78</f>
        <v>18571.600125</v>
      </c>
      <c r="D79" s="74" t="n">
        <f aca="false">D$76*D$78</f>
        <v>17987.90280768</v>
      </c>
      <c r="E79" s="73" t="n">
        <f aca="false">E$76*E$78</f>
        <v>28066.6623396557</v>
      </c>
      <c r="F79" s="73" t="n">
        <f aca="false">F$76*F$78</f>
        <v>25228.620144</v>
      </c>
      <c r="G79" s="74" t="n">
        <f aca="false">G$76*G$78</f>
        <v>23552.213109385</v>
      </c>
      <c r="H79" s="73" t="n">
        <f aca="false">H$76*H$78</f>
        <v>37857.7030294928</v>
      </c>
      <c r="I79" s="73" t="n">
        <f aca="false">I$76*I$78</f>
        <v>32397.1983631296</v>
      </c>
      <c r="J79" s="74" t="n">
        <f aca="false">J$76*J$78</f>
        <v>29248.5452545629</v>
      </c>
      <c r="K79" s="73" t="n">
        <f aca="false">K$76*K$78</f>
        <v>48373.7316487964</v>
      </c>
      <c r="L79" s="73" t="n">
        <f aca="false">L$76*L$78</f>
        <v>39704.7186450795</v>
      </c>
      <c r="M79" s="74" t="n">
        <f aca="false">M$76*M$78</f>
        <v>34709.236100566</v>
      </c>
      <c r="N79" s="73" t="n">
        <f aca="false">N$76*N$78</f>
        <v>59097.994460408</v>
      </c>
      <c r="O79" s="73" t="n">
        <f aca="false">O$76*O$78</f>
        <v>46588.0958471532</v>
      </c>
      <c r="P79" s="74" t="n">
        <f aca="false">P$76*P$78</f>
        <v>40062.803446605</v>
      </c>
    </row>
    <row r="80" customFormat="false" ht="15" hidden="false" customHeight="true" outlineLevel="0" collapsed="false">
      <c r="A80" s="72" t="s">
        <v>325</v>
      </c>
      <c r="B80" s="73" t="n">
        <f aca="false">B$71+B$79</f>
        <v>43305.568704</v>
      </c>
      <c r="C80" s="73" t="n">
        <f aca="false">C$71+C$79</f>
        <v>40881.453075</v>
      </c>
      <c r="D80" s="74" t="n">
        <f aca="false">D$71+D$79</f>
        <v>39916.23680448</v>
      </c>
      <c r="E80" s="73" t="n">
        <f aca="false">E$71+E$79</f>
        <v>59740.3506764851</v>
      </c>
      <c r="F80" s="73" t="n">
        <f aca="false">F$71+F$79</f>
        <v>54371.6623404</v>
      </c>
      <c r="G80" s="74" t="n">
        <f aca="false">G$71+G$79</f>
        <v>51458.6634431443</v>
      </c>
      <c r="H80" s="73" t="n">
        <f aca="false">H$71+H$79</f>
        <v>78692.0113112559</v>
      </c>
      <c r="I80" s="73" t="n">
        <f aca="false">I$71+I$79</f>
        <v>68854.3639433971</v>
      </c>
      <c r="J80" s="74" t="n">
        <f aca="false">J$71+J$79</f>
        <v>63236.2286141243</v>
      </c>
      <c r="K80" s="73" t="n">
        <f aca="false">K$71+K$79</f>
        <v>99197.8953037669</v>
      </c>
      <c r="L80" s="73" t="n">
        <f aca="false">L$71+L$79</f>
        <v>83714.2708969055</v>
      </c>
      <c r="M80" s="74" t="n">
        <f aca="false">M$71+M$79</f>
        <v>74631.3548448502</v>
      </c>
      <c r="N80" s="73" t="n">
        <f aca="false">N$71+N$79</f>
        <v>120122.10572308</v>
      </c>
      <c r="O80" s="73" t="n">
        <f aca="false">O$71+O$79</f>
        <v>97813.16771236</v>
      </c>
      <c r="P80" s="74" t="n">
        <f aca="false">P$71+P$79</f>
        <v>85669.3367420134</v>
      </c>
    </row>
    <row r="81" customFormat="false" ht="15" hidden="false" customHeight="true" outlineLevel="0" collapsed="false">
      <c r="A81" s="72" t="s">
        <v>326</v>
      </c>
      <c r="B81" s="36" t="n">
        <f aca="false">B$80/$B$21-1</f>
        <v>0.504029711860032</v>
      </c>
      <c r="C81" s="36" t="n">
        <f aca="false">C$80/$B$21-1</f>
        <v>0.419838647290003</v>
      </c>
      <c r="D81" s="77" t="n">
        <f aca="false">D$80/$B$21-1</f>
        <v>0.38631607749868</v>
      </c>
      <c r="E81" s="36" t="n">
        <f aca="false">E$80/B$80-1</f>
        <v>0.379507358160316</v>
      </c>
      <c r="F81" s="36" t="n">
        <f aca="false">F$80/C$80-1</f>
        <v>0.329983605050712</v>
      </c>
      <c r="G81" s="77" t="n">
        <f aca="false">G$80/D$80-1</f>
        <v>0.289166203096802</v>
      </c>
      <c r="H81" s="36" t="n">
        <f aca="false">H$80/E$80-1</f>
        <v>0.317233836429931</v>
      </c>
      <c r="I81" s="36" t="n">
        <f aca="false">I$80/F$80-1</f>
        <v>0.26636488530232</v>
      </c>
      <c r="J81" s="77" t="n">
        <f aca="false">J$80/G$80-1</f>
        <v>0.228874292158652</v>
      </c>
      <c r="K81" s="36" t="n">
        <f aca="false">K$80/H$80-1</f>
        <v>0.260584062483836</v>
      </c>
      <c r="L81" s="36" t="n">
        <f aca="false">L$80/I$80-1</f>
        <v>0.215816487183358</v>
      </c>
      <c r="M81" s="77" t="n">
        <f aca="false">M$80/J$80-1</f>
        <v>0.180199333205978</v>
      </c>
      <c r="N81" s="36" t="n">
        <f aca="false">N$80/K$80-1</f>
        <v>0.210934015840134</v>
      </c>
      <c r="O81" s="36" t="n">
        <f aca="false">O$80/L$80-1</f>
        <v>0.168416885966998</v>
      </c>
      <c r="P81" s="77" t="n">
        <f aca="false">P$80/M$80-1</f>
        <v>0.147900060505531</v>
      </c>
    </row>
    <row r="82" customFormat="false" ht="15" hidden="false" customHeight="true" outlineLevel="0" collapsed="false">
      <c r="A82" s="72" t="s">
        <v>327</v>
      </c>
      <c r="B82" s="73" t="n">
        <f aca="false">$B$23*(1+B$83)</f>
        <v>23125</v>
      </c>
      <c r="C82" s="73" t="n">
        <f aca="false">$B$23*(1+C$83)</f>
        <v>21875</v>
      </c>
      <c r="D82" s="74" t="n">
        <f aca="false">$B$23*(1+D$83)</f>
        <v>22500</v>
      </c>
      <c r="E82" s="73" t="n">
        <f aca="false">B$82*(1+E$83)</f>
        <v>35843.75</v>
      </c>
      <c r="F82" s="73" t="n">
        <f aca="false">C$82*(1+F$83)</f>
        <v>31718.75</v>
      </c>
      <c r="G82" s="74" t="n">
        <f aca="false">D$82*(1+G$83)</f>
        <v>33750</v>
      </c>
      <c r="H82" s="73" t="n">
        <f aca="false">E$82*(1+H$83)</f>
        <v>50181.25</v>
      </c>
      <c r="I82" s="73" t="n">
        <f aca="false">F$82*(1+I$83)</f>
        <v>41868.75</v>
      </c>
      <c r="J82" s="74" t="n">
        <f aca="false">G$82*(1+J$83)</f>
        <v>45562.5</v>
      </c>
      <c r="K82" s="73" t="n">
        <f aca="false">H$82*(1+K$83)</f>
        <v>65235.625</v>
      </c>
      <c r="L82" s="73" t="n">
        <f aca="false">I$82*(1+L$83)</f>
        <v>51917.25</v>
      </c>
      <c r="M82" s="74" t="n">
        <f aca="false">J$82*(1+M$83)</f>
        <v>56953.125</v>
      </c>
      <c r="N82" s="73" t="n">
        <f aca="false">K$82*(1+N$83)</f>
        <v>79587.4625</v>
      </c>
      <c r="O82" s="73" t="n">
        <f aca="false">L$82*(1+O$83)</f>
        <v>61262.355</v>
      </c>
      <c r="P82" s="74" t="n">
        <f aca="false">M$82*(1+P$83)</f>
        <v>67204.6875</v>
      </c>
    </row>
    <row r="83" customFormat="false" ht="15" hidden="false" customHeight="true" outlineLevel="0" collapsed="false">
      <c r="A83" s="72" t="s">
        <v>328</v>
      </c>
      <c r="B83" s="75" t="n">
        <v>0.85</v>
      </c>
      <c r="C83" s="75" t="n">
        <v>0.75</v>
      </c>
      <c r="D83" s="76" t="n">
        <v>0.8</v>
      </c>
      <c r="E83" s="75" t="n">
        <v>0.55</v>
      </c>
      <c r="F83" s="75" t="n">
        <v>0.45</v>
      </c>
      <c r="G83" s="76" t="n">
        <v>0.5</v>
      </c>
      <c r="H83" s="75" t="n">
        <v>0.4</v>
      </c>
      <c r="I83" s="75" t="n">
        <v>0.32</v>
      </c>
      <c r="J83" s="76" t="n">
        <v>0.35</v>
      </c>
      <c r="K83" s="75" t="n">
        <v>0.3</v>
      </c>
      <c r="L83" s="75" t="n">
        <v>0.24</v>
      </c>
      <c r="M83" s="76" t="n">
        <v>0.25</v>
      </c>
      <c r="N83" s="75" t="n">
        <v>0.22</v>
      </c>
      <c r="O83" s="75" t="n">
        <v>0.18</v>
      </c>
      <c r="P83" s="76" t="n">
        <v>0.18</v>
      </c>
    </row>
    <row r="84" customFormat="false" ht="15" hidden="false" customHeight="true" outlineLevel="0" collapsed="false">
      <c r="A84" s="70" t="s">
        <v>329</v>
      </c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</row>
    <row r="85" customFormat="false" ht="15" hidden="false" customHeight="true" outlineLevel="0" collapsed="false">
      <c r="A85" s="72" t="s">
        <v>330</v>
      </c>
      <c r="B85" s="75" t="n">
        <v>0.435</v>
      </c>
      <c r="C85" s="75" t="n">
        <v>0.43</v>
      </c>
      <c r="D85" s="76" t="n">
        <v>0.425</v>
      </c>
      <c r="E85" s="75" t="n">
        <v>0.442</v>
      </c>
      <c r="F85" s="75" t="n">
        <v>0.435</v>
      </c>
      <c r="G85" s="76" t="n">
        <v>0.428</v>
      </c>
      <c r="H85" s="75" t="n">
        <v>0.45</v>
      </c>
      <c r="I85" s="75" t="n">
        <v>0.44</v>
      </c>
      <c r="J85" s="76" t="n">
        <v>0.432</v>
      </c>
      <c r="K85" s="75" t="n">
        <v>0.458</v>
      </c>
      <c r="L85" s="75" t="n">
        <v>0.445</v>
      </c>
      <c r="M85" s="76" t="n">
        <v>0.436</v>
      </c>
      <c r="N85" s="75" t="n">
        <v>0.465</v>
      </c>
      <c r="O85" s="75" t="n">
        <v>0.45</v>
      </c>
      <c r="P85" s="76" t="n">
        <v>0.44</v>
      </c>
    </row>
    <row r="86" customFormat="false" ht="15" hidden="false" customHeight="true" outlineLevel="0" collapsed="false">
      <c r="A86" s="72" t="s">
        <v>331</v>
      </c>
      <c r="B86" s="75" t="n">
        <v>0.15</v>
      </c>
      <c r="C86" s="75" t="n">
        <v>0.152</v>
      </c>
      <c r="D86" s="76" t="n">
        <v>0.155</v>
      </c>
      <c r="E86" s="75" t="n">
        <v>0.142</v>
      </c>
      <c r="F86" s="75" t="n">
        <v>0.146</v>
      </c>
      <c r="G86" s="76" t="n">
        <v>0.152</v>
      </c>
      <c r="H86" s="75" t="n">
        <v>0.135</v>
      </c>
      <c r="I86" s="75" t="n">
        <v>0.14</v>
      </c>
      <c r="J86" s="76" t="n">
        <v>0.148</v>
      </c>
      <c r="K86" s="75" t="n">
        <v>0.128</v>
      </c>
      <c r="L86" s="75" t="n">
        <v>0.134</v>
      </c>
      <c r="M86" s="76" t="n">
        <v>0.144</v>
      </c>
      <c r="N86" s="75" t="n">
        <v>0.122</v>
      </c>
      <c r="O86" s="75" t="n">
        <v>0.13</v>
      </c>
      <c r="P86" s="76" t="n">
        <v>0.14</v>
      </c>
    </row>
    <row r="87" customFormat="false" ht="15" hidden="false" customHeight="true" outlineLevel="0" collapsed="false">
      <c r="A87" s="72" t="s">
        <v>332</v>
      </c>
      <c r="B87" s="75" t="n">
        <v>0.076</v>
      </c>
      <c r="C87" s="75" t="n">
        <v>0.077</v>
      </c>
      <c r="D87" s="76" t="n">
        <v>0.078</v>
      </c>
      <c r="E87" s="75" t="n">
        <v>0.074</v>
      </c>
      <c r="F87" s="75" t="n">
        <v>0.075</v>
      </c>
      <c r="G87" s="76" t="n">
        <v>0.077</v>
      </c>
      <c r="H87" s="75" t="n">
        <v>0.071</v>
      </c>
      <c r="I87" s="75" t="n">
        <v>0.073</v>
      </c>
      <c r="J87" s="76" t="n">
        <v>0.076</v>
      </c>
      <c r="K87" s="75" t="n">
        <v>0.069</v>
      </c>
      <c r="L87" s="75" t="n">
        <v>0.071</v>
      </c>
      <c r="M87" s="76" t="n">
        <v>0.075</v>
      </c>
      <c r="N87" s="75" t="n">
        <v>0.067</v>
      </c>
      <c r="O87" s="75" t="n">
        <v>0.069</v>
      </c>
      <c r="P87" s="76" t="n">
        <v>0.074</v>
      </c>
    </row>
    <row r="88" customFormat="false" ht="15" hidden="false" customHeight="true" outlineLevel="0" collapsed="false">
      <c r="A88" s="72" t="s">
        <v>333</v>
      </c>
      <c r="B88" s="75" t="n">
        <v>0.12</v>
      </c>
      <c r="C88" s="75" t="n">
        <v>0.124</v>
      </c>
      <c r="D88" s="76" t="n">
        <v>0.126</v>
      </c>
      <c r="E88" s="75" t="n">
        <v>0.113</v>
      </c>
      <c r="F88" s="75" t="n">
        <v>0.118</v>
      </c>
      <c r="G88" s="76" t="n">
        <v>0.124</v>
      </c>
      <c r="H88" s="75" t="n">
        <v>0.106</v>
      </c>
      <c r="I88" s="75" t="n">
        <v>0.112</v>
      </c>
      <c r="J88" s="76" t="n">
        <v>0.122</v>
      </c>
      <c r="K88" s="75" t="n">
        <v>0.098</v>
      </c>
      <c r="L88" s="75" t="n">
        <v>0.106</v>
      </c>
      <c r="M88" s="76" t="n">
        <v>0.12</v>
      </c>
      <c r="N88" s="75" t="n">
        <v>0.092</v>
      </c>
      <c r="O88" s="75" t="n">
        <v>0.1</v>
      </c>
      <c r="P88" s="76" t="n">
        <v>0.117</v>
      </c>
    </row>
    <row r="89" customFormat="false" ht="15" hidden="false" customHeight="true" outlineLevel="0" collapsed="false">
      <c r="A89" s="72" t="s">
        <v>334</v>
      </c>
      <c r="B89" s="75" t="n">
        <v>0.0065</v>
      </c>
      <c r="C89" s="75" t="n">
        <v>0.0075</v>
      </c>
      <c r="D89" s="76" t="n">
        <v>0.0085</v>
      </c>
      <c r="E89" s="75" t="n">
        <v>0.006</v>
      </c>
      <c r="F89" s="75" t="n">
        <v>0.007</v>
      </c>
      <c r="G89" s="76" t="n">
        <v>0.008</v>
      </c>
      <c r="H89" s="75" t="n">
        <v>0.0055</v>
      </c>
      <c r="I89" s="75" t="n">
        <v>0.0065</v>
      </c>
      <c r="J89" s="76" t="n">
        <v>0.0075</v>
      </c>
      <c r="K89" s="75" t="n">
        <v>0.005</v>
      </c>
      <c r="L89" s="75" t="n">
        <v>0.006</v>
      </c>
      <c r="M89" s="76" t="n">
        <v>0.007</v>
      </c>
      <c r="N89" s="75" t="n">
        <v>0.0045</v>
      </c>
      <c r="O89" s="75" t="n">
        <v>0.0055</v>
      </c>
      <c r="P89" s="76" t="n">
        <v>0.0065</v>
      </c>
    </row>
    <row r="90" customFormat="false" ht="15" hidden="false" customHeight="true" outlineLevel="0" collapsed="false">
      <c r="A90" s="72" t="s">
        <v>335</v>
      </c>
      <c r="B90" s="75" t="n">
        <v>0.003</v>
      </c>
      <c r="C90" s="75" t="n">
        <v>0.004</v>
      </c>
      <c r="D90" s="76" t="n">
        <v>0.005</v>
      </c>
      <c r="E90" s="75" t="n">
        <v>0.003</v>
      </c>
      <c r="F90" s="75" t="n">
        <v>0.004</v>
      </c>
      <c r="G90" s="76" t="n">
        <v>0.005</v>
      </c>
      <c r="H90" s="75" t="n">
        <v>0.003</v>
      </c>
      <c r="I90" s="75" t="n">
        <v>0.004</v>
      </c>
      <c r="J90" s="76" t="n">
        <v>0.005</v>
      </c>
      <c r="K90" s="75" t="n">
        <v>0.003</v>
      </c>
      <c r="L90" s="75" t="n">
        <v>0.004</v>
      </c>
      <c r="M90" s="76" t="n">
        <v>0.005</v>
      </c>
      <c r="N90" s="75" t="n">
        <v>0.003</v>
      </c>
      <c r="O90" s="75" t="n">
        <v>0.004</v>
      </c>
      <c r="P90" s="76" t="n">
        <v>0.005</v>
      </c>
    </row>
    <row r="91" customFormat="false" ht="15" hidden="false" customHeight="true" outlineLevel="0" collapsed="false">
      <c r="A91" s="72" t="s">
        <v>336</v>
      </c>
      <c r="B91" s="75" t="n">
        <v>0.285</v>
      </c>
      <c r="C91" s="75" t="n">
        <v>0.29</v>
      </c>
      <c r="D91" s="76" t="n">
        <v>0.295</v>
      </c>
      <c r="E91" s="75" t="n">
        <v>0.285</v>
      </c>
      <c r="F91" s="75" t="n">
        <v>0.29</v>
      </c>
      <c r="G91" s="76" t="n">
        <v>0.295</v>
      </c>
      <c r="H91" s="75" t="n">
        <v>0.285</v>
      </c>
      <c r="I91" s="75" t="n">
        <v>0.29</v>
      </c>
      <c r="J91" s="76" t="n">
        <v>0.295</v>
      </c>
      <c r="K91" s="75" t="n">
        <v>0.285</v>
      </c>
      <c r="L91" s="75" t="n">
        <v>0.29</v>
      </c>
      <c r="M91" s="76" t="n">
        <v>0.295</v>
      </c>
      <c r="N91" s="75" t="n">
        <v>0.285</v>
      </c>
      <c r="O91" s="75" t="n">
        <v>0.29</v>
      </c>
      <c r="P91" s="76" t="n">
        <v>0.295</v>
      </c>
    </row>
    <row r="92" customFormat="false" ht="15" hidden="false" customHeight="true" outlineLevel="0" collapsed="false">
      <c r="A92" s="72" t="s">
        <v>337</v>
      </c>
      <c r="B92" s="75" t="n">
        <v>-0.004</v>
      </c>
      <c r="C92" s="75" t="n">
        <v>-0.003</v>
      </c>
      <c r="D92" s="76" t="n">
        <v>-0.002</v>
      </c>
      <c r="E92" s="75" t="n">
        <v>-0.004</v>
      </c>
      <c r="F92" s="75" t="n">
        <v>-0.003</v>
      </c>
      <c r="G92" s="76" t="n">
        <v>-0.002</v>
      </c>
      <c r="H92" s="75" t="n">
        <v>-0.004</v>
      </c>
      <c r="I92" s="75" t="n">
        <v>-0.003</v>
      </c>
      <c r="J92" s="76" t="n">
        <v>-0.002</v>
      </c>
      <c r="K92" s="75" t="n">
        <v>-0.004</v>
      </c>
      <c r="L92" s="75" t="n">
        <v>-0.003</v>
      </c>
      <c r="M92" s="76" t="n">
        <v>-0.002</v>
      </c>
      <c r="N92" s="75" t="n">
        <v>-0.004</v>
      </c>
      <c r="O92" s="75" t="n">
        <v>-0.003</v>
      </c>
      <c r="P92" s="76" t="n">
        <v>-0.002</v>
      </c>
    </row>
    <row r="93" customFormat="false" ht="15" hidden="false" customHeight="true" outlineLevel="0" collapsed="false">
      <c r="A93" s="72" t="s">
        <v>338</v>
      </c>
      <c r="B93" s="75" t="n">
        <v>0.08</v>
      </c>
      <c r="C93" s="75" t="n">
        <v>0.083</v>
      </c>
      <c r="D93" s="76" t="n">
        <v>0.085</v>
      </c>
      <c r="E93" s="75" t="n">
        <v>0.078</v>
      </c>
      <c r="F93" s="75" t="n">
        <v>0.08</v>
      </c>
      <c r="G93" s="76" t="n">
        <v>0.082</v>
      </c>
      <c r="H93" s="75" t="n">
        <v>0.075</v>
      </c>
      <c r="I93" s="75" t="n">
        <v>0.078</v>
      </c>
      <c r="J93" s="76" t="n">
        <v>0.08</v>
      </c>
      <c r="K93" s="75" t="n">
        <v>0.073</v>
      </c>
      <c r="L93" s="75" t="n">
        <v>0.075</v>
      </c>
      <c r="M93" s="76" t="n">
        <v>0.078</v>
      </c>
      <c r="N93" s="75" t="n">
        <v>0.07</v>
      </c>
      <c r="O93" s="75" t="n">
        <v>0.073</v>
      </c>
      <c r="P93" s="76" t="n">
        <v>0.075</v>
      </c>
    </row>
    <row r="94" customFormat="false" ht="15" hidden="false" customHeight="true" outlineLevel="0" collapsed="false">
      <c r="A94" s="72" t="s">
        <v>339</v>
      </c>
      <c r="B94" s="80" t="n">
        <v>2000</v>
      </c>
      <c r="C94" s="80" t="n">
        <v>2250</v>
      </c>
      <c r="D94" s="81" t="n">
        <v>2500</v>
      </c>
      <c r="E94" s="80" t="n">
        <v>2250</v>
      </c>
      <c r="F94" s="80" t="n">
        <v>2500</v>
      </c>
      <c r="G94" s="81" t="n">
        <v>2750</v>
      </c>
      <c r="H94" s="80" t="n">
        <v>2500</v>
      </c>
      <c r="I94" s="80" t="n">
        <v>2750</v>
      </c>
      <c r="J94" s="81" t="n">
        <v>3000</v>
      </c>
      <c r="K94" s="80" t="n">
        <v>2750</v>
      </c>
      <c r="L94" s="80" t="n">
        <v>3000</v>
      </c>
      <c r="M94" s="81" t="n">
        <v>3250</v>
      </c>
      <c r="N94" s="80" t="n">
        <v>3000</v>
      </c>
      <c r="O94" s="80" t="n">
        <v>3250</v>
      </c>
      <c r="P94" s="81" t="n">
        <v>3500</v>
      </c>
    </row>
    <row r="95" customFormat="false" ht="15" hidden="false" customHeight="true" outlineLevel="0" collapsed="false">
      <c r="A95" s="70" t="s">
        <v>340</v>
      </c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</row>
    <row r="96" customFormat="false" ht="15" hidden="false" customHeight="true" outlineLevel="0" collapsed="false">
      <c r="A96" s="72" t="s">
        <v>341</v>
      </c>
      <c r="B96" s="75" t="n">
        <v>0.03</v>
      </c>
      <c r="C96" s="75" t="n">
        <v>0.03</v>
      </c>
      <c r="D96" s="76" t="n">
        <v>0.03</v>
      </c>
      <c r="E96" s="75" t="n">
        <v>0.03</v>
      </c>
      <c r="F96" s="75" t="n">
        <v>0.03</v>
      </c>
      <c r="G96" s="76" t="n">
        <v>0.031</v>
      </c>
      <c r="H96" s="75" t="n">
        <v>0.029</v>
      </c>
      <c r="I96" s="75" t="n">
        <v>0.03</v>
      </c>
      <c r="J96" s="76" t="n">
        <v>0.031</v>
      </c>
      <c r="K96" s="75" t="n">
        <v>0.029</v>
      </c>
      <c r="L96" s="75" t="n">
        <v>0.029</v>
      </c>
      <c r="M96" s="76" t="n">
        <v>0.03</v>
      </c>
      <c r="N96" s="75" t="n">
        <v>0.028</v>
      </c>
      <c r="O96" s="75" t="n">
        <v>0.029</v>
      </c>
      <c r="P96" s="76" t="n">
        <v>0.03</v>
      </c>
    </row>
    <row r="97" customFormat="false" ht="15" hidden="false" customHeight="true" outlineLevel="0" collapsed="false">
      <c r="A97" s="72" t="s">
        <v>342</v>
      </c>
      <c r="B97" s="75" t="n">
        <v>0.01</v>
      </c>
      <c r="C97" s="75" t="n">
        <v>0.011</v>
      </c>
      <c r="D97" s="76" t="n">
        <v>0.011</v>
      </c>
      <c r="E97" s="75" t="n">
        <v>0.009</v>
      </c>
      <c r="F97" s="75" t="n">
        <v>0.01</v>
      </c>
      <c r="G97" s="76" t="n">
        <v>0.011</v>
      </c>
      <c r="H97" s="75" t="n">
        <v>0.009</v>
      </c>
      <c r="I97" s="75" t="n">
        <v>0.01</v>
      </c>
      <c r="J97" s="76" t="n">
        <v>0.01</v>
      </c>
      <c r="K97" s="75" t="n">
        <v>0.008</v>
      </c>
      <c r="L97" s="75" t="n">
        <v>0.009</v>
      </c>
      <c r="M97" s="76" t="n">
        <v>0.01</v>
      </c>
      <c r="N97" s="75" t="n">
        <v>0.008</v>
      </c>
      <c r="O97" s="75" t="n">
        <v>0.009</v>
      </c>
      <c r="P97" s="76" t="n">
        <v>0.009</v>
      </c>
    </row>
    <row r="98" customFormat="false" ht="15" hidden="false" customHeight="true" outlineLevel="0" collapsed="false">
      <c r="A98" s="72" t="s">
        <v>343</v>
      </c>
      <c r="B98" s="75" t="n">
        <v>0.06</v>
      </c>
      <c r="C98" s="75" t="n">
        <v>0.063</v>
      </c>
      <c r="D98" s="76" t="n">
        <v>0.065</v>
      </c>
      <c r="E98" s="75" t="n">
        <v>0.055</v>
      </c>
      <c r="F98" s="75" t="n">
        <v>0.058</v>
      </c>
      <c r="G98" s="76" t="n">
        <v>0.06</v>
      </c>
      <c r="H98" s="75" t="n">
        <v>0.05</v>
      </c>
      <c r="I98" s="75" t="n">
        <v>0.053</v>
      </c>
      <c r="J98" s="76" t="n">
        <v>0.055</v>
      </c>
      <c r="K98" s="75" t="n">
        <v>0.045</v>
      </c>
      <c r="L98" s="75" t="n">
        <v>0.048</v>
      </c>
      <c r="M98" s="76" t="n">
        <v>0.05</v>
      </c>
      <c r="N98" s="75" t="n">
        <v>0.042</v>
      </c>
      <c r="O98" s="75" t="n">
        <v>0.045</v>
      </c>
      <c r="P98" s="76" t="n">
        <v>0.047</v>
      </c>
    </row>
    <row r="99" customFormat="false" ht="15" hidden="false" customHeight="true" outlineLevel="0" collapsed="false">
      <c r="A99" s="72" t="s">
        <v>344</v>
      </c>
      <c r="B99" s="18" t="n">
        <v>0</v>
      </c>
      <c r="C99" s="18" t="n">
        <v>0</v>
      </c>
      <c r="D99" s="82" t="n">
        <v>0</v>
      </c>
      <c r="E99" s="18" t="n">
        <v>0</v>
      </c>
      <c r="F99" s="18" t="n">
        <v>0</v>
      </c>
      <c r="G99" s="82" t="n">
        <v>0</v>
      </c>
      <c r="H99" s="18" t="n">
        <v>0</v>
      </c>
      <c r="I99" s="18" t="n">
        <v>0</v>
      </c>
      <c r="J99" s="82" t="n">
        <v>0</v>
      </c>
      <c r="K99" s="18" t="n">
        <v>0</v>
      </c>
      <c r="L99" s="18" t="n">
        <v>0</v>
      </c>
      <c r="M99" s="82" t="n">
        <v>0</v>
      </c>
      <c r="N99" s="18" t="n">
        <v>0</v>
      </c>
      <c r="O99" s="18" t="n">
        <v>0</v>
      </c>
      <c r="P99" s="82" t="n">
        <v>0</v>
      </c>
    </row>
    <row r="100" customFormat="false" ht="15" hidden="false" customHeight="true" outlineLevel="0" collapsed="false">
      <c r="A100" s="72" t="s">
        <v>345</v>
      </c>
      <c r="B100" s="18" t="n">
        <v>-750</v>
      </c>
      <c r="C100" s="18" t="n">
        <v>-500</v>
      </c>
      <c r="D100" s="82" t="n">
        <v>-250</v>
      </c>
      <c r="E100" s="18" t="n">
        <v>-1000</v>
      </c>
      <c r="F100" s="18" t="n">
        <v>-750</v>
      </c>
      <c r="G100" s="82" t="n">
        <v>-500</v>
      </c>
      <c r="H100" s="18" t="n">
        <v>-1250</v>
      </c>
      <c r="I100" s="18" t="n">
        <v>-1000</v>
      </c>
      <c r="J100" s="82" t="n">
        <v>-750</v>
      </c>
      <c r="K100" s="18" t="n">
        <v>-1500</v>
      </c>
      <c r="L100" s="18" t="n">
        <v>-1250</v>
      </c>
      <c r="M100" s="82" t="n">
        <v>-1000</v>
      </c>
      <c r="N100" s="18" t="n">
        <v>-2000</v>
      </c>
      <c r="O100" s="18" t="n">
        <v>-1500</v>
      </c>
      <c r="P100" s="82" t="n">
        <v>-1250</v>
      </c>
    </row>
    <row r="101" customFormat="false" ht="15" hidden="false" customHeight="true" outlineLevel="0" collapsed="false">
      <c r="A101" s="72" t="s">
        <v>346</v>
      </c>
      <c r="B101" s="18" t="n">
        <v>0</v>
      </c>
      <c r="C101" s="18" t="n">
        <v>0</v>
      </c>
      <c r="D101" s="82" t="n">
        <v>0</v>
      </c>
      <c r="E101" s="18" t="n">
        <v>0</v>
      </c>
      <c r="F101" s="18" t="n">
        <v>0</v>
      </c>
      <c r="G101" s="82" t="n">
        <v>0</v>
      </c>
      <c r="H101" s="18" t="n">
        <v>0</v>
      </c>
      <c r="I101" s="18" t="n">
        <v>0</v>
      </c>
      <c r="J101" s="82" t="n">
        <v>0</v>
      </c>
      <c r="K101" s="18" t="n">
        <v>0</v>
      </c>
      <c r="L101" s="18" t="n">
        <v>0</v>
      </c>
      <c r="M101" s="82" t="n">
        <v>0</v>
      </c>
      <c r="N101" s="18" t="n">
        <v>0</v>
      </c>
      <c r="O101" s="18" t="n">
        <v>0</v>
      </c>
      <c r="P101" s="82" t="n">
        <v>0</v>
      </c>
    </row>
    <row r="102" customFormat="false" ht="15" hidden="false" customHeight="true" outlineLevel="0" collapsed="false">
      <c r="A102" s="72" t="s">
        <v>347</v>
      </c>
      <c r="B102" s="18" t="n">
        <v>0</v>
      </c>
      <c r="C102" s="18" t="n">
        <v>-100</v>
      </c>
      <c r="D102" s="82" t="n">
        <v>-200</v>
      </c>
      <c r="E102" s="18" t="n">
        <v>0</v>
      </c>
      <c r="F102" s="18" t="n">
        <v>-100</v>
      </c>
      <c r="G102" s="82" t="n">
        <v>-150</v>
      </c>
      <c r="H102" s="18" t="n">
        <v>0</v>
      </c>
      <c r="I102" s="18" t="n">
        <v>-100</v>
      </c>
      <c r="J102" s="82" t="n">
        <v>-150</v>
      </c>
      <c r="K102" s="18" t="n">
        <v>0</v>
      </c>
      <c r="L102" s="18" t="n">
        <v>-100</v>
      </c>
      <c r="M102" s="82" t="n">
        <v>-100</v>
      </c>
      <c r="N102" s="18" t="n">
        <v>0</v>
      </c>
      <c r="O102" s="18" t="n">
        <v>-100</v>
      </c>
      <c r="P102" s="82" t="n">
        <v>-100</v>
      </c>
    </row>
    <row r="103" customFormat="false" ht="15" hidden="false" customHeight="true" outlineLevel="0" collapsed="false">
      <c r="A103" s="72" t="s">
        <v>348</v>
      </c>
      <c r="B103" s="18" t="n">
        <v>0</v>
      </c>
      <c r="C103" s="18" t="n">
        <v>0</v>
      </c>
      <c r="D103" s="82" t="n">
        <v>0</v>
      </c>
      <c r="E103" s="18" t="n">
        <v>0</v>
      </c>
      <c r="F103" s="18" t="n">
        <v>0</v>
      </c>
      <c r="G103" s="82" t="n">
        <v>0</v>
      </c>
      <c r="H103" s="18" t="n">
        <v>0</v>
      </c>
      <c r="I103" s="18" t="n">
        <v>0</v>
      </c>
      <c r="J103" s="82" t="n">
        <v>0</v>
      </c>
      <c r="K103" s="18" t="n">
        <v>0</v>
      </c>
      <c r="L103" s="18" t="n">
        <v>0</v>
      </c>
      <c r="M103" s="82" t="n">
        <v>0</v>
      </c>
      <c r="N103" s="18" t="n">
        <v>0</v>
      </c>
      <c r="O103" s="18" t="n">
        <v>0</v>
      </c>
      <c r="P103" s="82" t="n">
        <v>0</v>
      </c>
    </row>
    <row r="104" customFormat="false" ht="15" hidden="false" customHeight="true" outlineLevel="0" collapsed="false">
      <c r="A104" s="70" t="s">
        <v>349</v>
      </c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</row>
    <row r="105" customFormat="false" ht="15" hidden="false" customHeight="true" outlineLevel="0" collapsed="false">
      <c r="A105" s="72" t="s">
        <v>350</v>
      </c>
      <c r="B105" s="75" t="n">
        <v>0.28</v>
      </c>
      <c r="C105" s="75" t="n">
        <v>0.29</v>
      </c>
      <c r="D105" s="76" t="n">
        <v>0.3</v>
      </c>
      <c r="E105" s="75" t="n">
        <v>0.3</v>
      </c>
      <c r="F105" s="75" t="n">
        <v>0.31</v>
      </c>
      <c r="G105" s="76" t="n">
        <v>0.32</v>
      </c>
      <c r="H105" s="75" t="n">
        <v>0.31</v>
      </c>
      <c r="I105" s="75" t="n">
        <v>0.32</v>
      </c>
      <c r="J105" s="76" t="n">
        <v>0.33</v>
      </c>
      <c r="K105" s="75" t="n">
        <v>0.32</v>
      </c>
      <c r="L105" s="75" t="n">
        <v>0.33</v>
      </c>
      <c r="M105" s="76" t="n">
        <v>0.34</v>
      </c>
      <c r="N105" s="75" t="n">
        <v>0.33</v>
      </c>
      <c r="O105" s="75" t="n">
        <v>0.34</v>
      </c>
      <c r="P105" s="76" t="n">
        <v>0.35</v>
      </c>
    </row>
    <row r="106" customFormat="false" ht="15" hidden="false" customHeight="true" outlineLevel="0" collapsed="false">
      <c r="A106" s="72" t="s">
        <v>351</v>
      </c>
      <c r="B106" s="75" t="n">
        <v>0.023</v>
      </c>
      <c r="C106" s="75" t="n">
        <v>0.024</v>
      </c>
      <c r="D106" s="76" t="n">
        <v>0.025</v>
      </c>
      <c r="E106" s="75" t="n">
        <v>0.025</v>
      </c>
      <c r="F106" s="75" t="n">
        <v>0.026</v>
      </c>
      <c r="G106" s="76" t="n">
        <v>0.027</v>
      </c>
      <c r="H106" s="75" t="n">
        <v>0.027</v>
      </c>
      <c r="I106" s="75" t="n">
        <v>0.028</v>
      </c>
      <c r="J106" s="76" t="n">
        <v>0.029</v>
      </c>
      <c r="K106" s="75" t="n">
        <v>0.028</v>
      </c>
      <c r="L106" s="75" t="n">
        <v>0.029</v>
      </c>
      <c r="M106" s="76" t="n">
        <v>0.03</v>
      </c>
      <c r="N106" s="75" t="n">
        <v>0.03</v>
      </c>
      <c r="O106" s="75" t="n">
        <v>0.031</v>
      </c>
      <c r="P106" s="76" t="n">
        <v>0.032</v>
      </c>
    </row>
    <row r="107" customFormat="false" ht="15" hidden="false" customHeight="true" outlineLevel="0" collapsed="false">
      <c r="A107" s="72" t="s">
        <v>352</v>
      </c>
      <c r="B107" s="75" t="n">
        <v>0.02</v>
      </c>
      <c r="C107" s="75" t="n">
        <v>0.02</v>
      </c>
      <c r="D107" s="76" t="n">
        <v>0.02</v>
      </c>
      <c r="E107" s="75" t="n">
        <v>0.02</v>
      </c>
      <c r="F107" s="75" t="n">
        <v>0.02</v>
      </c>
      <c r="G107" s="76" t="n">
        <v>0.02</v>
      </c>
      <c r="H107" s="75" t="n">
        <v>0.02</v>
      </c>
      <c r="I107" s="75" t="n">
        <v>0.02</v>
      </c>
      <c r="J107" s="76" t="n">
        <v>0.02</v>
      </c>
      <c r="K107" s="75" t="n">
        <v>0.02</v>
      </c>
      <c r="L107" s="75" t="n">
        <v>0.02</v>
      </c>
      <c r="M107" s="76" t="n">
        <v>0.02</v>
      </c>
      <c r="N107" s="75" t="n">
        <v>0.02</v>
      </c>
      <c r="O107" s="75" t="n">
        <v>0.02</v>
      </c>
      <c r="P107" s="76" t="n">
        <v>0.02</v>
      </c>
    </row>
    <row r="108" customFormat="false" ht="15" hidden="false" customHeight="true" outlineLevel="0" collapsed="false">
      <c r="A108" s="72" t="s">
        <v>353</v>
      </c>
      <c r="B108" s="75" t="n">
        <v>0.36</v>
      </c>
      <c r="C108" s="75" t="n">
        <v>0.35</v>
      </c>
      <c r="D108" s="76" t="n">
        <v>0.34</v>
      </c>
      <c r="E108" s="75" t="n">
        <v>0.35</v>
      </c>
      <c r="F108" s="75" t="n">
        <v>0.34</v>
      </c>
      <c r="G108" s="76" t="n">
        <v>0.33</v>
      </c>
      <c r="H108" s="75" t="n">
        <v>0.34</v>
      </c>
      <c r="I108" s="75" t="n">
        <v>0.33</v>
      </c>
      <c r="J108" s="76" t="n">
        <v>0.32</v>
      </c>
      <c r="K108" s="75" t="n">
        <v>0.33</v>
      </c>
      <c r="L108" s="75" t="n">
        <v>0.32</v>
      </c>
      <c r="M108" s="76" t="n">
        <v>0.31</v>
      </c>
      <c r="N108" s="75" t="n">
        <v>0.32</v>
      </c>
      <c r="O108" s="75" t="n">
        <v>0.31</v>
      </c>
      <c r="P108" s="76" t="n">
        <v>0.3</v>
      </c>
    </row>
    <row r="109" customFormat="false" ht="15" hidden="false" customHeight="true" outlineLevel="0" collapsed="false">
      <c r="A109" s="72" t="s">
        <v>354</v>
      </c>
      <c r="B109" s="75" t="n">
        <v>0.78</v>
      </c>
      <c r="C109" s="75" t="n">
        <v>0.775</v>
      </c>
      <c r="D109" s="76" t="n">
        <v>0.77</v>
      </c>
      <c r="E109" s="75" t="n">
        <v>0.785</v>
      </c>
      <c r="F109" s="75" t="n">
        <v>0.78</v>
      </c>
      <c r="G109" s="76" t="n">
        <v>0.775</v>
      </c>
      <c r="H109" s="75" t="n">
        <v>0.79</v>
      </c>
      <c r="I109" s="75" t="n">
        <v>0.785</v>
      </c>
      <c r="J109" s="76" t="n">
        <v>0.78</v>
      </c>
      <c r="K109" s="75" t="n">
        <v>0.795</v>
      </c>
      <c r="L109" s="75" t="n">
        <v>0.79</v>
      </c>
      <c r="M109" s="76" t="n">
        <v>0.78</v>
      </c>
      <c r="N109" s="75" t="n">
        <v>0.8</v>
      </c>
      <c r="O109" s="75" t="n">
        <v>0.795</v>
      </c>
      <c r="P109" s="76" t="n">
        <v>0.785</v>
      </c>
    </row>
    <row r="110" customFormat="false" ht="15" hidden="false" customHeight="true" outlineLevel="0" collapsed="false">
      <c r="A110" s="72" t="s">
        <v>355</v>
      </c>
      <c r="B110" s="75" t="n">
        <v>0.047</v>
      </c>
      <c r="C110" s="75" t="n">
        <v>0.047</v>
      </c>
      <c r="D110" s="76" t="n">
        <v>0.047</v>
      </c>
      <c r="E110" s="75" t="n">
        <v>0.047</v>
      </c>
      <c r="F110" s="75" t="n">
        <v>0.047</v>
      </c>
      <c r="G110" s="76" t="n">
        <v>0.047</v>
      </c>
      <c r="H110" s="75" t="n">
        <v>0.047</v>
      </c>
      <c r="I110" s="75" t="n">
        <v>0.047</v>
      </c>
      <c r="J110" s="76" t="n">
        <v>0.047</v>
      </c>
      <c r="K110" s="75" t="n">
        <v>0.047</v>
      </c>
      <c r="L110" s="75" t="n">
        <v>0.047</v>
      </c>
      <c r="M110" s="76" t="n">
        <v>0.047</v>
      </c>
      <c r="N110" s="75" t="n">
        <v>0.047</v>
      </c>
      <c r="O110" s="75" t="n">
        <v>0.047</v>
      </c>
      <c r="P110" s="76" t="n">
        <v>0.047</v>
      </c>
    </row>
    <row r="111" customFormat="false" ht="15" hidden="false" customHeight="true" outlineLevel="0" collapsed="false">
      <c r="A111" s="72" t="s">
        <v>356</v>
      </c>
      <c r="B111" s="75" t="n">
        <v>0.17</v>
      </c>
      <c r="C111" s="75" t="n">
        <v>0.172</v>
      </c>
      <c r="D111" s="76" t="n">
        <v>0.175</v>
      </c>
      <c r="E111" s="75" t="n">
        <v>0.165</v>
      </c>
      <c r="F111" s="75" t="n">
        <v>0.168</v>
      </c>
      <c r="G111" s="76" t="n">
        <v>0.17</v>
      </c>
      <c r="H111" s="75" t="n">
        <v>0.16</v>
      </c>
      <c r="I111" s="75" t="n">
        <v>0.164</v>
      </c>
      <c r="J111" s="76" t="n">
        <v>0.165</v>
      </c>
      <c r="K111" s="75" t="n">
        <v>0.155</v>
      </c>
      <c r="L111" s="75" t="n">
        <v>0.16</v>
      </c>
      <c r="M111" s="76" t="n">
        <v>0.16</v>
      </c>
      <c r="N111" s="75" t="n">
        <v>0.15</v>
      </c>
      <c r="O111" s="75" t="n">
        <v>0.156</v>
      </c>
      <c r="P111" s="76" t="n">
        <v>0.155</v>
      </c>
    </row>
    <row r="112" customFormat="false" ht="15" hidden="false" customHeight="true" outlineLevel="0" collapsed="false">
      <c r="A112" s="72" t="s">
        <v>357</v>
      </c>
      <c r="B112" s="75" t="n">
        <v>0.073</v>
      </c>
      <c r="C112" s="75" t="n">
        <v>0.073</v>
      </c>
      <c r="D112" s="76" t="n">
        <v>0.073</v>
      </c>
      <c r="E112" s="75" t="n">
        <v>0.073</v>
      </c>
      <c r="F112" s="75" t="n">
        <v>0.073</v>
      </c>
      <c r="G112" s="76" t="n">
        <v>0.073</v>
      </c>
      <c r="H112" s="75" t="n">
        <v>0.073</v>
      </c>
      <c r="I112" s="75" t="n">
        <v>0.073</v>
      </c>
      <c r="J112" s="76" t="n">
        <v>0.073</v>
      </c>
      <c r="K112" s="75" t="n">
        <v>0.073</v>
      </c>
      <c r="L112" s="75" t="n">
        <v>0.073</v>
      </c>
      <c r="M112" s="76" t="n">
        <v>0.073</v>
      </c>
      <c r="N112" s="75" t="n">
        <v>0.073</v>
      </c>
      <c r="O112" s="75" t="n">
        <v>0.073</v>
      </c>
      <c r="P112" s="76" t="n">
        <v>0.073</v>
      </c>
    </row>
    <row r="113" customFormat="false" ht="15" hidden="false" customHeight="true" outlineLevel="0" collapsed="false">
      <c r="A113" s="72" t="s">
        <v>358</v>
      </c>
      <c r="B113" s="75" t="n">
        <v>0.033</v>
      </c>
      <c r="C113" s="75" t="n">
        <v>0.033</v>
      </c>
      <c r="D113" s="76" t="n">
        <v>0.033</v>
      </c>
      <c r="E113" s="75" t="n">
        <v>0.033</v>
      </c>
      <c r="F113" s="75" t="n">
        <v>0.033</v>
      </c>
      <c r="G113" s="76" t="n">
        <v>0.033</v>
      </c>
      <c r="H113" s="75" t="n">
        <v>0.033</v>
      </c>
      <c r="I113" s="75" t="n">
        <v>0.033</v>
      </c>
      <c r="J113" s="76" t="n">
        <v>0.033</v>
      </c>
      <c r="K113" s="75" t="n">
        <v>0.033</v>
      </c>
      <c r="L113" s="75" t="n">
        <v>0.033</v>
      </c>
      <c r="M113" s="76" t="n">
        <v>0.033</v>
      </c>
      <c r="N113" s="75" t="n">
        <v>0.033</v>
      </c>
      <c r="O113" s="75" t="n">
        <v>0.033</v>
      </c>
      <c r="P113" s="76" t="n">
        <v>0.033</v>
      </c>
    </row>
    <row r="114" customFormat="false" ht="15" hidden="false" customHeight="true" outlineLevel="0" collapsed="false">
      <c r="A114" s="72" t="s">
        <v>359</v>
      </c>
      <c r="B114" s="75" t="n">
        <v>0.1</v>
      </c>
      <c r="C114" s="75" t="n">
        <v>0.09</v>
      </c>
      <c r="D114" s="76" t="n">
        <v>0.08</v>
      </c>
      <c r="E114" s="75" t="n">
        <v>0.09</v>
      </c>
      <c r="F114" s="75" t="n">
        <v>0.08</v>
      </c>
      <c r="G114" s="76" t="n">
        <v>0.07</v>
      </c>
      <c r="H114" s="75" t="n">
        <v>0.08</v>
      </c>
      <c r="I114" s="75" t="n">
        <v>0.07</v>
      </c>
      <c r="J114" s="76" t="n">
        <v>0.06</v>
      </c>
      <c r="K114" s="75" t="n">
        <v>0.07</v>
      </c>
      <c r="L114" s="75" t="n">
        <v>0.06</v>
      </c>
      <c r="M114" s="76" t="n">
        <v>0.05</v>
      </c>
      <c r="N114" s="75" t="n">
        <v>0.06</v>
      </c>
      <c r="O114" s="75" t="n">
        <v>0.05</v>
      </c>
      <c r="P114" s="76" t="n">
        <v>0.05</v>
      </c>
    </row>
    <row r="115" customFormat="false" ht="15" hidden="false" customHeight="true" outlineLevel="0" collapsed="false">
      <c r="A115" s="72" t="s">
        <v>360</v>
      </c>
      <c r="B115" s="75" t="n">
        <v>0.1</v>
      </c>
      <c r="C115" s="75" t="n">
        <v>0.11</v>
      </c>
      <c r="D115" s="76" t="n">
        <v>0.12</v>
      </c>
      <c r="E115" s="75" t="n">
        <v>0.09</v>
      </c>
      <c r="F115" s="75" t="n">
        <v>0.1</v>
      </c>
      <c r="G115" s="76" t="n">
        <v>0.1</v>
      </c>
      <c r="H115" s="75" t="n">
        <v>0.08</v>
      </c>
      <c r="I115" s="75" t="n">
        <v>0.09</v>
      </c>
      <c r="J115" s="76" t="n">
        <v>0.08</v>
      </c>
      <c r="K115" s="75" t="n">
        <v>0.07</v>
      </c>
      <c r="L115" s="75" t="n">
        <v>0.08</v>
      </c>
      <c r="M115" s="76" t="n">
        <v>0.07</v>
      </c>
      <c r="N115" s="75" t="n">
        <v>0.06</v>
      </c>
      <c r="O115" s="75" t="n">
        <v>0.07</v>
      </c>
      <c r="P115" s="76" t="n">
        <v>0.06</v>
      </c>
    </row>
    <row r="116" customFormat="false" ht="15" hidden="false" customHeight="true" outlineLevel="0" collapsed="false">
      <c r="A116" s="72" t="s">
        <v>361</v>
      </c>
      <c r="B116" s="80" t="n">
        <v>196</v>
      </c>
      <c r="C116" s="80" t="n">
        <v>196</v>
      </c>
      <c r="D116" s="81" t="n">
        <v>196</v>
      </c>
      <c r="E116" s="80" t="n">
        <v>196</v>
      </c>
      <c r="F116" s="80" t="n">
        <v>196</v>
      </c>
      <c r="G116" s="81" t="n">
        <v>196</v>
      </c>
      <c r="H116" s="80" t="n">
        <v>196</v>
      </c>
      <c r="I116" s="80" t="n">
        <v>196</v>
      </c>
      <c r="J116" s="81" t="n">
        <v>196</v>
      </c>
      <c r="K116" s="80" t="n">
        <v>196</v>
      </c>
      <c r="L116" s="80" t="n">
        <v>196</v>
      </c>
      <c r="M116" s="81" t="n">
        <v>196</v>
      </c>
      <c r="N116" s="80" t="n">
        <v>196</v>
      </c>
      <c r="O116" s="80" t="n">
        <v>196</v>
      </c>
      <c r="P116" s="81" t="n">
        <v>196</v>
      </c>
    </row>
  </sheetData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B57"/>
    <pageSetUpPr fitToPage="true"/>
  </sheetPr>
  <dimension ref="A1:L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9" width="42"/>
    <col collapsed="false" customWidth="true" hidden="false" outlineLevel="0" max="12" min="2" style="9" width="9"/>
  </cols>
  <sheetData>
    <row r="1" customFormat="false" ht="24" hidden="false" customHeight="true" outlineLevel="0" collapsed="false">
      <c r="A1" s="49" t="s">
        <v>380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customFormat="false" ht="13.5" hidden="false" customHeight="true" outlineLevel="0" collapsed="false">
      <c r="A2" s="51" t="s">
        <v>381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customFormat="false" ht="15" hidden="false" customHeight="true" outlineLevel="0" collapsed="false">
      <c r="A3" s="13" t="s">
        <v>306</v>
      </c>
      <c r="B3" s="83" t="s">
        <v>292</v>
      </c>
      <c r="C3" s="83" t="s">
        <v>293</v>
      </c>
      <c r="D3" s="83" t="s">
        <v>294</v>
      </c>
      <c r="E3" s="83" t="s">
        <v>295</v>
      </c>
      <c r="F3" s="84" t="s">
        <v>296</v>
      </c>
      <c r="G3" s="14" t="s">
        <v>297</v>
      </c>
      <c r="H3" s="14" t="s">
        <v>298</v>
      </c>
      <c r="I3" s="14" t="s">
        <v>299</v>
      </c>
      <c r="J3" s="14" t="s">
        <v>300</v>
      </c>
      <c r="K3" s="14" t="s">
        <v>301</v>
      </c>
      <c r="L3" s="14" t="s">
        <v>302</v>
      </c>
    </row>
    <row r="4" customFormat="false" ht="16.5" hidden="false" customHeight="true" outlineLevel="0" collapsed="false">
      <c r="A4" s="53" t="s">
        <v>308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</row>
    <row r="5" customFormat="false" ht="15" hidden="false" customHeight="true" outlineLevel="0" collapsed="false">
      <c r="A5" s="35" t="s">
        <v>313</v>
      </c>
      <c r="B5" s="56" t="n">
        <v>14900</v>
      </c>
      <c r="C5" s="56" t="n">
        <v>16851</v>
      </c>
      <c r="D5" s="56" t="n">
        <v>19906</v>
      </c>
      <c r="E5" s="56" t="n">
        <v>19000</v>
      </c>
      <c r="F5" s="85" t="n">
        <f aca="false">B5*(1+F6)</f>
        <v>19370</v>
      </c>
      <c r="G5" s="57" t="n">
        <f aca="false">C5*(1+G6)</f>
        <v>21400.77</v>
      </c>
      <c r="H5" s="57" t="n">
        <f aca="false">D5*(1+H6)</f>
        <v>24683.44</v>
      </c>
      <c r="I5" s="57" t="n">
        <f aca="false">E5*(1+I6)</f>
        <v>23560</v>
      </c>
      <c r="J5" s="57" t="n">
        <f aca="false">F5*(1+J6)</f>
        <v>23631.4</v>
      </c>
      <c r="K5" s="57" t="n">
        <f aca="false">G5*(1+K6)</f>
        <v>25680.924</v>
      </c>
      <c r="L5" s="57" t="n">
        <f aca="false">H5*(1+L6)</f>
        <v>29126.4592</v>
      </c>
    </row>
    <row r="6" customFormat="false" ht="15" hidden="false" customHeight="true" outlineLevel="0" collapsed="false">
      <c r="A6" s="58" t="s">
        <v>382</v>
      </c>
      <c r="B6" s="86"/>
      <c r="C6" s="86"/>
      <c r="D6" s="86"/>
      <c r="E6" s="86"/>
      <c r="F6" s="87" t="n">
        <v>0.3</v>
      </c>
      <c r="G6" s="88" t="n">
        <v>0.27</v>
      </c>
      <c r="H6" s="88" t="n">
        <v>0.24</v>
      </c>
      <c r="I6" s="88" t="n">
        <v>0.24</v>
      </c>
      <c r="J6" s="88" t="n">
        <v>0.22</v>
      </c>
      <c r="K6" s="88" t="n">
        <v>0.2</v>
      </c>
      <c r="L6" s="88" t="n">
        <v>0.18</v>
      </c>
    </row>
    <row r="7" customFormat="false" ht="15" hidden="false" customHeight="true" outlineLevel="0" collapsed="false">
      <c r="A7" s="35" t="s">
        <v>315</v>
      </c>
      <c r="B7" s="61" t="n">
        <v>0.255</v>
      </c>
      <c r="C7" s="61" t="n">
        <v>0.255</v>
      </c>
      <c r="D7" s="61" t="n">
        <v>0.262</v>
      </c>
      <c r="E7" s="61" t="n">
        <v>0.263</v>
      </c>
      <c r="F7" s="87" t="n">
        <v>0.26</v>
      </c>
      <c r="G7" s="88" t="n">
        <v>0.262</v>
      </c>
      <c r="H7" s="88" t="n">
        <v>0.265</v>
      </c>
      <c r="I7" s="88" t="n">
        <v>0.262</v>
      </c>
      <c r="J7" s="88" t="n">
        <v>0.264</v>
      </c>
      <c r="K7" s="88" t="n">
        <v>0.266</v>
      </c>
      <c r="L7" s="88" t="n">
        <v>0.268</v>
      </c>
    </row>
    <row r="8" customFormat="false" ht="15" hidden="false" customHeight="true" outlineLevel="0" collapsed="false">
      <c r="A8" s="35" t="s">
        <v>316</v>
      </c>
      <c r="B8" s="60" t="n">
        <f aca="false">B5*B7</f>
        <v>3799.5</v>
      </c>
      <c r="C8" s="60" t="n">
        <f aca="false">C5*C7</f>
        <v>4297.005</v>
      </c>
      <c r="D8" s="60" t="n">
        <f aca="false">D5*D7</f>
        <v>5215.372</v>
      </c>
      <c r="E8" s="60" t="n">
        <f aca="false">E5*E7</f>
        <v>4997</v>
      </c>
      <c r="F8" s="85" t="n">
        <f aca="false">F5*F7</f>
        <v>5036.2</v>
      </c>
      <c r="G8" s="57" t="n">
        <f aca="false">G5*G7</f>
        <v>5607.00174</v>
      </c>
      <c r="H8" s="57" t="n">
        <f aca="false">H5*H7</f>
        <v>6541.1116</v>
      </c>
      <c r="I8" s="57" t="n">
        <f aca="false">I5*I7</f>
        <v>6172.72</v>
      </c>
      <c r="J8" s="57" t="n">
        <f aca="false">J5*J7</f>
        <v>6238.6896</v>
      </c>
      <c r="K8" s="57" t="n">
        <f aca="false">K5*K7</f>
        <v>6831.125784</v>
      </c>
      <c r="L8" s="57" t="n">
        <f aca="false">L5*L7</f>
        <v>7805.8910656</v>
      </c>
    </row>
    <row r="9" customFormat="false" ht="15" hidden="false" customHeight="true" outlineLevel="0" collapsed="false">
      <c r="A9" s="35" t="s">
        <v>321</v>
      </c>
      <c r="B9" s="56" t="n">
        <v>64500</v>
      </c>
      <c r="C9" s="56" t="n">
        <v>71496</v>
      </c>
      <c r="D9" s="56" t="n">
        <v>83694</v>
      </c>
      <c r="E9" s="56" t="n">
        <v>87200</v>
      </c>
      <c r="F9" s="85" t="n">
        <f aca="false">B9*(1+F10)</f>
        <v>89010</v>
      </c>
      <c r="G9" s="57" t="n">
        <f aca="false">C9*(1+G10)</f>
        <v>95804.64</v>
      </c>
      <c r="H9" s="57" t="n">
        <f aca="false">D9*(1+H10)</f>
        <v>108802.2</v>
      </c>
      <c r="I9" s="57" t="n">
        <f aca="false">E9*(1+I10)</f>
        <v>113360</v>
      </c>
      <c r="J9" s="57" t="n">
        <f aca="false">F9*(1+J10)</f>
        <v>113932.8</v>
      </c>
      <c r="K9" s="57" t="n">
        <f aca="false">G9*(1+K10)</f>
        <v>120713.8464</v>
      </c>
      <c r="L9" s="57" t="n">
        <f aca="false">H9*(1+L10)</f>
        <v>134914.728</v>
      </c>
    </row>
    <row r="10" customFormat="false" ht="15" hidden="false" customHeight="true" outlineLevel="0" collapsed="false">
      <c r="A10" s="58" t="s">
        <v>383</v>
      </c>
      <c r="B10" s="86"/>
      <c r="C10" s="86"/>
      <c r="D10" s="86"/>
      <c r="E10" s="86"/>
      <c r="F10" s="87" t="n">
        <v>0.38</v>
      </c>
      <c r="G10" s="88" t="n">
        <v>0.34</v>
      </c>
      <c r="H10" s="88" t="n">
        <v>0.3</v>
      </c>
      <c r="I10" s="88" t="n">
        <v>0.3</v>
      </c>
      <c r="J10" s="88" t="n">
        <v>0.28</v>
      </c>
      <c r="K10" s="88" t="n">
        <v>0.26</v>
      </c>
      <c r="L10" s="88" t="n">
        <v>0.24</v>
      </c>
    </row>
    <row r="11" customFormat="false" ht="15" hidden="false" customHeight="true" outlineLevel="0" collapsed="false">
      <c r="A11" s="35" t="s">
        <v>323</v>
      </c>
      <c r="B11" s="62" t="n">
        <v>0.046</v>
      </c>
      <c r="C11" s="62" t="n">
        <v>0.046</v>
      </c>
      <c r="D11" s="62" t="n">
        <v>0.046</v>
      </c>
      <c r="E11" s="62" t="n">
        <v>0.046</v>
      </c>
      <c r="F11" s="89" t="n">
        <v>0.046</v>
      </c>
      <c r="G11" s="90" t="n">
        <v>0.047</v>
      </c>
      <c r="H11" s="90" t="n">
        <v>0.047</v>
      </c>
      <c r="I11" s="90" t="n">
        <v>0.047</v>
      </c>
      <c r="J11" s="90" t="n">
        <v>0.047</v>
      </c>
      <c r="K11" s="90" t="n">
        <v>0.048</v>
      </c>
      <c r="L11" s="90" t="n">
        <v>0.048</v>
      </c>
    </row>
    <row r="12" customFormat="false" ht="15" hidden="false" customHeight="true" outlineLevel="0" collapsed="false">
      <c r="A12" s="35" t="s">
        <v>324</v>
      </c>
      <c r="B12" s="60" t="n">
        <f aca="false">B9*B11</f>
        <v>2967</v>
      </c>
      <c r="C12" s="60" t="n">
        <f aca="false">C9*C11</f>
        <v>3288.816</v>
      </c>
      <c r="D12" s="60" t="n">
        <f aca="false">D9*D11</f>
        <v>3849.924</v>
      </c>
      <c r="E12" s="60" t="n">
        <f aca="false">E9*E11</f>
        <v>4011.2</v>
      </c>
      <c r="F12" s="85" t="n">
        <f aca="false">F9*F11</f>
        <v>4094.46</v>
      </c>
      <c r="G12" s="57" t="n">
        <f aca="false">G9*G11</f>
        <v>4502.81808</v>
      </c>
      <c r="H12" s="57" t="n">
        <f aca="false">H9*H11</f>
        <v>5113.7034</v>
      </c>
      <c r="I12" s="57" t="n">
        <f aca="false">I9*I11</f>
        <v>5327.92</v>
      </c>
      <c r="J12" s="57" t="n">
        <f aca="false">J9*J11</f>
        <v>5354.8416</v>
      </c>
      <c r="K12" s="57" t="n">
        <f aca="false">K9*K11</f>
        <v>5794.2646272</v>
      </c>
      <c r="L12" s="57" t="n">
        <f aca="false">L9*L11</f>
        <v>6475.906944</v>
      </c>
    </row>
    <row r="13" customFormat="false" ht="15" hidden="false" customHeight="true" outlineLevel="0" collapsed="false">
      <c r="A13" s="35" t="s">
        <v>325</v>
      </c>
      <c r="B13" s="60" t="n">
        <f aca="false">B8+B12</f>
        <v>6766.5</v>
      </c>
      <c r="C13" s="60" t="n">
        <f aca="false">C8+C12</f>
        <v>7585.821</v>
      </c>
      <c r="D13" s="60" t="n">
        <f aca="false">D8+D12</f>
        <v>9065.296</v>
      </c>
      <c r="E13" s="60" t="n">
        <f aca="false">E8+E12</f>
        <v>9008.2</v>
      </c>
      <c r="F13" s="85" t="n">
        <f aca="false">F8+F12</f>
        <v>9130.66</v>
      </c>
      <c r="G13" s="57" t="n">
        <f aca="false">G8+G12</f>
        <v>10109.81982</v>
      </c>
      <c r="H13" s="57" t="n">
        <f aca="false">H8+H12</f>
        <v>11654.815</v>
      </c>
      <c r="I13" s="57" t="n">
        <f aca="false">I8+I12</f>
        <v>11500.64</v>
      </c>
      <c r="J13" s="57" t="n">
        <f aca="false">J8+J12</f>
        <v>11593.5312</v>
      </c>
      <c r="K13" s="57" t="n">
        <f aca="false">K8+K12</f>
        <v>12625.3904112</v>
      </c>
      <c r="L13" s="57" t="n">
        <f aca="false">L8+L12</f>
        <v>14281.7980096</v>
      </c>
    </row>
    <row r="14" customFormat="false" ht="16.5" hidden="false" customHeight="true" outlineLevel="0" collapsed="false">
      <c r="A14" s="53" t="s">
        <v>329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</row>
    <row r="15" customFormat="false" ht="15" hidden="false" customHeight="true" outlineLevel="0" collapsed="false">
      <c r="A15" s="35" t="s">
        <v>330</v>
      </c>
      <c r="B15" s="86"/>
      <c r="C15" s="86"/>
      <c r="D15" s="86"/>
      <c r="E15" s="86"/>
      <c r="F15" s="87" t="n">
        <v>0.44</v>
      </c>
      <c r="G15" s="88" t="n">
        <v>0.442</v>
      </c>
      <c r="H15" s="88" t="n">
        <v>0.445</v>
      </c>
      <c r="I15" s="88" t="n">
        <v>0.44</v>
      </c>
      <c r="J15" s="88" t="n">
        <v>0.443</v>
      </c>
      <c r="K15" s="88" t="n">
        <v>0.445</v>
      </c>
      <c r="L15" s="88" t="n">
        <v>0.448</v>
      </c>
    </row>
    <row r="16" customFormat="false" ht="15" hidden="false" customHeight="true" outlineLevel="0" collapsed="false">
      <c r="A16" s="35" t="s">
        <v>331</v>
      </c>
      <c r="B16" s="86"/>
      <c r="C16" s="86"/>
      <c r="D16" s="86"/>
      <c r="E16" s="86"/>
      <c r="F16" s="87" t="n">
        <v>0.146</v>
      </c>
      <c r="G16" s="88" t="n">
        <v>0.145</v>
      </c>
      <c r="H16" s="88" t="n">
        <v>0.142</v>
      </c>
      <c r="I16" s="88" t="n">
        <v>0.144</v>
      </c>
      <c r="J16" s="88" t="n">
        <v>0.142</v>
      </c>
      <c r="K16" s="88" t="n">
        <v>0.141</v>
      </c>
      <c r="L16" s="88" t="n">
        <v>0.138</v>
      </c>
    </row>
    <row r="17" customFormat="false" ht="15" hidden="false" customHeight="true" outlineLevel="0" collapsed="false">
      <c r="A17" s="35" t="s">
        <v>332</v>
      </c>
      <c r="B17" s="86"/>
      <c r="C17" s="86"/>
      <c r="D17" s="86"/>
      <c r="E17" s="86"/>
      <c r="F17" s="87" t="n">
        <v>0.079</v>
      </c>
      <c r="G17" s="88" t="n">
        <v>0.078</v>
      </c>
      <c r="H17" s="88" t="n">
        <v>0.077</v>
      </c>
      <c r="I17" s="88" t="n">
        <v>0.078</v>
      </c>
      <c r="J17" s="88" t="n">
        <v>0.077</v>
      </c>
      <c r="K17" s="88" t="n">
        <v>0.076</v>
      </c>
      <c r="L17" s="88" t="n">
        <v>0.075</v>
      </c>
    </row>
    <row r="18" customFormat="false" ht="15" hidden="false" customHeight="true" outlineLevel="0" collapsed="false">
      <c r="A18" s="35" t="s">
        <v>333</v>
      </c>
      <c r="B18" s="86"/>
      <c r="C18" s="86"/>
      <c r="D18" s="86"/>
      <c r="E18" s="86"/>
      <c r="F18" s="87" t="n">
        <v>0.125</v>
      </c>
      <c r="G18" s="88" t="n">
        <v>0.12</v>
      </c>
      <c r="H18" s="88" t="n">
        <v>0.115</v>
      </c>
      <c r="I18" s="88" t="n">
        <v>0.122</v>
      </c>
      <c r="J18" s="88" t="n">
        <v>0.118</v>
      </c>
      <c r="K18" s="88" t="n">
        <v>0.114</v>
      </c>
      <c r="L18" s="88" t="n">
        <v>0.11</v>
      </c>
    </row>
    <row r="19" customFormat="false" ht="15" hidden="false" customHeight="true" outlineLevel="0" collapsed="false">
      <c r="A19" s="35" t="s">
        <v>334</v>
      </c>
      <c r="B19" s="86"/>
      <c r="C19" s="86"/>
      <c r="D19" s="86"/>
      <c r="E19" s="86"/>
      <c r="F19" s="87" t="n">
        <v>0.007</v>
      </c>
      <c r="G19" s="88" t="n">
        <v>0.007</v>
      </c>
      <c r="H19" s="88" t="n">
        <v>0.007</v>
      </c>
      <c r="I19" s="88" t="n">
        <v>0.007</v>
      </c>
      <c r="J19" s="88" t="n">
        <v>0.007</v>
      </c>
      <c r="K19" s="88" t="n">
        <v>0.006</v>
      </c>
      <c r="L19" s="88" t="n">
        <v>0.006</v>
      </c>
    </row>
    <row r="20" customFormat="false" ht="15" hidden="false" customHeight="true" outlineLevel="0" collapsed="false">
      <c r="A20" s="35" t="s">
        <v>335</v>
      </c>
      <c r="B20" s="86"/>
      <c r="C20" s="86"/>
      <c r="D20" s="86"/>
      <c r="E20" s="86"/>
      <c r="F20" s="87" t="n">
        <v>0.005</v>
      </c>
      <c r="G20" s="88" t="n">
        <v>0.005</v>
      </c>
      <c r="H20" s="88" t="n">
        <v>0.005</v>
      </c>
      <c r="I20" s="88" t="n">
        <v>0.005</v>
      </c>
      <c r="J20" s="88" t="n">
        <v>0.005</v>
      </c>
      <c r="K20" s="88" t="n">
        <v>0.005</v>
      </c>
      <c r="L20" s="88" t="n">
        <v>0.005</v>
      </c>
    </row>
    <row r="21" customFormat="false" ht="15" hidden="false" customHeight="true" outlineLevel="0" collapsed="false">
      <c r="A21" s="35" t="s">
        <v>336</v>
      </c>
      <c r="B21" s="86"/>
      <c r="C21" s="86"/>
      <c r="D21" s="86"/>
      <c r="E21" s="86"/>
      <c r="F21" s="87" t="n">
        <v>0.29</v>
      </c>
      <c r="G21" s="88" t="n">
        <v>0.29</v>
      </c>
      <c r="H21" s="88" t="n">
        <v>0.29</v>
      </c>
      <c r="I21" s="88" t="n">
        <v>0.29</v>
      </c>
      <c r="J21" s="88" t="n">
        <v>0.29</v>
      </c>
      <c r="K21" s="88" t="n">
        <v>0.29</v>
      </c>
      <c r="L21" s="88" t="n">
        <v>0.29</v>
      </c>
    </row>
    <row r="22" customFormat="false" ht="15" hidden="false" customHeight="true" outlineLevel="0" collapsed="false">
      <c r="A22" s="35" t="s">
        <v>384</v>
      </c>
      <c r="B22" s="86"/>
      <c r="C22" s="86"/>
      <c r="D22" s="86"/>
      <c r="E22" s="86"/>
      <c r="F22" s="87" t="n">
        <v>-0.001</v>
      </c>
      <c r="G22" s="88" t="n">
        <v>-0.001</v>
      </c>
      <c r="H22" s="88" t="n">
        <v>-0.001</v>
      </c>
      <c r="I22" s="88" t="n">
        <v>-0.001</v>
      </c>
      <c r="J22" s="88" t="n">
        <v>-0.001</v>
      </c>
      <c r="K22" s="88" t="n">
        <v>-0.001</v>
      </c>
      <c r="L22" s="88" t="n">
        <v>-0.001</v>
      </c>
    </row>
    <row r="23" customFormat="false" ht="15" hidden="false" customHeight="true" outlineLevel="0" collapsed="false">
      <c r="A23" s="35" t="s">
        <v>385</v>
      </c>
      <c r="B23" s="86"/>
      <c r="C23" s="86"/>
      <c r="D23" s="86"/>
      <c r="E23" s="86"/>
      <c r="F23" s="87" t="n">
        <v>0.0225</v>
      </c>
      <c r="G23" s="88" t="n">
        <v>0.0225</v>
      </c>
      <c r="H23" s="88" t="n">
        <v>0.0225</v>
      </c>
      <c r="I23" s="88" t="n">
        <v>0.0225</v>
      </c>
      <c r="J23" s="88" t="n">
        <v>0.0225</v>
      </c>
      <c r="K23" s="88" t="n">
        <v>0.0225</v>
      </c>
      <c r="L23" s="88" t="n">
        <v>0.0225</v>
      </c>
    </row>
    <row r="24" customFormat="false" ht="15" hidden="false" customHeight="true" outlineLevel="0" collapsed="false">
      <c r="A24" s="35" t="s">
        <v>339</v>
      </c>
      <c r="B24" s="86"/>
      <c r="C24" s="86"/>
      <c r="D24" s="86"/>
      <c r="E24" s="86"/>
      <c r="F24" s="91" t="n">
        <v>2000</v>
      </c>
      <c r="G24" s="92" t="n">
        <v>2000</v>
      </c>
      <c r="H24" s="92" t="n">
        <v>2000</v>
      </c>
      <c r="I24" s="92" t="n">
        <v>2000</v>
      </c>
      <c r="J24" s="92" t="n">
        <v>2000</v>
      </c>
      <c r="K24" s="92" t="n">
        <v>2000</v>
      </c>
      <c r="L24" s="92" t="n">
        <v>2000</v>
      </c>
    </row>
    <row r="25" customFormat="false" ht="16.5" hidden="false" customHeight="true" outlineLevel="0" collapsed="false">
      <c r="A25" s="53" t="s">
        <v>340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</row>
    <row r="26" customFormat="false" ht="15" hidden="false" customHeight="true" outlineLevel="0" collapsed="false">
      <c r="A26" s="35" t="s">
        <v>341</v>
      </c>
      <c r="B26" s="86"/>
      <c r="C26" s="86"/>
      <c r="D26" s="86"/>
      <c r="E26" s="86"/>
      <c r="F26" s="87" t="n">
        <v>0.029</v>
      </c>
      <c r="G26" s="88" t="n">
        <v>0.029</v>
      </c>
      <c r="H26" s="88" t="n">
        <v>0.029</v>
      </c>
      <c r="I26" s="88" t="n">
        <v>0.029</v>
      </c>
      <c r="J26" s="88" t="n">
        <v>0.029</v>
      </c>
      <c r="K26" s="88" t="n">
        <v>0.03</v>
      </c>
      <c r="L26" s="88" t="n">
        <v>0.03</v>
      </c>
    </row>
    <row r="27" customFormat="false" ht="15" hidden="false" customHeight="true" outlineLevel="0" collapsed="false">
      <c r="A27" s="35" t="s">
        <v>342</v>
      </c>
      <c r="B27" s="86"/>
      <c r="C27" s="86"/>
      <c r="D27" s="86"/>
      <c r="E27" s="86"/>
      <c r="F27" s="87" t="n">
        <v>0.011</v>
      </c>
      <c r="G27" s="88" t="n">
        <v>0.011</v>
      </c>
      <c r="H27" s="88" t="n">
        <v>0.011</v>
      </c>
      <c r="I27" s="88" t="n">
        <v>0.011</v>
      </c>
      <c r="J27" s="88" t="n">
        <v>0.011</v>
      </c>
      <c r="K27" s="88" t="n">
        <v>0.011</v>
      </c>
      <c r="L27" s="88" t="n">
        <v>0.011</v>
      </c>
    </row>
    <row r="28" customFormat="false" ht="15" hidden="false" customHeight="true" outlineLevel="0" collapsed="false">
      <c r="A28" s="35" t="s">
        <v>343</v>
      </c>
      <c r="B28" s="86"/>
      <c r="C28" s="86"/>
      <c r="D28" s="86"/>
      <c r="E28" s="86"/>
      <c r="F28" s="87" t="n">
        <v>0.045</v>
      </c>
      <c r="G28" s="88" t="n">
        <v>0.045</v>
      </c>
      <c r="H28" s="88" t="n">
        <v>0.044</v>
      </c>
      <c r="I28" s="88" t="n">
        <v>0.044</v>
      </c>
      <c r="J28" s="88" t="n">
        <v>0.043</v>
      </c>
      <c r="K28" s="88" t="n">
        <v>0.043</v>
      </c>
      <c r="L28" s="88" t="n">
        <v>0.042</v>
      </c>
    </row>
    <row r="29" customFormat="false" ht="15" hidden="false" customHeight="true" outlineLevel="0" collapsed="false">
      <c r="A29" s="35" t="s">
        <v>344</v>
      </c>
      <c r="B29" s="86"/>
      <c r="C29" s="86"/>
      <c r="D29" s="86"/>
      <c r="E29" s="86"/>
      <c r="F29" s="93" t="n">
        <v>0</v>
      </c>
      <c r="G29" s="39" t="n">
        <v>0</v>
      </c>
      <c r="H29" s="39" t="n">
        <v>0</v>
      </c>
      <c r="I29" s="39" t="n">
        <v>0</v>
      </c>
      <c r="J29" s="39" t="n">
        <v>0</v>
      </c>
      <c r="K29" s="39" t="n">
        <v>0</v>
      </c>
      <c r="L29" s="39" t="n">
        <v>0</v>
      </c>
    </row>
    <row r="30" customFormat="false" ht="15" hidden="false" customHeight="true" outlineLevel="0" collapsed="false">
      <c r="A30" s="35" t="s">
        <v>386</v>
      </c>
      <c r="B30" s="86"/>
      <c r="C30" s="86"/>
      <c r="D30" s="86"/>
      <c r="E30" s="86"/>
      <c r="F30" s="93" t="n">
        <v>0</v>
      </c>
      <c r="G30" s="39" t="n">
        <v>0</v>
      </c>
      <c r="H30" s="39" t="n">
        <v>0</v>
      </c>
      <c r="I30" s="39" t="n">
        <v>0</v>
      </c>
      <c r="J30" s="39" t="n">
        <v>0</v>
      </c>
      <c r="K30" s="39" t="n">
        <v>0</v>
      </c>
      <c r="L30" s="39" t="n">
        <v>0</v>
      </c>
    </row>
    <row r="31" customFormat="false" ht="15" hidden="false" customHeight="true" outlineLevel="0" collapsed="false">
      <c r="A31" s="35" t="s">
        <v>387</v>
      </c>
      <c r="B31" s="86"/>
      <c r="C31" s="86"/>
      <c r="D31" s="86"/>
      <c r="E31" s="86"/>
      <c r="F31" s="93" t="n">
        <v>0</v>
      </c>
      <c r="G31" s="39" t="n">
        <v>0</v>
      </c>
      <c r="H31" s="39" t="n">
        <v>0</v>
      </c>
      <c r="I31" s="39" t="n">
        <v>0</v>
      </c>
      <c r="J31" s="39" t="n">
        <v>0</v>
      </c>
      <c r="K31" s="39" t="n">
        <v>0</v>
      </c>
      <c r="L31" s="39" t="n">
        <v>0</v>
      </c>
    </row>
    <row r="32" customFormat="false" ht="15" hidden="false" customHeight="true" outlineLevel="0" collapsed="false">
      <c r="A32" s="35" t="s">
        <v>347</v>
      </c>
      <c r="B32" s="86"/>
      <c r="C32" s="86"/>
      <c r="D32" s="86"/>
      <c r="E32" s="86"/>
      <c r="F32" s="93" t="n">
        <v>0</v>
      </c>
      <c r="G32" s="39" t="n">
        <v>0</v>
      </c>
      <c r="H32" s="39" t="n">
        <v>0</v>
      </c>
      <c r="I32" s="39" t="n">
        <v>0</v>
      </c>
      <c r="J32" s="39" t="n">
        <v>0</v>
      </c>
      <c r="K32" s="39" t="n">
        <v>0</v>
      </c>
      <c r="L32" s="39" t="n">
        <v>0</v>
      </c>
    </row>
    <row r="33" customFormat="false" ht="15" hidden="false" customHeight="true" outlineLevel="0" collapsed="false">
      <c r="A33" s="35" t="s">
        <v>348</v>
      </c>
      <c r="B33" s="86"/>
      <c r="C33" s="86"/>
      <c r="D33" s="86"/>
      <c r="E33" s="86"/>
      <c r="F33" s="93" t="n">
        <v>0</v>
      </c>
      <c r="G33" s="39" t="n">
        <v>0</v>
      </c>
      <c r="H33" s="39" t="n">
        <v>0</v>
      </c>
      <c r="I33" s="39" t="n">
        <v>0</v>
      </c>
      <c r="J33" s="39" t="n">
        <v>0</v>
      </c>
      <c r="K33" s="39" t="n">
        <v>0</v>
      </c>
      <c r="L33" s="39" t="n">
        <v>0</v>
      </c>
    </row>
    <row r="34" customFormat="false" ht="16.5" hidden="false" customHeight="true" outlineLevel="0" collapsed="false">
      <c r="A34" s="53" t="s">
        <v>388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</row>
    <row r="35" customFormat="false" ht="15" hidden="false" customHeight="true" outlineLevel="0" collapsed="false">
      <c r="A35" s="35" t="s">
        <v>389</v>
      </c>
      <c r="B35" s="86"/>
      <c r="C35" s="86"/>
      <c r="D35" s="86"/>
      <c r="E35" s="86"/>
      <c r="F35" s="94" t="n">
        <v>0.96</v>
      </c>
      <c r="G35" s="95" t="n">
        <v>0.96</v>
      </c>
      <c r="H35" s="95" t="n">
        <v>0.95</v>
      </c>
      <c r="I35" s="95" t="n">
        <v>0.96</v>
      </c>
      <c r="J35" s="95" t="n">
        <v>0.96</v>
      </c>
      <c r="K35" s="95" t="n">
        <v>0.96</v>
      </c>
      <c r="L35" s="95" t="n">
        <v>0.95</v>
      </c>
    </row>
    <row r="36" customFormat="false" ht="15" hidden="false" customHeight="true" outlineLevel="0" collapsed="false">
      <c r="A36" s="35" t="s">
        <v>390</v>
      </c>
      <c r="B36" s="86"/>
      <c r="C36" s="86"/>
      <c r="D36" s="86"/>
      <c r="E36" s="86"/>
      <c r="F36" s="94" t="n">
        <v>0.077</v>
      </c>
      <c r="G36" s="95" t="n">
        <v>0.077</v>
      </c>
      <c r="H36" s="95" t="n">
        <v>0.076</v>
      </c>
      <c r="I36" s="95" t="n">
        <v>0.077</v>
      </c>
      <c r="J36" s="95" t="n">
        <v>0.077</v>
      </c>
      <c r="K36" s="95" t="n">
        <v>0.077</v>
      </c>
      <c r="L36" s="95" t="n">
        <v>0.076</v>
      </c>
    </row>
    <row r="37" customFormat="false" ht="15" hidden="false" customHeight="true" outlineLevel="0" collapsed="false">
      <c r="A37" s="35" t="s">
        <v>391</v>
      </c>
      <c r="B37" s="86"/>
      <c r="C37" s="86"/>
      <c r="D37" s="86"/>
      <c r="E37" s="86"/>
      <c r="F37" s="94" t="n">
        <v>0.075</v>
      </c>
      <c r="G37" s="95" t="n">
        <v>0.075</v>
      </c>
      <c r="H37" s="95" t="n">
        <v>0.074</v>
      </c>
      <c r="I37" s="95" t="n">
        <v>0.075</v>
      </c>
      <c r="J37" s="95" t="n">
        <v>0.075</v>
      </c>
      <c r="K37" s="95" t="n">
        <v>0.075</v>
      </c>
      <c r="L37" s="95" t="n">
        <v>0.074</v>
      </c>
    </row>
    <row r="38" customFormat="false" ht="15" hidden="false" customHeight="true" outlineLevel="0" collapsed="false">
      <c r="A38" s="35" t="s">
        <v>392</v>
      </c>
      <c r="B38" s="86"/>
      <c r="C38" s="86"/>
      <c r="D38" s="86"/>
      <c r="E38" s="86"/>
      <c r="F38" s="94" t="n">
        <v>1.37</v>
      </c>
      <c r="G38" s="95" t="n">
        <v>1.35</v>
      </c>
      <c r="H38" s="95" t="n">
        <v>1.3</v>
      </c>
      <c r="I38" s="95" t="n">
        <v>1.3</v>
      </c>
      <c r="J38" s="95" t="n">
        <v>1.28</v>
      </c>
      <c r="K38" s="95" t="n">
        <v>1.26</v>
      </c>
      <c r="L38" s="95" t="n">
        <v>1.24</v>
      </c>
    </row>
    <row r="39" customFormat="false" ht="15" hidden="false" customHeight="true" outlineLevel="0" collapsed="false">
      <c r="A39" s="35" t="s">
        <v>393</v>
      </c>
      <c r="B39" s="86"/>
      <c r="C39" s="86"/>
      <c r="D39" s="86"/>
      <c r="E39" s="86"/>
      <c r="F39" s="94" t="n">
        <v>2.78</v>
      </c>
      <c r="G39" s="95" t="n">
        <v>2.8</v>
      </c>
      <c r="H39" s="95" t="n">
        <v>2.78</v>
      </c>
      <c r="I39" s="95" t="n">
        <v>2.8</v>
      </c>
      <c r="J39" s="95" t="n">
        <v>2.82</v>
      </c>
      <c r="K39" s="95" t="n">
        <v>2.84</v>
      </c>
      <c r="L39" s="95" t="n">
        <v>2.82</v>
      </c>
    </row>
    <row r="40" customFormat="false" ht="15" hidden="false" customHeight="true" outlineLevel="0" collapsed="false">
      <c r="A40" s="35" t="s">
        <v>394</v>
      </c>
      <c r="B40" s="86"/>
      <c r="C40" s="86"/>
      <c r="D40" s="86"/>
      <c r="E40" s="86"/>
      <c r="F40" s="94" t="n">
        <v>0.184</v>
      </c>
      <c r="G40" s="95" t="n">
        <v>0.184</v>
      </c>
      <c r="H40" s="95" t="n">
        <v>0.184</v>
      </c>
      <c r="I40" s="95" t="n">
        <v>0.184</v>
      </c>
      <c r="J40" s="95" t="n">
        <v>0.184</v>
      </c>
      <c r="K40" s="95" t="n">
        <v>0.184</v>
      </c>
      <c r="L40" s="95" t="n">
        <v>0.184</v>
      </c>
    </row>
    <row r="41" customFormat="false" ht="15" hidden="false" customHeight="true" outlineLevel="0" collapsed="false">
      <c r="A41" s="35" t="s">
        <v>395</v>
      </c>
      <c r="B41" s="86"/>
      <c r="C41" s="86"/>
      <c r="D41" s="86"/>
      <c r="E41" s="86"/>
      <c r="F41" s="94" t="n">
        <v>0.654</v>
      </c>
      <c r="G41" s="95" t="n">
        <v>0.654</v>
      </c>
      <c r="H41" s="95" t="n">
        <v>0.654</v>
      </c>
      <c r="I41" s="95" t="n">
        <v>0.654</v>
      </c>
      <c r="J41" s="95" t="n">
        <v>0.654</v>
      </c>
      <c r="K41" s="95" t="n">
        <v>0.654</v>
      </c>
      <c r="L41" s="95" t="n">
        <v>0.654</v>
      </c>
    </row>
    <row r="42" customFormat="false" ht="15" hidden="false" customHeight="true" outlineLevel="0" collapsed="false">
      <c r="A42" s="35" t="s">
        <v>396</v>
      </c>
      <c r="B42" s="86"/>
      <c r="C42" s="86"/>
      <c r="D42" s="86"/>
      <c r="E42" s="86"/>
      <c r="F42" s="94" t="n">
        <v>0.287</v>
      </c>
      <c r="G42" s="95" t="n">
        <v>0.287</v>
      </c>
      <c r="H42" s="95" t="n">
        <v>0.287</v>
      </c>
      <c r="I42" s="95" t="n">
        <v>0.287</v>
      </c>
      <c r="J42" s="95" t="n">
        <v>0.287</v>
      </c>
      <c r="K42" s="95" t="n">
        <v>0.287</v>
      </c>
      <c r="L42" s="95" t="n">
        <v>0.287</v>
      </c>
    </row>
    <row r="43" customFormat="false" ht="15" hidden="false" customHeight="true" outlineLevel="0" collapsed="false">
      <c r="A43" s="35" t="s">
        <v>397</v>
      </c>
      <c r="B43" s="86"/>
      <c r="C43" s="86"/>
      <c r="D43" s="86"/>
      <c r="E43" s="86"/>
      <c r="F43" s="94" t="n">
        <v>0.127</v>
      </c>
      <c r="G43" s="95" t="n">
        <v>0.127</v>
      </c>
      <c r="H43" s="95" t="n">
        <v>0.127</v>
      </c>
      <c r="I43" s="95" t="n">
        <v>0.127</v>
      </c>
      <c r="J43" s="95" t="n">
        <v>0.127</v>
      </c>
      <c r="K43" s="95" t="n">
        <v>0.127</v>
      </c>
      <c r="L43" s="95" t="n">
        <v>0.127</v>
      </c>
    </row>
    <row r="44" customFormat="false" ht="15" hidden="false" customHeight="true" outlineLevel="0" collapsed="false">
      <c r="A44" s="35" t="s">
        <v>398</v>
      </c>
      <c r="B44" s="86"/>
      <c r="C44" s="86"/>
      <c r="D44" s="86"/>
      <c r="E44" s="86"/>
      <c r="F44" s="87" t="n">
        <v>0.025</v>
      </c>
      <c r="G44" s="88" t="n">
        <v>0.025</v>
      </c>
      <c r="H44" s="88" t="n">
        <v>0.025</v>
      </c>
      <c r="I44" s="88" t="n">
        <v>0.025</v>
      </c>
      <c r="J44" s="88" t="n">
        <v>0.025</v>
      </c>
      <c r="K44" s="88" t="n">
        <v>0.025</v>
      </c>
      <c r="L44" s="88" t="n">
        <v>0.025</v>
      </c>
    </row>
    <row r="45" customFormat="false" ht="15" hidden="false" customHeight="true" outlineLevel="0" collapsed="false">
      <c r="A45" s="35" t="s">
        <v>399</v>
      </c>
      <c r="B45" s="86"/>
      <c r="C45" s="86"/>
      <c r="D45" s="86"/>
      <c r="E45" s="86"/>
      <c r="F45" s="87" t="n">
        <v>0.035</v>
      </c>
      <c r="G45" s="88" t="n">
        <v>0.035</v>
      </c>
      <c r="H45" s="88" t="n">
        <v>0.035</v>
      </c>
      <c r="I45" s="88" t="n">
        <v>0.03</v>
      </c>
      <c r="J45" s="88" t="n">
        <v>0.03</v>
      </c>
      <c r="K45" s="88" t="n">
        <v>0.03</v>
      </c>
      <c r="L45" s="88" t="n">
        <v>0.025</v>
      </c>
    </row>
    <row r="46" customFormat="false" ht="15" hidden="false" customHeight="true" outlineLevel="0" collapsed="false">
      <c r="A46" s="35" t="s">
        <v>361</v>
      </c>
      <c r="B46" s="86"/>
      <c r="C46" s="86"/>
      <c r="D46" s="86"/>
      <c r="E46" s="86"/>
      <c r="F46" s="91" t="n">
        <v>198</v>
      </c>
      <c r="G46" s="92" t="n">
        <v>198</v>
      </c>
      <c r="H46" s="92" t="n">
        <v>198</v>
      </c>
      <c r="I46" s="92" t="n">
        <v>198</v>
      </c>
      <c r="J46" s="92" t="n">
        <v>198</v>
      </c>
      <c r="K46" s="92" t="n">
        <v>198</v>
      </c>
      <c r="L46" s="92" t="n">
        <v>198</v>
      </c>
    </row>
    <row r="48" customFormat="false" ht="15" hidden="false" customHeight="true" outlineLevel="0" collapsed="false">
      <c r="A48" s="96" t="s">
        <v>400</v>
      </c>
    </row>
    <row r="49" customFormat="false" ht="15" hidden="false" customHeight="true" outlineLevel="0" collapsed="false">
      <c r="A49" s="97" t="s">
        <v>401</v>
      </c>
    </row>
    <row r="50" customFormat="false" ht="15" hidden="false" customHeight="true" outlineLevel="0" collapsed="false">
      <c r="A50" s="97" t="s">
        <v>402</v>
      </c>
    </row>
    <row r="51" customFormat="false" ht="15" hidden="false" customHeight="true" outlineLevel="0" collapsed="false">
      <c r="A51" s="97" t="s">
        <v>403</v>
      </c>
    </row>
  </sheetData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F06"/>
    <pageSetUpPr fitToPage="true"/>
  </sheetPr>
  <dimension ref="A1:W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E18" activeCellId="0" sqref="E18"/>
    </sheetView>
  </sheetViews>
  <sheetFormatPr defaultColWidth="8.71484375" defaultRowHeight="15" zeroHeight="false" outlineLevelRow="0" outlineLevelCol="0"/>
  <cols>
    <col collapsed="false" customWidth="true" hidden="false" outlineLevel="0" max="1" min="1" style="9" width="2.42"/>
    <col collapsed="false" customWidth="true" hidden="false" outlineLevel="0" max="2" min="2" style="9" width="34"/>
    <col collapsed="false" customWidth="true" hidden="false" outlineLevel="0" max="3" min="3" style="9" width="14"/>
    <col collapsed="false" customWidth="true" hidden="false" outlineLevel="0" max="7" min="4" style="9" width="11"/>
  </cols>
  <sheetData>
    <row r="1" customFormat="false" ht="24" hidden="false" customHeight="true" outlineLevel="0" collapsed="false">
      <c r="A1" s="49" t="s">
        <v>404</v>
      </c>
      <c r="B1" s="50"/>
      <c r="C1" s="50"/>
      <c r="D1" s="50"/>
      <c r="E1" s="50"/>
      <c r="F1" s="50"/>
      <c r="G1" s="50"/>
      <c r="H1" s="50"/>
    </row>
    <row r="2" customFormat="false" ht="15" hidden="false" customHeight="true" outlineLevel="0" collapsed="false">
      <c r="B2" s="98" t="s">
        <v>405</v>
      </c>
      <c r="C2" s="99" t="n">
        <v>1</v>
      </c>
      <c r="D2" s="99" t="n">
        <v>2</v>
      </c>
      <c r="E2" s="99" t="n">
        <v>3</v>
      </c>
      <c r="F2" s="99" t="n">
        <v>4</v>
      </c>
      <c r="G2" s="99" t="n">
        <v>5</v>
      </c>
      <c r="W2" s="10"/>
    </row>
    <row r="3" customFormat="false" ht="15" hidden="false" customHeight="true" outlineLevel="0" collapsed="false">
      <c r="B3" s="100" t="s">
        <v>406</v>
      </c>
      <c r="C3" s="101" t="n">
        <f aca="false">Annual!W100</f>
        <v>3908.22433095366</v>
      </c>
      <c r="D3" s="101" t="n">
        <f aca="false">Annual!X100</f>
        <v>5434.53326649277</v>
      </c>
      <c r="E3" s="101" t="n">
        <f aca="false">Annual!Y100</f>
        <v>6836.47202127244</v>
      </c>
      <c r="F3" s="101" t="n">
        <f aca="false">Annual!Z100</f>
        <v>7554.23698947198</v>
      </c>
      <c r="G3" s="101" t="n">
        <f aca="false">Annual!AA100</f>
        <v>8985.73479634771</v>
      </c>
      <c r="W3" s="10"/>
    </row>
    <row r="4" customFormat="false" ht="15" hidden="false" customHeight="true" outlineLevel="0" collapsed="false">
      <c r="B4" s="100" t="s">
        <v>407</v>
      </c>
      <c r="C4" s="102" t="n">
        <f aca="false">C3/(1+$C$8)^C2</f>
        <v>3443.36945458472</v>
      </c>
      <c r="D4" s="102" t="n">
        <f aca="false">D3/(1+$C$8)^D2</f>
        <v>4218.62117758371</v>
      </c>
      <c r="E4" s="102" t="n">
        <f aca="false">E3/(1+$C$8)^E2</f>
        <v>4675.67650585873</v>
      </c>
      <c r="F4" s="102" t="n">
        <f aca="false">F3/(1+$C$8)^F2</f>
        <v>4552.05141947025</v>
      </c>
      <c r="G4" s="102" t="n">
        <f aca="false">G3/(1+$C$8)^G2</f>
        <v>4770.61411818561</v>
      </c>
      <c r="W4" s="10"/>
    </row>
    <row r="5" customFormat="false" ht="15" hidden="false" customHeight="true" outlineLevel="0" collapsed="false">
      <c r="W5" s="10"/>
    </row>
    <row r="6" customFormat="false" ht="15" hidden="false" customHeight="true" outlineLevel="0" collapsed="false">
      <c r="W6" s="10"/>
    </row>
    <row r="7" customFormat="false" ht="15" hidden="false" customHeight="true" outlineLevel="0" collapsed="false">
      <c r="B7" s="103" t="s">
        <v>408</v>
      </c>
      <c r="C7" s="104" t="n">
        <v>1584</v>
      </c>
      <c r="W7" s="10"/>
    </row>
    <row r="8" customFormat="false" ht="15" hidden="false" customHeight="true" outlineLevel="0" collapsed="false">
      <c r="B8" s="103" t="s">
        <v>409</v>
      </c>
      <c r="C8" s="105" t="n">
        <v>0.135</v>
      </c>
      <c r="W8" s="10"/>
    </row>
    <row r="9" customFormat="false" ht="15" hidden="false" customHeight="true" outlineLevel="0" collapsed="false">
      <c r="B9" s="103" t="s">
        <v>410</v>
      </c>
      <c r="C9" s="106" t="n">
        <v>15</v>
      </c>
      <c r="W9" s="10"/>
    </row>
    <row r="10" customFormat="false" ht="15" hidden="false" customHeight="true" outlineLevel="0" collapsed="false">
      <c r="B10" s="103" t="s">
        <v>411</v>
      </c>
      <c r="C10" s="107" t="n">
        <f aca="false">(C9*Annual!AA13)/(1+C8)^G2</f>
        <v>74364.1903609674</v>
      </c>
      <c r="W10" s="10"/>
    </row>
    <row r="11" customFormat="false" ht="15" hidden="false" customHeight="true" outlineLevel="0" collapsed="false">
      <c r="B11" s="108" t="s">
        <v>412</v>
      </c>
      <c r="C11" s="109" t="n">
        <f aca="false">SUM(C10,C4:G4)</f>
        <v>96024.5230366504</v>
      </c>
      <c r="W11" s="10"/>
    </row>
    <row r="12" customFormat="false" ht="15" hidden="false" customHeight="true" outlineLevel="0" collapsed="false">
      <c r="B12" s="108" t="s">
        <v>413</v>
      </c>
      <c r="C12" s="110" t="n">
        <f aca="false">C11+Annual!V39-Annual!V66</f>
        <v>109653.52303665</v>
      </c>
      <c r="W12" s="10"/>
    </row>
    <row r="13" customFormat="false" ht="15" hidden="false" customHeight="true" outlineLevel="0" collapsed="false">
      <c r="B13" s="111" t="s">
        <v>414</v>
      </c>
      <c r="C13" s="112" t="n">
        <f aca="false">C12/Annual!V23</f>
        <v>2162.90571250414</v>
      </c>
      <c r="W13" s="10"/>
    </row>
    <row r="14" customFormat="false" ht="15" hidden="false" customHeight="true" outlineLevel="0" collapsed="false">
      <c r="B14" s="111" t="s">
        <v>415</v>
      </c>
      <c r="C14" s="113" t="n">
        <f aca="false">C13/C7-1</f>
        <v>0.365470778096048</v>
      </c>
      <c r="W14" s="10"/>
    </row>
  </sheetData>
  <conditionalFormatting sqref="C14">
    <cfRule type="cellIs" priority="2" operator="greaterThanOrEqual" aboveAverage="0" equalAverage="0" bottom="0" percent="0" rank="0" text="" dxfId="2">
      <formula>0</formula>
    </cfRule>
    <cfRule type="cellIs" priority="3" operator="lessThan" aboveAverage="0" equalAverage="0" bottom="0" percent="0" rank="0" text="" dxfId="3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2026-06-25T00:57:31Z</dcterms:created>
  <dc:creator>openpyxl</dc:creator>
  <dc:description/>
  <dc:language>en-US</dc:language>
  <cp:lastModifiedBy>Tomohawk WR</cp:lastModifiedBy>
  <dcterms:modified xsi:type="dcterms:W3CDTF">2026-06-25T01:23:10Z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