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ommyfoltin/Downloads/"/>
    </mc:Choice>
  </mc:AlternateContent>
  <xr:revisionPtr revIDLastSave="0" documentId="13_ncr:1_{C4E008C3-6D3B-7F46-A798-C02FF6202BBD}" xr6:coauthVersionLast="47" xr6:coauthVersionMax="47" xr10:uidLastSave="{00000000-0000-0000-0000-000000000000}"/>
  <bookViews>
    <workbookView xWindow="0" yWindow="760" windowWidth="28160" windowHeight="16580" tabRatio="500" activeTab="1" xr2:uid="{00000000-000D-0000-FFFF-FFFF00000000}"/>
  </bookViews>
  <sheets>
    <sheet name="README-Assumptions" sheetId="1" r:id="rId1"/>
    <sheet name="Income-to-FCF" sheetId="2" r:id="rId2"/>
    <sheet name="Segment-Revenue" sheetId="3" r:id="rId3"/>
    <sheet name="Wafer-to-Bit" sheetId="4" r:id="rId4"/>
    <sheet name="Historicals-FY23-25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6" i="2" l="1"/>
  <c r="C47" i="2" s="1"/>
  <c r="C48" i="2" s="1"/>
  <c r="E42" i="2"/>
  <c r="F42" i="2"/>
  <c r="G42" i="2"/>
  <c r="H42" i="2"/>
  <c r="I42" i="2"/>
  <c r="D42" i="2"/>
  <c r="F41" i="2"/>
  <c r="G41" i="2"/>
  <c r="H41" i="2" s="1"/>
  <c r="I41" i="2" s="1"/>
  <c r="E41" i="2"/>
  <c r="I18" i="4"/>
  <c r="H18" i="4"/>
  <c r="G18" i="4"/>
  <c r="F18" i="4"/>
  <c r="E18" i="4"/>
  <c r="D18" i="4"/>
  <c r="C18" i="4"/>
  <c r="I10" i="4"/>
  <c r="H10" i="4"/>
  <c r="G10" i="4"/>
  <c r="F10" i="4"/>
  <c r="E10" i="4"/>
  <c r="D10" i="4"/>
  <c r="C10" i="4"/>
  <c r="I26" i="3"/>
  <c r="I19" i="4" s="1"/>
  <c r="I20" i="4" s="1"/>
  <c r="H26" i="3"/>
  <c r="H19" i="4" s="1"/>
  <c r="H20" i="4" s="1"/>
  <c r="G26" i="3"/>
  <c r="G19" i="4" s="1"/>
  <c r="G20" i="4" s="1"/>
  <c r="F26" i="3"/>
  <c r="F19" i="4" s="1"/>
  <c r="F20" i="4" s="1"/>
  <c r="E26" i="3"/>
  <c r="E19" i="4" s="1"/>
  <c r="E20" i="4" s="1"/>
  <c r="D26" i="3"/>
  <c r="D19" i="4" s="1"/>
  <c r="D20" i="4" s="1"/>
  <c r="C26" i="3"/>
  <c r="C19" i="4" s="1"/>
  <c r="C20" i="4" s="1"/>
  <c r="I24" i="3"/>
  <c r="H24" i="3"/>
  <c r="G24" i="3"/>
  <c r="F24" i="3"/>
  <c r="E24" i="3"/>
  <c r="D24" i="3"/>
  <c r="C24" i="3"/>
  <c r="I21" i="3"/>
  <c r="I25" i="3" s="1"/>
  <c r="I8" i="2" s="1"/>
  <c r="H21" i="3"/>
  <c r="H25" i="3" s="1"/>
  <c r="H8" i="2" s="1"/>
  <c r="G21" i="3"/>
  <c r="G25" i="3" s="1"/>
  <c r="G8" i="2" s="1"/>
  <c r="F21" i="3"/>
  <c r="F25" i="3" s="1"/>
  <c r="F8" i="2" s="1"/>
  <c r="E21" i="3"/>
  <c r="E25" i="3" s="1"/>
  <c r="E8" i="2" s="1"/>
  <c r="D21" i="3"/>
  <c r="D25" i="3" s="1"/>
  <c r="D8" i="2" s="1"/>
  <c r="C21" i="3"/>
  <c r="C25" i="3" s="1"/>
  <c r="I17" i="3"/>
  <c r="I11" i="4" s="1"/>
  <c r="I12" i="4" s="1"/>
  <c r="H17" i="3"/>
  <c r="H11" i="4" s="1"/>
  <c r="H12" i="4" s="1"/>
  <c r="G17" i="3"/>
  <c r="G11" i="4" s="1"/>
  <c r="G12" i="4" s="1"/>
  <c r="F17" i="3"/>
  <c r="F11" i="4" s="1"/>
  <c r="F12" i="4" s="1"/>
  <c r="E17" i="3"/>
  <c r="E11" i="4" s="1"/>
  <c r="E12" i="4" s="1"/>
  <c r="D17" i="3"/>
  <c r="D11" i="4" s="1"/>
  <c r="D12" i="4" s="1"/>
  <c r="C17" i="3"/>
  <c r="C11" i="4" s="1"/>
  <c r="C12" i="4" s="1"/>
  <c r="I15" i="3"/>
  <c r="H15" i="3"/>
  <c r="G15" i="3"/>
  <c r="F15" i="3"/>
  <c r="E15" i="3"/>
  <c r="D15" i="3"/>
  <c r="C15" i="3"/>
  <c r="I12" i="3"/>
  <c r="H12" i="3"/>
  <c r="G12" i="3"/>
  <c r="F12" i="3"/>
  <c r="E12" i="3"/>
  <c r="D12" i="3"/>
  <c r="C12" i="3"/>
  <c r="I8" i="3"/>
  <c r="H8" i="3"/>
  <c r="G8" i="3"/>
  <c r="F8" i="3"/>
  <c r="E8" i="3"/>
  <c r="D8" i="3"/>
  <c r="C8" i="3"/>
  <c r="C30" i="2"/>
  <c r="C14" i="2"/>
  <c r="C10" i="2"/>
  <c r="I16" i="3" l="1"/>
  <c r="I30" i="3" s="1"/>
  <c r="H16" i="3"/>
  <c r="H30" i="3"/>
  <c r="G16" i="3"/>
  <c r="G30" i="3" s="1"/>
  <c r="F16" i="3"/>
  <c r="F30" i="3" s="1"/>
  <c r="E16" i="3"/>
  <c r="E30" i="3"/>
  <c r="D16" i="3"/>
  <c r="D30" i="3"/>
  <c r="C16" i="3"/>
  <c r="C30" i="3"/>
  <c r="C32" i="2"/>
  <c r="C31" i="2"/>
  <c r="C33" i="2" s="1"/>
  <c r="C15" i="2"/>
  <c r="C11" i="2"/>
  <c r="I7" i="2" l="1"/>
  <c r="I28" i="3"/>
  <c r="I29" i="3"/>
  <c r="H28" i="3"/>
  <c r="H29" i="3"/>
  <c r="H7" i="2"/>
  <c r="G28" i="3"/>
  <c r="G29" i="3"/>
  <c r="G7" i="2"/>
  <c r="F7" i="2"/>
  <c r="F28" i="3"/>
  <c r="F29" i="3" s="1"/>
  <c r="E29" i="3"/>
  <c r="E7" i="2"/>
  <c r="E28" i="3"/>
  <c r="D7" i="2"/>
  <c r="D28" i="3"/>
  <c r="D29" i="3" s="1"/>
  <c r="C29" i="3"/>
  <c r="C28" i="3"/>
  <c r="C16" i="2"/>
  <c r="C18" i="2"/>
  <c r="I31" i="3" l="1"/>
  <c r="I6" i="2"/>
  <c r="H31" i="3"/>
  <c r="H6" i="2"/>
  <c r="G31" i="3"/>
  <c r="G6" i="2"/>
  <c r="F31" i="3"/>
  <c r="F6" i="2"/>
  <c r="E31" i="3"/>
  <c r="E6" i="2"/>
  <c r="D31" i="3"/>
  <c r="D6" i="2"/>
  <c r="C20" i="2"/>
  <c r="C21" i="2" s="1"/>
  <c r="I30" i="2" l="1"/>
  <c r="I10" i="2"/>
  <c r="I14" i="2"/>
  <c r="H30" i="2"/>
  <c r="H10" i="2"/>
  <c r="H14" i="2"/>
  <c r="G30" i="2"/>
  <c r="G10" i="2"/>
  <c r="G14" i="2"/>
  <c r="F30" i="2"/>
  <c r="F10" i="2"/>
  <c r="F14" i="2"/>
  <c r="E30" i="2"/>
  <c r="E10" i="2"/>
  <c r="E11" i="2"/>
  <c r="E14" i="2"/>
  <c r="D30" i="2"/>
  <c r="D10" i="2"/>
  <c r="D11" i="2"/>
  <c r="D14" i="2"/>
  <c r="C22" i="2"/>
  <c r="C24" i="2"/>
  <c r="C26" i="2"/>
  <c r="C35" i="2" s="1"/>
  <c r="C37" i="2" s="1"/>
  <c r="C38" i="2" l="1"/>
  <c r="C39" i="2"/>
  <c r="G15" i="2"/>
  <c r="E15" i="2"/>
  <c r="I15" i="2"/>
  <c r="I11" i="2"/>
  <c r="I31" i="2"/>
  <c r="I33" i="2" s="1"/>
  <c r="I32" i="2"/>
  <c r="H15" i="2"/>
  <c r="H11" i="2"/>
  <c r="H31" i="2"/>
  <c r="H32" i="2"/>
  <c r="G11" i="2"/>
  <c r="G31" i="2"/>
  <c r="G32" i="2"/>
  <c r="F15" i="2"/>
  <c r="F11" i="2"/>
  <c r="F31" i="2"/>
  <c r="F32" i="2"/>
  <c r="E31" i="2"/>
  <c r="E32" i="2"/>
  <c r="D15" i="2"/>
  <c r="D31" i="2"/>
  <c r="D32" i="2"/>
  <c r="G18" i="2" l="1"/>
  <c r="G16" i="2"/>
  <c r="E18" i="2"/>
  <c r="E16" i="2"/>
  <c r="I18" i="2"/>
  <c r="I16" i="2"/>
  <c r="H18" i="2"/>
  <c r="H16" i="2"/>
  <c r="F18" i="2"/>
  <c r="F16" i="2"/>
  <c r="D18" i="2"/>
  <c r="D16" i="2"/>
  <c r="H33" i="2"/>
  <c r="G33" i="2"/>
  <c r="F33" i="2"/>
  <c r="E33" i="2"/>
  <c r="D33" i="2"/>
  <c r="D34" i="2" s="1"/>
  <c r="G20" i="2" l="1"/>
  <c r="G21" i="2"/>
  <c r="E20" i="2"/>
  <c r="E21" i="2"/>
  <c r="I20" i="2"/>
  <c r="I21" i="2"/>
  <c r="H20" i="2"/>
  <c r="H21" i="2" s="1"/>
  <c r="F20" i="2"/>
  <c r="F21" i="2"/>
  <c r="D20" i="2"/>
  <c r="D21" i="2"/>
  <c r="I34" i="2"/>
  <c r="H34" i="2"/>
  <c r="G34" i="2"/>
  <c r="F34" i="2"/>
  <c r="E34" i="2"/>
  <c r="G22" i="2" l="1"/>
  <c r="G24" i="2"/>
  <c r="G26" i="2"/>
  <c r="G35" i="2" s="1"/>
  <c r="G37" i="2" s="1"/>
  <c r="E22" i="2"/>
  <c r="E24" i="2"/>
  <c r="E26" i="2"/>
  <c r="E35" i="2" s="1"/>
  <c r="E37" i="2" s="1"/>
  <c r="I22" i="2"/>
  <c r="I24" i="2"/>
  <c r="I26" i="2"/>
  <c r="I35" i="2" s="1"/>
  <c r="I37" i="2" s="1"/>
  <c r="H22" i="2"/>
  <c r="H24" i="2"/>
  <c r="H26" i="2"/>
  <c r="H35" i="2" s="1"/>
  <c r="H37" i="2" s="1"/>
  <c r="F22" i="2"/>
  <c r="F24" i="2"/>
  <c r="F26" i="2"/>
  <c r="F35" i="2" s="1"/>
  <c r="F37" i="2" s="1"/>
  <c r="D22" i="2"/>
  <c r="D24" i="2"/>
  <c r="D26" i="2"/>
  <c r="D35" i="2" s="1"/>
  <c r="D37" i="2" s="1"/>
  <c r="G39" i="2" l="1"/>
  <c r="G38" i="2"/>
  <c r="E39" i="2"/>
  <c r="E38" i="2"/>
  <c r="I38" i="2"/>
  <c r="I39" i="2"/>
  <c r="H38" i="2"/>
  <c r="H39" i="2"/>
  <c r="F38" i="2"/>
  <c r="F39" i="2"/>
  <c r="D38" i="2"/>
  <c r="D39" i="2"/>
</calcChain>
</file>

<file path=xl/sharedStrings.xml><?xml version="1.0" encoding="utf-8"?>
<sst xmlns="http://schemas.openxmlformats.org/spreadsheetml/2006/main" count="147" uniqueCount="123">
  <si>
    <t>SK hynix (000660.KS) - Value-Driven Bottom-Up Forecast: Sales to FCF less SBC</t>
  </si>
  <si>
    <t>DRAM (HBM + conventional) and NAND separated; contracted base + spot layered; wafer-to-bit cross-check. Units: bits in petabytes (PB=1e6 GB); ASP in $/GB; $ in millions.</t>
  </si>
  <si>
    <t>COLOR LEGEND</t>
  </si>
  <si>
    <t>blue = hardcoded input / lever   black = formula   green = cross-sheet link   yellow fill = key assumption to tune</t>
  </si>
  <si>
    <t>DISCLOSED (your file + IR)</t>
  </si>
  <si>
    <t>FY2025 rev $64,898M, GM 60.4%, OpInc $31,283M, NI $28,672M, capex $18,994M, FCF $20,357M. Q4-25 DRAM W24.9T / NAND W7.6T. Q1-26 rev ~$34.5B, GM 79%. 2026 output committed; DRAM bits +&gt;20%, NAND +high-teens.</t>
  </si>
  <si>
    <t>NOT DISCLOSED (estimated here)</t>
  </si>
  <si>
    <t>SK hynix does NOT publish bit shipments, ASP, DRAM/NAND split, or wafer capacity. Every driver is an analyst estimate calibrated to the FY2025 filed total and IR/TrendForce/BofA commentary. Tune the blue grids freely.</t>
  </si>
  <si>
    <t>CYCLE VIEW (core call)</t>
  </si>
  <si>
    <t>2026-27 super-cycle peak (AI + shortage), 2028-29 glut as M15X/Yongin/Micron-ID1/China capacity lands, 2030-31 recovery. Extrapolating 2026 forever is the biggest error to avoid.</t>
  </si>
  <si>
    <t>SBC NOTE</t>
  </si>
  <si>
    <t>SK hynix SBC is immaterial (Korean cash comp). FCF less SBC sits within ~$80M of FCF; unlike Micron/Nvidia the SBC line does not move the answer.</t>
  </si>
  <si>
    <t>FX NOTE</t>
  </si>
  <si>
    <t>File converted at ~1,497 KRW/USD. Reported USD moves with FX independent of operations.</t>
  </si>
  <si>
    <t>SCENARIO LEVER</t>
  </si>
  <si>
    <t>ASP scenario multiplier on 2028-29 commodity trough (1.00 base; 1.15 shallow glut; 0.80 deep glut)</t>
  </si>
  <si>
    <t>Income Statement to Free Cash Flow (less SBC)</t>
  </si>
  <si>
    <t>Revenue linked from Segment-Revenue. Gross margin is the cyclical lever (anchored to disclosed FY23 -1.6% / FY24 48% / FY25 60% range). FY2025 column reconciles to your file.</t>
  </si>
  <si>
    <t>($M unless noted)</t>
  </si>
  <si>
    <t>FY2025A</t>
  </si>
  <si>
    <t>FY2026E</t>
  </si>
  <si>
    <t>FY2027E</t>
  </si>
  <si>
    <t>FY2028E</t>
  </si>
  <si>
    <t>FY2029E</t>
  </si>
  <si>
    <t>FY2030E</t>
  </si>
  <si>
    <t>FY2031E</t>
  </si>
  <si>
    <t>INCOME STATEMENT</t>
  </si>
  <si>
    <t>Revenue</t>
  </si>
  <si>
    <t xml:space="preserve">  DRAM revenue</t>
  </si>
  <si>
    <t xml:space="preserve">  NAND revenue</t>
  </si>
  <si>
    <t>Gross margin (lever)</t>
  </si>
  <si>
    <t>Gross profit</t>
  </si>
  <si>
    <t xml:space="preserve">  Cost of revenue</t>
  </si>
  <si>
    <t>R&amp;D (fixed)</t>
  </si>
  <si>
    <t>SG&amp;A % of revenue</t>
  </si>
  <si>
    <t xml:space="preserve">  SG&amp;A</t>
  </si>
  <si>
    <t>Operating income (EBIT)</t>
  </si>
  <si>
    <t xml:space="preserve">  Operating margin</t>
  </si>
  <si>
    <t>Net financial income (net-cash)</t>
  </si>
  <si>
    <t>Pretax income</t>
  </si>
  <si>
    <t>Cash tax rate</t>
  </si>
  <si>
    <t xml:space="preserve">  Tax</t>
  </si>
  <si>
    <t>Net income</t>
  </si>
  <si>
    <t xml:space="preserve">  Net margin</t>
  </si>
  <si>
    <t xml:space="preserve">  Diluted shares (M)</t>
  </si>
  <si>
    <t xml:space="preserve">  EPS ($, actual share basis)</t>
  </si>
  <si>
    <t>CASH FLOW TO FCF</t>
  </si>
  <si>
    <t>+ D&amp;A</t>
  </si>
  <si>
    <t>+ SBC (immaterial)</t>
  </si>
  <si>
    <t>DSO / DIO / DPO (days)</t>
  </si>
  <si>
    <t xml:space="preserve">  Accounts receivable</t>
  </si>
  <si>
    <t xml:space="preserve">  Inventory</t>
  </si>
  <si>
    <t xml:space="preserve">  Accounts payable</t>
  </si>
  <si>
    <t xml:space="preserve">  Net working capital</t>
  </si>
  <si>
    <t>- Change in NWC</t>
  </si>
  <si>
    <t>Operating cash flow</t>
  </si>
  <si>
    <t>- Capex</t>
  </si>
  <si>
    <t>Free cash flow</t>
  </si>
  <si>
    <t>Free cash flow less SBC</t>
  </si>
  <si>
    <t xml:space="preserve">  FCF margin</t>
  </si>
  <si>
    <t>Segment Revenue Build - DRAM (HBM + Conventional) and NAND, Contracted Base + Spot</t>
  </si>
  <si>
    <t>Revenue = bits (PB) x ASP ($/GB). Contracted layer = committed/LTA volume; spot layer = uncommitted (spot ASP = contract ASP x spot multiplier). Scenario lever rescales 2028-29 commodity ASP. Blue = tunable driver.</t>
  </si>
  <si>
    <t>($M; bits in PB; ASP in $/GB)</t>
  </si>
  <si>
    <t>DRAM - HBM (100% contracted / LTA)</t>
  </si>
  <si>
    <t xml:space="preserve">  HBM bits (PB)</t>
  </si>
  <si>
    <t xml:space="preserve">  HBM ASP ($/GB)</t>
  </si>
  <si>
    <t xml:space="preserve">  HBM revenue</t>
  </si>
  <si>
    <t>DRAM - Conventional (contracted 90% + spot 10%)</t>
  </si>
  <si>
    <t xml:space="preserve">  Conv DRAM contracted bits (PB)</t>
  </si>
  <si>
    <t xml:space="preserve">  Conv DRAM contract ASP ($/GB)</t>
  </si>
  <si>
    <t xml:space="preserve">  Conv DRAM contracted revenue</t>
  </si>
  <si>
    <t xml:space="preserve">  Conv DRAM spot bits (PB)</t>
  </si>
  <si>
    <t xml:space="preserve">  Conv DRAM spot ASP ($/GB)</t>
  </si>
  <si>
    <t xml:space="preserve">  Conv DRAM spot revenue</t>
  </si>
  <si>
    <t xml:space="preserve">  DRAM total revenue</t>
  </si>
  <si>
    <t xml:space="preserve">  DRAM total bits (PB) [-&gt;Wafer tab]</t>
  </si>
  <si>
    <t>NAND (contracted 88% + spot 12%)</t>
  </si>
  <si>
    <t xml:space="preserve">  NAND contracted bits (PB)</t>
  </si>
  <si>
    <t xml:space="preserve">  NAND contract ASP ($/GB)</t>
  </si>
  <si>
    <t xml:space="preserve">  NAND contracted revenue</t>
  </si>
  <si>
    <t xml:space="preserve">  NAND spot bits (PB)</t>
  </si>
  <si>
    <t xml:space="preserve">  NAND spot ASP ($/GB)</t>
  </si>
  <si>
    <t xml:space="preserve">  NAND spot revenue</t>
  </si>
  <si>
    <t xml:space="preserve">  NAND total revenue</t>
  </si>
  <si>
    <t xml:space="preserve">  NAND total bits (PB) [-&gt;Wafer tab]</t>
  </si>
  <si>
    <t>TOTAL</t>
  </si>
  <si>
    <t xml:space="preserve">  Total revenue</t>
  </si>
  <si>
    <t xml:space="preserve">  DRAM % of revenue</t>
  </si>
  <si>
    <t xml:space="preserve">  HBM % of DRAM revenue</t>
  </si>
  <si>
    <t xml:space="preserve">  memo: YoY revenue change</t>
  </si>
  <si>
    <t>Wafer-Starts to Bit-Supply Conversion (capacity cross-check)</t>
  </si>
  <si>
    <t>PLACEHOLDER engineering inputs - SK hynix does not disclose these. Bits produced = supply ceiling; revenue-tab bits shipped must sit at/below it. Overwrite blue cells with your own capacity model.</t>
  </si>
  <si>
    <t>Conversion (annual)</t>
  </si>
  <si>
    <t>DRAM</t>
  </si>
  <si>
    <t xml:space="preserve">  Wafer starts (K wafers / month)</t>
  </si>
  <si>
    <t xml:space="preserve">  Net good die per wafer</t>
  </si>
  <si>
    <t xml:space="preserve">  Average Gb per die</t>
  </si>
  <si>
    <t xml:space="preserve">  Yield</t>
  </si>
  <si>
    <t xml:space="preserve">  = DRAM bits PRODUCED (PB)</t>
  </si>
  <si>
    <t xml:space="preserve">  DRAM bits SHIPPED in revenue build (PB)</t>
  </si>
  <si>
    <t xml:space="preserve">  Utilization vs ceiling</t>
  </si>
  <si>
    <t>NAND</t>
  </si>
  <si>
    <t xml:space="preserve">  Average Gb per die (QLC/321-layer)</t>
  </si>
  <si>
    <t xml:space="preserve">  = NAND bits PRODUCED (PB)</t>
  </si>
  <si>
    <t xml:space="preserve">  NAND bits SHIPPED in revenue build (PB)</t>
  </si>
  <si>
    <t>Historical Anchors (from uploaded file; USD $M)</t>
  </si>
  <si>
    <t>Source: skhy-financials.xlsx (consolidated, K-IFRS, ~1,497 KRW/USD). These are the only filed figures; all forward drivers are estimates.</t>
  </si>
  <si>
    <t>FY2023</t>
  </si>
  <si>
    <t>FY2024</t>
  </si>
  <si>
    <t>FY2025</t>
  </si>
  <si>
    <t>Gross margin</t>
  </si>
  <si>
    <t>Operating income</t>
  </si>
  <si>
    <t>Operating margin</t>
  </si>
  <si>
    <t>Capex</t>
  </si>
  <si>
    <t>FCF margin</t>
  </si>
  <si>
    <t>AR / Inventory / AP (FY25)</t>
  </si>
  <si>
    <t xml:space="preserve">  AR 12,158 | Inv 9,546 | AP 10,663 (FY2025 balance sheet)</t>
  </si>
  <si>
    <t>Disc FCF</t>
  </si>
  <si>
    <t>Disc Rate</t>
  </si>
  <si>
    <t xml:space="preserve">fcf mult </t>
  </si>
  <si>
    <t>TV</t>
  </si>
  <si>
    <t>Equity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</si>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</sst>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$#,##0;&quot;($&quot;#,##0\);\-"/>
    <numFmt numFmtId="165" formatCode="0.0%"/>
    <numFmt numFmtId="166" formatCode="#,##0.0"/>
    <numFmt numFmtId="167" formatCode="\$#,##0.00"/>
    <numFmt numFmtId="168" formatCode="#,##0;\(#,##0\);\-"/>
    <numFmt numFmtId="169" formatCode="\$#,##0.000"/>
    <numFmt numFmtId="171" formatCode="_(* #,##0_);_(* \(#,##0\);_(* &quot;-&quot;??_);_(@_)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color rgb="FF0000FF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8000"/>
      <name val="Arial"/>
      <family val="2"/>
    </font>
    <font>
      <i/>
      <sz val="9"/>
      <color rgb="FFC00000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38">
    <xf numFmtId="0" fontId="0" fillId="0" borderId="0" xfId="0"/>
    <xf numFmtId="0" fontId="4" fillId="2" borderId="0" xfId="0" applyFont="1" applyFill="1"/>
    <xf numFmtId="0" fontId="5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2" fontId="6" fillId="3" borderId="0" xfId="0" applyNumberFormat="1" applyFont="1" applyFill="1"/>
    <xf numFmtId="0" fontId="7" fillId="0" borderId="0" xfId="0" applyFont="1"/>
    <xf numFmtId="0" fontId="0" fillId="4" borderId="0" xfId="0" applyFill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164" fontId="9" fillId="0" borderId="1" xfId="0" applyNumberFormat="1" applyFont="1" applyBorder="1"/>
    <xf numFmtId="164" fontId="10" fillId="0" borderId="1" xfId="0" applyNumberFormat="1" applyFont="1" applyBorder="1"/>
    <xf numFmtId="0" fontId="10" fillId="0" borderId="0" xfId="0" applyFont="1"/>
    <xf numFmtId="165" fontId="6" fillId="3" borderId="1" xfId="0" applyNumberFormat="1" applyFont="1" applyFill="1" applyBorder="1"/>
    <xf numFmtId="164" fontId="4" fillId="0" borderId="1" xfId="0" applyNumberFormat="1" applyFont="1" applyBorder="1"/>
    <xf numFmtId="0" fontId="9" fillId="0" borderId="0" xfId="0" applyFont="1"/>
    <xf numFmtId="164" fontId="6" fillId="3" borderId="1" xfId="0" applyNumberFormat="1" applyFont="1" applyFill="1" applyBorder="1"/>
    <xf numFmtId="164" fontId="4" fillId="5" borderId="1" xfId="0" applyNumberFormat="1" applyFont="1" applyFill="1" applyBorder="1"/>
    <xf numFmtId="165" fontId="9" fillId="0" borderId="1" xfId="0" applyNumberFormat="1" applyFont="1" applyBorder="1"/>
    <xf numFmtId="166" fontId="6" fillId="3" borderId="1" xfId="0" applyNumberFormat="1" applyFont="1" applyFill="1" applyBorder="1"/>
    <xf numFmtId="167" fontId="4" fillId="0" borderId="1" xfId="0" applyNumberFormat="1" applyFont="1" applyBorder="1"/>
    <xf numFmtId="1" fontId="6" fillId="3" borderId="1" xfId="0" applyNumberFormat="1" applyFont="1" applyFill="1" applyBorder="1"/>
    <xf numFmtId="168" fontId="9" fillId="0" borderId="1" xfId="0" applyNumberFormat="1" applyFont="1" applyBorder="1"/>
    <xf numFmtId="169" fontId="6" fillId="3" borderId="1" xfId="0" applyNumberFormat="1" applyFont="1" applyFill="1" applyBorder="1"/>
    <xf numFmtId="166" fontId="10" fillId="5" borderId="1" xfId="0" applyNumberFormat="1" applyFont="1" applyFill="1" applyBorder="1"/>
    <xf numFmtId="0" fontId="11" fillId="0" borderId="0" xfId="0" applyFont="1"/>
    <xf numFmtId="168" fontId="6" fillId="3" borderId="1" xfId="0" applyNumberFormat="1" applyFont="1" applyFill="1" applyBorder="1"/>
    <xf numFmtId="168" fontId="4" fillId="0" borderId="1" xfId="0" applyNumberFormat="1" applyFont="1" applyBorder="1"/>
    <xf numFmtId="168" fontId="10" fillId="0" borderId="0" xfId="0" applyNumberFormat="1" applyFont="1"/>
    <xf numFmtId="165" fontId="0" fillId="0" borderId="0" xfId="0" applyNumberFormat="1"/>
    <xf numFmtId="164" fontId="6" fillId="0" borderId="1" xfId="0" applyNumberFormat="1" applyFont="1" applyBorder="1"/>
    <xf numFmtId="165" fontId="6" fillId="0" borderId="1" xfId="0" applyNumberFormat="1" applyFont="1" applyBorder="1"/>
    <xf numFmtId="9" fontId="0" fillId="0" borderId="0" xfId="0" applyNumberFormat="1"/>
    <xf numFmtId="171" fontId="1" fillId="0" borderId="0" xfId="1" applyNumberFormat="1"/>
    <xf numFmtId="171" fontId="0" fillId="0" borderId="0" xfId="0" applyNumberFormat="1"/>
    <xf numFmtId="0" fontId="12" fillId="0" borderId="0" xfId="0" applyFont="1"/>
    <xf numFmtId="43" fontId="1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zoomScaleNormal="100" workbookViewId="0"/>
  </sheetViews>
  <sheetFormatPr baseColWidth="10" defaultColWidth="8.6640625" defaultRowHeight="15" x14ac:dyDescent="0.2"/>
  <cols>
    <col min="1" max="1" width="2.5" customWidth="1"/>
    <col min="2" max="2" width="44" customWidth="1"/>
    <col min="3" max="9" width="12.5" customWidth="1"/>
  </cols>
  <sheetData>
    <row r="1" spans="1:9" ht="18" x14ac:dyDescent="0.2">
      <c r="A1" s="3" t="s">
        <v>0</v>
      </c>
    </row>
    <row r="2" spans="1:9" x14ac:dyDescent="0.2">
      <c r="A2" s="4" t="s">
        <v>1</v>
      </c>
    </row>
    <row r="4" spans="1:9" ht="43.5" customHeight="1" x14ac:dyDescent="0.2">
      <c r="A4" s="5" t="s">
        <v>2</v>
      </c>
      <c r="B4" s="2" t="s">
        <v>3</v>
      </c>
      <c r="C4" s="2"/>
      <c r="D4" s="2"/>
      <c r="E4" s="2"/>
      <c r="F4" s="2"/>
      <c r="G4" s="2"/>
      <c r="H4" s="2"/>
      <c r="I4" s="2"/>
    </row>
    <row r="5" spans="1:9" ht="43.5" customHeight="1" x14ac:dyDescent="0.2">
      <c r="A5" s="5" t="s">
        <v>4</v>
      </c>
      <c r="B5" s="2" t="s">
        <v>5</v>
      </c>
      <c r="C5" s="2"/>
      <c r="D5" s="2"/>
      <c r="E5" s="2"/>
      <c r="F5" s="2"/>
      <c r="G5" s="2"/>
      <c r="H5" s="2"/>
      <c r="I5" s="2"/>
    </row>
    <row r="6" spans="1:9" ht="43.5" customHeight="1" x14ac:dyDescent="0.2">
      <c r="A6" s="5" t="s">
        <v>6</v>
      </c>
      <c r="B6" s="2" t="s">
        <v>7</v>
      </c>
      <c r="C6" s="2"/>
      <c r="D6" s="2"/>
      <c r="E6" s="2"/>
      <c r="F6" s="2"/>
      <c r="G6" s="2"/>
      <c r="H6" s="2"/>
      <c r="I6" s="2"/>
    </row>
    <row r="7" spans="1:9" ht="43.5" customHeight="1" x14ac:dyDescent="0.2">
      <c r="A7" s="5" t="s">
        <v>8</v>
      </c>
      <c r="B7" s="2" t="s">
        <v>9</v>
      </c>
      <c r="C7" s="2"/>
      <c r="D7" s="2"/>
      <c r="E7" s="2"/>
      <c r="F7" s="2"/>
      <c r="G7" s="2"/>
      <c r="H7" s="2"/>
      <c r="I7" s="2"/>
    </row>
    <row r="8" spans="1:9" ht="43.5" customHeight="1" x14ac:dyDescent="0.2">
      <c r="A8" s="5" t="s">
        <v>10</v>
      </c>
      <c r="B8" s="2" t="s">
        <v>11</v>
      </c>
      <c r="C8" s="2"/>
      <c r="D8" s="2"/>
      <c r="E8" s="2"/>
      <c r="F8" s="2"/>
      <c r="G8" s="2"/>
      <c r="H8" s="2"/>
      <c r="I8" s="2"/>
    </row>
    <row r="9" spans="1:9" ht="43.5" customHeight="1" x14ac:dyDescent="0.2">
      <c r="A9" s="5" t="s">
        <v>12</v>
      </c>
      <c r="B9" s="2" t="s">
        <v>13</v>
      </c>
      <c r="C9" s="2"/>
      <c r="D9" s="2"/>
      <c r="E9" s="2"/>
      <c r="F9" s="2"/>
      <c r="G9" s="2"/>
      <c r="H9" s="2"/>
      <c r="I9" s="2"/>
    </row>
    <row r="11" spans="1:9" x14ac:dyDescent="0.2">
      <c r="A11" s="1" t="s">
        <v>14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B12" s="5" t="s">
        <v>15</v>
      </c>
      <c r="C12" s="6">
        <v>1</v>
      </c>
    </row>
  </sheetData>
  <mergeCells count="7">
    <mergeCell ref="B9:I9"/>
    <mergeCell ref="A11:I11"/>
    <mergeCell ref="B4:I4"/>
    <mergeCell ref="B5:I5"/>
    <mergeCell ref="B6:I6"/>
    <mergeCell ref="B7:I7"/>
    <mergeCell ref="B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topLeftCell="A25" zoomScale="150" zoomScaleNormal="100" workbookViewId="0">
      <selection activeCell="D46" sqref="D46"/>
    </sheetView>
  </sheetViews>
  <sheetFormatPr baseColWidth="10" defaultColWidth="8.6640625" defaultRowHeight="15" x14ac:dyDescent="0.2"/>
  <cols>
    <col min="1" max="1" width="2.5" customWidth="1"/>
    <col min="2" max="2" width="44" customWidth="1"/>
    <col min="3" max="9" width="12.5" customWidth="1"/>
  </cols>
  <sheetData>
    <row r="1" spans="1:9" ht="16" x14ac:dyDescent="0.2">
      <c r="A1" s="7" t="s">
        <v>16</v>
      </c>
    </row>
    <row r="2" spans="1:9" x14ac:dyDescent="0.2">
      <c r="A2" s="4" t="s">
        <v>17</v>
      </c>
    </row>
    <row r="4" spans="1:9" x14ac:dyDescent="0.2">
      <c r="A4" s="8"/>
      <c r="B4" s="9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25</v>
      </c>
    </row>
    <row r="5" spans="1:9" x14ac:dyDescent="0.2">
      <c r="A5" s="1" t="s">
        <v>26</v>
      </c>
      <c r="B5" s="1"/>
      <c r="C5" s="1"/>
      <c r="D5" s="1"/>
      <c r="E5" s="1"/>
      <c r="F5" s="1"/>
      <c r="G5" s="1"/>
      <c r="H5" s="1"/>
      <c r="I5" s="1"/>
    </row>
    <row r="6" spans="1:9" x14ac:dyDescent="0.2">
      <c r="B6" s="5" t="s">
        <v>27</v>
      </c>
      <c r="C6" s="11">
        <v>64898</v>
      </c>
      <c r="D6" s="12">
        <f>'Segment-Revenue'!D28</f>
        <v>136139.97099120001</v>
      </c>
      <c r="E6" s="12">
        <f>'Segment-Revenue'!E28</f>
        <v>155443.23767199999</v>
      </c>
      <c r="F6" s="12">
        <f>'Segment-Revenue'!F28</f>
        <v>119938.01099730001</v>
      </c>
      <c r="G6" s="12">
        <f>'Segment-Revenue'!G28</f>
        <v>125493.18208900001</v>
      </c>
      <c r="H6" s="12">
        <f>'Segment-Revenue'!H28</f>
        <v>163487.31971949997</v>
      </c>
      <c r="I6" s="12">
        <f>'Segment-Revenue'!I28</f>
        <v>199824.78913189998</v>
      </c>
    </row>
    <row r="7" spans="1:9" x14ac:dyDescent="0.2">
      <c r="B7" s="13" t="s">
        <v>28</v>
      </c>
      <c r="C7" s="12">
        <v>49326</v>
      </c>
      <c r="D7" s="12">
        <f>'Segment-Revenue'!D16</f>
        <v>102157.44804</v>
      </c>
      <c r="E7" s="12">
        <f>'Segment-Revenue'!E16</f>
        <v>119306.33035199999</v>
      </c>
      <c r="F7" s="12">
        <f>'Segment-Revenue'!F16</f>
        <v>97349.562653400004</v>
      </c>
      <c r="G7" s="12">
        <f>'Segment-Revenue'!G16</f>
        <v>102777.8658366</v>
      </c>
      <c r="H7" s="12">
        <f>'Segment-Revenue'!H16</f>
        <v>131791.14113009998</v>
      </c>
      <c r="I7" s="12">
        <f>'Segment-Revenue'!I16</f>
        <v>159969.26017639998</v>
      </c>
    </row>
    <row r="8" spans="1:9" x14ac:dyDescent="0.2">
      <c r="B8" s="13" t="s">
        <v>29</v>
      </c>
      <c r="C8" s="12">
        <v>14927</v>
      </c>
      <c r="D8" s="12">
        <f>'Segment-Revenue'!D25</f>
        <v>33982.522951200001</v>
      </c>
      <c r="E8" s="12">
        <f>'Segment-Revenue'!E25</f>
        <v>36136.907319999998</v>
      </c>
      <c r="F8" s="12">
        <f>'Segment-Revenue'!F25</f>
        <v>22588.4483439</v>
      </c>
      <c r="G8" s="12">
        <f>'Segment-Revenue'!G25</f>
        <v>22715.3162524</v>
      </c>
      <c r="H8" s="12">
        <f>'Segment-Revenue'!H25</f>
        <v>31696.178589399999</v>
      </c>
      <c r="I8" s="12">
        <f>'Segment-Revenue'!I25</f>
        <v>39855.528955499998</v>
      </c>
    </row>
    <row r="9" spans="1:9" x14ac:dyDescent="0.2">
      <c r="B9" s="5" t="s">
        <v>30</v>
      </c>
      <c r="C9" s="14">
        <v>0.60399999999999998</v>
      </c>
      <c r="D9" s="14">
        <v>0.72</v>
      </c>
      <c r="E9" s="14">
        <v>0.66</v>
      </c>
      <c r="F9" s="14">
        <v>0.5</v>
      </c>
      <c r="G9" s="14">
        <v>0.48</v>
      </c>
      <c r="H9" s="14">
        <v>0.56999999999999995</v>
      </c>
      <c r="I9" s="14">
        <v>0.6</v>
      </c>
    </row>
    <row r="10" spans="1:9" x14ac:dyDescent="0.2">
      <c r="B10" s="5" t="s">
        <v>31</v>
      </c>
      <c r="C10" s="15">
        <f t="shared" ref="C10:I10" si="0">C6*C9</f>
        <v>39198.392</v>
      </c>
      <c r="D10" s="15">
        <f t="shared" si="0"/>
        <v>98020.779113664001</v>
      </c>
      <c r="E10" s="15">
        <f t="shared" si="0"/>
        <v>102592.53686352</v>
      </c>
      <c r="F10" s="15">
        <f t="shared" si="0"/>
        <v>59969.005498650004</v>
      </c>
      <c r="G10" s="15">
        <f t="shared" si="0"/>
        <v>60236.727402720004</v>
      </c>
      <c r="H10" s="15">
        <f t="shared" si="0"/>
        <v>93187.772240114966</v>
      </c>
      <c r="I10" s="15">
        <f t="shared" si="0"/>
        <v>119894.87347913998</v>
      </c>
    </row>
    <row r="11" spans="1:9" x14ac:dyDescent="0.2">
      <c r="B11" s="16" t="s">
        <v>32</v>
      </c>
      <c r="C11" s="11">
        <f t="shared" ref="C11:I11" si="1">C6-C10</f>
        <v>25699.608</v>
      </c>
      <c r="D11" s="11">
        <f t="shared" si="1"/>
        <v>38119.19187753601</v>
      </c>
      <c r="E11" s="11">
        <f t="shared" si="1"/>
        <v>52850.700808479989</v>
      </c>
      <c r="F11" s="11">
        <f t="shared" si="1"/>
        <v>59969.005498650004</v>
      </c>
      <c r="G11" s="11">
        <f t="shared" si="1"/>
        <v>65256.454686280005</v>
      </c>
      <c r="H11" s="11">
        <f t="shared" si="1"/>
        <v>70299.547479385001</v>
      </c>
      <c r="I11" s="11">
        <f t="shared" si="1"/>
        <v>79929.915652759999</v>
      </c>
    </row>
    <row r="12" spans="1:9" x14ac:dyDescent="0.2">
      <c r="B12" s="16" t="s">
        <v>33</v>
      </c>
      <c r="C12" s="17">
        <v>4319</v>
      </c>
      <c r="D12" s="17">
        <v>5000</v>
      </c>
      <c r="E12" s="17">
        <v>6000</v>
      </c>
      <c r="F12" s="17">
        <v>6800</v>
      </c>
      <c r="G12" s="17">
        <v>7400</v>
      </c>
      <c r="H12" s="17">
        <v>8200</v>
      </c>
      <c r="I12" s="17">
        <v>9000</v>
      </c>
    </row>
    <row r="13" spans="1:9" x14ac:dyDescent="0.2">
      <c r="B13" s="16" t="s">
        <v>34</v>
      </c>
      <c r="C13" s="14">
        <v>5.1700000000000003E-2</v>
      </c>
      <c r="D13" s="14">
        <v>4.4999999999999998E-2</v>
      </c>
      <c r="E13" s="14">
        <v>4.4999999999999998E-2</v>
      </c>
      <c r="F13" s="14">
        <v>4.4999999999999998E-2</v>
      </c>
      <c r="G13" s="14">
        <v>4.4999999999999998E-2</v>
      </c>
      <c r="H13" s="14">
        <v>4.4999999999999998E-2</v>
      </c>
      <c r="I13" s="14">
        <v>4.4999999999999998E-2</v>
      </c>
    </row>
    <row r="14" spans="1:9" x14ac:dyDescent="0.2">
      <c r="B14" s="16" t="s">
        <v>35</v>
      </c>
      <c r="C14" s="11">
        <f t="shared" ref="C14:I14" si="2">C6*C13</f>
        <v>3355.2266</v>
      </c>
      <c r="D14" s="11">
        <f t="shared" si="2"/>
        <v>6126.298694604</v>
      </c>
      <c r="E14" s="11">
        <f t="shared" si="2"/>
        <v>6994.9456952399996</v>
      </c>
      <c r="F14" s="11">
        <f t="shared" si="2"/>
        <v>5397.2104948785</v>
      </c>
      <c r="G14" s="11">
        <f t="shared" si="2"/>
        <v>5647.1931940049999</v>
      </c>
      <c r="H14" s="11">
        <f t="shared" si="2"/>
        <v>7356.9293873774986</v>
      </c>
      <c r="I14" s="11">
        <f t="shared" si="2"/>
        <v>8992.1155109354986</v>
      </c>
    </row>
    <row r="15" spans="1:9" x14ac:dyDescent="0.2">
      <c r="B15" s="5" t="s">
        <v>36</v>
      </c>
      <c r="C15" s="18">
        <f t="shared" ref="C15:I15" si="3">C10-C12-C14</f>
        <v>31524.165399999998</v>
      </c>
      <c r="D15" s="18">
        <f t="shared" si="3"/>
        <v>86894.480419059997</v>
      </c>
      <c r="E15" s="18">
        <f t="shared" si="3"/>
        <v>89597.591168279992</v>
      </c>
      <c r="F15" s="18">
        <f t="shared" si="3"/>
        <v>47771.795003771505</v>
      </c>
      <c r="G15" s="18">
        <f t="shared" si="3"/>
        <v>47189.534208715006</v>
      </c>
      <c r="H15" s="18">
        <f t="shared" si="3"/>
        <v>77630.842852737464</v>
      </c>
      <c r="I15" s="18">
        <f t="shared" si="3"/>
        <v>101902.75796820447</v>
      </c>
    </row>
    <row r="16" spans="1:9" x14ac:dyDescent="0.2">
      <c r="B16" s="16" t="s">
        <v>37</v>
      </c>
      <c r="C16" s="19">
        <f t="shared" ref="C16:I16" si="4">C15/C6</f>
        <v>0.48574941292489748</v>
      </c>
      <c r="D16" s="19">
        <f t="shared" si="4"/>
        <v>0.63827309339353977</v>
      </c>
      <c r="E16" s="19">
        <f t="shared" si="4"/>
        <v>0.57640070105422936</v>
      </c>
      <c r="F16" s="19">
        <f t="shared" si="4"/>
        <v>0.39830404561942356</v>
      </c>
      <c r="G16" s="19">
        <f t="shared" si="4"/>
        <v>0.37603265311455802</v>
      </c>
      <c r="H16" s="19">
        <f t="shared" si="4"/>
        <v>0.4748432048793203</v>
      </c>
      <c r="I16" s="19">
        <f t="shared" si="4"/>
        <v>0.50996054298819093</v>
      </c>
    </row>
    <row r="17" spans="1:9" x14ac:dyDescent="0.2">
      <c r="B17" s="16" t="s">
        <v>38</v>
      </c>
      <c r="C17" s="17">
        <v>2411</v>
      </c>
      <c r="D17" s="17">
        <v>1500</v>
      </c>
      <c r="E17" s="17">
        <v>2500</v>
      </c>
      <c r="F17" s="17">
        <v>2000</v>
      </c>
      <c r="G17" s="17">
        <v>1500</v>
      </c>
      <c r="H17" s="17">
        <v>2500</v>
      </c>
      <c r="I17" s="17">
        <v>3000</v>
      </c>
    </row>
    <row r="18" spans="1:9" x14ac:dyDescent="0.2">
      <c r="B18" s="5" t="s">
        <v>39</v>
      </c>
      <c r="C18" s="15">
        <f t="shared" ref="C18:I18" si="5">C15+C17</f>
        <v>33935.165399999998</v>
      </c>
      <c r="D18" s="15">
        <f t="shared" si="5"/>
        <v>88394.480419059997</v>
      </c>
      <c r="E18" s="15">
        <f t="shared" si="5"/>
        <v>92097.591168279992</v>
      </c>
      <c r="F18" s="15">
        <f t="shared" si="5"/>
        <v>49771.795003771505</v>
      </c>
      <c r="G18" s="15">
        <f t="shared" si="5"/>
        <v>48689.534208715006</v>
      </c>
      <c r="H18" s="15">
        <f t="shared" si="5"/>
        <v>80130.842852737464</v>
      </c>
      <c r="I18" s="15">
        <f t="shared" si="5"/>
        <v>104902.75796820447</v>
      </c>
    </row>
    <row r="19" spans="1:9" x14ac:dyDescent="0.2">
      <c r="B19" s="16" t="s">
        <v>40</v>
      </c>
      <c r="C19" s="14">
        <v>0.14899999999999999</v>
      </c>
      <c r="D19" s="14">
        <v>0.2</v>
      </c>
      <c r="E19" s="14">
        <v>0.2</v>
      </c>
      <c r="F19" s="14">
        <v>0.19</v>
      </c>
      <c r="G19" s="14">
        <v>0.18</v>
      </c>
      <c r="H19" s="14">
        <v>0.2</v>
      </c>
      <c r="I19" s="14">
        <v>0.21</v>
      </c>
    </row>
    <row r="20" spans="1:9" x14ac:dyDescent="0.2">
      <c r="B20" s="16" t="s">
        <v>41</v>
      </c>
      <c r="C20" s="11">
        <f t="shared" ref="C20:I20" si="6">MAX(C18*C19,0)</f>
        <v>5056.3396445999997</v>
      </c>
      <c r="D20" s="11">
        <f t="shared" si="6"/>
        <v>17678.896083812</v>
      </c>
      <c r="E20" s="11">
        <f t="shared" si="6"/>
        <v>18419.518233655999</v>
      </c>
      <c r="F20" s="11">
        <f t="shared" si="6"/>
        <v>9456.6410507165856</v>
      </c>
      <c r="G20" s="11">
        <f t="shared" si="6"/>
        <v>8764.1161575687001</v>
      </c>
      <c r="H20" s="11">
        <f t="shared" si="6"/>
        <v>16026.168570547494</v>
      </c>
      <c r="I20" s="11">
        <f t="shared" si="6"/>
        <v>22029.579173322938</v>
      </c>
    </row>
    <row r="21" spans="1:9" x14ac:dyDescent="0.2">
      <c r="B21" s="5" t="s">
        <v>42</v>
      </c>
      <c r="C21" s="18">
        <f t="shared" ref="C21:I21" si="7">C18-C20</f>
        <v>28878.825755399997</v>
      </c>
      <c r="D21" s="18">
        <f t="shared" si="7"/>
        <v>70715.584335248001</v>
      </c>
      <c r="E21" s="18">
        <f t="shared" si="7"/>
        <v>73678.072934623997</v>
      </c>
      <c r="F21" s="18">
        <f t="shared" si="7"/>
        <v>40315.15395305492</v>
      </c>
      <c r="G21" s="18">
        <f t="shared" si="7"/>
        <v>39925.418051146306</v>
      </c>
      <c r="H21" s="18">
        <f t="shared" si="7"/>
        <v>64104.674282189968</v>
      </c>
      <c r="I21" s="18">
        <f t="shared" si="7"/>
        <v>82873.178794881533</v>
      </c>
    </row>
    <row r="22" spans="1:9" x14ac:dyDescent="0.2">
      <c r="B22" s="16" t="s">
        <v>43</v>
      </c>
      <c r="C22" s="19">
        <f t="shared" ref="C22:I22" si="8">C21/C6</f>
        <v>0.44498791573546176</v>
      </c>
      <c r="D22" s="19">
        <f t="shared" si="8"/>
        <v>0.51943293230038223</v>
      </c>
      <c r="E22" s="19">
        <f t="shared" si="8"/>
        <v>0.47398699382530707</v>
      </c>
      <c r="F22" s="19">
        <f t="shared" si="8"/>
        <v>0.33613325431887042</v>
      </c>
      <c r="G22" s="19">
        <f t="shared" si="8"/>
        <v>0.31814810483354483</v>
      </c>
      <c r="H22" s="19">
        <f t="shared" si="8"/>
        <v>0.39210792856703658</v>
      </c>
      <c r="I22" s="19">
        <f t="shared" si="8"/>
        <v>0.41472921930711387</v>
      </c>
    </row>
    <row r="23" spans="1:9" x14ac:dyDescent="0.2">
      <c r="B23" s="16" t="s">
        <v>44</v>
      </c>
      <c r="C23" s="20">
        <v>711.08</v>
      </c>
      <c r="D23" s="20">
        <v>711.08</v>
      </c>
      <c r="E23" s="20">
        <v>711.08</v>
      </c>
      <c r="F23" s="20">
        <v>711.08</v>
      </c>
      <c r="G23" s="20">
        <v>711.08</v>
      </c>
      <c r="H23" s="20">
        <v>711.08</v>
      </c>
      <c r="I23" s="20">
        <v>711.08</v>
      </c>
    </row>
    <row r="24" spans="1:9" x14ac:dyDescent="0.2">
      <c r="B24" s="5" t="s">
        <v>45</v>
      </c>
      <c r="C24" s="21">
        <f t="shared" ref="C24:I24" si="9">C21/C23</f>
        <v>40.612625520897787</v>
      </c>
      <c r="D24" s="21">
        <f t="shared" si="9"/>
        <v>99.448141327625578</v>
      </c>
      <c r="E24" s="21">
        <f t="shared" si="9"/>
        <v>103.61432319095459</v>
      </c>
      <c r="F24" s="21">
        <f t="shared" si="9"/>
        <v>56.695665681857058</v>
      </c>
      <c r="G24" s="21">
        <f t="shared" si="9"/>
        <v>56.14757559085659</v>
      </c>
      <c r="H24" s="21">
        <f t="shared" si="9"/>
        <v>90.151142321806219</v>
      </c>
      <c r="I24" s="21">
        <f t="shared" si="9"/>
        <v>116.54550654621355</v>
      </c>
    </row>
    <row r="25" spans="1:9" x14ac:dyDescent="0.2">
      <c r="A25" s="1" t="s">
        <v>46</v>
      </c>
      <c r="B25" s="1"/>
      <c r="C25" s="1"/>
      <c r="D25" s="1"/>
      <c r="E25" s="1"/>
      <c r="F25" s="1"/>
      <c r="G25" s="1"/>
      <c r="H25" s="1"/>
      <c r="I25" s="1"/>
    </row>
    <row r="26" spans="1:9" x14ac:dyDescent="0.2">
      <c r="B26" s="5" t="s">
        <v>42</v>
      </c>
      <c r="C26" s="11">
        <f t="shared" ref="C26:I26" si="10">C21</f>
        <v>28878.825755399997</v>
      </c>
      <c r="D26" s="11">
        <f t="shared" si="10"/>
        <v>70715.584335248001</v>
      </c>
      <c r="E26" s="11">
        <f t="shared" si="10"/>
        <v>73678.072934623997</v>
      </c>
      <c r="F26" s="11">
        <f t="shared" si="10"/>
        <v>40315.15395305492</v>
      </c>
      <c r="G26" s="11">
        <f t="shared" si="10"/>
        <v>39925.418051146306</v>
      </c>
      <c r="H26" s="11">
        <f t="shared" si="10"/>
        <v>64104.674282189968</v>
      </c>
      <c r="I26" s="11">
        <f t="shared" si="10"/>
        <v>82873.178794881533</v>
      </c>
    </row>
    <row r="27" spans="1:9" x14ac:dyDescent="0.2">
      <c r="B27" s="16" t="s">
        <v>47</v>
      </c>
      <c r="C27" s="17">
        <v>11500</v>
      </c>
      <c r="D27" s="17">
        <v>14000</v>
      </c>
      <c r="E27" s="17">
        <v>17000</v>
      </c>
      <c r="F27" s="17">
        <v>19500</v>
      </c>
      <c r="G27" s="17">
        <v>21000</v>
      </c>
      <c r="H27" s="17">
        <v>22500</v>
      </c>
      <c r="I27" s="17">
        <v>24000</v>
      </c>
    </row>
    <row r="28" spans="1:9" x14ac:dyDescent="0.2">
      <c r="B28" s="16" t="s">
        <v>48</v>
      </c>
      <c r="C28" s="17">
        <v>0</v>
      </c>
      <c r="D28" s="17">
        <v>80</v>
      </c>
      <c r="E28" s="17">
        <v>80</v>
      </c>
      <c r="F28" s="17">
        <v>80</v>
      </c>
      <c r="G28" s="17">
        <v>80</v>
      </c>
      <c r="H28" s="17">
        <v>80</v>
      </c>
      <c r="I28" s="17">
        <v>80</v>
      </c>
    </row>
    <row r="29" spans="1:9" x14ac:dyDescent="0.2">
      <c r="B29" s="16" t="s">
        <v>49</v>
      </c>
      <c r="C29" s="22">
        <v>68</v>
      </c>
      <c r="D29" s="22">
        <v>68</v>
      </c>
      <c r="E29" s="22">
        <v>68</v>
      </c>
      <c r="F29" s="22">
        <v>68</v>
      </c>
      <c r="G29" s="22">
        <v>68</v>
      </c>
      <c r="H29" s="22">
        <v>68</v>
      </c>
      <c r="I29" s="22">
        <v>68</v>
      </c>
    </row>
    <row r="30" spans="1:9" x14ac:dyDescent="0.2">
      <c r="B30" s="16" t="s">
        <v>50</v>
      </c>
      <c r="C30" s="11">
        <f t="shared" ref="C30:I30" si="11">C6*68/365</f>
        <v>12090.586301369864</v>
      </c>
      <c r="D30" s="11">
        <f t="shared" si="11"/>
        <v>25363.063088771505</v>
      </c>
      <c r="E30" s="11">
        <f t="shared" si="11"/>
        <v>28959.288114235616</v>
      </c>
      <c r="F30" s="11">
        <f t="shared" si="11"/>
        <v>22344.615747442193</v>
      </c>
      <c r="G30" s="11">
        <f t="shared" si="11"/>
        <v>23379.551731649317</v>
      </c>
      <c r="H30" s="11">
        <f t="shared" si="11"/>
        <v>30457.911618975337</v>
      </c>
      <c r="I30" s="11">
        <f t="shared" si="11"/>
        <v>37227.631947860813</v>
      </c>
    </row>
    <row r="31" spans="1:9" x14ac:dyDescent="0.2">
      <c r="B31" s="16" t="s">
        <v>51</v>
      </c>
      <c r="C31" s="11">
        <f t="shared" ref="C31:I31" si="12">(C6-C10)*135/365</f>
        <v>9505.3344657534253</v>
      </c>
      <c r="D31" s="11">
        <f t="shared" si="12"/>
        <v>14098.879187581811</v>
      </c>
      <c r="E31" s="11">
        <f t="shared" si="12"/>
        <v>19547.519477109036</v>
      </c>
      <c r="F31" s="11">
        <f t="shared" si="12"/>
        <v>22180.317102240413</v>
      </c>
      <c r="G31" s="11">
        <f t="shared" si="12"/>
        <v>24135.948993555619</v>
      </c>
      <c r="H31" s="11">
        <f t="shared" si="12"/>
        <v>26001.202492375272</v>
      </c>
      <c r="I31" s="11">
        <f t="shared" si="12"/>
        <v>29563.11948800712</v>
      </c>
    </row>
    <row r="32" spans="1:9" x14ac:dyDescent="0.2">
      <c r="B32" s="16" t="s">
        <v>52</v>
      </c>
      <c r="C32" s="11">
        <f t="shared" ref="C32:I32" si="13">(C6-C10)*150/365</f>
        <v>10561.482739726029</v>
      </c>
      <c r="D32" s="11">
        <f t="shared" si="13"/>
        <v>15665.421319535346</v>
      </c>
      <c r="E32" s="11">
        <f t="shared" si="13"/>
        <v>21719.466085676708</v>
      </c>
      <c r="F32" s="11">
        <f t="shared" si="13"/>
        <v>24644.796780267123</v>
      </c>
      <c r="G32" s="11">
        <f t="shared" si="13"/>
        <v>26817.721103950687</v>
      </c>
      <c r="H32" s="11">
        <f t="shared" si="13"/>
        <v>28890.224991528081</v>
      </c>
      <c r="I32" s="11">
        <f t="shared" si="13"/>
        <v>32847.910542230136</v>
      </c>
    </row>
    <row r="33" spans="2:9" x14ac:dyDescent="0.2">
      <c r="B33" s="16" t="s">
        <v>53</v>
      </c>
      <c r="C33" s="11">
        <f t="shared" ref="C33:I33" si="14">C30+C31-C32</f>
        <v>11034.438027397258</v>
      </c>
      <c r="D33" s="11">
        <f t="shared" si="14"/>
        <v>23796.520956817971</v>
      </c>
      <c r="E33" s="11">
        <f t="shared" si="14"/>
        <v>26787.341505667944</v>
      </c>
      <c r="F33" s="11">
        <f t="shared" si="14"/>
        <v>19880.136069415483</v>
      </c>
      <c r="G33" s="11">
        <f t="shared" si="14"/>
        <v>20697.779621254253</v>
      </c>
      <c r="H33" s="11">
        <f t="shared" si="14"/>
        <v>27568.889119822528</v>
      </c>
      <c r="I33" s="11">
        <f t="shared" si="14"/>
        <v>33942.840893637796</v>
      </c>
    </row>
    <row r="34" spans="2:9" x14ac:dyDescent="0.2">
      <c r="B34" s="16" t="s">
        <v>54</v>
      </c>
      <c r="C34" s="23"/>
      <c r="D34" s="11">
        <f t="shared" ref="D34:I34" si="15">D33-C33</f>
        <v>12762.082929420712</v>
      </c>
      <c r="E34" s="11">
        <f t="shared" si="15"/>
        <v>2990.8205488499734</v>
      </c>
      <c r="F34" s="11">
        <f t="shared" si="15"/>
        <v>-6907.2054362524614</v>
      </c>
      <c r="G34" s="11">
        <f t="shared" si="15"/>
        <v>817.64355183876978</v>
      </c>
      <c r="H34" s="11">
        <f t="shared" si="15"/>
        <v>6871.1094985682757</v>
      </c>
      <c r="I34" s="11">
        <f t="shared" si="15"/>
        <v>6373.9517738152681</v>
      </c>
    </row>
    <row r="35" spans="2:9" x14ac:dyDescent="0.2">
      <c r="B35" s="5" t="s">
        <v>55</v>
      </c>
      <c r="C35" s="11">
        <f>C26+C27+C28</f>
        <v>40378.825755400001</v>
      </c>
      <c r="D35" s="18">
        <f t="shared" ref="D35:I35" si="16">D26+D27+D28-D34</f>
        <v>72033.501405827294</v>
      </c>
      <c r="E35" s="18">
        <f t="shared" si="16"/>
        <v>87767.252385774016</v>
      </c>
      <c r="F35" s="18">
        <f t="shared" si="16"/>
        <v>66802.359389307385</v>
      </c>
      <c r="G35" s="18">
        <f t="shared" si="16"/>
        <v>60187.774499307532</v>
      </c>
      <c r="H35" s="18">
        <f t="shared" si="16"/>
        <v>79813.564783621696</v>
      </c>
      <c r="I35" s="18">
        <f t="shared" si="16"/>
        <v>100579.22702106627</v>
      </c>
    </row>
    <row r="36" spans="2:9" x14ac:dyDescent="0.2">
      <c r="B36" s="16" t="s">
        <v>56</v>
      </c>
      <c r="C36" s="17">
        <v>18994</v>
      </c>
      <c r="D36" s="17">
        <v>27000</v>
      </c>
      <c r="E36" s="17">
        <v>30000</v>
      </c>
      <c r="F36" s="17">
        <v>24000</v>
      </c>
      <c r="G36" s="17">
        <v>22000</v>
      </c>
      <c r="H36" s="17">
        <v>26000</v>
      </c>
      <c r="I36" s="17">
        <v>29000</v>
      </c>
    </row>
    <row r="37" spans="2:9" x14ac:dyDescent="0.2">
      <c r="B37" s="5" t="s">
        <v>57</v>
      </c>
      <c r="C37" s="18">
        <f t="shared" ref="C37:I37" si="17">C35-C36</f>
        <v>21384.825755400001</v>
      </c>
      <c r="D37" s="18">
        <f t="shared" si="17"/>
        <v>45033.501405827294</v>
      </c>
      <c r="E37" s="18">
        <f t="shared" si="17"/>
        <v>57767.252385774016</v>
      </c>
      <c r="F37" s="18">
        <f t="shared" si="17"/>
        <v>42802.359389307385</v>
      </c>
      <c r="G37" s="18">
        <f t="shared" si="17"/>
        <v>38187.774499307532</v>
      </c>
      <c r="H37" s="18">
        <f t="shared" si="17"/>
        <v>53813.564783621696</v>
      </c>
      <c r="I37" s="18">
        <f t="shared" si="17"/>
        <v>71579.227021066268</v>
      </c>
    </row>
    <row r="38" spans="2:9" x14ac:dyDescent="0.2">
      <c r="B38" s="5" t="s">
        <v>58</v>
      </c>
      <c r="C38" s="18">
        <f t="shared" ref="C38:I38" si="18">C37-C28</f>
        <v>21384.825755400001</v>
      </c>
      <c r="D38" s="18">
        <f t="shared" si="18"/>
        <v>44953.501405827294</v>
      </c>
      <c r="E38" s="18">
        <f t="shared" si="18"/>
        <v>57687.252385774016</v>
      </c>
      <c r="F38" s="18">
        <f t="shared" si="18"/>
        <v>42722.359389307385</v>
      </c>
      <c r="G38" s="18">
        <f t="shared" si="18"/>
        <v>38107.774499307532</v>
      </c>
      <c r="H38" s="18">
        <f t="shared" si="18"/>
        <v>53733.564783621696</v>
      </c>
      <c r="I38" s="18">
        <f t="shared" si="18"/>
        <v>71499.227021066268</v>
      </c>
    </row>
    <row r="39" spans="2:9" x14ac:dyDescent="0.2">
      <c r="B39" s="16" t="s">
        <v>59</v>
      </c>
      <c r="C39" s="19">
        <f t="shared" ref="C39:I39" si="19">C37/C6</f>
        <v>0.32951440345465194</v>
      </c>
      <c r="D39" s="19">
        <f t="shared" si="19"/>
        <v>0.33078824005874241</v>
      </c>
      <c r="E39" s="19">
        <f t="shared" si="19"/>
        <v>0.37162924068571196</v>
      </c>
      <c r="F39" s="19">
        <f t="shared" si="19"/>
        <v>0.35687067872311917</v>
      </c>
      <c r="G39" s="19">
        <f t="shared" si="19"/>
        <v>0.30430158725455447</v>
      </c>
      <c r="H39" s="19">
        <f t="shared" si="19"/>
        <v>0.32916048092262579</v>
      </c>
      <c r="I39" s="19">
        <f t="shared" si="19"/>
        <v>0.35820994648375876</v>
      </c>
    </row>
    <row r="41" spans="2:9" x14ac:dyDescent="0.2">
      <c r="D41">
        <v>0.48</v>
      </c>
      <c r="E41">
        <f>D41+1</f>
        <v>1.48</v>
      </c>
      <c r="F41">
        <f t="shared" ref="F41:I41" si="20">E41+1</f>
        <v>2.48</v>
      </c>
      <c r="G41">
        <f t="shared" si="20"/>
        <v>3.48</v>
      </c>
      <c r="H41">
        <f t="shared" si="20"/>
        <v>4.4800000000000004</v>
      </c>
      <c r="I41">
        <f t="shared" si="20"/>
        <v>5.48</v>
      </c>
    </row>
    <row r="42" spans="2:9" x14ac:dyDescent="0.2">
      <c r="B42" t="s">
        <v>117</v>
      </c>
      <c r="D42" s="34">
        <f>D38/(1+$C$44)^D41</f>
        <v>42943.262477387521</v>
      </c>
      <c r="E42" s="34">
        <f t="shared" ref="E42:I42" si="21">E38/(1+$C$44)^E41</f>
        <v>50097.802948498269</v>
      </c>
      <c r="F42" s="34">
        <f t="shared" si="21"/>
        <v>33728.837255500745</v>
      </c>
      <c r="G42" s="34">
        <f t="shared" si="21"/>
        <v>27350.611602865214</v>
      </c>
      <c r="H42" s="34">
        <f t="shared" si="21"/>
        <v>35059.556976441272</v>
      </c>
      <c r="I42" s="34">
        <f t="shared" si="21"/>
        <v>42410.113232015865</v>
      </c>
    </row>
    <row r="44" spans="2:9" x14ac:dyDescent="0.2">
      <c r="B44" t="s">
        <v>118</v>
      </c>
      <c r="C44" s="33">
        <v>0.1</v>
      </c>
    </row>
    <row r="45" spans="2:9" x14ac:dyDescent="0.2">
      <c r="B45" t="s">
        <v>119</v>
      </c>
      <c r="C45">
        <v>20</v>
      </c>
    </row>
    <row r="46" spans="2:9" x14ac:dyDescent="0.2">
      <c r="B46" t="s">
        <v>120</v>
      </c>
      <c r="C46" s="34">
        <f>(C45*I42)/(1+C44)^I41</f>
        <v>503115.28649742441</v>
      </c>
    </row>
    <row r="47" spans="2:9" x14ac:dyDescent="0.2">
      <c r="B47" t="s">
        <v>121</v>
      </c>
      <c r="C47" s="35">
        <f>SUM(C46,D42:I42)</f>
        <v>734705.47099013324</v>
      </c>
    </row>
    <row r="48" spans="2:9" s="36" customFormat="1" x14ac:dyDescent="0.2">
      <c r="B48" s="36" t="s">
        <v>122</v>
      </c>
      <c r="C48" s="37">
        <f>C47/I23/10</f>
        <v>103.3224772163657</v>
      </c>
    </row>
  </sheetData>
  <mergeCells count="2">
    <mergeCell ref="A5:I5"/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Normal="100" workbookViewId="0"/>
  </sheetViews>
  <sheetFormatPr baseColWidth="10" defaultColWidth="8.6640625" defaultRowHeight="15" x14ac:dyDescent="0.2"/>
  <cols>
    <col min="1" max="1" width="2.5" customWidth="1"/>
    <col min="2" max="2" width="44" customWidth="1"/>
    <col min="3" max="9" width="12.5" customWidth="1"/>
  </cols>
  <sheetData>
    <row r="1" spans="1:9" ht="16" x14ac:dyDescent="0.2">
      <c r="A1" s="7" t="s">
        <v>60</v>
      </c>
    </row>
    <row r="2" spans="1:9" x14ac:dyDescent="0.2">
      <c r="A2" s="4" t="s">
        <v>61</v>
      </c>
    </row>
    <row r="4" spans="1:9" x14ac:dyDescent="0.2">
      <c r="A4" s="8"/>
      <c r="B4" s="9" t="s">
        <v>62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25</v>
      </c>
    </row>
    <row r="5" spans="1:9" x14ac:dyDescent="0.2">
      <c r="A5" s="1" t="s">
        <v>63</v>
      </c>
      <c r="B5" s="1"/>
      <c r="C5" s="1"/>
      <c r="D5" s="1"/>
      <c r="E5" s="1"/>
      <c r="F5" s="1"/>
      <c r="G5" s="1"/>
      <c r="H5" s="1"/>
      <c r="I5" s="1"/>
    </row>
    <row r="6" spans="1:9" x14ac:dyDescent="0.2">
      <c r="B6" s="16" t="s">
        <v>64</v>
      </c>
      <c r="C6" s="20">
        <v>1151</v>
      </c>
      <c r="D6" s="20">
        <v>1784.05</v>
      </c>
      <c r="E6" s="20">
        <v>2533.35</v>
      </c>
      <c r="F6" s="20">
        <v>3293.36</v>
      </c>
      <c r="G6" s="20">
        <v>4017.89</v>
      </c>
      <c r="H6" s="20">
        <v>4741.12</v>
      </c>
      <c r="I6" s="20">
        <v>5452.28</v>
      </c>
    </row>
    <row r="7" spans="1:9" x14ac:dyDescent="0.2">
      <c r="B7" s="16" t="s">
        <v>65</v>
      </c>
      <c r="C7" s="24">
        <v>18</v>
      </c>
      <c r="D7" s="24">
        <v>21.96</v>
      </c>
      <c r="E7" s="24">
        <v>20.642399999999999</v>
      </c>
      <c r="F7" s="24">
        <v>16.10107</v>
      </c>
      <c r="G7" s="24">
        <v>14.490959999999999</v>
      </c>
      <c r="H7" s="24">
        <v>14.925689999999999</v>
      </c>
      <c r="I7" s="24">
        <v>15.52272</v>
      </c>
    </row>
    <row r="8" spans="1:9" x14ac:dyDescent="0.2">
      <c r="B8" s="5" t="s">
        <v>66</v>
      </c>
      <c r="C8" s="15">
        <f t="shared" ref="C8:I8" si="0">C6*C7</f>
        <v>20718</v>
      </c>
      <c r="D8" s="15">
        <f t="shared" si="0"/>
        <v>39177.737999999998</v>
      </c>
      <c r="E8" s="15">
        <f t="shared" si="0"/>
        <v>52294.424039999991</v>
      </c>
      <c r="F8" s="15">
        <f t="shared" si="0"/>
        <v>53026.619895200005</v>
      </c>
      <c r="G8" s="15">
        <f t="shared" si="0"/>
        <v>58223.083274399993</v>
      </c>
      <c r="H8" s="15">
        <f t="shared" si="0"/>
        <v>70764.487372799995</v>
      </c>
      <c r="I8" s="15">
        <f t="shared" si="0"/>
        <v>84634.215801599988</v>
      </c>
    </row>
    <row r="9" spans="1:9" x14ac:dyDescent="0.2">
      <c r="A9" s="1" t="s">
        <v>67</v>
      </c>
      <c r="B9" s="1"/>
      <c r="C9" s="1"/>
      <c r="D9" s="1"/>
      <c r="E9" s="1"/>
      <c r="F9" s="1"/>
      <c r="G9" s="1"/>
      <c r="H9" s="1"/>
      <c r="I9" s="1"/>
    </row>
    <row r="10" spans="1:9" x14ac:dyDescent="0.2">
      <c r="B10" s="16" t="s">
        <v>68</v>
      </c>
      <c r="C10" s="20">
        <v>8582.4</v>
      </c>
      <c r="D10" s="20">
        <v>9612.2900000000009</v>
      </c>
      <c r="E10" s="20">
        <v>11150.25</v>
      </c>
      <c r="F10" s="20">
        <v>12934.29</v>
      </c>
      <c r="G10" s="20">
        <v>14745.1</v>
      </c>
      <c r="H10" s="20">
        <v>16661.96</v>
      </c>
      <c r="I10" s="20">
        <v>18661.39</v>
      </c>
    </row>
    <row r="11" spans="1:9" x14ac:dyDescent="0.2">
      <c r="B11" s="16" t="s">
        <v>69</v>
      </c>
      <c r="C11" s="24">
        <v>3</v>
      </c>
      <c r="D11" s="24">
        <v>5.85</v>
      </c>
      <c r="E11" s="24">
        <v>5.3819999999999997</v>
      </c>
      <c r="F11" s="24">
        <v>3.1215600000000001</v>
      </c>
      <c r="G11" s="24">
        <v>2.7469700000000001</v>
      </c>
      <c r="H11" s="24">
        <v>3.29637</v>
      </c>
      <c r="I11" s="24">
        <v>3.6259999999999999</v>
      </c>
    </row>
    <row r="12" spans="1:9" x14ac:dyDescent="0.2">
      <c r="B12" s="5" t="s">
        <v>70</v>
      </c>
      <c r="C12" s="15">
        <f>C10*C11</f>
        <v>25747.199999999997</v>
      </c>
      <c r="D12" s="15">
        <f>D10*D11</f>
        <v>56231.896500000003</v>
      </c>
      <c r="E12" s="15">
        <f>E10*E11</f>
        <v>60010.645499999999</v>
      </c>
      <c r="F12" s="15">
        <f>F10*F11*'README-Assumptions'!$C$12</f>
        <v>40375.162292400004</v>
      </c>
      <c r="G12" s="15">
        <f>G10*G11*'README-Assumptions'!$C$12</f>
        <v>40504.347347000003</v>
      </c>
      <c r="H12" s="15">
        <f>H10*H11</f>
        <v>54923.985085199995</v>
      </c>
      <c r="I12" s="15">
        <f>I10*I11</f>
        <v>67666.200140000001</v>
      </c>
    </row>
    <row r="13" spans="1:9" x14ac:dyDescent="0.2">
      <c r="B13" s="16" t="s">
        <v>71</v>
      </c>
      <c r="C13" s="20">
        <v>953.6</v>
      </c>
      <c r="D13" s="20">
        <v>1068.03</v>
      </c>
      <c r="E13" s="20">
        <v>1238.92</v>
      </c>
      <c r="F13" s="20">
        <v>1437.14</v>
      </c>
      <c r="G13" s="20">
        <v>1638.34</v>
      </c>
      <c r="H13" s="20">
        <v>1851.33</v>
      </c>
      <c r="I13" s="20">
        <v>2073.4899999999998</v>
      </c>
    </row>
    <row r="14" spans="1:9" x14ac:dyDescent="0.2">
      <c r="B14" s="16" t="s">
        <v>72</v>
      </c>
      <c r="C14" s="24">
        <v>3.15</v>
      </c>
      <c r="D14" s="24">
        <v>6.3179999999999996</v>
      </c>
      <c r="E14" s="24">
        <v>5.6510999999999996</v>
      </c>
      <c r="F14" s="24">
        <v>2.7469700000000001</v>
      </c>
      <c r="G14" s="24">
        <v>2.47228</v>
      </c>
      <c r="H14" s="24">
        <v>3.29637</v>
      </c>
      <c r="I14" s="24">
        <v>3.6985199999999998</v>
      </c>
    </row>
    <row r="15" spans="1:9" x14ac:dyDescent="0.2">
      <c r="B15" s="5" t="s">
        <v>73</v>
      </c>
      <c r="C15" s="15">
        <f>C13*C14</f>
        <v>3003.84</v>
      </c>
      <c r="D15" s="15">
        <f>D13*D14</f>
        <v>6747.8135399999992</v>
      </c>
      <c r="E15" s="15">
        <f>E13*E14</f>
        <v>7001.2608119999995</v>
      </c>
      <c r="F15" s="15">
        <f>F13*F14*'README-Assumptions'!$C$12</f>
        <v>3947.7804658000005</v>
      </c>
      <c r="G15" s="15">
        <f>G13*G14*'README-Assumptions'!$C$12</f>
        <v>4050.4352151999997</v>
      </c>
      <c r="H15" s="15">
        <f>H13*H14</f>
        <v>6102.6686720999996</v>
      </c>
      <c r="I15" s="15">
        <f>I13*I14</f>
        <v>7668.844234799999</v>
      </c>
    </row>
    <row r="16" spans="1:9" x14ac:dyDescent="0.2">
      <c r="B16" s="5" t="s">
        <v>74</v>
      </c>
      <c r="C16" s="18">
        <f t="shared" ref="C16:I16" si="1">C8+C12+C15</f>
        <v>49469.039999999994</v>
      </c>
      <c r="D16" s="18">
        <f t="shared" si="1"/>
        <v>102157.44804</v>
      </c>
      <c r="E16" s="18">
        <f t="shared" si="1"/>
        <v>119306.33035199999</v>
      </c>
      <c r="F16" s="18">
        <f t="shared" si="1"/>
        <v>97349.562653400004</v>
      </c>
      <c r="G16" s="18">
        <f t="shared" si="1"/>
        <v>102777.8658366</v>
      </c>
      <c r="H16" s="18">
        <f t="shared" si="1"/>
        <v>131791.14113009998</v>
      </c>
      <c r="I16" s="18">
        <f t="shared" si="1"/>
        <v>159969.26017639998</v>
      </c>
    </row>
    <row r="17" spans="1:9" x14ac:dyDescent="0.2">
      <c r="B17" s="13" t="s">
        <v>75</v>
      </c>
      <c r="C17" s="25">
        <f t="shared" ref="C17:I17" si="2">C6+C10+C13</f>
        <v>10687</v>
      </c>
      <c r="D17" s="25">
        <f t="shared" si="2"/>
        <v>12464.37</v>
      </c>
      <c r="E17" s="25">
        <f t="shared" si="2"/>
        <v>14922.52</v>
      </c>
      <c r="F17" s="25">
        <f t="shared" si="2"/>
        <v>17664.79</v>
      </c>
      <c r="G17" s="25">
        <f t="shared" si="2"/>
        <v>20401.330000000002</v>
      </c>
      <c r="H17" s="25">
        <f t="shared" si="2"/>
        <v>23254.409999999996</v>
      </c>
      <c r="I17" s="25">
        <f t="shared" si="2"/>
        <v>26187.159999999996</v>
      </c>
    </row>
    <row r="18" spans="1:9" x14ac:dyDescent="0.2">
      <c r="A18" s="1" t="s">
        <v>76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B19" s="16" t="s">
        <v>77</v>
      </c>
      <c r="C19" s="20">
        <v>218922.88</v>
      </c>
      <c r="D19" s="20">
        <v>240815.17</v>
      </c>
      <c r="E19" s="20">
        <v>279345.59000000003</v>
      </c>
      <c r="F19" s="20">
        <v>324040.89</v>
      </c>
      <c r="G19" s="20">
        <v>369406.61</v>
      </c>
      <c r="H19" s="20">
        <v>417429.47</v>
      </c>
      <c r="I19" s="20">
        <v>467521.01</v>
      </c>
    </row>
    <row r="20" spans="1:9" x14ac:dyDescent="0.2">
      <c r="B20" s="16" t="s">
        <v>78</v>
      </c>
      <c r="C20" s="24">
        <v>0.06</v>
      </c>
      <c r="D20" s="24">
        <v>0.123</v>
      </c>
      <c r="E20" s="24">
        <v>0.11316</v>
      </c>
      <c r="F20" s="24">
        <v>6.2239999999999997E-2</v>
      </c>
      <c r="G20" s="24">
        <v>5.4769999999999999E-2</v>
      </c>
      <c r="H20" s="24">
        <v>6.6820000000000004E-2</v>
      </c>
      <c r="I20" s="24">
        <v>7.4840000000000004E-2</v>
      </c>
    </row>
    <row r="21" spans="1:9" x14ac:dyDescent="0.2">
      <c r="B21" s="5" t="s">
        <v>79</v>
      </c>
      <c r="C21" s="15">
        <f>C19*C20</f>
        <v>13135.372799999999</v>
      </c>
      <c r="D21" s="15">
        <f>D19*D20</f>
        <v>29620.265910000002</v>
      </c>
      <c r="E21" s="15">
        <f>E19*E20</f>
        <v>31610.746964400001</v>
      </c>
      <c r="F21" s="15">
        <f>F19*F20*'README-Assumptions'!$C$12</f>
        <v>20168.304993599999</v>
      </c>
      <c r="G21" s="15">
        <f>G19*G20*'README-Assumptions'!$C$12</f>
        <v>20232.400029699998</v>
      </c>
      <c r="H21" s="15">
        <f>H19*H20</f>
        <v>27892.637185399999</v>
      </c>
      <c r="I21" s="15">
        <f>I19*I20</f>
        <v>34989.272388400001</v>
      </c>
    </row>
    <row r="22" spans="1:9" x14ac:dyDescent="0.2">
      <c r="B22" s="16" t="s">
        <v>80</v>
      </c>
      <c r="C22" s="20">
        <v>29853.119999999999</v>
      </c>
      <c r="D22" s="20">
        <v>32838.43</v>
      </c>
      <c r="E22" s="20">
        <v>38092.58</v>
      </c>
      <c r="F22" s="20">
        <v>44187.39</v>
      </c>
      <c r="G22" s="20">
        <v>50373.63</v>
      </c>
      <c r="H22" s="20">
        <v>56922.2</v>
      </c>
      <c r="I22" s="20">
        <v>63752.87</v>
      </c>
    </row>
    <row r="23" spans="1:9" x14ac:dyDescent="0.2">
      <c r="B23" s="16" t="s">
        <v>81</v>
      </c>
      <c r="C23" s="24">
        <v>6.3E-2</v>
      </c>
      <c r="D23" s="24">
        <v>0.13284000000000001</v>
      </c>
      <c r="E23" s="24">
        <v>0.11882</v>
      </c>
      <c r="F23" s="24">
        <v>5.4769999999999999E-2</v>
      </c>
      <c r="G23" s="24">
        <v>4.929E-2</v>
      </c>
      <c r="H23" s="24">
        <v>6.6820000000000004E-2</v>
      </c>
      <c r="I23" s="24">
        <v>7.6329999999999995E-2</v>
      </c>
    </row>
    <row r="24" spans="1:9" x14ac:dyDescent="0.2">
      <c r="B24" s="5" t="s">
        <v>82</v>
      </c>
      <c r="C24" s="15">
        <f>C22*C23</f>
        <v>1880.74656</v>
      </c>
      <c r="D24" s="15">
        <f>D22*D23</f>
        <v>4362.2570412000005</v>
      </c>
      <c r="E24" s="15">
        <f>E22*E23</f>
        <v>4526.1603556</v>
      </c>
      <c r="F24" s="15">
        <f>F22*F23*'README-Assumptions'!$C$12</f>
        <v>2420.1433502999998</v>
      </c>
      <c r="G24" s="15">
        <f>G22*G23*'README-Assumptions'!$C$12</f>
        <v>2482.9162226999997</v>
      </c>
      <c r="H24" s="15">
        <f>H22*H23</f>
        <v>3803.5414040000001</v>
      </c>
      <c r="I24" s="15">
        <f>I22*I23</f>
        <v>4866.2565671000002</v>
      </c>
    </row>
    <row r="25" spans="1:9" x14ac:dyDescent="0.2">
      <c r="B25" s="5" t="s">
        <v>83</v>
      </c>
      <c r="C25" s="18">
        <f t="shared" ref="C25:I25" si="3">C21+C24</f>
        <v>15016.119359999999</v>
      </c>
      <c r="D25" s="18">
        <f t="shared" si="3"/>
        <v>33982.522951200001</v>
      </c>
      <c r="E25" s="18">
        <f t="shared" si="3"/>
        <v>36136.907319999998</v>
      </c>
      <c r="F25" s="18">
        <f t="shared" si="3"/>
        <v>22588.4483439</v>
      </c>
      <c r="G25" s="18">
        <f t="shared" si="3"/>
        <v>22715.3162524</v>
      </c>
      <c r="H25" s="18">
        <f t="shared" si="3"/>
        <v>31696.178589399999</v>
      </c>
      <c r="I25" s="18">
        <f t="shared" si="3"/>
        <v>39855.528955499998</v>
      </c>
    </row>
    <row r="26" spans="1:9" x14ac:dyDescent="0.2">
      <c r="B26" s="13" t="s">
        <v>84</v>
      </c>
      <c r="C26" s="25">
        <f t="shared" ref="C26:I26" si="4">C19+C22</f>
        <v>248776</v>
      </c>
      <c r="D26" s="25">
        <f t="shared" si="4"/>
        <v>273653.60000000003</v>
      </c>
      <c r="E26" s="25">
        <f t="shared" si="4"/>
        <v>317438.17000000004</v>
      </c>
      <c r="F26" s="25">
        <f t="shared" si="4"/>
        <v>368228.28</v>
      </c>
      <c r="G26" s="25">
        <f t="shared" si="4"/>
        <v>419780.24</v>
      </c>
      <c r="H26" s="25">
        <f t="shared" si="4"/>
        <v>474351.67</v>
      </c>
      <c r="I26" s="25">
        <f t="shared" si="4"/>
        <v>531273.88</v>
      </c>
    </row>
    <row r="27" spans="1:9" x14ac:dyDescent="0.2">
      <c r="A27" s="1" t="s">
        <v>85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B28" s="5" t="s">
        <v>86</v>
      </c>
      <c r="C28" s="18">
        <f t="shared" ref="C28:I28" si="5">C16+C25</f>
        <v>64485.159359999991</v>
      </c>
      <c r="D28" s="18">
        <f t="shared" si="5"/>
        <v>136139.97099120001</v>
      </c>
      <c r="E28" s="18">
        <f t="shared" si="5"/>
        <v>155443.23767199999</v>
      </c>
      <c r="F28" s="18">
        <f t="shared" si="5"/>
        <v>119938.01099730001</v>
      </c>
      <c r="G28" s="18">
        <f t="shared" si="5"/>
        <v>125493.18208900001</v>
      </c>
      <c r="H28" s="18">
        <f t="shared" si="5"/>
        <v>163487.31971949997</v>
      </c>
      <c r="I28" s="18">
        <f t="shared" si="5"/>
        <v>199824.78913189998</v>
      </c>
    </row>
    <row r="29" spans="1:9" x14ac:dyDescent="0.2">
      <c r="B29" s="16" t="s">
        <v>87</v>
      </c>
      <c r="C29" s="19">
        <f t="shared" ref="C29:I29" si="6">C16/C28</f>
        <v>0.76713836937007762</v>
      </c>
      <c r="D29" s="19">
        <f t="shared" si="6"/>
        <v>0.75038541066387765</v>
      </c>
      <c r="E29" s="19">
        <f t="shared" si="6"/>
        <v>0.76752345189661897</v>
      </c>
      <c r="F29" s="19">
        <f t="shared" si="6"/>
        <v>0.81166564164209376</v>
      </c>
      <c r="G29" s="19">
        <f t="shared" si="6"/>
        <v>0.81899163066651492</v>
      </c>
      <c r="H29" s="19">
        <f t="shared" si="6"/>
        <v>0.80612454443695047</v>
      </c>
      <c r="I29" s="19">
        <f t="shared" si="6"/>
        <v>0.80054762410287228</v>
      </c>
    </row>
    <row r="30" spans="1:9" x14ac:dyDescent="0.2">
      <c r="B30" s="16" t="s">
        <v>88</v>
      </c>
      <c r="C30" s="19">
        <f t="shared" ref="C30:I30" si="7">C8/C16</f>
        <v>0.41880739953716511</v>
      </c>
      <c r="D30" s="19">
        <f t="shared" si="7"/>
        <v>0.38350349144058354</v>
      </c>
      <c r="E30" s="19">
        <f t="shared" si="7"/>
        <v>0.43832061455340332</v>
      </c>
      <c r="F30" s="19">
        <f t="shared" si="7"/>
        <v>0.5447032164283484</v>
      </c>
      <c r="G30" s="19">
        <f t="shared" si="7"/>
        <v>0.5664943789255672</v>
      </c>
      <c r="H30" s="19">
        <f t="shared" si="7"/>
        <v>0.53694418885821449</v>
      </c>
      <c r="I30" s="19">
        <f t="shared" si="7"/>
        <v>0.52906549488491006</v>
      </c>
    </row>
    <row r="31" spans="1:9" x14ac:dyDescent="0.2">
      <c r="B31" s="16" t="s">
        <v>89</v>
      </c>
      <c r="D31" s="19">
        <f t="shared" ref="D31:I31" si="8">D28/C28-1</f>
        <v>1.1111829813612486</v>
      </c>
      <c r="E31" s="19">
        <f t="shared" si="8"/>
        <v>0.14178985451706705</v>
      </c>
      <c r="F31" s="19">
        <f t="shared" si="8"/>
        <v>-0.22841280975901557</v>
      </c>
      <c r="G31" s="19">
        <f t="shared" si="8"/>
        <v>4.6317018645782415E-2</v>
      </c>
      <c r="H31" s="19">
        <f t="shared" si="8"/>
        <v>0.3027585801717454</v>
      </c>
      <c r="I31" s="19">
        <f t="shared" si="8"/>
        <v>0.22226475713679372</v>
      </c>
    </row>
  </sheetData>
  <mergeCells count="4">
    <mergeCell ref="A5:I5"/>
    <mergeCell ref="A9:I9"/>
    <mergeCell ref="A18:I18"/>
    <mergeCell ref="A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2.5" customWidth="1"/>
    <col min="2" max="2" width="44" customWidth="1"/>
    <col min="3" max="9" width="12.5" customWidth="1"/>
  </cols>
  <sheetData>
    <row r="1" spans="1:9" ht="16" x14ac:dyDescent="0.2">
      <c r="A1" s="7" t="s">
        <v>90</v>
      </c>
    </row>
    <row r="2" spans="1:9" x14ac:dyDescent="0.2">
      <c r="A2" s="26" t="s">
        <v>91</v>
      </c>
    </row>
    <row r="4" spans="1:9" x14ac:dyDescent="0.2">
      <c r="A4" s="8"/>
      <c r="B4" s="9" t="s">
        <v>92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25</v>
      </c>
    </row>
    <row r="5" spans="1:9" x14ac:dyDescent="0.2">
      <c r="A5" s="1" t="s">
        <v>93</v>
      </c>
      <c r="B5" s="1"/>
      <c r="C5" s="1"/>
      <c r="D5" s="1"/>
      <c r="E5" s="1"/>
      <c r="F5" s="1"/>
      <c r="G5" s="1"/>
      <c r="H5" s="1"/>
      <c r="I5" s="1"/>
    </row>
    <row r="6" spans="1:9" x14ac:dyDescent="0.2">
      <c r="B6" s="16" t="s">
        <v>94</v>
      </c>
      <c r="C6" s="27">
        <v>600</v>
      </c>
      <c r="D6" s="27">
        <v>610</v>
      </c>
      <c r="E6" s="27">
        <v>625</v>
      </c>
      <c r="F6" s="27">
        <v>640</v>
      </c>
      <c r="G6" s="27">
        <v>655</v>
      </c>
      <c r="H6" s="27">
        <v>670</v>
      </c>
      <c r="I6" s="27">
        <v>685</v>
      </c>
    </row>
    <row r="7" spans="1:9" x14ac:dyDescent="0.2">
      <c r="B7" s="16" t="s">
        <v>95</v>
      </c>
      <c r="C7" s="27">
        <v>820</v>
      </c>
      <c r="D7" s="27">
        <v>820</v>
      </c>
      <c r="E7" s="27">
        <v>810</v>
      </c>
      <c r="F7" s="27">
        <v>800</v>
      </c>
      <c r="G7" s="27">
        <v>800</v>
      </c>
      <c r="H7" s="27">
        <v>800</v>
      </c>
      <c r="I7" s="27">
        <v>800</v>
      </c>
    </row>
    <row r="8" spans="1:9" x14ac:dyDescent="0.2">
      <c r="B8" s="16" t="s">
        <v>96</v>
      </c>
      <c r="C8" s="27">
        <v>19</v>
      </c>
      <c r="D8" s="27">
        <v>20</v>
      </c>
      <c r="E8" s="27">
        <v>21</v>
      </c>
      <c r="F8" s="27">
        <v>22</v>
      </c>
      <c r="G8" s="27">
        <v>23</v>
      </c>
      <c r="H8" s="27">
        <v>24</v>
      </c>
      <c r="I8" s="27">
        <v>25</v>
      </c>
    </row>
    <row r="9" spans="1:9" x14ac:dyDescent="0.2">
      <c r="B9" s="16" t="s">
        <v>97</v>
      </c>
      <c r="C9" s="14">
        <v>0.9</v>
      </c>
      <c r="D9" s="14">
        <v>0.9</v>
      </c>
      <c r="E9" s="14">
        <v>0.91</v>
      </c>
      <c r="F9" s="14">
        <v>0.91</v>
      </c>
      <c r="G9" s="14">
        <v>0.92</v>
      </c>
      <c r="H9" s="14">
        <v>0.92</v>
      </c>
      <c r="I9" s="14">
        <v>0.92</v>
      </c>
    </row>
    <row r="10" spans="1:9" x14ac:dyDescent="0.2">
      <c r="B10" s="5" t="s">
        <v>98</v>
      </c>
      <c r="C10" s="28">
        <f t="shared" ref="C10:I10" si="0">(C6*1000*12*C7*C8*C9)/8/1000000</f>
        <v>12619.8</v>
      </c>
      <c r="D10" s="28">
        <f t="shared" si="0"/>
        <v>13505.4</v>
      </c>
      <c r="E10" s="28">
        <f t="shared" si="0"/>
        <v>14511.65625</v>
      </c>
      <c r="F10" s="28">
        <f t="shared" si="0"/>
        <v>15375.36</v>
      </c>
      <c r="G10" s="28">
        <f t="shared" si="0"/>
        <v>16631.759999999998</v>
      </c>
      <c r="H10" s="28">
        <f t="shared" si="0"/>
        <v>17752.32</v>
      </c>
      <c r="I10" s="28">
        <f t="shared" si="0"/>
        <v>18906</v>
      </c>
    </row>
    <row r="11" spans="1:9" x14ac:dyDescent="0.2">
      <c r="B11" s="13" t="s">
        <v>99</v>
      </c>
      <c r="C11" s="29">
        <f>'Segment-Revenue'!C17</f>
        <v>10687</v>
      </c>
      <c r="D11" s="29">
        <f>'Segment-Revenue'!D17</f>
        <v>12464.37</v>
      </c>
      <c r="E11" s="29">
        <f>'Segment-Revenue'!E17</f>
        <v>14922.52</v>
      </c>
      <c r="F11" s="29">
        <f>'Segment-Revenue'!F17</f>
        <v>17664.79</v>
      </c>
      <c r="G11" s="29">
        <f>'Segment-Revenue'!G17</f>
        <v>20401.330000000002</v>
      </c>
      <c r="H11" s="29">
        <f>'Segment-Revenue'!H17</f>
        <v>23254.409999999996</v>
      </c>
      <c r="I11" s="29">
        <f>'Segment-Revenue'!I17</f>
        <v>26187.159999999996</v>
      </c>
    </row>
    <row r="12" spans="1:9" x14ac:dyDescent="0.2">
      <c r="B12" s="16" t="s">
        <v>100</v>
      </c>
      <c r="C12" s="30">
        <f t="shared" ref="C12:I12" si="1">C11/C10</f>
        <v>0.8468438485554447</v>
      </c>
      <c r="D12" s="30">
        <f t="shared" si="1"/>
        <v>0.92291749966680003</v>
      </c>
      <c r="E12" s="30">
        <f t="shared" si="1"/>
        <v>1.0283126710639938</v>
      </c>
      <c r="F12" s="30">
        <f t="shared" si="1"/>
        <v>1.1489025297619049</v>
      </c>
      <c r="G12" s="30">
        <f t="shared" si="1"/>
        <v>1.226648893442426</v>
      </c>
      <c r="H12" s="30">
        <f t="shared" si="1"/>
        <v>1.3099363914125026</v>
      </c>
      <c r="I12" s="30">
        <f t="shared" si="1"/>
        <v>1.3851242991642863</v>
      </c>
    </row>
    <row r="13" spans="1:9" x14ac:dyDescent="0.2">
      <c r="A13" s="1" t="s">
        <v>101</v>
      </c>
      <c r="B13" s="1"/>
      <c r="C13" s="1"/>
      <c r="D13" s="1"/>
      <c r="E13" s="1"/>
      <c r="F13" s="1"/>
      <c r="G13" s="1"/>
      <c r="H13" s="1"/>
      <c r="I13" s="1"/>
    </row>
    <row r="14" spans="1:9" x14ac:dyDescent="0.2">
      <c r="B14" s="16" t="s">
        <v>94</v>
      </c>
      <c r="C14" s="27">
        <v>150</v>
      </c>
      <c r="D14" s="27">
        <v>152</v>
      </c>
      <c r="E14" s="27">
        <v>155</v>
      </c>
      <c r="F14" s="27">
        <v>158</v>
      </c>
      <c r="G14" s="27">
        <v>161</v>
      </c>
      <c r="H14" s="27">
        <v>164</v>
      </c>
      <c r="I14" s="27">
        <v>167</v>
      </c>
    </row>
    <row r="15" spans="1:9" x14ac:dyDescent="0.2">
      <c r="B15" s="16" t="s">
        <v>95</v>
      </c>
      <c r="C15" s="27">
        <v>350</v>
      </c>
      <c r="D15" s="27">
        <v>350</v>
      </c>
      <c r="E15" s="27">
        <v>345</v>
      </c>
      <c r="F15" s="27">
        <v>340</v>
      </c>
      <c r="G15" s="27">
        <v>340</v>
      </c>
      <c r="H15" s="27">
        <v>340</v>
      </c>
      <c r="I15" s="27">
        <v>340</v>
      </c>
    </row>
    <row r="16" spans="1:9" x14ac:dyDescent="0.2">
      <c r="B16" s="16" t="s">
        <v>102</v>
      </c>
      <c r="C16" s="27">
        <v>1024</v>
      </c>
      <c r="D16" s="27">
        <v>1130</v>
      </c>
      <c r="E16" s="27">
        <v>1240</v>
      </c>
      <c r="F16" s="27">
        <v>1360</v>
      </c>
      <c r="G16" s="27">
        <v>1490</v>
      </c>
      <c r="H16" s="27">
        <v>1630</v>
      </c>
      <c r="I16" s="27">
        <v>1780</v>
      </c>
    </row>
    <row r="17" spans="2:9" x14ac:dyDescent="0.2">
      <c r="B17" s="16" t="s">
        <v>97</v>
      </c>
      <c r="C17" s="14">
        <v>0.88</v>
      </c>
      <c r="D17" s="14">
        <v>0.88</v>
      </c>
      <c r="E17" s="14">
        <v>0.89</v>
      </c>
      <c r="F17" s="14">
        <v>0.9</v>
      </c>
      <c r="G17" s="14">
        <v>0.9</v>
      </c>
      <c r="H17" s="14">
        <v>0.91</v>
      </c>
      <c r="I17" s="14">
        <v>0.91</v>
      </c>
    </row>
    <row r="18" spans="2:9" x14ac:dyDescent="0.2">
      <c r="B18" s="5" t="s">
        <v>103</v>
      </c>
      <c r="C18" s="28">
        <f t="shared" ref="C18:I18" si="2">(C14*1000*12*C15*C16*C17)/8/1000000</f>
        <v>70963.199999999997</v>
      </c>
      <c r="D18" s="28">
        <f t="shared" si="2"/>
        <v>79353.119999999995</v>
      </c>
      <c r="E18" s="28">
        <f t="shared" si="2"/>
        <v>88522.514999999999</v>
      </c>
      <c r="F18" s="28">
        <f t="shared" si="2"/>
        <v>98629.92</v>
      </c>
      <c r="G18" s="28">
        <f t="shared" si="2"/>
        <v>110109.51</v>
      </c>
      <c r="H18" s="28">
        <f t="shared" si="2"/>
        <v>124063.212</v>
      </c>
      <c r="I18" s="28">
        <f t="shared" si="2"/>
        <v>137958.36600000001</v>
      </c>
    </row>
    <row r="19" spans="2:9" x14ac:dyDescent="0.2">
      <c r="B19" s="13" t="s">
        <v>104</v>
      </c>
      <c r="C19" s="29">
        <f>'Segment-Revenue'!C26</f>
        <v>248776</v>
      </c>
      <c r="D19" s="29">
        <f>'Segment-Revenue'!D26</f>
        <v>273653.60000000003</v>
      </c>
      <c r="E19" s="29">
        <f>'Segment-Revenue'!E26</f>
        <v>317438.17000000004</v>
      </c>
      <c r="F19" s="29">
        <f>'Segment-Revenue'!F26</f>
        <v>368228.28</v>
      </c>
      <c r="G19" s="29">
        <f>'Segment-Revenue'!G26</f>
        <v>419780.24</v>
      </c>
      <c r="H19" s="29">
        <f>'Segment-Revenue'!H26</f>
        <v>474351.67</v>
      </c>
      <c r="I19" s="29">
        <f>'Segment-Revenue'!I26</f>
        <v>531273.88</v>
      </c>
    </row>
    <row r="20" spans="2:9" x14ac:dyDescent="0.2">
      <c r="B20" s="16" t="s">
        <v>100</v>
      </c>
      <c r="C20" s="30">
        <f t="shared" ref="C20:I20" si="3">C19/C18</f>
        <v>3.5057043650793651</v>
      </c>
      <c r="D20" s="30">
        <f t="shared" si="3"/>
        <v>3.4485550158582301</v>
      </c>
      <c r="E20" s="30">
        <f t="shared" si="3"/>
        <v>3.585959684945689</v>
      </c>
      <c r="F20" s="30">
        <f t="shared" si="3"/>
        <v>3.7334338302210934</v>
      </c>
      <c r="G20" s="30">
        <f t="shared" si="3"/>
        <v>3.8123885938644175</v>
      </c>
      <c r="H20" s="30">
        <f t="shared" si="3"/>
        <v>3.8234675884419307</v>
      </c>
      <c r="I20" s="30">
        <f t="shared" si="3"/>
        <v>3.8509725463115441</v>
      </c>
    </row>
  </sheetData>
  <mergeCells count="2">
    <mergeCell ref="A5:I5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zoomScaleNormal="100" workbookViewId="0"/>
  </sheetViews>
  <sheetFormatPr baseColWidth="10" defaultColWidth="8.6640625" defaultRowHeight="15" x14ac:dyDescent="0.2"/>
  <cols>
    <col min="1" max="1" width="2.5" customWidth="1"/>
    <col min="2" max="2" width="40" customWidth="1"/>
    <col min="3" max="5" width="13" customWidth="1"/>
  </cols>
  <sheetData>
    <row r="1" spans="1:5" ht="16" x14ac:dyDescent="0.2">
      <c r="A1" s="7" t="s">
        <v>105</v>
      </c>
    </row>
    <row r="2" spans="1:5" x14ac:dyDescent="0.2">
      <c r="A2" s="4" t="s">
        <v>106</v>
      </c>
    </row>
    <row r="4" spans="1:5" x14ac:dyDescent="0.2">
      <c r="A4" s="8"/>
      <c r="B4" s="8"/>
      <c r="C4" s="10" t="s">
        <v>107</v>
      </c>
      <c r="D4" s="10" t="s">
        <v>108</v>
      </c>
      <c r="E4" s="10" t="s">
        <v>109</v>
      </c>
    </row>
    <row r="5" spans="1:5" x14ac:dyDescent="0.2">
      <c r="B5" s="16" t="s">
        <v>27</v>
      </c>
      <c r="C5" s="31">
        <v>21889</v>
      </c>
      <c r="D5" s="31">
        <v>44220</v>
      </c>
      <c r="E5" s="31">
        <v>64898</v>
      </c>
    </row>
    <row r="6" spans="1:5" x14ac:dyDescent="0.2">
      <c r="B6" s="16" t="s">
        <v>31</v>
      </c>
      <c r="C6" s="31">
        <v>-356</v>
      </c>
      <c r="D6" s="31">
        <v>21263</v>
      </c>
      <c r="E6" s="31">
        <v>39208</v>
      </c>
    </row>
    <row r="7" spans="1:5" x14ac:dyDescent="0.2">
      <c r="B7" s="16" t="s">
        <v>110</v>
      </c>
      <c r="C7" s="32">
        <v>-1.6E-2</v>
      </c>
      <c r="D7" s="32">
        <v>0.48099999999999998</v>
      </c>
      <c r="E7" s="32">
        <v>0.60399999999999998</v>
      </c>
    </row>
    <row r="8" spans="1:5" x14ac:dyDescent="0.2">
      <c r="B8" s="16" t="s">
        <v>111</v>
      </c>
      <c r="C8" s="31">
        <v>-5655</v>
      </c>
      <c r="D8" s="31">
        <v>15565</v>
      </c>
      <c r="E8" s="31">
        <v>31283</v>
      </c>
    </row>
    <row r="9" spans="1:5" x14ac:dyDescent="0.2">
      <c r="B9" s="16" t="s">
        <v>112</v>
      </c>
      <c r="C9" s="32">
        <v>-0.25800000000000001</v>
      </c>
      <c r="D9" s="32">
        <v>0.35199999999999998</v>
      </c>
      <c r="E9" s="32">
        <v>0.48199999999999998</v>
      </c>
    </row>
    <row r="10" spans="1:5" x14ac:dyDescent="0.2">
      <c r="B10" s="16" t="s">
        <v>42</v>
      </c>
      <c r="C10" s="31">
        <v>-6088</v>
      </c>
      <c r="D10" s="31">
        <v>13220</v>
      </c>
      <c r="E10" s="31">
        <v>28672</v>
      </c>
    </row>
    <row r="11" spans="1:5" x14ac:dyDescent="0.2">
      <c r="B11" s="16" t="s">
        <v>55</v>
      </c>
      <c r="C11" s="31">
        <v>4468</v>
      </c>
      <c r="D11" s="31">
        <v>20877</v>
      </c>
      <c r="E11" s="31">
        <v>39351</v>
      </c>
    </row>
    <row r="12" spans="1:5" x14ac:dyDescent="0.2">
      <c r="B12" s="16" t="s">
        <v>113</v>
      </c>
      <c r="C12" s="31">
        <v>4836</v>
      </c>
      <c r="D12" s="31">
        <v>11087</v>
      </c>
      <c r="E12" s="31">
        <v>18994</v>
      </c>
    </row>
    <row r="13" spans="1:5" x14ac:dyDescent="0.2">
      <c r="B13" s="16" t="s">
        <v>57</v>
      </c>
      <c r="C13" s="31">
        <v>-368</v>
      </c>
      <c r="D13" s="31">
        <v>9790</v>
      </c>
      <c r="E13" s="31">
        <v>20357</v>
      </c>
    </row>
    <row r="14" spans="1:5" x14ac:dyDescent="0.2">
      <c r="B14" s="16" t="s">
        <v>114</v>
      </c>
      <c r="C14" s="32">
        <v>-1.7000000000000001E-2</v>
      </c>
      <c r="D14" s="32">
        <v>0.221</v>
      </c>
      <c r="E14" s="32">
        <v>0.314</v>
      </c>
    </row>
    <row r="15" spans="1:5" x14ac:dyDescent="0.2">
      <c r="B15" s="16" t="s">
        <v>115</v>
      </c>
    </row>
    <row r="16" spans="1:5" x14ac:dyDescent="0.2">
      <c r="B16" s="4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README-Assumptions</vt:lpstr>
      <vt:lpstr>Income-to-FCF</vt:lpstr>
      <vt:lpstr>Segment-Revenue</vt:lpstr>
      <vt:lpstr>Wafer-to-Bit</vt:lpstr>
      <vt:lpstr>Historicals-FY23-25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Foltin, Thomas J.</cp:lastModifiedBy>
  <cp:revision>0</cp:revision>
  <dcterms:created xsi:type="dcterms:W3CDTF">2026-07-14T13:38:18Z</dcterms:created>
  <dcterms:modified xsi:type="dcterms:W3CDTF">2026-07-14T13:54:41Z</dcterms:modified>
  <dc:language>en-US</dc:language>
</cp:coreProperties>
</file>