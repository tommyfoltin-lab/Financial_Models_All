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tommy\Downloads\"/>
    </mc:Choice>
  </mc:AlternateContent>
  <xr:revisionPtr revIDLastSave="0" documentId="8_{E5908BFF-783E-4404-8A7F-A8F72969459D}" xr6:coauthVersionLast="47" xr6:coauthVersionMax="47" xr10:uidLastSave="{00000000-0000-0000-0000-000000000000}"/>
  <bookViews>
    <workbookView xWindow="-30" yWindow="0" windowWidth="28935" windowHeight="15585" tabRatio="711" activeTab="1" xr2:uid="{00000000-000D-0000-FFFF-FFFF00000000}"/>
  </bookViews>
  <sheets>
    <sheet name="Summary" sheetId="13" r:id="rId1"/>
    <sheet name="Income-Quarterly" sheetId="5" r:id="rId2"/>
    <sheet name="Balance-Sheet-Quarterly" sheetId="6" r:id="rId3"/>
    <sheet name="Cash-Flow-Quarterly" sheetId="7" r:id="rId4"/>
    <sheet name="Ratios-Quarterly" sheetId="8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P4" i="5" l="1"/>
  <c r="BQ4" i="5"/>
  <c r="BR4" i="5"/>
  <c r="BS4" i="5"/>
  <c r="BO4" i="5"/>
  <c r="BO26" i="5"/>
  <c r="BP26" i="5"/>
  <c r="BQ26" i="5"/>
  <c r="BR26" i="5"/>
  <c r="BS26" i="5"/>
  <c r="BO27" i="5"/>
  <c r="BP27" i="5"/>
  <c r="BQ27" i="5"/>
  <c r="BR27" i="5"/>
  <c r="BR34" i="5" s="1"/>
  <c r="BS27" i="5"/>
  <c r="BS34" i="5" s="1"/>
  <c r="BO28" i="5"/>
  <c r="BP28" i="5"/>
  <c r="BQ28" i="5"/>
  <c r="BR28" i="5"/>
  <c r="BS28" i="5"/>
  <c r="BO30" i="5"/>
  <c r="BP30" i="5"/>
  <c r="BQ30" i="5"/>
  <c r="BR30" i="5"/>
  <c r="BS30" i="5"/>
  <c r="BO32" i="5"/>
  <c r="BP32" i="5"/>
  <c r="BQ32" i="5"/>
  <c r="BR32" i="5"/>
  <c r="BS32" i="5"/>
  <c r="BE37" i="5"/>
  <c r="BF37" i="5"/>
  <c r="BG37" i="5"/>
  <c r="BH37" i="5"/>
  <c r="BI37" i="5"/>
  <c r="BJ37" i="5"/>
  <c r="BK37" i="5"/>
  <c r="BL37" i="5"/>
  <c r="BM37" i="5"/>
  <c r="BN37" i="5"/>
  <c r="BD37" i="5"/>
  <c r="BP43" i="5"/>
  <c r="BQ43" i="5"/>
  <c r="BR43" i="5"/>
  <c r="BS43" i="5"/>
  <c r="BP44" i="5"/>
  <c r="BQ44" i="5"/>
  <c r="BR44" i="5"/>
  <c r="BS44" i="5"/>
  <c r="BP45" i="5"/>
  <c r="BQ45" i="5"/>
  <c r="BR45" i="5"/>
  <c r="BS45" i="5"/>
  <c r="BP46" i="5"/>
  <c r="BQ46" i="5"/>
  <c r="BR46" i="5"/>
  <c r="BS46" i="5"/>
  <c r="BP47" i="5"/>
  <c r="BQ47" i="5"/>
  <c r="BR47" i="5"/>
  <c r="BS47" i="5"/>
  <c r="BP48" i="5"/>
  <c r="BQ48" i="5"/>
  <c r="BR48" i="5"/>
  <c r="BS48" i="5"/>
  <c r="BP49" i="5"/>
  <c r="BQ49" i="5"/>
  <c r="BR49" i="5"/>
  <c r="BO50" i="5"/>
  <c r="BP50" i="5"/>
  <c r="BQ50" i="5"/>
  <c r="BR50" i="5"/>
  <c r="BS50" i="5"/>
  <c r="BO51" i="5"/>
  <c r="BP51" i="5"/>
  <c r="BQ51" i="5"/>
  <c r="BR51" i="5"/>
  <c r="BS51" i="5"/>
  <c r="BO52" i="5"/>
  <c r="BP52" i="5"/>
  <c r="BQ52" i="5"/>
  <c r="BR52" i="5"/>
  <c r="BS52" i="5"/>
  <c r="BO53" i="5"/>
  <c r="BP53" i="5"/>
  <c r="BQ53" i="5"/>
  <c r="BR53" i="5"/>
  <c r="BS53" i="5"/>
  <c r="BO54" i="5"/>
  <c r="BP54" i="5"/>
  <c r="BQ54" i="5"/>
  <c r="BR54" i="5"/>
  <c r="BS54" i="5"/>
  <c r="BO55" i="5"/>
  <c r="BP55" i="5"/>
  <c r="BQ55" i="5"/>
  <c r="BR55" i="5"/>
  <c r="BS55" i="5"/>
  <c r="BO56" i="5"/>
  <c r="BP56" i="5"/>
  <c r="BQ56" i="5"/>
  <c r="BR56" i="5"/>
  <c r="BS56" i="5"/>
  <c r="BO57" i="5"/>
  <c r="BP57" i="5"/>
  <c r="BQ57" i="5"/>
  <c r="BR57" i="5"/>
  <c r="BS57" i="5"/>
  <c r="BO58" i="5"/>
  <c r="BP58" i="5"/>
  <c r="BQ58" i="5"/>
  <c r="BR58" i="5"/>
  <c r="BS58" i="5"/>
  <c r="BC24" i="5"/>
  <c r="BC23" i="5"/>
  <c r="BC3" i="5"/>
  <c r="BC5" i="5"/>
  <c r="BC6" i="5"/>
  <c r="BC8" i="5"/>
  <c r="BC9" i="5"/>
  <c r="BC10" i="5"/>
  <c r="BC12" i="5"/>
  <c r="BC13" i="5"/>
  <c r="BC15" i="5"/>
  <c r="BC17" i="5"/>
  <c r="BC19" i="5"/>
  <c r="BC2" i="5"/>
  <c r="BD24" i="5"/>
  <c r="BE24" i="5"/>
  <c r="BF24" i="5"/>
  <c r="BG24" i="5"/>
  <c r="BH24" i="5"/>
  <c r="BI24" i="5"/>
  <c r="BJ24" i="5"/>
  <c r="BK24" i="5"/>
  <c r="BL24" i="5"/>
  <c r="BM24" i="5"/>
  <c r="BN24" i="5"/>
  <c r="BN23" i="5"/>
  <c r="BM23" i="5"/>
  <c r="BL23" i="5"/>
  <c r="BK23" i="5"/>
  <c r="BJ23" i="5"/>
  <c r="BI23" i="5"/>
  <c r="BH23" i="5"/>
  <c r="BG23" i="5"/>
  <c r="BF23" i="5"/>
  <c r="BE23" i="5"/>
  <c r="BD23" i="5"/>
  <c r="BE2" i="5"/>
  <c r="BF2" i="5"/>
  <c r="BG2" i="5"/>
  <c r="BH2" i="5"/>
  <c r="BI2" i="5"/>
  <c r="BJ2" i="5"/>
  <c r="BK2" i="5"/>
  <c r="BL2" i="5"/>
  <c r="BM2" i="5"/>
  <c r="BN2" i="5"/>
  <c r="BE3" i="5"/>
  <c r="BF3" i="5"/>
  <c r="BG3" i="5"/>
  <c r="BH3" i="5"/>
  <c r="BI3" i="5"/>
  <c r="BJ3" i="5"/>
  <c r="BK3" i="5"/>
  <c r="BL3" i="5"/>
  <c r="BM3" i="5"/>
  <c r="BN3" i="5"/>
  <c r="BE5" i="5"/>
  <c r="BF5" i="5"/>
  <c r="BG5" i="5"/>
  <c r="BH5" i="5"/>
  <c r="BI5" i="5"/>
  <c r="BJ5" i="5"/>
  <c r="BK5" i="5"/>
  <c r="BL5" i="5"/>
  <c r="BM5" i="5"/>
  <c r="BE6" i="5"/>
  <c r="BF6" i="5"/>
  <c r="BG6" i="5"/>
  <c r="BH6" i="5"/>
  <c r="BI6" i="5"/>
  <c r="BJ6" i="5"/>
  <c r="BK6" i="5"/>
  <c r="BL6" i="5"/>
  <c r="BM6" i="5"/>
  <c r="BE8" i="5"/>
  <c r="BF8" i="5"/>
  <c r="BG8" i="5"/>
  <c r="BH8" i="5"/>
  <c r="BI8" i="5"/>
  <c r="BJ8" i="5"/>
  <c r="BK8" i="5"/>
  <c r="BL8" i="5"/>
  <c r="BM8" i="5"/>
  <c r="BE9" i="5"/>
  <c r="BF9" i="5"/>
  <c r="BG9" i="5"/>
  <c r="BH9" i="5"/>
  <c r="BI9" i="5"/>
  <c r="BJ9" i="5"/>
  <c r="BK9" i="5"/>
  <c r="BL9" i="5"/>
  <c r="BM9" i="5"/>
  <c r="BE10" i="5"/>
  <c r="BF10" i="5"/>
  <c r="BG10" i="5"/>
  <c r="BH10" i="5"/>
  <c r="BI10" i="5"/>
  <c r="BJ10" i="5"/>
  <c r="BK10" i="5"/>
  <c r="BL10" i="5"/>
  <c r="BM10" i="5"/>
  <c r="BE12" i="5"/>
  <c r="BF12" i="5"/>
  <c r="BG12" i="5"/>
  <c r="BH12" i="5"/>
  <c r="BI12" i="5"/>
  <c r="BJ12" i="5"/>
  <c r="BK12" i="5"/>
  <c r="BL12" i="5"/>
  <c r="BM12" i="5"/>
  <c r="BE13" i="5"/>
  <c r="BF13" i="5"/>
  <c r="BG13" i="5"/>
  <c r="BH13" i="5"/>
  <c r="BI13" i="5"/>
  <c r="BJ13" i="5"/>
  <c r="BK13" i="5"/>
  <c r="BL13" i="5"/>
  <c r="BM13" i="5"/>
  <c r="BE15" i="5"/>
  <c r="BF15" i="5"/>
  <c r="BG15" i="5"/>
  <c r="BH15" i="5"/>
  <c r="BI15" i="5"/>
  <c r="BJ15" i="5"/>
  <c r="BK15" i="5"/>
  <c r="BL15" i="5"/>
  <c r="BM15" i="5"/>
  <c r="BE17" i="5"/>
  <c r="BF17" i="5"/>
  <c r="BG17" i="5"/>
  <c r="BH17" i="5"/>
  <c r="BI17" i="5"/>
  <c r="BJ17" i="5"/>
  <c r="BK17" i="5"/>
  <c r="BL17" i="5"/>
  <c r="BM17" i="5"/>
  <c r="BE19" i="5"/>
  <c r="BF19" i="5"/>
  <c r="BG19" i="5"/>
  <c r="BH19" i="5"/>
  <c r="BI19" i="5"/>
  <c r="BJ19" i="5"/>
  <c r="BK19" i="5"/>
  <c r="BL19" i="5"/>
  <c r="BM19" i="5"/>
  <c r="BD3" i="5"/>
  <c r="BD5" i="5"/>
  <c r="BD6" i="5"/>
  <c r="BD8" i="5"/>
  <c r="BD9" i="5"/>
  <c r="BD10" i="5"/>
  <c r="BD12" i="5"/>
  <c r="BD13" i="5"/>
  <c r="BD15" i="5"/>
  <c r="BD17" i="5"/>
  <c r="BD19" i="5"/>
  <c r="BD2" i="5"/>
  <c r="M11" i="13"/>
  <c r="M12" i="13"/>
  <c r="M13" i="13"/>
  <c r="M14" i="13"/>
  <c r="M15" i="13"/>
  <c r="M16" i="13"/>
  <c r="M17" i="13"/>
  <c r="M18" i="13"/>
  <c r="M19" i="13"/>
  <c r="M20" i="13"/>
  <c r="M21" i="13"/>
  <c r="M22" i="13"/>
  <c r="M23" i="13"/>
  <c r="M24" i="13"/>
  <c r="M25" i="13"/>
  <c r="M26" i="13"/>
  <c r="M27" i="13"/>
  <c r="M28" i="13"/>
  <c r="M29" i="13"/>
  <c r="M30" i="13"/>
  <c r="J30" i="13"/>
  <c r="J29" i="13"/>
  <c r="J28" i="13"/>
  <c r="J27" i="13"/>
  <c r="J26" i="13"/>
  <c r="J25" i="13"/>
  <c r="M35" i="13"/>
  <c r="J24" i="13"/>
  <c r="J35" i="13" s="1"/>
  <c r="J23" i="13"/>
  <c r="J22" i="13"/>
  <c r="M34" i="13"/>
  <c r="J21" i="13"/>
  <c r="J34" i="13" s="1"/>
  <c r="J20" i="13"/>
  <c r="J19" i="13"/>
  <c r="J18" i="13"/>
  <c r="J17" i="13"/>
  <c r="J16" i="13"/>
  <c r="J15" i="13"/>
  <c r="J14" i="13"/>
  <c r="J13" i="13"/>
  <c r="J12" i="13"/>
  <c r="J11" i="13"/>
  <c r="B4" i="13"/>
  <c r="B2" i="13"/>
  <c r="B3" i="13" s="1"/>
  <c r="AU4" i="5"/>
  <c r="AV4" i="5"/>
  <c r="AW4" i="5"/>
  <c r="AW40" i="5"/>
  <c r="AW41" i="5"/>
  <c r="C4" i="5"/>
  <c r="D4" i="5"/>
  <c r="E4" i="5"/>
  <c r="F4" i="5"/>
  <c r="G4" i="5"/>
  <c r="H4" i="5"/>
  <c r="I4" i="5"/>
  <c r="J4" i="5"/>
  <c r="K4" i="5"/>
  <c r="L4" i="5"/>
  <c r="M4" i="5"/>
  <c r="N4" i="5"/>
  <c r="O4" i="5"/>
  <c r="P4" i="5"/>
  <c r="Q4" i="5"/>
  <c r="R4" i="5"/>
  <c r="S4" i="5"/>
  <c r="T4" i="5"/>
  <c r="U4" i="5"/>
  <c r="V4" i="5"/>
  <c r="W4" i="5"/>
  <c r="X4" i="5"/>
  <c r="Y4" i="5"/>
  <c r="Z4" i="5"/>
  <c r="AA4" i="5"/>
  <c r="AB4" i="5"/>
  <c r="AC4" i="5"/>
  <c r="AD4" i="5"/>
  <c r="AE4" i="5"/>
  <c r="AF4" i="5"/>
  <c r="AG4" i="5"/>
  <c r="AH4" i="5"/>
  <c r="AI4" i="5"/>
  <c r="AJ4" i="5"/>
  <c r="AK4" i="5"/>
  <c r="AL4" i="5"/>
  <c r="AM4" i="5"/>
  <c r="AN4" i="5"/>
  <c r="AO4" i="5"/>
  <c r="AP4" i="5"/>
  <c r="AQ4" i="5"/>
  <c r="AR4" i="5"/>
  <c r="AS4" i="5"/>
  <c r="AT4" i="5"/>
  <c r="B4" i="5"/>
  <c r="BC4" i="5" s="1"/>
  <c r="BO33" i="5" l="1"/>
  <c r="BO43" i="5"/>
  <c r="BO44" i="5"/>
  <c r="BO45" i="5"/>
  <c r="BO46" i="5"/>
  <c r="BO47" i="5"/>
  <c r="BO48" i="5"/>
  <c r="BO49" i="5"/>
  <c r="BO34" i="5"/>
  <c r="BO37" i="5"/>
  <c r="BO42" i="5"/>
  <c r="BO40" i="5"/>
  <c r="BP33" i="5"/>
  <c r="BP34" i="5"/>
  <c r="BP37" i="5"/>
  <c r="BP42" i="5"/>
  <c r="BP40" i="5"/>
  <c r="BQ33" i="5"/>
  <c r="BQ34" i="5"/>
  <c r="BQ37" i="5"/>
  <c r="BQ42" i="5"/>
  <c r="BQ40" i="5"/>
  <c r="BR33" i="5"/>
  <c r="BR37" i="5"/>
  <c r="BR42" i="5"/>
  <c r="BR40" i="5"/>
  <c r="BS33" i="5"/>
  <c r="BS37" i="5"/>
  <c r="BS42" i="5"/>
  <c r="BS40" i="5"/>
  <c r="BS49" i="5"/>
  <c r="BC42" i="5"/>
  <c r="BC41" i="5"/>
  <c r="BC43" i="5"/>
  <c r="BC44" i="5"/>
  <c r="BC46" i="5"/>
  <c r="BC47" i="5"/>
  <c r="BC48" i="5"/>
  <c r="BC50" i="5"/>
  <c r="BC51" i="5"/>
  <c r="BC53" i="5"/>
  <c r="BC55" i="5"/>
  <c r="BC57" i="5"/>
  <c r="BC40" i="5"/>
  <c r="C7" i="5"/>
  <c r="C45" i="5" s="1"/>
  <c r="C47" i="5"/>
  <c r="C36" i="5"/>
  <c r="C43" i="5"/>
  <c r="C51" i="5"/>
  <c r="C50" i="5"/>
  <c r="C44" i="5"/>
  <c r="C57" i="5"/>
  <c r="C46" i="5"/>
  <c r="C55" i="5"/>
  <c r="C42" i="5"/>
  <c r="C48" i="5"/>
  <c r="C53" i="5"/>
  <c r="C41" i="5"/>
  <c r="C40" i="5"/>
  <c r="D7" i="5"/>
  <c r="D45" i="5" s="1"/>
  <c r="D57" i="5"/>
  <c r="D51" i="5"/>
  <c r="D53" i="5"/>
  <c r="D41" i="5"/>
  <c r="D44" i="5"/>
  <c r="D42" i="5"/>
  <c r="D50" i="5"/>
  <c r="D43" i="5"/>
  <c r="D47" i="5"/>
  <c r="D55" i="5"/>
  <c r="D46" i="5"/>
  <c r="D48" i="5"/>
  <c r="D36" i="5"/>
  <c r="D40" i="5"/>
  <c r="E7" i="5"/>
  <c r="E45" i="5" s="1"/>
  <c r="E55" i="5"/>
  <c r="E46" i="5"/>
  <c r="E36" i="5"/>
  <c r="E53" i="5"/>
  <c r="E44" i="5"/>
  <c r="E48" i="5"/>
  <c r="E51" i="5"/>
  <c r="E47" i="5"/>
  <c r="E57" i="5"/>
  <c r="E40" i="5"/>
  <c r="E42" i="5"/>
  <c r="E41" i="5"/>
  <c r="E50" i="5"/>
  <c r="E43" i="5"/>
  <c r="F7" i="5"/>
  <c r="F47" i="5"/>
  <c r="F41" i="5"/>
  <c r="F44" i="5"/>
  <c r="F37" i="5"/>
  <c r="F51" i="5"/>
  <c r="F40" i="5"/>
  <c r="F53" i="5"/>
  <c r="F43" i="5"/>
  <c r="F36" i="5"/>
  <c r="F57" i="5"/>
  <c r="F48" i="5"/>
  <c r="F42" i="5"/>
  <c r="F55" i="5"/>
  <c r="F50" i="5"/>
  <c r="F46" i="5"/>
  <c r="BD4" i="5"/>
  <c r="G7" i="5"/>
  <c r="G57" i="5"/>
  <c r="G46" i="5"/>
  <c r="G41" i="5"/>
  <c r="G55" i="5"/>
  <c r="G48" i="5"/>
  <c r="G51" i="5"/>
  <c r="G40" i="5"/>
  <c r="G42" i="5"/>
  <c r="G47" i="5"/>
  <c r="G44" i="5"/>
  <c r="G36" i="5"/>
  <c r="G50" i="5"/>
  <c r="G37" i="5"/>
  <c r="G43" i="5"/>
  <c r="G53" i="5"/>
  <c r="H7" i="5"/>
  <c r="H45" i="5" s="1"/>
  <c r="H41" i="5"/>
  <c r="H46" i="5"/>
  <c r="H40" i="5"/>
  <c r="H43" i="5"/>
  <c r="H48" i="5"/>
  <c r="H44" i="5"/>
  <c r="H53" i="5"/>
  <c r="H47" i="5"/>
  <c r="H37" i="5"/>
  <c r="H36" i="5"/>
  <c r="H50" i="5"/>
  <c r="H51" i="5"/>
  <c r="H42" i="5"/>
  <c r="H55" i="5"/>
  <c r="H57" i="5"/>
  <c r="I7" i="5"/>
  <c r="I45" i="5" s="1"/>
  <c r="I55" i="5"/>
  <c r="I53" i="5"/>
  <c r="I37" i="5"/>
  <c r="I57" i="5"/>
  <c r="I40" i="5"/>
  <c r="I48" i="5"/>
  <c r="I42" i="5"/>
  <c r="I41" i="5"/>
  <c r="I46" i="5"/>
  <c r="I50" i="5"/>
  <c r="I43" i="5"/>
  <c r="I51" i="5"/>
  <c r="I36" i="5"/>
  <c r="I47" i="5"/>
  <c r="I44" i="5"/>
  <c r="J7" i="5"/>
  <c r="J55" i="5"/>
  <c r="J47" i="5"/>
  <c r="J36" i="5"/>
  <c r="J43" i="5"/>
  <c r="J46" i="5"/>
  <c r="J41" i="5"/>
  <c r="J48" i="5"/>
  <c r="J57" i="5"/>
  <c r="J50" i="5"/>
  <c r="J44" i="5"/>
  <c r="J40" i="5"/>
  <c r="J53" i="5"/>
  <c r="J51" i="5"/>
  <c r="BE4" i="5"/>
  <c r="J42" i="5"/>
  <c r="J37" i="5"/>
  <c r="K7" i="5"/>
  <c r="K42" i="5"/>
  <c r="K50" i="5"/>
  <c r="K40" i="5"/>
  <c r="K46" i="5"/>
  <c r="K51" i="5"/>
  <c r="K41" i="5"/>
  <c r="K48" i="5"/>
  <c r="K36" i="5"/>
  <c r="K47" i="5"/>
  <c r="K43" i="5"/>
  <c r="K44" i="5"/>
  <c r="K55" i="5"/>
  <c r="K53" i="5"/>
  <c r="K57" i="5"/>
  <c r="K37" i="5"/>
  <c r="L7" i="5"/>
  <c r="L46" i="5"/>
  <c r="L50" i="5"/>
  <c r="L55" i="5"/>
  <c r="L44" i="5"/>
  <c r="L57" i="5"/>
  <c r="L51" i="5"/>
  <c r="L41" i="5"/>
  <c r="L48" i="5"/>
  <c r="L42" i="5"/>
  <c r="L43" i="5"/>
  <c r="L47" i="5"/>
  <c r="L53" i="5"/>
  <c r="L36" i="5"/>
  <c r="L40" i="5"/>
  <c r="L37" i="5"/>
  <c r="M7" i="5"/>
  <c r="M45" i="5" s="1"/>
  <c r="M40" i="5"/>
  <c r="M50" i="5"/>
  <c r="M47" i="5"/>
  <c r="M53" i="5"/>
  <c r="M44" i="5"/>
  <c r="M42" i="5"/>
  <c r="M48" i="5"/>
  <c r="M51" i="5"/>
  <c r="M46" i="5"/>
  <c r="M36" i="5"/>
  <c r="M57" i="5"/>
  <c r="M37" i="5"/>
  <c r="M55" i="5"/>
  <c r="M41" i="5"/>
  <c r="M43" i="5"/>
  <c r="N7" i="5"/>
  <c r="N42" i="5"/>
  <c r="N57" i="5"/>
  <c r="N41" i="5"/>
  <c r="N44" i="5"/>
  <c r="N51" i="5"/>
  <c r="N47" i="5"/>
  <c r="N50" i="5"/>
  <c r="N48" i="5"/>
  <c r="BF4" i="5"/>
  <c r="N46" i="5"/>
  <c r="N53" i="5"/>
  <c r="N43" i="5"/>
  <c r="N36" i="5"/>
  <c r="N40" i="5"/>
  <c r="N55" i="5"/>
  <c r="N37" i="5"/>
  <c r="O7" i="5"/>
  <c r="O45" i="5" s="1"/>
  <c r="O37" i="5"/>
  <c r="O47" i="5"/>
  <c r="O50" i="5"/>
  <c r="O46" i="5"/>
  <c r="O48" i="5"/>
  <c r="O36" i="5"/>
  <c r="O44" i="5"/>
  <c r="O40" i="5"/>
  <c r="O43" i="5"/>
  <c r="O51" i="5"/>
  <c r="O57" i="5"/>
  <c r="O55" i="5"/>
  <c r="O41" i="5"/>
  <c r="O42" i="5"/>
  <c r="O53" i="5"/>
  <c r="P7" i="5"/>
  <c r="P53" i="5"/>
  <c r="P48" i="5"/>
  <c r="P47" i="5"/>
  <c r="P41" i="5"/>
  <c r="P50" i="5"/>
  <c r="P51" i="5"/>
  <c r="P44" i="5"/>
  <c r="P43" i="5"/>
  <c r="P42" i="5"/>
  <c r="P55" i="5"/>
  <c r="P40" i="5"/>
  <c r="P46" i="5"/>
  <c r="P37" i="5"/>
  <c r="P57" i="5"/>
  <c r="P36" i="5"/>
  <c r="Q7" i="5"/>
  <c r="Q45" i="5" s="1"/>
  <c r="Q44" i="5"/>
  <c r="Q43" i="5"/>
  <c r="Q46" i="5"/>
  <c r="Q51" i="5"/>
  <c r="Q41" i="5"/>
  <c r="Q47" i="5"/>
  <c r="Q57" i="5"/>
  <c r="Q42" i="5"/>
  <c r="Q53" i="5"/>
  <c r="Q48" i="5"/>
  <c r="Q50" i="5"/>
  <c r="Q55" i="5"/>
  <c r="Q36" i="5"/>
  <c r="Q37" i="5"/>
  <c r="Q40" i="5"/>
  <c r="R7" i="5"/>
  <c r="R53" i="5"/>
  <c r="R44" i="5"/>
  <c r="R57" i="5"/>
  <c r="R42" i="5"/>
  <c r="BG4" i="5"/>
  <c r="R43" i="5"/>
  <c r="R40" i="5"/>
  <c r="R50" i="5"/>
  <c r="R51" i="5"/>
  <c r="R37" i="5"/>
  <c r="R55" i="5"/>
  <c r="R46" i="5"/>
  <c r="R47" i="5"/>
  <c r="R48" i="5"/>
  <c r="R36" i="5"/>
  <c r="R41" i="5"/>
  <c r="S7" i="5"/>
  <c r="S45" i="5" s="1"/>
  <c r="S43" i="5"/>
  <c r="S46" i="5"/>
  <c r="S51" i="5"/>
  <c r="S37" i="5"/>
  <c r="S44" i="5"/>
  <c r="S53" i="5"/>
  <c r="S48" i="5"/>
  <c r="S55" i="5"/>
  <c r="S41" i="5"/>
  <c r="S40" i="5"/>
  <c r="S36" i="5"/>
  <c r="S42" i="5"/>
  <c r="S57" i="5"/>
  <c r="S47" i="5"/>
  <c r="S50" i="5"/>
  <c r="T7" i="5"/>
  <c r="T45" i="5" s="1"/>
  <c r="T47" i="5"/>
  <c r="T41" i="5"/>
  <c r="T48" i="5"/>
  <c r="T53" i="5"/>
  <c r="T55" i="5"/>
  <c r="T51" i="5"/>
  <c r="T50" i="5"/>
  <c r="T44" i="5"/>
  <c r="T37" i="5"/>
  <c r="T36" i="5"/>
  <c r="T43" i="5"/>
  <c r="T57" i="5"/>
  <c r="T40" i="5"/>
  <c r="T42" i="5"/>
  <c r="T46" i="5"/>
  <c r="U7" i="5"/>
  <c r="U45" i="5" s="1"/>
  <c r="U55" i="5"/>
  <c r="U48" i="5"/>
  <c r="U57" i="5"/>
  <c r="U47" i="5"/>
  <c r="U43" i="5"/>
  <c r="U41" i="5"/>
  <c r="U44" i="5"/>
  <c r="U40" i="5"/>
  <c r="U46" i="5"/>
  <c r="U42" i="5"/>
  <c r="U50" i="5"/>
  <c r="U37" i="5"/>
  <c r="U51" i="5"/>
  <c r="U53" i="5"/>
  <c r="U36" i="5"/>
  <c r="V7" i="5"/>
  <c r="V50" i="5"/>
  <c r="V57" i="5"/>
  <c r="V46" i="5"/>
  <c r="V37" i="5"/>
  <c r="BH4" i="5"/>
  <c r="V42" i="5"/>
  <c r="V47" i="5"/>
  <c r="V40" i="5"/>
  <c r="V44" i="5"/>
  <c r="V36" i="5"/>
  <c r="V51" i="5"/>
  <c r="V53" i="5"/>
  <c r="V41" i="5"/>
  <c r="V43" i="5"/>
  <c r="V55" i="5"/>
  <c r="V48" i="5"/>
  <c r="W7" i="5"/>
  <c r="W45" i="5" s="1"/>
  <c r="W36" i="5"/>
  <c r="W42" i="5"/>
  <c r="W46" i="5"/>
  <c r="W47" i="5"/>
  <c r="W44" i="5"/>
  <c r="W40" i="5"/>
  <c r="W53" i="5"/>
  <c r="W51" i="5"/>
  <c r="W43" i="5"/>
  <c r="W48" i="5"/>
  <c r="W41" i="5"/>
  <c r="W55" i="5"/>
  <c r="W37" i="5"/>
  <c r="W50" i="5"/>
  <c r="W57" i="5"/>
  <c r="X7" i="5"/>
  <c r="X45" i="5" s="1"/>
  <c r="X50" i="5"/>
  <c r="X48" i="5"/>
  <c r="X55" i="5"/>
  <c r="X40" i="5"/>
  <c r="X43" i="5"/>
  <c r="X41" i="5"/>
  <c r="X42" i="5"/>
  <c r="X51" i="5"/>
  <c r="X57" i="5"/>
  <c r="X36" i="5"/>
  <c r="X37" i="5"/>
  <c r="X44" i="5"/>
  <c r="X46" i="5"/>
  <c r="X47" i="5"/>
  <c r="X53" i="5"/>
  <c r="Y7" i="5"/>
  <c r="Y45" i="5" s="1"/>
  <c r="Y51" i="5"/>
  <c r="Y44" i="5"/>
  <c r="Y43" i="5"/>
  <c r="Y46" i="5"/>
  <c r="Y36" i="5"/>
  <c r="Y41" i="5"/>
  <c r="Y55" i="5"/>
  <c r="Y47" i="5"/>
  <c r="Y42" i="5"/>
  <c r="Y40" i="5"/>
  <c r="Y57" i="5"/>
  <c r="Y37" i="5"/>
  <c r="Y48" i="5"/>
  <c r="Y53" i="5"/>
  <c r="Y50" i="5"/>
  <c r="Z7" i="5"/>
  <c r="Z44" i="5"/>
  <c r="Z42" i="5"/>
  <c r="Z48" i="5"/>
  <c r="Z51" i="5"/>
  <c r="Z47" i="5"/>
  <c r="Z43" i="5"/>
  <c r="BI4" i="5"/>
  <c r="Z46" i="5"/>
  <c r="Z57" i="5"/>
  <c r="Z53" i="5"/>
  <c r="Z55" i="5"/>
  <c r="Z50" i="5"/>
  <c r="Z36" i="5"/>
  <c r="Z37" i="5"/>
  <c r="Z41" i="5"/>
  <c r="Z40" i="5"/>
  <c r="AA7" i="5"/>
  <c r="AA45" i="5" s="1"/>
  <c r="AA44" i="5"/>
  <c r="AA57" i="5"/>
  <c r="AA42" i="5"/>
  <c r="AA48" i="5"/>
  <c r="AA53" i="5"/>
  <c r="AA36" i="5"/>
  <c r="AA37" i="5"/>
  <c r="AA55" i="5"/>
  <c r="AA43" i="5"/>
  <c r="AA51" i="5"/>
  <c r="AA50" i="5"/>
  <c r="AA46" i="5"/>
  <c r="AA47" i="5"/>
  <c r="AA40" i="5"/>
  <c r="AA41" i="5"/>
  <c r="AB7" i="5"/>
  <c r="AB45" i="5" s="1"/>
  <c r="AB42" i="5"/>
  <c r="AB44" i="5"/>
  <c r="AB48" i="5"/>
  <c r="AB40" i="5"/>
  <c r="AB55" i="5"/>
  <c r="AB37" i="5"/>
  <c r="AB53" i="5"/>
  <c r="AB51" i="5"/>
  <c r="AB46" i="5"/>
  <c r="AB36" i="5"/>
  <c r="AB47" i="5"/>
  <c r="AB41" i="5"/>
  <c r="AB50" i="5"/>
  <c r="AB57" i="5"/>
  <c r="AB43" i="5"/>
  <c r="AC7" i="5"/>
  <c r="AC45" i="5" s="1"/>
  <c r="AC48" i="5"/>
  <c r="AC46" i="5"/>
  <c r="AC40" i="5"/>
  <c r="AC55" i="5"/>
  <c r="AC42" i="5"/>
  <c r="AC37" i="5"/>
  <c r="AC41" i="5"/>
  <c r="AC36" i="5"/>
  <c r="AC53" i="5"/>
  <c r="AC43" i="5"/>
  <c r="AC50" i="5"/>
  <c r="AC57" i="5"/>
  <c r="AC51" i="5"/>
  <c r="AC44" i="5"/>
  <c r="AC47" i="5"/>
  <c r="AD7" i="5"/>
  <c r="AD37" i="5"/>
  <c r="AD55" i="5"/>
  <c r="AD36" i="5"/>
  <c r="BJ4" i="5"/>
  <c r="AD57" i="5"/>
  <c r="AD44" i="5"/>
  <c r="AD53" i="5"/>
  <c r="AD43" i="5"/>
  <c r="AD47" i="5"/>
  <c r="AD40" i="5"/>
  <c r="AD48" i="5"/>
  <c r="AD42" i="5"/>
  <c r="AD51" i="5"/>
  <c r="AD41" i="5"/>
  <c r="AD50" i="5"/>
  <c r="AD46" i="5"/>
  <c r="AE7" i="5"/>
  <c r="AE45" i="5" s="1"/>
  <c r="AE53" i="5"/>
  <c r="AE43" i="5"/>
  <c r="AE51" i="5"/>
  <c r="AE36" i="5"/>
  <c r="AE46" i="5"/>
  <c r="AE42" i="5"/>
  <c r="AE57" i="5"/>
  <c r="AE55" i="5"/>
  <c r="AE47" i="5"/>
  <c r="AE48" i="5"/>
  <c r="AE37" i="5"/>
  <c r="AE41" i="5"/>
  <c r="AE50" i="5"/>
  <c r="AE44" i="5"/>
  <c r="AE40" i="5"/>
  <c r="AF7" i="5"/>
  <c r="AF45" i="5" s="1"/>
  <c r="AF47" i="5"/>
  <c r="AF57" i="5"/>
  <c r="AF53" i="5"/>
  <c r="AF36" i="5"/>
  <c r="AF48" i="5"/>
  <c r="AF50" i="5"/>
  <c r="AF40" i="5"/>
  <c r="AF41" i="5"/>
  <c r="AF37" i="5"/>
  <c r="AF55" i="5"/>
  <c r="AF42" i="5"/>
  <c r="AF46" i="5"/>
  <c r="AF43" i="5"/>
  <c r="AF44" i="5"/>
  <c r="AF51" i="5"/>
  <c r="AG7" i="5"/>
  <c r="AG45" i="5" s="1"/>
  <c r="AG43" i="5"/>
  <c r="AG51" i="5"/>
  <c r="AG42" i="5"/>
  <c r="AG46" i="5"/>
  <c r="AG48" i="5"/>
  <c r="AG47" i="5"/>
  <c r="AG55" i="5"/>
  <c r="AG44" i="5"/>
  <c r="AG40" i="5"/>
  <c r="AG36" i="5"/>
  <c r="AG53" i="5"/>
  <c r="AG50" i="5"/>
  <c r="AG57" i="5"/>
  <c r="AG37" i="5"/>
  <c r="AG41" i="5"/>
  <c r="AH7" i="5"/>
  <c r="AH37" i="5"/>
  <c r="AH42" i="5"/>
  <c r="AH48" i="5"/>
  <c r="AH51" i="5"/>
  <c r="AH57" i="5"/>
  <c r="AH46" i="5"/>
  <c r="AH55" i="5"/>
  <c r="AH36" i="5"/>
  <c r="BK4" i="5"/>
  <c r="AH47" i="5"/>
  <c r="AH41" i="5"/>
  <c r="AH44" i="5"/>
  <c r="AH40" i="5"/>
  <c r="AH50" i="5"/>
  <c r="AH43" i="5"/>
  <c r="AH53" i="5"/>
  <c r="AI7" i="5"/>
  <c r="AI45" i="5" s="1"/>
  <c r="AI42" i="5"/>
  <c r="AI57" i="5"/>
  <c r="AI41" i="5"/>
  <c r="AI40" i="5"/>
  <c r="AI55" i="5"/>
  <c r="AI51" i="5"/>
  <c r="AI50" i="5"/>
  <c r="AI46" i="5"/>
  <c r="AI47" i="5"/>
  <c r="AI37" i="5"/>
  <c r="AI43" i="5"/>
  <c r="AI53" i="5"/>
  <c r="AI44" i="5"/>
  <c r="AI48" i="5"/>
  <c r="AI36" i="5"/>
  <c r="AJ7" i="5"/>
  <c r="AJ45" i="5" s="1"/>
  <c r="AJ48" i="5"/>
  <c r="AJ43" i="5"/>
  <c r="AJ37" i="5"/>
  <c r="AJ41" i="5"/>
  <c r="AJ53" i="5"/>
  <c r="AJ55" i="5"/>
  <c r="AJ44" i="5"/>
  <c r="AJ36" i="5"/>
  <c r="AJ46" i="5"/>
  <c r="AJ47" i="5"/>
  <c r="AJ57" i="5"/>
  <c r="AJ50" i="5"/>
  <c r="AJ40" i="5"/>
  <c r="AJ51" i="5"/>
  <c r="AJ42" i="5"/>
  <c r="AK7" i="5"/>
  <c r="AK45" i="5" s="1"/>
  <c r="AK47" i="5"/>
  <c r="AK55" i="5"/>
  <c r="AK36" i="5"/>
  <c r="AK57" i="5"/>
  <c r="AK44" i="5"/>
  <c r="AK51" i="5"/>
  <c r="AK43" i="5"/>
  <c r="AK53" i="5"/>
  <c r="AK46" i="5"/>
  <c r="AK42" i="5"/>
  <c r="AK41" i="5"/>
  <c r="AK48" i="5"/>
  <c r="AK50" i="5"/>
  <c r="AK37" i="5"/>
  <c r="AK40" i="5"/>
  <c r="AL7" i="5"/>
  <c r="AL44" i="5"/>
  <c r="AL42" i="5"/>
  <c r="BL4" i="5"/>
  <c r="AL36" i="5"/>
  <c r="AL57" i="5"/>
  <c r="AL37" i="5"/>
  <c r="AL43" i="5"/>
  <c r="AL53" i="5"/>
  <c r="AL55" i="5"/>
  <c r="AL50" i="5"/>
  <c r="AL47" i="5"/>
  <c r="AL41" i="5"/>
  <c r="AL40" i="5"/>
  <c r="AL48" i="5"/>
  <c r="AL46" i="5"/>
  <c r="AL51" i="5"/>
  <c r="AM7" i="5"/>
  <c r="AM45" i="5" s="1"/>
  <c r="AM53" i="5"/>
  <c r="AM37" i="5"/>
  <c r="AM41" i="5"/>
  <c r="AM46" i="5"/>
  <c r="AM47" i="5"/>
  <c r="AM42" i="5"/>
  <c r="AM48" i="5"/>
  <c r="AM43" i="5"/>
  <c r="AM50" i="5"/>
  <c r="AM40" i="5"/>
  <c r="AM57" i="5"/>
  <c r="AM36" i="5"/>
  <c r="AM51" i="5"/>
  <c r="AM44" i="5"/>
  <c r="AM55" i="5"/>
  <c r="AN7" i="5"/>
  <c r="AN45" i="5" s="1"/>
  <c r="AN42" i="5"/>
  <c r="AN55" i="5"/>
  <c r="AN46" i="5"/>
  <c r="AN43" i="5"/>
  <c r="AN47" i="5"/>
  <c r="AN50" i="5"/>
  <c r="AN41" i="5"/>
  <c r="AN36" i="5"/>
  <c r="AN40" i="5"/>
  <c r="AN48" i="5"/>
  <c r="AN57" i="5"/>
  <c r="AN53" i="5"/>
  <c r="AN44" i="5"/>
  <c r="AN37" i="5"/>
  <c r="AN51" i="5"/>
  <c r="AO7" i="5"/>
  <c r="AO45" i="5" s="1"/>
  <c r="AO36" i="5"/>
  <c r="AO37" i="5"/>
  <c r="AO57" i="5"/>
  <c r="AO50" i="5"/>
  <c r="AO53" i="5"/>
  <c r="AO48" i="5"/>
  <c r="AO40" i="5"/>
  <c r="AO51" i="5"/>
  <c r="AO41" i="5"/>
  <c r="AO44" i="5"/>
  <c r="AO47" i="5"/>
  <c r="AO43" i="5"/>
  <c r="AO46" i="5"/>
  <c r="AO42" i="5"/>
  <c r="AO55" i="5"/>
  <c r="AP7" i="5"/>
  <c r="AP36" i="5"/>
  <c r="BM4" i="5"/>
  <c r="AP55" i="5"/>
  <c r="AP53" i="5"/>
  <c r="AP50" i="5"/>
  <c r="AP46" i="5"/>
  <c r="AP43" i="5"/>
  <c r="AP41" i="5"/>
  <c r="AP44" i="5"/>
  <c r="AP48" i="5"/>
  <c r="AP57" i="5"/>
  <c r="AP37" i="5"/>
  <c r="AP47" i="5"/>
  <c r="AP51" i="5"/>
  <c r="AP40" i="5"/>
  <c r="AP42" i="5"/>
  <c r="AQ7" i="5"/>
  <c r="AQ45" i="5" s="1"/>
  <c r="AQ44" i="5"/>
  <c r="AQ40" i="5"/>
  <c r="AQ53" i="5"/>
  <c r="AQ43" i="5"/>
  <c r="AQ47" i="5"/>
  <c r="AQ57" i="5"/>
  <c r="AQ37" i="5"/>
  <c r="AQ36" i="5"/>
  <c r="AQ50" i="5"/>
  <c r="AQ55" i="5"/>
  <c r="AQ48" i="5"/>
  <c r="AQ51" i="5"/>
  <c r="AQ46" i="5"/>
  <c r="AQ41" i="5"/>
  <c r="AQ42" i="5"/>
  <c r="AR7" i="5"/>
  <c r="AR45" i="5" s="1"/>
  <c r="AR50" i="5"/>
  <c r="AR40" i="5"/>
  <c r="AR46" i="5"/>
  <c r="AR57" i="5"/>
  <c r="AR41" i="5"/>
  <c r="AR48" i="5"/>
  <c r="AR37" i="5"/>
  <c r="AR36" i="5"/>
  <c r="AR42" i="5"/>
  <c r="AR44" i="5"/>
  <c r="AR43" i="5"/>
  <c r="AR47" i="5"/>
  <c r="AR51" i="5"/>
  <c r="AR55" i="5"/>
  <c r="AR53" i="5"/>
  <c r="AS7" i="5"/>
  <c r="AS36" i="5"/>
  <c r="AS42" i="5"/>
  <c r="AS57" i="5"/>
  <c r="AS50" i="5"/>
  <c r="AS43" i="5"/>
  <c r="AS55" i="5"/>
  <c r="AS48" i="5"/>
  <c r="AS44" i="5"/>
  <c r="AS51" i="5"/>
  <c r="AS53" i="5"/>
  <c r="AS40" i="5"/>
  <c r="AS46" i="5"/>
  <c r="AS37" i="5"/>
  <c r="AS47" i="5"/>
  <c r="AS41" i="5"/>
  <c r="AT7" i="5"/>
  <c r="AT50" i="5"/>
  <c r="AU50" i="5" s="1"/>
  <c r="AT41" i="5"/>
  <c r="AT57" i="5"/>
  <c r="AU57" i="5" s="1"/>
  <c r="AT48" i="5"/>
  <c r="AU48" i="5" s="1"/>
  <c r="AV48" i="5" s="1"/>
  <c r="AW48" i="5" s="1"/>
  <c r="AT43" i="5"/>
  <c r="AU43" i="5" s="1"/>
  <c r="AT46" i="5"/>
  <c r="AU46" i="5" s="1"/>
  <c r="AV46" i="5" s="1"/>
  <c r="AW46" i="5" s="1"/>
  <c r="AT42" i="5"/>
  <c r="AT47" i="5"/>
  <c r="AU47" i="5" s="1"/>
  <c r="AV47" i="5" s="1"/>
  <c r="AW47" i="5" s="1"/>
  <c r="AT40" i="5"/>
  <c r="AT44" i="5"/>
  <c r="AT53" i="5"/>
  <c r="AT55" i="5"/>
  <c r="AU55" i="5" s="1"/>
  <c r="AV55" i="5" s="1"/>
  <c r="AW55" i="5" s="1"/>
  <c r="AT36" i="5"/>
  <c r="BN4" i="5"/>
  <c r="AT37" i="5"/>
  <c r="AT51" i="5"/>
  <c r="B7" i="5"/>
  <c r="BC7" i="5" s="1"/>
  <c r="B53" i="5"/>
  <c r="B47" i="5"/>
  <c r="B41" i="5"/>
  <c r="B40" i="5"/>
  <c r="B42" i="5"/>
  <c r="B51" i="5"/>
  <c r="B46" i="5"/>
  <c r="B57" i="5"/>
  <c r="B50" i="5"/>
  <c r="B48" i="5"/>
  <c r="B44" i="5"/>
  <c r="B43" i="5"/>
  <c r="B55" i="5"/>
  <c r="AW37" i="5"/>
  <c r="AW13" i="5"/>
  <c r="AW6" i="5"/>
  <c r="AW42" i="5"/>
  <c r="AW36" i="5"/>
  <c r="AV40" i="5"/>
  <c r="AV13" i="5"/>
  <c r="AV6" i="5"/>
  <c r="AV42" i="5"/>
  <c r="AV37" i="5"/>
  <c r="AV41" i="5"/>
  <c r="AU13" i="5"/>
  <c r="BN13" i="5" s="1"/>
  <c r="AU42" i="5"/>
  <c r="AU41" i="5"/>
  <c r="AV36" i="5"/>
  <c r="AU36" i="5"/>
  <c r="AU37" i="5"/>
  <c r="AU6" i="5"/>
  <c r="BN6" i="5" s="1"/>
  <c r="AU40" i="5"/>
  <c r="B6" i="13"/>
  <c r="H10" i="13" s="1"/>
  <c r="M37" i="13"/>
  <c r="M36" i="13"/>
  <c r="M33" i="13"/>
  <c r="J37" i="13"/>
  <c r="J36" i="13"/>
  <c r="J33" i="13"/>
  <c r="C32" i="5"/>
  <c r="C11" i="5"/>
  <c r="C49" i="5" s="1"/>
  <c r="D32" i="5"/>
  <c r="D11" i="5"/>
  <c r="D49" i="5" s="1"/>
  <c r="E11" i="5"/>
  <c r="E49" i="5" s="1"/>
  <c r="E32" i="5"/>
  <c r="H11" i="5"/>
  <c r="H49" i="5" s="1"/>
  <c r="H32" i="5"/>
  <c r="I32" i="5"/>
  <c r="I11" i="5"/>
  <c r="I49" i="5" s="1"/>
  <c r="J11" i="5"/>
  <c r="J32" i="5"/>
  <c r="M11" i="5"/>
  <c r="M49" i="5" s="1"/>
  <c r="M32" i="5"/>
  <c r="N32" i="5"/>
  <c r="N11" i="5"/>
  <c r="O11" i="5"/>
  <c r="O49" i="5" s="1"/>
  <c r="O32" i="5"/>
  <c r="Q11" i="5"/>
  <c r="Q49" i="5" s="1"/>
  <c r="Q32" i="5"/>
  <c r="R11" i="5"/>
  <c r="R32" i="5"/>
  <c r="S32" i="5"/>
  <c r="S11" i="5"/>
  <c r="S49" i="5" s="1"/>
  <c r="T11" i="5"/>
  <c r="T49" i="5" s="1"/>
  <c r="T32" i="5"/>
  <c r="U32" i="5"/>
  <c r="U11" i="5"/>
  <c r="U49" i="5" s="1"/>
  <c r="V11" i="5"/>
  <c r="V32" i="5"/>
  <c r="W11" i="5"/>
  <c r="W49" i="5" s="1"/>
  <c r="W32" i="5"/>
  <c r="X32" i="5"/>
  <c r="X11" i="5"/>
  <c r="X49" i="5" s="1"/>
  <c r="Y32" i="5"/>
  <c r="Y11" i="5"/>
  <c r="Y49" i="5" s="1"/>
  <c r="Z32" i="5"/>
  <c r="Z11" i="5"/>
  <c r="AA11" i="5"/>
  <c r="AA49" i="5" s="1"/>
  <c r="AA32" i="5"/>
  <c r="AB32" i="5"/>
  <c r="AB11" i="5"/>
  <c r="AB49" i="5" s="1"/>
  <c r="AC11" i="5"/>
  <c r="AC49" i="5" s="1"/>
  <c r="AC32" i="5"/>
  <c r="AD11" i="5"/>
  <c r="AD32" i="5"/>
  <c r="AE11" i="5"/>
  <c r="AE49" i="5" s="1"/>
  <c r="AE32" i="5"/>
  <c r="AF11" i="5"/>
  <c r="AF49" i="5" s="1"/>
  <c r="AF32" i="5"/>
  <c r="AG11" i="5"/>
  <c r="AG49" i="5" s="1"/>
  <c r="AG32" i="5"/>
  <c r="AH11" i="5"/>
  <c r="AH32" i="5"/>
  <c r="AI11" i="5"/>
  <c r="AI49" i="5" s="1"/>
  <c r="AI32" i="5"/>
  <c r="AJ11" i="5"/>
  <c r="AJ49" i="5" s="1"/>
  <c r="AJ32" i="5"/>
  <c r="AK11" i="5"/>
  <c r="AK49" i="5" s="1"/>
  <c r="AK32" i="5"/>
  <c r="AL11" i="5"/>
  <c r="AL32" i="5"/>
  <c r="AM11" i="5"/>
  <c r="AM49" i="5" s="1"/>
  <c r="AM32" i="5"/>
  <c r="AN11" i="5"/>
  <c r="AN49" i="5" s="1"/>
  <c r="AN32" i="5"/>
  <c r="AO11" i="5"/>
  <c r="AO49" i="5" s="1"/>
  <c r="AO32" i="5"/>
  <c r="AP11" i="5"/>
  <c r="AP32" i="5"/>
  <c r="AQ11" i="5"/>
  <c r="AQ49" i="5" s="1"/>
  <c r="AQ32" i="5"/>
  <c r="AR11" i="5"/>
  <c r="AR49" i="5" s="1"/>
  <c r="AR32" i="5"/>
  <c r="AS32" i="5"/>
  <c r="BC32" i="5" l="1"/>
  <c r="BC45" i="5"/>
  <c r="AS45" i="5"/>
  <c r="AS11" i="5"/>
  <c r="BN51" i="5"/>
  <c r="BN44" i="5"/>
  <c r="F11" i="5"/>
  <c r="F32" i="5"/>
  <c r="G45" i="5"/>
  <c r="G11" i="5"/>
  <c r="G32" i="5"/>
  <c r="K45" i="5"/>
  <c r="K11" i="5"/>
  <c r="K32" i="5"/>
  <c r="L45" i="5"/>
  <c r="L32" i="5"/>
  <c r="L11" i="5"/>
  <c r="P45" i="5"/>
  <c r="P32" i="5"/>
  <c r="P11" i="5"/>
  <c r="AT11" i="5"/>
  <c r="AT49" i="5" s="1"/>
  <c r="AT32" i="5"/>
  <c r="B45" i="5"/>
  <c r="B11" i="5"/>
  <c r="BC11" i="5" s="1"/>
  <c r="B32" i="5"/>
  <c r="BD7" i="5"/>
  <c r="F45" i="5"/>
  <c r="BD51" i="5"/>
  <c r="BD57" i="5"/>
  <c r="BD48" i="5"/>
  <c r="BD44" i="5"/>
  <c r="BD40" i="5"/>
  <c r="BD55" i="5"/>
  <c r="BD53" i="5"/>
  <c r="BD50" i="5"/>
  <c r="BD47" i="5"/>
  <c r="BD46" i="5"/>
  <c r="BD41" i="5"/>
  <c r="BD42" i="5"/>
  <c r="BD43" i="5"/>
  <c r="BE7" i="5"/>
  <c r="J45" i="5"/>
  <c r="BE53" i="5"/>
  <c r="BE51" i="5"/>
  <c r="BE50" i="5"/>
  <c r="BE48" i="5"/>
  <c r="BE47" i="5"/>
  <c r="BE46" i="5"/>
  <c r="BE40" i="5"/>
  <c r="BE41" i="5"/>
  <c r="BE42" i="5"/>
  <c r="BE43" i="5"/>
  <c r="BE44" i="5"/>
  <c r="BE55" i="5"/>
  <c r="BE57" i="5"/>
  <c r="N45" i="5"/>
  <c r="BF7" i="5"/>
  <c r="BF43" i="5"/>
  <c r="BF57" i="5"/>
  <c r="BF55" i="5"/>
  <c r="BF53" i="5"/>
  <c r="BF51" i="5"/>
  <c r="BF50" i="5"/>
  <c r="BF47" i="5"/>
  <c r="BF46" i="5"/>
  <c r="BF44" i="5"/>
  <c r="BF40" i="5"/>
  <c r="BF41" i="5"/>
  <c r="BF42" i="5"/>
  <c r="BF48" i="5"/>
  <c r="BG7" i="5"/>
  <c r="R45" i="5"/>
  <c r="BG57" i="5"/>
  <c r="BG55" i="5"/>
  <c r="BG53" i="5"/>
  <c r="BG51" i="5"/>
  <c r="BG50" i="5"/>
  <c r="BG47" i="5"/>
  <c r="BG46" i="5"/>
  <c r="BG44" i="5"/>
  <c r="BG43" i="5"/>
  <c r="BG41" i="5"/>
  <c r="BG40" i="5"/>
  <c r="BG42" i="5"/>
  <c r="BG48" i="5"/>
  <c r="BH7" i="5"/>
  <c r="V45" i="5"/>
  <c r="BH53" i="5"/>
  <c r="BH57" i="5"/>
  <c r="BH55" i="5"/>
  <c r="BH51" i="5"/>
  <c r="BH50" i="5"/>
  <c r="BH47" i="5"/>
  <c r="BH46" i="5"/>
  <c r="BH44" i="5"/>
  <c r="BH43" i="5"/>
  <c r="BH41" i="5"/>
  <c r="BH40" i="5"/>
  <c r="BH42" i="5"/>
  <c r="BH48" i="5"/>
  <c r="BI7" i="5"/>
  <c r="Z45" i="5"/>
  <c r="BI53" i="5"/>
  <c r="BI57" i="5"/>
  <c r="BI55" i="5"/>
  <c r="BI51" i="5"/>
  <c r="BI50" i="5"/>
  <c r="BI46" i="5"/>
  <c r="BI44" i="5"/>
  <c r="BI43" i="5"/>
  <c r="BI41" i="5"/>
  <c r="BI40" i="5"/>
  <c r="BI42" i="5"/>
  <c r="BI47" i="5"/>
  <c r="BI48" i="5"/>
  <c r="BJ7" i="5"/>
  <c r="AD45" i="5"/>
  <c r="BJ57" i="5"/>
  <c r="BJ53" i="5"/>
  <c r="BJ55" i="5"/>
  <c r="BJ51" i="5"/>
  <c r="BJ50" i="5"/>
  <c r="BJ46" i="5"/>
  <c r="BJ44" i="5"/>
  <c r="BJ43" i="5"/>
  <c r="BJ41" i="5"/>
  <c r="BJ40" i="5"/>
  <c r="BJ42" i="5"/>
  <c r="BJ47" i="5"/>
  <c r="BJ48" i="5"/>
  <c r="BK7" i="5"/>
  <c r="AH45" i="5"/>
  <c r="BK53" i="5"/>
  <c r="BK41" i="5"/>
  <c r="BK57" i="5"/>
  <c r="BK55" i="5"/>
  <c r="BK51" i="5"/>
  <c r="BK50" i="5"/>
  <c r="BK46" i="5"/>
  <c r="BK44" i="5"/>
  <c r="BK43" i="5"/>
  <c r="BK40" i="5"/>
  <c r="BK42" i="5"/>
  <c r="BK47" i="5"/>
  <c r="BK48" i="5"/>
  <c r="AL45" i="5"/>
  <c r="BL7" i="5"/>
  <c r="BL55" i="5"/>
  <c r="BL57" i="5"/>
  <c r="BL53" i="5"/>
  <c r="BL51" i="5"/>
  <c r="BL50" i="5"/>
  <c r="BL46" i="5"/>
  <c r="BL44" i="5"/>
  <c r="BL43" i="5"/>
  <c r="BL41" i="5"/>
  <c r="BL40" i="5"/>
  <c r="BL42" i="5"/>
  <c r="BL47" i="5"/>
  <c r="BL48" i="5"/>
  <c r="BM7" i="5"/>
  <c r="AP45" i="5"/>
  <c r="BM53" i="5"/>
  <c r="BM41" i="5"/>
  <c r="BM57" i="5"/>
  <c r="BM55" i="5"/>
  <c r="BM51" i="5"/>
  <c r="BM50" i="5"/>
  <c r="BM46" i="5"/>
  <c r="BM44" i="5"/>
  <c r="BM43" i="5"/>
  <c r="BM40" i="5"/>
  <c r="BM42" i="5"/>
  <c r="BM47" i="5"/>
  <c r="BM48" i="5"/>
  <c r="AT45" i="5"/>
  <c r="BN41" i="5"/>
  <c r="BN40" i="5"/>
  <c r="BN42" i="5"/>
  <c r="AV50" i="5"/>
  <c r="AU12" i="5"/>
  <c r="AV57" i="5"/>
  <c r="AU19" i="5"/>
  <c r="AV43" i="5"/>
  <c r="AU5" i="5"/>
  <c r="J49" i="5"/>
  <c r="N49" i="5"/>
  <c r="R49" i="5"/>
  <c r="BG11" i="5"/>
  <c r="BH11" i="5"/>
  <c r="V49" i="5"/>
  <c r="BI11" i="5"/>
  <c r="Z49" i="5"/>
  <c r="BJ11" i="5"/>
  <c r="AD49" i="5"/>
  <c r="BK11" i="5"/>
  <c r="AH49" i="5"/>
  <c r="BL11" i="5"/>
  <c r="AL49" i="5"/>
  <c r="AP49" i="5"/>
  <c r="C26" i="5"/>
  <c r="C30" i="5" s="1"/>
  <c r="C14" i="5"/>
  <c r="D14" i="5"/>
  <c r="D26" i="5"/>
  <c r="D30" i="5" s="1"/>
  <c r="E26" i="5"/>
  <c r="E30" i="5" s="1"/>
  <c r="E14" i="5"/>
  <c r="H14" i="5"/>
  <c r="H26" i="5"/>
  <c r="H30" i="5" s="1"/>
  <c r="I26" i="5"/>
  <c r="I30" i="5" s="1"/>
  <c r="I14" i="5"/>
  <c r="J26" i="5"/>
  <c r="J30" i="5" s="1"/>
  <c r="J14" i="5"/>
  <c r="M26" i="5"/>
  <c r="M30" i="5" s="1"/>
  <c r="M14" i="5"/>
  <c r="N14" i="5"/>
  <c r="N26" i="5"/>
  <c r="N30" i="5" s="1"/>
  <c r="O26" i="5"/>
  <c r="O30" i="5" s="1"/>
  <c r="O14" i="5"/>
  <c r="Q26" i="5"/>
  <c r="Q30" i="5" s="1"/>
  <c r="Q14" i="5"/>
  <c r="R14" i="5"/>
  <c r="R26" i="5"/>
  <c r="R30" i="5" s="1"/>
  <c r="S26" i="5"/>
  <c r="S30" i="5" s="1"/>
  <c r="S14" i="5"/>
  <c r="T14" i="5"/>
  <c r="T26" i="5"/>
  <c r="T30" i="5" s="1"/>
  <c r="U14" i="5"/>
  <c r="U26" i="5"/>
  <c r="U30" i="5" s="1"/>
  <c r="V26" i="5"/>
  <c r="V30" i="5" s="1"/>
  <c r="V14" i="5"/>
  <c r="W14" i="5"/>
  <c r="W26" i="5"/>
  <c r="W30" i="5" s="1"/>
  <c r="X26" i="5"/>
  <c r="X30" i="5" s="1"/>
  <c r="X14" i="5"/>
  <c r="Y26" i="5"/>
  <c r="Y30" i="5" s="1"/>
  <c r="Y14" i="5"/>
  <c r="Z14" i="5"/>
  <c r="Z26" i="5"/>
  <c r="Z30" i="5" s="1"/>
  <c r="AA26" i="5"/>
  <c r="AA30" i="5" s="1"/>
  <c r="AA14" i="5"/>
  <c r="AB14" i="5"/>
  <c r="AB26" i="5"/>
  <c r="AB30" i="5" s="1"/>
  <c r="AC26" i="5"/>
  <c r="AC30" i="5" s="1"/>
  <c r="AC14" i="5"/>
  <c r="AD14" i="5"/>
  <c r="AD26" i="5"/>
  <c r="AD30" i="5" s="1"/>
  <c r="AE14" i="5"/>
  <c r="AE26" i="5"/>
  <c r="AE30" i="5" s="1"/>
  <c r="AF26" i="5"/>
  <c r="AF30" i="5" s="1"/>
  <c r="AF14" i="5"/>
  <c r="AG26" i="5"/>
  <c r="AG30" i="5" s="1"/>
  <c r="AG14" i="5"/>
  <c r="AH26" i="5"/>
  <c r="AH30" i="5" s="1"/>
  <c r="AH14" i="5"/>
  <c r="AI14" i="5"/>
  <c r="AI26" i="5"/>
  <c r="AI30" i="5" s="1"/>
  <c r="AJ14" i="5"/>
  <c r="AJ26" i="5"/>
  <c r="AJ30" i="5" s="1"/>
  <c r="AK14" i="5"/>
  <c r="AK26" i="5"/>
  <c r="AK30" i="5" s="1"/>
  <c r="AL26" i="5"/>
  <c r="AL30" i="5" s="1"/>
  <c r="AL14" i="5"/>
  <c r="AM26" i="5"/>
  <c r="AM30" i="5" s="1"/>
  <c r="AM14" i="5"/>
  <c r="AN14" i="5"/>
  <c r="AN26" i="5"/>
  <c r="AN30" i="5" s="1"/>
  <c r="AO14" i="5"/>
  <c r="AO26" i="5"/>
  <c r="AO30" i="5" s="1"/>
  <c r="AP26" i="5"/>
  <c r="AP30" i="5" s="1"/>
  <c r="AP14" i="5"/>
  <c r="AQ14" i="5"/>
  <c r="AQ26" i="5"/>
  <c r="AR14" i="5"/>
  <c r="AR26" i="5"/>
  <c r="AR30" i="5" s="1"/>
  <c r="BC26" i="5" l="1"/>
  <c r="BC49" i="5"/>
  <c r="AS49" i="5"/>
  <c r="BM11" i="5"/>
  <c r="AS26" i="5"/>
  <c r="AS14" i="5"/>
  <c r="F49" i="5"/>
  <c r="F26" i="5"/>
  <c r="F30" i="5" s="1"/>
  <c r="K49" i="5"/>
  <c r="K26" i="5"/>
  <c r="K30" i="5" s="1"/>
  <c r="K14" i="5"/>
  <c r="L26" i="5"/>
  <c r="L30" i="5" s="1"/>
  <c r="L14" i="5"/>
  <c r="BD11" i="5"/>
  <c r="F14" i="5"/>
  <c r="G49" i="5"/>
  <c r="G14" i="5"/>
  <c r="G26" i="5"/>
  <c r="G30" i="5" s="1"/>
  <c r="P26" i="5"/>
  <c r="P30" i="5" s="1"/>
  <c r="P14" i="5"/>
  <c r="L49" i="5"/>
  <c r="BE11" i="5"/>
  <c r="P49" i="5"/>
  <c r="BF11" i="5"/>
  <c r="AT26" i="5"/>
  <c r="AT14" i="5"/>
  <c r="B49" i="5"/>
  <c r="B26" i="5"/>
  <c r="B14" i="5"/>
  <c r="BC14" i="5" s="1"/>
  <c r="BC52" i="5" s="1"/>
  <c r="BD32" i="5"/>
  <c r="BD45" i="5"/>
  <c r="BE32" i="5"/>
  <c r="BE45" i="5"/>
  <c r="BF32" i="5"/>
  <c r="BF45" i="5"/>
  <c r="BG32" i="5"/>
  <c r="BG45" i="5"/>
  <c r="BH32" i="5"/>
  <c r="BH45" i="5"/>
  <c r="BI32" i="5"/>
  <c r="BI45" i="5"/>
  <c r="BJ32" i="5"/>
  <c r="BJ45" i="5"/>
  <c r="BK32" i="5"/>
  <c r="BK45" i="5"/>
  <c r="BL32" i="5"/>
  <c r="BL45" i="5"/>
  <c r="BM32" i="5"/>
  <c r="BM45" i="5"/>
  <c r="AV12" i="5"/>
  <c r="AW50" i="5"/>
  <c r="AV19" i="5"/>
  <c r="AW57" i="5"/>
  <c r="AV5" i="5"/>
  <c r="AW43" i="5"/>
  <c r="AW5" i="5" s="1"/>
  <c r="AW7" i="5" s="1"/>
  <c r="AU7" i="5"/>
  <c r="BE49" i="5"/>
  <c r="BE26" i="5"/>
  <c r="BG49" i="5"/>
  <c r="BG26" i="5"/>
  <c r="BH49" i="5"/>
  <c r="BH26" i="5"/>
  <c r="BI49" i="5"/>
  <c r="BI26" i="5"/>
  <c r="BJ49" i="5"/>
  <c r="BJ26" i="5"/>
  <c r="BK49" i="5"/>
  <c r="BK26" i="5"/>
  <c r="BL49" i="5"/>
  <c r="BL26" i="5"/>
  <c r="BM49" i="5"/>
  <c r="BM26" i="5"/>
  <c r="C16" i="5"/>
  <c r="C52" i="5"/>
  <c r="D16" i="5"/>
  <c r="D52" i="5"/>
  <c r="E16" i="5"/>
  <c r="E52" i="5"/>
  <c r="H16" i="5"/>
  <c r="H52" i="5"/>
  <c r="I16" i="5"/>
  <c r="I52" i="5"/>
  <c r="J16" i="5"/>
  <c r="BE14" i="5"/>
  <c r="BE52" i="5" s="1"/>
  <c r="J52" i="5"/>
  <c r="K16" i="5"/>
  <c r="K52" i="5"/>
  <c r="L16" i="5"/>
  <c r="L52" i="5"/>
  <c r="M16" i="5"/>
  <c r="M52" i="5"/>
  <c r="N16" i="5"/>
  <c r="BF14" i="5"/>
  <c r="BF52" i="5" s="1"/>
  <c r="N52" i="5"/>
  <c r="O16" i="5"/>
  <c r="O52" i="5"/>
  <c r="P16" i="5"/>
  <c r="P52" i="5"/>
  <c r="Q16" i="5"/>
  <c r="Q52" i="5"/>
  <c r="R16" i="5"/>
  <c r="R52" i="5"/>
  <c r="BG14" i="5"/>
  <c r="BG52" i="5" s="1"/>
  <c r="S16" i="5"/>
  <c r="S52" i="5"/>
  <c r="T16" i="5"/>
  <c r="T52" i="5"/>
  <c r="U16" i="5"/>
  <c r="U52" i="5"/>
  <c r="V16" i="5"/>
  <c r="BH14" i="5"/>
  <c r="BH52" i="5" s="1"/>
  <c r="V52" i="5"/>
  <c r="W16" i="5"/>
  <c r="W52" i="5"/>
  <c r="X16" i="5"/>
  <c r="X52" i="5"/>
  <c r="Y16" i="5"/>
  <c r="Y52" i="5"/>
  <c r="Z16" i="5"/>
  <c r="Z52" i="5"/>
  <c r="BI14" i="5"/>
  <c r="BI52" i="5" s="1"/>
  <c r="AA16" i="5"/>
  <c r="AA52" i="5"/>
  <c r="AB16" i="5"/>
  <c r="AB52" i="5"/>
  <c r="AC16" i="5"/>
  <c r="AC52" i="5"/>
  <c r="AD16" i="5"/>
  <c r="BJ14" i="5"/>
  <c r="BJ52" i="5" s="1"/>
  <c r="AD52" i="5"/>
  <c r="AE16" i="5"/>
  <c r="AE52" i="5"/>
  <c r="AF16" i="5"/>
  <c r="AF52" i="5"/>
  <c r="AG16" i="5"/>
  <c r="AG52" i="5"/>
  <c r="AH16" i="5"/>
  <c r="BK14" i="5"/>
  <c r="BK52" i="5" s="1"/>
  <c r="AH52" i="5"/>
  <c r="AI16" i="5"/>
  <c r="AI52" i="5"/>
  <c r="AJ16" i="5"/>
  <c r="AJ52" i="5"/>
  <c r="AK16" i="5"/>
  <c r="AK52" i="5"/>
  <c r="AL16" i="5"/>
  <c r="AL52" i="5"/>
  <c r="BL14" i="5"/>
  <c r="BL52" i="5" s="1"/>
  <c r="AM16" i="5"/>
  <c r="AM52" i="5"/>
  <c r="AN16" i="5"/>
  <c r="AN52" i="5"/>
  <c r="AO16" i="5"/>
  <c r="AO52" i="5"/>
  <c r="AP16" i="5"/>
  <c r="AP52" i="5"/>
  <c r="BM14" i="5"/>
  <c r="BM52" i="5" s="1"/>
  <c r="AQ16" i="5"/>
  <c r="AQ52" i="5"/>
  <c r="AQ30" i="5"/>
  <c r="AR16" i="5"/>
  <c r="AR52" i="5"/>
  <c r="AS16" i="5"/>
  <c r="AS52" i="5"/>
  <c r="C33" i="5"/>
  <c r="C27" i="5"/>
  <c r="D33" i="5"/>
  <c r="D27" i="5"/>
  <c r="E33" i="5"/>
  <c r="E27" i="5"/>
  <c r="F33" i="5"/>
  <c r="F27" i="5"/>
  <c r="G33" i="5"/>
  <c r="G27" i="5"/>
  <c r="H33" i="5"/>
  <c r="H27" i="5"/>
  <c r="I33" i="5"/>
  <c r="I27" i="5"/>
  <c r="J33" i="5"/>
  <c r="J27" i="5"/>
  <c r="K33" i="5"/>
  <c r="K27" i="5"/>
  <c r="L33" i="5"/>
  <c r="L27" i="5"/>
  <c r="M33" i="5"/>
  <c r="M27" i="5"/>
  <c r="N33" i="5"/>
  <c r="N27" i="5"/>
  <c r="O33" i="5"/>
  <c r="O27" i="5"/>
  <c r="P33" i="5"/>
  <c r="P27" i="5"/>
  <c r="Q33" i="5"/>
  <c r="Q27" i="5"/>
  <c r="R33" i="5"/>
  <c r="R27" i="5"/>
  <c r="S33" i="5"/>
  <c r="S27" i="5"/>
  <c r="T33" i="5"/>
  <c r="T27" i="5"/>
  <c r="U33" i="5"/>
  <c r="U27" i="5"/>
  <c r="V33" i="5"/>
  <c r="V27" i="5"/>
  <c r="W33" i="5"/>
  <c r="W27" i="5"/>
  <c r="X33" i="5"/>
  <c r="X27" i="5"/>
  <c r="Y33" i="5"/>
  <c r="Y27" i="5"/>
  <c r="Z33" i="5"/>
  <c r="Z27" i="5"/>
  <c r="AA33" i="5"/>
  <c r="AA27" i="5"/>
  <c r="AB33" i="5"/>
  <c r="AB27" i="5"/>
  <c r="AC33" i="5"/>
  <c r="AC27" i="5"/>
  <c r="AD33" i="5"/>
  <c r="AD27" i="5"/>
  <c r="AE33" i="5"/>
  <c r="AE27" i="5"/>
  <c r="AF33" i="5"/>
  <c r="AF27" i="5"/>
  <c r="AG33" i="5"/>
  <c r="AG27" i="5"/>
  <c r="AH33" i="5"/>
  <c r="AH27" i="5"/>
  <c r="AI33" i="5"/>
  <c r="AI27" i="5"/>
  <c r="AJ33" i="5"/>
  <c r="AJ27" i="5"/>
  <c r="AK33" i="5"/>
  <c r="AK27" i="5"/>
  <c r="AL33" i="5"/>
  <c r="AL27" i="5"/>
  <c r="AM33" i="5"/>
  <c r="AM27" i="5"/>
  <c r="AN33" i="5"/>
  <c r="AN27" i="5"/>
  <c r="AO33" i="5"/>
  <c r="AO27" i="5"/>
  <c r="AP33" i="5"/>
  <c r="AP27" i="5"/>
  <c r="AQ33" i="5"/>
  <c r="AQ27" i="5"/>
  <c r="AR33" i="5"/>
  <c r="AR27" i="5"/>
  <c r="BC27" i="5" l="1"/>
  <c r="BC30" i="5"/>
  <c r="BC33" i="5"/>
  <c r="BD49" i="5"/>
  <c r="BD26" i="5"/>
  <c r="F16" i="5"/>
  <c r="F52" i="5"/>
  <c r="BD14" i="5"/>
  <c r="BD52" i="5" s="1"/>
  <c r="G16" i="5"/>
  <c r="G52" i="5"/>
  <c r="AS30" i="5"/>
  <c r="AS33" i="5"/>
  <c r="AS27" i="5"/>
  <c r="I10" i="13"/>
  <c r="J10" i="13" s="1"/>
  <c r="AT33" i="5"/>
  <c r="AT27" i="5"/>
  <c r="B30" i="5"/>
  <c r="B27" i="5"/>
  <c r="B33" i="5"/>
  <c r="B7" i="13"/>
  <c r="AT30" i="5"/>
  <c r="BF49" i="5"/>
  <c r="BF26" i="5"/>
  <c r="AT16" i="5"/>
  <c r="AT52" i="5"/>
  <c r="B16" i="5"/>
  <c r="BC16" i="5" s="1"/>
  <c r="BC54" i="5" s="1"/>
  <c r="B52" i="5"/>
  <c r="AW12" i="5"/>
  <c r="BN12" i="5" s="1"/>
  <c r="BN50" i="5" s="1"/>
  <c r="AW19" i="5"/>
  <c r="BN19" i="5" s="1"/>
  <c r="BN57" i="5" s="1"/>
  <c r="AW45" i="5"/>
  <c r="AW32" i="5"/>
  <c r="AU45" i="5"/>
  <c r="AU32" i="5"/>
  <c r="BN7" i="5"/>
  <c r="BE30" i="5"/>
  <c r="BE27" i="5"/>
  <c r="BE33" i="5"/>
  <c r="BF30" i="5"/>
  <c r="BF27" i="5"/>
  <c r="BF33" i="5"/>
  <c r="BG30" i="5"/>
  <c r="BG33" i="5"/>
  <c r="BG27" i="5"/>
  <c r="BH27" i="5"/>
  <c r="BH33" i="5"/>
  <c r="BH30" i="5"/>
  <c r="BI33" i="5"/>
  <c r="BI27" i="5"/>
  <c r="BI30" i="5"/>
  <c r="BJ30" i="5"/>
  <c r="BJ33" i="5"/>
  <c r="BJ27" i="5"/>
  <c r="BK27" i="5"/>
  <c r="BK30" i="5"/>
  <c r="BK33" i="5"/>
  <c r="BL30" i="5"/>
  <c r="BL27" i="5"/>
  <c r="BL33" i="5"/>
  <c r="BM27" i="5"/>
  <c r="BM33" i="5"/>
  <c r="BM30" i="5"/>
  <c r="C54" i="5"/>
  <c r="C18" i="5"/>
  <c r="D54" i="5"/>
  <c r="D18" i="5"/>
  <c r="E54" i="5"/>
  <c r="E18" i="5"/>
  <c r="F54" i="5"/>
  <c r="BD16" i="5"/>
  <c r="BD54" i="5" s="1"/>
  <c r="F18" i="5"/>
  <c r="G54" i="5"/>
  <c r="G18" i="5"/>
  <c r="H54" i="5"/>
  <c r="H18" i="5"/>
  <c r="I54" i="5"/>
  <c r="I18" i="5"/>
  <c r="J54" i="5"/>
  <c r="BE16" i="5"/>
  <c r="BE54" i="5" s="1"/>
  <c r="J18" i="5"/>
  <c r="K54" i="5"/>
  <c r="K18" i="5"/>
  <c r="L54" i="5"/>
  <c r="L18" i="5"/>
  <c r="M54" i="5"/>
  <c r="M18" i="5"/>
  <c r="N54" i="5"/>
  <c r="BF16" i="5"/>
  <c r="BF54" i="5" s="1"/>
  <c r="N18" i="5"/>
  <c r="O54" i="5"/>
  <c r="O18" i="5"/>
  <c r="P54" i="5"/>
  <c r="P18" i="5"/>
  <c r="Q54" i="5"/>
  <c r="Q18" i="5"/>
  <c r="BG16" i="5"/>
  <c r="BG54" i="5" s="1"/>
  <c r="R54" i="5"/>
  <c r="R18" i="5"/>
  <c r="S54" i="5"/>
  <c r="S18" i="5"/>
  <c r="T54" i="5"/>
  <c r="T18" i="5"/>
  <c r="U54" i="5"/>
  <c r="U18" i="5"/>
  <c r="V54" i="5"/>
  <c r="BH16" i="5"/>
  <c r="BH54" i="5" s="1"/>
  <c r="V18" i="5"/>
  <c r="W54" i="5"/>
  <c r="W18" i="5"/>
  <c r="X54" i="5"/>
  <c r="X18" i="5"/>
  <c r="Y54" i="5"/>
  <c r="Y18" i="5"/>
  <c r="BI16" i="5"/>
  <c r="BI54" i="5" s="1"/>
  <c r="Z54" i="5"/>
  <c r="Z18" i="5"/>
  <c r="AA54" i="5"/>
  <c r="AA18" i="5"/>
  <c r="AB54" i="5"/>
  <c r="AB18" i="5"/>
  <c r="AC54" i="5"/>
  <c r="AC18" i="5"/>
  <c r="BJ16" i="5"/>
  <c r="BJ54" i="5" s="1"/>
  <c r="AD54" i="5"/>
  <c r="AD18" i="5"/>
  <c r="AE54" i="5"/>
  <c r="AE18" i="5"/>
  <c r="AF54" i="5"/>
  <c r="AF18" i="5"/>
  <c r="AG54" i="5"/>
  <c r="AG18" i="5"/>
  <c r="AH54" i="5"/>
  <c r="BK16" i="5"/>
  <c r="BK54" i="5" s="1"/>
  <c r="AH18" i="5"/>
  <c r="AI54" i="5"/>
  <c r="AI18" i="5"/>
  <c r="AJ54" i="5"/>
  <c r="AJ18" i="5"/>
  <c r="AK54" i="5"/>
  <c r="AK18" i="5"/>
  <c r="BL16" i="5"/>
  <c r="BL54" i="5" s="1"/>
  <c r="AL54" i="5"/>
  <c r="AL18" i="5"/>
  <c r="AM54" i="5"/>
  <c r="AM18" i="5"/>
  <c r="AN54" i="5"/>
  <c r="AN18" i="5"/>
  <c r="AO54" i="5"/>
  <c r="AO18" i="5"/>
  <c r="AP54" i="5"/>
  <c r="BM16" i="5"/>
  <c r="BM54" i="5" s="1"/>
  <c r="AP18" i="5"/>
  <c r="AQ54" i="5"/>
  <c r="AQ18" i="5"/>
  <c r="AR54" i="5"/>
  <c r="AR18" i="5"/>
  <c r="AS54" i="5"/>
  <c r="AS18" i="5"/>
  <c r="AV7" i="5"/>
  <c r="BN5" i="5"/>
  <c r="BN43" i="5" s="1"/>
  <c r="C34" i="5"/>
  <c r="C28" i="5"/>
  <c r="D34" i="5"/>
  <c r="D28" i="5"/>
  <c r="E34" i="5"/>
  <c r="E28" i="5"/>
  <c r="F34" i="5"/>
  <c r="F28" i="5"/>
  <c r="G34" i="5"/>
  <c r="G28" i="5"/>
  <c r="H34" i="5"/>
  <c r="H28" i="5"/>
  <c r="I34" i="5"/>
  <c r="I28" i="5"/>
  <c r="J34" i="5"/>
  <c r="J28" i="5"/>
  <c r="K34" i="5"/>
  <c r="K28" i="5"/>
  <c r="L34" i="5"/>
  <c r="L28" i="5"/>
  <c r="M34" i="5"/>
  <c r="M28" i="5"/>
  <c r="N34" i="5"/>
  <c r="N28" i="5"/>
  <c r="O34" i="5"/>
  <c r="O28" i="5"/>
  <c r="P28" i="5"/>
  <c r="P34" i="5"/>
  <c r="Q34" i="5"/>
  <c r="Q28" i="5"/>
  <c r="R34" i="5"/>
  <c r="R28" i="5"/>
  <c r="S28" i="5"/>
  <c r="S34" i="5"/>
  <c r="T28" i="5"/>
  <c r="T34" i="5"/>
  <c r="U34" i="5"/>
  <c r="U28" i="5"/>
  <c r="V28" i="5"/>
  <c r="V34" i="5"/>
  <c r="W34" i="5"/>
  <c r="W28" i="5"/>
  <c r="X34" i="5"/>
  <c r="X28" i="5"/>
  <c r="Y34" i="5"/>
  <c r="Y28" i="5"/>
  <c r="Z34" i="5"/>
  <c r="Z28" i="5"/>
  <c r="AA34" i="5"/>
  <c r="AA28" i="5"/>
  <c r="AB34" i="5"/>
  <c r="AB28" i="5"/>
  <c r="AC34" i="5"/>
  <c r="AC28" i="5"/>
  <c r="AD34" i="5"/>
  <c r="AD28" i="5"/>
  <c r="AE34" i="5"/>
  <c r="AE28" i="5"/>
  <c r="AF34" i="5"/>
  <c r="AF28" i="5"/>
  <c r="AG34" i="5"/>
  <c r="AG28" i="5"/>
  <c r="AH34" i="5"/>
  <c r="AH28" i="5"/>
  <c r="AI34" i="5"/>
  <c r="AI28" i="5"/>
  <c r="AJ34" i="5"/>
  <c r="AJ28" i="5"/>
  <c r="AK34" i="5"/>
  <c r="AK28" i="5"/>
  <c r="AL34" i="5"/>
  <c r="AL28" i="5"/>
  <c r="AM34" i="5"/>
  <c r="AM28" i="5"/>
  <c r="AN34" i="5"/>
  <c r="AN28" i="5"/>
  <c r="AO34" i="5"/>
  <c r="AO28" i="5"/>
  <c r="AP34" i="5"/>
  <c r="AP28" i="5"/>
  <c r="AQ34" i="5"/>
  <c r="AQ28" i="5"/>
  <c r="AR34" i="5"/>
  <c r="AR28" i="5"/>
  <c r="AW8" i="5"/>
  <c r="AV10" i="5"/>
  <c r="AW10" i="5"/>
  <c r="AW9" i="5"/>
  <c r="AU9" i="5"/>
  <c r="AU8" i="5"/>
  <c r="AV9" i="5"/>
  <c r="AU10" i="5"/>
  <c r="BN10" i="5" s="1"/>
  <c r="BN48" i="5" s="1"/>
  <c r="AV8" i="5"/>
  <c r="BC34" i="5" l="1"/>
  <c r="BC28" i="5"/>
  <c r="BD27" i="5"/>
  <c r="BD30" i="5"/>
  <c r="BD33" i="5"/>
  <c r="AS34" i="5"/>
  <c r="AS28" i="5"/>
  <c r="AT34" i="5"/>
  <c r="AT28" i="5"/>
  <c r="B28" i="5"/>
  <c r="B34" i="5"/>
  <c r="AT54" i="5"/>
  <c r="AT18" i="5"/>
  <c r="B54" i="5"/>
  <c r="B18" i="5"/>
  <c r="BC18" i="5" s="1"/>
  <c r="BC56" i="5" s="1"/>
  <c r="BN9" i="5"/>
  <c r="BN47" i="5" s="1"/>
  <c r="BN8" i="5"/>
  <c r="BN46" i="5" s="1"/>
  <c r="BN45" i="5"/>
  <c r="BN32" i="5"/>
  <c r="BD34" i="5"/>
  <c r="BD28" i="5"/>
  <c r="BE34" i="5"/>
  <c r="BE28" i="5"/>
  <c r="BF28" i="5"/>
  <c r="BF34" i="5"/>
  <c r="BG28" i="5"/>
  <c r="BG34" i="5"/>
  <c r="BH28" i="5"/>
  <c r="BH34" i="5"/>
  <c r="BI28" i="5"/>
  <c r="BI34" i="5"/>
  <c r="BJ28" i="5"/>
  <c r="BJ34" i="5"/>
  <c r="BK34" i="5"/>
  <c r="BK28" i="5"/>
  <c r="BL34" i="5"/>
  <c r="BL28" i="5"/>
  <c r="BM34" i="5"/>
  <c r="BM28" i="5"/>
  <c r="C56" i="5"/>
  <c r="C20" i="5"/>
  <c r="D56" i="5"/>
  <c r="D20" i="5"/>
  <c r="E56" i="5"/>
  <c r="E20" i="5"/>
  <c r="BD18" i="5"/>
  <c r="BD56" i="5" s="1"/>
  <c r="F56" i="5"/>
  <c r="F20" i="5"/>
  <c r="G56" i="5"/>
  <c r="G20" i="5"/>
  <c r="H56" i="5"/>
  <c r="H20" i="5"/>
  <c r="I56" i="5"/>
  <c r="I20" i="5"/>
  <c r="BE18" i="5"/>
  <c r="BE56" i="5" s="1"/>
  <c r="J56" i="5"/>
  <c r="J20" i="5"/>
  <c r="K56" i="5"/>
  <c r="K20" i="5"/>
  <c r="L56" i="5"/>
  <c r="L20" i="5"/>
  <c r="M56" i="5"/>
  <c r="M20" i="5"/>
  <c r="BF18" i="5"/>
  <c r="BF56" i="5" s="1"/>
  <c r="N56" i="5"/>
  <c r="N20" i="5"/>
  <c r="O56" i="5"/>
  <c r="O20" i="5"/>
  <c r="P56" i="5"/>
  <c r="P20" i="5"/>
  <c r="Q56" i="5"/>
  <c r="Q20" i="5"/>
  <c r="R56" i="5"/>
  <c r="BG18" i="5"/>
  <c r="BG56" i="5" s="1"/>
  <c r="R20" i="5"/>
  <c r="S56" i="5"/>
  <c r="S20" i="5"/>
  <c r="T56" i="5"/>
  <c r="T20" i="5"/>
  <c r="U56" i="5"/>
  <c r="U20" i="5"/>
  <c r="BH18" i="5"/>
  <c r="BH56" i="5" s="1"/>
  <c r="V56" i="5"/>
  <c r="V20" i="5"/>
  <c r="W56" i="5"/>
  <c r="W20" i="5"/>
  <c r="X56" i="5"/>
  <c r="X20" i="5"/>
  <c r="Y56" i="5"/>
  <c r="Y20" i="5"/>
  <c r="BI18" i="5"/>
  <c r="BI56" i="5" s="1"/>
  <c r="Z56" i="5"/>
  <c r="Z20" i="5"/>
  <c r="AA56" i="5"/>
  <c r="AA20" i="5"/>
  <c r="AB56" i="5"/>
  <c r="AB20" i="5"/>
  <c r="AC56" i="5"/>
  <c r="AC20" i="5"/>
  <c r="BJ18" i="5"/>
  <c r="BJ56" i="5" s="1"/>
  <c r="AD56" i="5"/>
  <c r="AD20" i="5"/>
  <c r="AE56" i="5"/>
  <c r="AE20" i="5"/>
  <c r="AF56" i="5"/>
  <c r="AF20" i="5"/>
  <c r="AG56" i="5"/>
  <c r="AG20" i="5"/>
  <c r="AH56" i="5"/>
  <c r="BK18" i="5"/>
  <c r="BK56" i="5" s="1"/>
  <c r="AH20" i="5"/>
  <c r="AI56" i="5"/>
  <c r="AI20" i="5"/>
  <c r="AJ56" i="5"/>
  <c r="AJ20" i="5"/>
  <c r="AK56" i="5"/>
  <c r="AK20" i="5"/>
  <c r="AL56" i="5"/>
  <c r="BL18" i="5"/>
  <c r="BL56" i="5" s="1"/>
  <c r="AL20" i="5"/>
  <c r="AM56" i="5"/>
  <c r="AM20" i="5"/>
  <c r="AN56" i="5"/>
  <c r="AN20" i="5"/>
  <c r="AO56" i="5"/>
  <c r="AO20" i="5"/>
  <c r="AP56" i="5"/>
  <c r="BM18" i="5"/>
  <c r="BM56" i="5" s="1"/>
  <c r="AP20" i="5"/>
  <c r="AQ56" i="5"/>
  <c r="AQ20" i="5"/>
  <c r="AR56" i="5"/>
  <c r="AR20" i="5"/>
  <c r="AS56" i="5"/>
  <c r="AS20" i="5"/>
  <c r="AV32" i="5"/>
  <c r="AV45" i="5"/>
  <c r="AU11" i="5"/>
  <c r="AV11" i="5"/>
  <c r="AW11" i="5"/>
  <c r="AW17" i="5"/>
  <c r="AV17" i="5"/>
  <c r="AU17" i="5"/>
  <c r="BN17" i="5" s="1"/>
  <c r="BN55" i="5" s="1"/>
  <c r="AT56" i="5" l="1"/>
  <c r="AT20" i="5"/>
  <c r="B56" i="5"/>
  <c r="B20" i="5"/>
  <c r="BC20" i="5" s="1"/>
  <c r="BC58" i="5" s="1"/>
  <c r="BN11" i="5"/>
  <c r="C58" i="5"/>
  <c r="C21" i="5"/>
  <c r="C22" i="5"/>
  <c r="D58" i="5"/>
  <c r="D22" i="5"/>
  <c r="D21" i="5"/>
  <c r="E58" i="5"/>
  <c r="E22" i="5"/>
  <c r="E21" i="5"/>
  <c r="F22" i="5"/>
  <c r="F21" i="5"/>
  <c r="G58" i="5"/>
  <c r="G22" i="5"/>
  <c r="G21" i="5"/>
  <c r="H58" i="5"/>
  <c r="H22" i="5"/>
  <c r="H21" i="5"/>
  <c r="I58" i="5"/>
  <c r="I21" i="5"/>
  <c r="I22" i="5"/>
  <c r="J21" i="5"/>
  <c r="J22" i="5"/>
  <c r="K58" i="5"/>
  <c r="K22" i="5"/>
  <c r="K21" i="5"/>
  <c r="L58" i="5"/>
  <c r="L22" i="5"/>
  <c r="L21" i="5"/>
  <c r="M58" i="5"/>
  <c r="M21" i="5"/>
  <c r="M22" i="5"/>
  <c r="N22" i="5"/>
  <c r="N21" i="5"/>
  <c r="O58" i="5"/>
  <c r="O21" i="5"/>
  <c r="O22" i="5"/>
  <c r="P58" i="5"/>
  <c r="P21" i="5"/>
  <c r="P22" i="5"/>
  <c r="Q58" i="5"/>
  <c r="Q22" i="5"/>
  <c r="Q21" i="5"/>
  <c r="R21" i="5"/>
  <c r="R22" i="5"/>
  <c r="S58" i="5"/>
  <c r="S22" i="5"/>
  <c r="S21" i="5"/>
  <c r="T58" i="5"/>
  <c r="T21" i="5"/>
  <c r="T22" i="5"/>
  <c r="U58" i="5"/>
  <c r="U21" i="5"/>
  <c r="U22" i="5"/>
  <c r="V22" i="5"/>
  <c r="V21" i="5"/>
  <c r="W58" i="5"/>
  <c r="W21" i="5"/>
  <c r="W22" i="5"/>
  <c r="X58" i="5"/>
  <c r="X21" i="5"/>
  <c r="X22" i="5"/>
  <c r="Y58" i="5"/>
  <c r="Y22" i="5"/>
  <c r="Y21" i="5"/>
  <c r="Z21" i="5"/>
  <c r="Z22" i="5"/>
  <c r="AA58" i="5"/>
  <c r="AA22" i="5"/>
  <c r="AA21" i="5"/>
  <c r="AB58" i="5"/>
  <c r="AB22" i="5"/>
  <c r="AB21" i="5"/>
  <c r="AC58" i="5"/>
  <c r="AC22" i="5"/>
  <c r="AC21" i="5"/>
  <c r="AD22" i="5"/>
  <c r="AD21" i="5"/>
  <c r="AE58" i="5"/>
  <c r="AE22" i="5"/>
  <c r="AE21" i="5"/>
  <c r="AF58" i="5"/>
  <c r="AF22" i="5"/>
  <c r="AF21" i="5"/>
  <c r="AG58" i="5"/>
  <c r="AG22" i="5"/>
  <c r="AG21" i="5"/>
  <c r="AH21" i="5"/>
  <c r="AH22" i="5"/>
  <c r="AI58" i="5"/>
  <c r="AI21" i="5"/>
  <c r="AI22" i="5"/>
  <c r="AJ58" i="5"/>
  <c r="AJ22" i="5"/>
  <c r="AJ21" i="5"/>
  <c r="AK58" i="5"/>
  <c r="AK21" i="5"/>
  <c r="AK22" i="5"/>
  <c r="AL21" i="5"/>
  <c r="AL22" i="5"/>
  <c r="AM58" i="5"/>
  <c r="AM22" i="5"/>
  <c r="AM21" i="5"/>
  <c r="AN58" i="5"/>
  <c r="AN22" i="5"/>
  <c r="AN21" i="5"/>
  <c r="AO58" i="5"/>
  <c r="AO22" i="5"/>
  <c r="AO21" i="5"/>
  <c r="AP22" i="5"/>
  <c r="AP21" i="5"/>
  <c r="AQ58" i="5"/>
  <c r="AQ22" i="5"/>
  <c r="AQ21" i="5"/>
  <c r="AR58" i="5"/>
  <c r="AR22" i="5"/>
  <c r="AR21" i="5"/>
  <c r="AS58" i="5"/>
  <c r="AS22" i="5"/>
  <c r="AS21" i="5"/>
  <c r="F58" i="5"/>
  <c r="BD20" i="5"/>
  <c r="BD58" i="5" s="1"/>
  <c r="BE20" i="5"/>
  <c r="BE58" i="5" s="1"/>
  <c r="J58" i="5"/>
  <c r="BF20" i="5"/>
  <c r="BF58" i="5" s="1"/>
  <c r="N58" i="5"/>
  <c r="BG20" i="5"/>
  <c r="BG58" i="5" s="1"/>
  <c r="R58" i="5"/>
  <c r="V58" i="5"/>
  <c r="BH20" i="5"/>
  <c r="BH58" i="5" s="1"/>
  <c r="Z58" i="5"/>
  <c r="BI20" i="5"/>
  <c r="BI58" i="5" s="1"/>
  <c r="AD58" i="5"/>
  <c r="BJ20" i="5"/>
  <c r="BJ58" i="5" s="1"/>
  <c r="BK20" i="5"/>
  <c r="BK58" i="5" s="1"/>
  <c r="AH58" i="5"/>
  <c r="BL20" i="5"/>
  <c r="BL58" i="5" s="1"/>
  <c r="AL58" i="5"/>
  <c r="AP58" i="5"/>
  <c r="BM20" i="5"/>
  <c r="BM58" i="5" s="1"/>
  <c r="AU49" i="5"/>
  <c r="AU26" i="5"/>
  <c r="AU14" i="5"/>
  <c r="AW49" i="5"/>
  <c r="AW26" i="5"/>
  <c r="AW14" i="5"/>
  <c r="AV14" i="5"/>
  <c r="AV26" i="5"/>
  <c r="AV49" i="5"/>
  <c r="BH21" i="5" l="1"/>
  <c r="AT22" i="5"/>
  <c r="AT21" i="5"/>
  <c r="AT58" i="5"/>
  <c r="B58" i="5"/>
  <c r="B22" i="5"/>
  <c r="BC22" i="5" s="1"/>
  <c r="B21" i="5"/>
  <c r="BC21" i="5" s="1"/>
  <c r="BF22" i="5"/>
  <c r="BF21" i="5"/>
  <c r="BG21" i="5"/>
  <c r="BG22" i="5"/>
  <c r="BH22" i="5"/>
  <c r="BI21" i="5"/>
  <c r="BJ22" i="5"/>
  <c r="BK21" i="5"/>
  <c r="BM22" i="5"/>
  <c r="BN14" i="5"/>
  <c r="BN52" i="5" s="1"/>
  <c r="BE21" i="5"/>
  <c r="BI22" i="5"/>
  <c r="BJ21" i="5"/>
  <c r="BK22" i="5"/>
  <c r="BL21" i="5"/>
  <c r="BL22" i="5"/>
  <c r="BM21" i="5"/>
  <c r="BE22" i="5"/>
  <c r="BD22" i="5"/>
  <c r="BD21" i="5"/>
  <c r="BN26" i="5"/>
  <c r="BN49" i="5"/>
  <c r="AU33" i="5"/>
  <c r="AU30" i="5"/>
  <c r="AU15" i="5"/>
  <c r="AU52" i="5"/>
  <c r="AW33" i="5"/>
  <c r="AW30" i="5"/>
  <c r="AW15" i="5"/>
  <c r="AW16" i="5" s="1"/>
  <c r="AW52" i="5"/>
  <c r="B8" i="13"/>
  <c r="L10" i="13"/>
  <c r="M10" i="13" s="1"/>
  <c r="AV15" i="5"/>
  <c r="AV16" i="5"/>
  <c r="AV52" i="5"/>
  <c r="AV33" i="5"/>
  <c r="AV30" i="5"/>
  <c r="BN30" i="5" l="1"/>
  <c r="BN33" i="5"/>
  <c r="AU27" i="5"/>
  <c r="AU16" i="5"/>
  <c r="AU18" i="5" s="1"/>
  <c r="BN16" i="5"/>
  <c r="BN54" i="5" s="1"/>
  <c r="AU54" i="5"/>
  <c r="AU53" i="5"/>
  <c r="BN15" i="5"/>
  <c r="AV53" i="5"/>
  <c r="AV27" i="5"/>
  <c r="AW18" i="5"/>
  <c r="AW54" i="5"/>
  <c r="AW53" i="5"/>
  <c r="AW27" i="5"/>
  <c r="AV18" i="5"/>
  <c r="AV54" i="5"/>
  <c r="AU28" i="5" l="1"/>
  <c r="AU34" i="5"/>
  <c r="AU20" i="5"/>
  <c r="AU56" i="5"/>
  <c r="BN18" i="5"/>
  <c r="BN56" i="5" s="1"/>
  <c r="BN27" i="5"/>
  <c r="BN53" i="5"/>
  <c r="AV34" i="5"/>
  <c r="AV28" i="5"/>
  <c r="AW20" i="5"/>
  <c r="AW56" i="5"/>
  <c r="AW28" i="5"/>
  <c r="AW34" i="5"/>
  <c r="AV20" i="5"/>
  <c r="AV56" i="5"/>
  <c r="AU58" i="5" l="1"/>
  <c r="AU22" i="5"/>
  <c r="AU21" i="5"/>
  <c r="BN20" i="5"/>
  <c r="BN58" i="5" s="1"/>
  <c r="BN34" i="5"/>
  <c r="BN28" i="5"/>
  <c r="AW22" i="5"/>
  <c r="AW21" i="5"/>
  <c r="AW58" i="5"/>
  <c r="AV22" i="5"/>
  <c r="AV21" i="5"/>
  <c r="AV58" i="5"/>
  <c r="BN21" i="5" l="1"/>
  <c r="BN22" i="5"/>
</calcChain>
</file>

<file path=xl/sharedStrings.xml><?xml version="1.0" encoding="utf-8"?>
<sst xmlns="http://schemas.openxmlformats.org/spreadsheetml/2006/main" count="526" uniqueCount="330">
  <si>
    <t>Date</t>
  </si>
  <si>
    <t>2015-12-31</t>
  </si>
  <si>
    <t>2016-12-31</t>
  </si>
  <si>
    <t>2017-12-31</t>
  </si>
  <si>
    <t>2018-12-31</t>
  </si>
  <si>
    <t>2019-12-31</t>
  </si>
  <si>
    <t>2020-12-31</t>
  </si>
  <si>
    <t>2021-12-31</t>
  </si>
  <si>
    <t>2022-12-31</t>
  </si>
  <si>
    <t>2023-12-31</t>
  </si>
  <si>
    <t>2024-12-31</t>
  </si>
  <si>
    <t>2025-12-31</t>
  </si>
  <si>
    <t>TTM</t>
  </si>
  <si>
    <t>Sales of Machinery, Power &amp; Energy</t>
  </si>
  <si>
    <t>Revenues of Financial Products</t>
  </si>
  <si>
    <t>Total sales and revenues</t>
  </si>
  <si>
    <t>Cost of goods sold</t>
  </si>
  <si>
    <t>Other operating expenses</t>
  </si>
  <si>
    <t>Operating profit</t>
  </si>
  <si>
    <t>Other income</t>
  </si>
  <si>
    <t>Consolidated profit before taxes</t>
  </si>
  <si>
    <t>Provision for income taxes</t>
  </si>
  <si>
    <t>Profit of consolidated companies</t>
  </si>
  <si>
    <t>Profit of consolidated and affiliated companies</t>
  </si>
  <si>
    <t>Profit</t>
  </si>
  <si>
    <t>Profit per common share</t>
  </si>
  <si>
    <t>Profit per common share - diluted</t>
  </si>
  <si>
    <t>Basic</t>
  </si>
  <si>
    <t>Diluted</t>
  </si>
  <si>
    <t>Cash and cash equivalents</t>
  </si>
  <si>
    <t>Receivables - trade and other</t>
  </si>
  <si>
    <t>Receivables - finance</t>
  </si>
  <si>
    <t>Deferred and Refundable Income Taxes</t>
  </si>
  <si>
    <t>Prepaid expenses and other current assets</t>
  </si>
  <si>
    <t>Inventories</t>
  </si>
  <si>
    <t>Total current assets</t>
  </si>
  <si>
    <t>Property, plant and equipment - net</t>
  </si>
  <si>
    <t>Long-term receivables - trade and other</t>
  </si>
  <si>
    <t>Long-term receivables - finance</t>
  </si>
  <si>
    <t>Investments in Unconsolidated Affiliated Companies</t>
  </si>
  <si>
    <t>Noncurrent deferred and refundable income taxes</t>
  </si>
  <si>
    <t>Intangible assets</t>
  </si>
  <si>
    <t>Goodwill</t>
  </si>
  <si>
    <t>Other assets</t>
  </si>
  <si>
    <t>Total assets</t>
  </si>
  <si>
    <t>Machinery, Energy &amp; Transportation</t>
  </si>
  <si>
    <t>Financial Products</t>
  </si>
  <si>
    <t>Accounts payable</t>
  </si>
  <si>
    <t>Accrued expenses</t>
  </si>
  <si>
    <t>Accrued wages, salaries and employee benefits</t>
  </si>
  <si>
    <t>Customer advances</t>
  </si>
  <si>
    <t>Dividends payable</t>
  </si>
  <si>
    <t>Other current liabilities</t>
  </si>
  <si>
    <t>Machinery, Power &amp; Energy</t>
  </si>
  <si>
    <t>Total current liabilities</t>
  </si>
  <si>
    <t>Liability for postemployment benefits</t>
  </si>
  <si>
    <t>Other liabilities</t>
  </si>
  <si>
    <t>Total liabilities</t>
  </si>
  <si>
    <t>Issued shares at paid-in amount</t>
  </si>
  <si>
    <t>Treasury stock at cost</t>
  </si>
  <si>
    <t>Retained Earnings</t>
  </si>
  <si>
    <t>Accumulated other comprehensive income</t>
  </si>
  <si>
    <t>Noncontrolling interests</t>
  </si>
  <si>
    <t>Total shareholders' equity</t>
  </si>
  <si>
    <t>Total liabilities and shareholders' equity</t>
  </si>
  <si>
    <t>Depreciation and amortization</t>
  </si>
  <si>
    <t>Actuarial Gain on Pension and Postretirement Benefits</t>
  </si>
  <si>
    <t>Provision for deferred income taxes</t>
  </si>
  <si>
    <t>Gain on Divestiture</t>
  </si>
  <si>
    <t>Other</t>
  </si>
  <si>
    <t>Other assets - net</t>
  </si>
  <si>
    <t>Other liabilities - net</t>
  </si>
  <si>
    <t>Net cash provided by operating activities</t>
  </si>
  <si>
    <t>Capital expenditures - excluding equipment leased to others</t>
  </si>
  <si>
    <t>Expenditures for equipment leased to others</t>
  </si>
  <si>
    <t>Proceeds from disposals of leased assets and property, plant and equipment</t>
  </si>
  <si>
    <t>Additions to finance receivables</t>
  </si>
  <si>
    <t>Collections of finance receivables</t>
  </si>
  <si>
    <t>Proceeds from sale of finance receivables</t>
  </si>
  <si>
    <t>Investments and acquisitions (net of cash acquired)</t>
  </si>
  <si>
    <t>Proceeds from sale of businesses and investments (net of cash sold)</t>
  </si>
  <si>
    <t>Proceeds from maturities and sale of securities</t>
  </si>
  <si>
    <t>Investments in securities</t>
  </si>
  <si>
    <t>Other - net</t>
  </si>
  <si>
    <t>Net cash provided by investing activities</t>
  </si>
  <si>
    <t>Dividends paid</t>
  </si>
  <si>
    <t>Distribution to Noncontrolling Interests</t>
  </si>
  <si>
    <t>Common stock issued, and other stock compensation transactions, net</t>
  </si>
  <si>
    <t>Payments to purchase common stock</t>
  </si>
  <si>
    <t>Excess Tax Benefit from Stock-Based Compensation</t>
  </si>
  <si>
    <t>Excise Tax Paid on Purchases of Common Stock</t>
  </si>
  <si>
    <t>Short-term borrowings - net (original maturities three months or less)</t>
  </si>
  <si>
    <t>Other - Net</t>
  </si>
  <si>
    <t>Net cash provided by financing activities</t>
  </si>
  <si>
    <t>Effect of exchange rate changes on cash</t>
  </si>
  <si>
    <t>Change in cash, cash equivalents and restricted cash</t>
  </si>
  <si>
    <t>Cash, cash equivalents and restricted cash at beginning of period</t>
  </si>
  <si>
    <t>Cash, cash equivalents and restricted cash at end of period</t>
  </si>
  <si>
    <t>Market Cap</t>
  </si>
  <si>
    <t>Enterprise Value</t>
  </si>
  <si>
    <t>Last Close Price</t>
  </si>
  <si>
    <t>PE Ratio</t>
  </si>
  <si>
    <t>PS Ratio</t>
  </si>
  <si>
    <t>PB Ratio</t>
  </si>
  <si>
    <t>P/TBV Ratio</t>
  </si>
  <si>
    <t>P/FCF Ratio</t>
  </si>
  <si>
    <t>P/OCF Ratio</t>
  </si>
  <si>
    <t>EV/Revenue</t>
  </si>
  <si>
    <t>EV/EBITDA</t>
  </si>
  <si>
    <t>EV/EBIT</t>
  </si>
  <si>
    <t>EV/FCF</t>
  </si>
  <si>
    <t>Debt/Equity</t>
  </si>
  <si>
    <t>Debt/EBITDA</t>
  </si>
  <si>
    <t>Debt/FCF</t>
  </si>
  <si>
    <t>Net Debt/Equity</t>
  </si>
  <si>
    <t>Net Debt/EBITDA</t>
  </si>
  <si>
    <t>Net Debt/FCF</t>
  </si>
  <si>
    <t>Asset Turnover</t>
  </si>
  <si>
    <t>Inventory Turnover</t>
  </si>
  <si>
    <t>Quick Ratio</t>
  </si>
  <si>
    <t>Current Ratio</t>
  </si>
  <si>
    <t>Return on Equity (ROE)</t>
  </si>
  <si>
    <t>Return on Assets (ROA)</t>
  </si>
  <si>
    <t>Return on Invested Capital (ROIC)</t>
  </si>
  <si>
    <t>Return on Capital Employed (ROCE)</t>
  </si>
  <si>
    <t>Earnings Yield</t>
  </si>
  <si>
    <t>Free Cash Flow Yield</t>
  </si>
  <si>
    <t>Dividend Yield</t>
  </si>
  <si>
    <t>Payout Ratio</t>
  </si>
  <si>
    <t>Buyback Yield</t>
  </si>
  <si>
    <t>Total Return</t>
  </si>
  <si>
    <t>2015-03-31</t>
  </si>
  <si>
    <t>2015-06-30</t>
  </si>
  <si>
    <t>2015-09-30</t>
  </si>
  <si>
    <t>2016-03-31</t>
  </si>
  <si>
    <t>2016-06-30</t>
  </si>
  <si>
    <t>2016-09-30</t>
  </si>
  <si>
    <t>2017-03-31</t>
  </si>
  <si>
    <t>2017-06-30</t>
  </si>
  <si>
    <t>2017-09-30</t>
  </si>
  <si>
    <t>2018-03-31</t>
  </si>
  <si>
    <t>2018-06-30</t>
  </si>
  <si>
    <t>2018-09-30</t>
  </si>
  <si>
    <t>2019-03-31</t>
  </si>
  <si>
    <t>2019-06-30</t>
  </si>
  <si>
    <t>2019-09-30</t>
  </si>
  <si>
    <t>2020-03-31</t>
  </si>
  <si>
    <t>2020-06-30</t>
  </si>
  <si>
    <t>2020-09-30</t>
  </si>
  <si>
    <t>2021-03-31</t>
  </si>
  <si>
    <t>2021-06-30</t>
  </si>
  <si>
    <t>2021-09-30</t>
  </si>
  <si>
    <t>2022-03-31</t>
  </si>
  <si>
    <t>2022-06-30</t>
  </si>
  <si>
    <t>2022-09-30</t>
  </si>
  <si>
    <t>2023-03-31</t>
  </si>
  <si>
    <t>2023-06-30</t>
  </si>
  <si>
    <t>2023-09-30</t>
  </si>
  <si>
    <t>2024-03-31</t>
  </si>
  <si>
    <t>2024-06-30</t>
  </si>
  <si>
    <t>2024-09-30</t>
  </si>
  <si>
    <t>2025-03-31</t>
  </si>
  <si>
    <t>2025-06-30</t>
  </si>
  <si>
    <t>2025-09-30</t>
  </si>
  <si>
    <t>2026-03-31</t>
  </si>
  <si>
    <t>Market Cap Growth (YoY)</t>
  </si>
  <si>
    <t>Equity in earnings</t>
  </si>
  <si>
    <t>NCI</t>
  </si>
  <si>
    <t>Affiliates profit</t>
  </si>
  <si>
    <t xml:space="preserve">Interest expense </t>
  </si>
  <si>
    <t>SGA</t>
  </si>
  <si>
    <t>RD</t>
  </si>
  <si>
    <t>Financial products interest</t>
  </si>
  <si>
    <t>Gross profit</t>
  </si>
  <si>
    <t>EBIT</t>
  </si>
  <si>
    <t>Adj Earnings</t>
  </si>
  <si>
    <t>Adj EPS</t>
  </si>
  <si>
    <t>Gross Margin</t>
  </si>
  <si>
    <t>EBIT Margin</t>
  </si>
  <si>
    <t>Adj Net Margin</t>
  </si>
  <si>
    <t>ETR</t>
  </si>
  <si>
    <t>NOPAT</t>
  </si>
  <si>
    <t>Sales Growth QoQ</t>
  </si>
  <si>
    <t>Sales Growth YoY</t>
  </si>
  <si>
    <t>Common size</t>
  </si>
  <si>
    <t>Q126</t>
  </si>
  <si>
    <t>Q425</t>
  </si>
  <si>
    <t>Q125</t>
  </si>
  <si>
    <t>Q225</t>
  </si>
  <si>
    <t>Q325</t>
  </si>
  <si>
    <t>Q115</t>
  </si>
  <si>
    <t>Q215</t>
  </si>
  <si>
    <t>Q315</t>
  </si>
  <si>
    <t>Q415</t>
  </si>
  <si>
    <t>Q116</t>
  </si>
  <si>
    <t>Q216</t>
  </si>
  <si>
    <t>Q316</t>
  </si>
  <si>
    <t>Q416</t>
  </si>
  <si>
    <t>Q117</t>
  </si>
  <si>
    <t>Q217</t>
  </si>
  <si>
    <t>Q317</t>
  </si>
  <si>
    <t>Q417</t>
  </si>
  <si>
    <t>Q118</t>
  </si>
  <si>
    <t>Q218</t>
  </si>
  <si>
    <t>Q318</t>
  </si>
  <si>
    <t>Q418</t>
  </si>
  <si>
    <t>Q119</t>
  </si>
  <si>
    <t>Q219</t>
  </si>
  <si>
    <t>Q319</t>
  </si>
  <si>
    <t>Q419</t>
  </si>
  <si>
    <t>Q120</t>
  </si>
  <si>
    <t>Q220</t>
  </si>
  <si>
    <t>Q320</t>
  </si>
  <si>
    <t>Q420</t>
  </si>
  <si>
    <t>Q121</t>
  </si>
  <si>
    <t>Q221</t>
  </si>
  <si>
    <t>Q321</t>
  </si>
  <si>
    <t>Q421</t>
  </si>
  <si>
    <t>Q122</t>
  </si>
  <si>
    <t>Q222</t>
  </si>
  <si>
    <t>Q322</t>
  </si>
  <si>
    <t>Q422</t>
  </si>
  <si>
    <t>Q123</t>
  </si>
  <si>
    <t>Q223</t>
  </si>
  <si>
    <t>Q323</t>
  </si>
  <si>
    <t>Q423</t>
  </si>
  <si>
    <t>Q124</t>
  </si>
  <si>
    <t>Q224</t>
  </si>
  <si>
    <t>Q324</t>
  </si>
  <si>
    <t>Q424</t>
  </si>
  <si>
    <t>Q226</t>
  </si>
  <si>
    <t>Q326</t>
  </si>
  <si>
    <t>Q426</t>
  </si>
  <si>
    <t>CAT</t>
  </si>
  <si>
    <t>Shares</t>
  </si>
  <si>
    <t>MC</t>
  </si>
  <si>
    <t>Cash</t>
  </si>
  <si>
    <t>Debt</t>
  </si>
  <si>
    <t>EV</t>
  </si>
  <si>
    <t>TTM EV/EBIT</t>
  </si>
  <si>
    <t>Fwd EV/EBIT</t>
  </si>
  <si>
    <t>Peer Group</t>
  </si>
  <si>
    <t>Company</t>
  </si>
  <si>
    <t>Ticker</t>
  </si>
  <si>
    <t>Currency</t>
  </si>
  <si>
    <t>EBIT Period</t>
  </si>
  <si>
    <t>Clean EBIT</t>
  </si>
  <si>
    <t>EV / Clean EBIT</t>
  </si>
  <si>
    <t>Forward Period</t>
  </si>
  <si>
    <t>Forward Clean EBIT</t>
  </si>
  <si>
    <t>Forward EV / Clean EBIT</t>
  </si>
  <si>
    <t>Core Equipment</t>
  </si>
  <si>
    <t>Caterpillar</t>
  </si>
  <si>
    <t>USD</t>
  </si>
  <si>
    <t>FY2026E</t>
  </si>
  <si>
    <t>FY2027E</t>
  </si>
  <si>
    <t>Deere &amp; Company</t>
  </si>
  <si>
    <t>DE</t>
  </si>
  <si>
    <t>Komatsu</t>
  </si>
  <si>
    <t>6301 JP</t>
  </si>
  <si>
    <t>JPY</t>
  </si>
  <si>
    <t>Mar-2027E</t>
  </si>
  <si>
    <t>Mar-2028E</t>
  </si>
  <si>
    <t>AB Volvo</t>
  </si>
  <si>
    <t>VOLV B SS</t>
  </si>
  <si>
    <t>SEK</t>
  </si>
  <si>
    <t>CNH Industrial</t>
  </si>
  <si>
    <t>CNH</t>
  </si>
  <si>
    <t>Hitachi Construction Machinery</t>
  </si>
  <si>
    <t>6305 JP</t>
  </si>
  <si>
    <t>Doosan Bobcat</t>
  </si>
  <si>
    <t>241560 KS</t>
  </si>
  <si>
    <t>HD Construction Equipment</t>
  </si>
  <si>
    <t>267270 KS</t>
  </si>
  <si>
    <t>KRW</t>
  </si>
  <si>
    <t>Kubota</t>
  </si>
  <si>
    <t>6326 JP</t>
  </si>
  <si>
    <t>Sany Heavy Industry</t>
  </si>
  <si>
    <t>600031 CH</t>
  </si>
  <si>
    <t>CNY</t>
  </si>
  <si>
    <t>XCMG Machinery</t>
  </si>
  <si>
    <t>000425 CH</t>
  </si>
  <si>
    <t>Mining Systems</t>
  </si>
  <si>
    <t>Epiroc</t>
  </si>
  <si>
    <t>EPI A SS</t>
  </si>
  <si>
    <t>Sandvik</t>
  </si>
  <si>
    <t>SAND SS</t>
  </si>
  <si>
    <t>Metso</t>
  </si>
  <si>
    <t>METSO FH</t>
  </si>
  <si>
    <t>EUR</t>
  </si>
  <si>
    <t>Power, Engines &amp; Rail</t>
  </si>
  <si>
    <t>Cummins</t>
  </si>
  <si>
    <t>CMI</t>
  </si>
  <si>
    <t>Deutz</t>
  </si>
  <si>
    <t>DEZ GR</t>
  </si>
  <si>
    <t>Siemens Energy</t>
  </si>
  <si>
    <t>ENR GR</t>
  </si>
  <si>
    <t>Sep-2026E</t>
  </si>
  <si>
    <t>Sep-2027E</t>
  </si>
  <si>
    <t>GE Vernova</t>
  </si>
  <si>
    <t>GEV</t>
  </si>
  <si>
    <t>Baker Hughes</t>
  </si>
  <si>
    <t>BKR</t>
  </si>
  <si>
    <t>Generac</t>
  </si>
  <si>
    <t>GNRC</t>
  </si>
  <si>
    <t>Wabtec</t>
  </si>
  <si>
    <t>WAB</t>
  </si>
  <si>
    <t>Peer Summary</t>
  </si>
  <si>
    <t>Core Equipment Median</t>
  </si>
  <si>
    <t>Mining Systems Median</t>
  </si>
  <si>
    <t>Power, Engines &amp; Rail Median</t>
  </si>
  <si>
    <t>Overall Peer Median</t>
  </si>
  <si>
    <t>Overall Peer Mean</t>
  </si>
  <si>
    <t>FY16</t>
  </si>
  <si>
    <t>FY17</t>
  </si>
  <si>
    <t>FY18</t>
  </si>
  <si>
    <t>FY19</t>
  </si>
  <si>
    <t>FY20</t>
  </si>
  <si>
    <t>FY21</t>
  </si>
  <si>
    <t>FY22</t>
  </si>
  <si>
    <t>FY23</t>
  </si>
  <si>
    <t>FY24</t>
  </si>
  <si>
    <t>FY25</t>
  </si>
  <si>
    <t>FY26</t>
  </si>
  <si>
    <t>FY27</t>
  </si>
  <si>
    <t>FY28</t>
  </si>
  <si>
    <t>FY29</t>
  </si>
  <si>
    <t>FY15</t>
  </si>
  <si>
    <t>FY30</t>
  </si>
  <si>
    <t>FY31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</si>
</sst>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5" formatCode="_(* #,##0_);_(* \(#,##0\);_(* &quot;-&quot;??_);_(@_)"/>
    <numFmt numFmtId="166" formatCode="0.0%"/>
    <numFmt numFmtId="168" formatCode="#,##0;\(#,##0\);\-"/>
    <numFmt numFmtId="169" formatCode="0.0\x"/>
  </numFmts>
  <fonts count="7" x14ac:knownFonts="1">
    <font>
      <sz val="11"/>
      <name val="Calibri"/>
    </font>
    <font>
      <sz val="11"/>
      <name val="Calibri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8"/>
      <name val="Calibri"/>
      <family val="2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3">
    <border>
      <left/>
      <right/>
      <top/>
      <bottom/>
      <diagonal/>
    </border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3">
    <xf numFmtId="0" fontId="0" fillId="0" borderId="0" xfId="0"/>
    <xf numFmtId="165" fontId="2" fillId="0" borderId="0" xfId="1" applyNumberFormat="1" applyFont="1" applyAlignment="1">
      <alignment horizontal="left"/>
    </xf>
    <xf numFmtId="165" fontId="2" fillId="0" borderId="0" xfId="1" applyNumberFormat="1" applyFont="1" applyAlignment="1">
      <alignment horizontal="right"/>
    </xf>
    <xf numFmtId="165" fontId="3" fillId="0" borderId="0" xfId="1" applyNumberFormat="1" applyFont="1"/>
    <xf numFmtId="165" fontId="3" fillId="0" borderId="0" xfId="1" applyNumberFormat="1" applyFont="1" applyAlignment="1">
      <alignment horizontal="left"/>
    </xf>
    <xf numFmtId="165" fontId="3" fillId="0" borderId="0" xfId="1" applyNumberFormat="1" applyFont="1" applyAlignment="1">
      <alignment horizontal="right"/>
    </xf>
    <xf numFmtId="165" fontId="2" fillId="0" borderId="0" xfId="1" applyNumberFormat="1" applyFont="1"/>
    <xf numFmtId="43" fontId="3" fillId="0" borderId="0" xfId="1" applyFont="1" applyAlignment="1">
      <alignment horizontal="right"/>
    </xf>
    <xf numFmtId="43" fontId="3" fillId="0" borderId="0" xfId="1" applyFont="1"/>
    <xf numFmtId="166" fontId="3" fillId="0" borderId="0" xfId="1" applyNumberFormat="1" applyFont="1"/>
    <xf numFmtId="166" fontId="3" fillId="0" borderId="0" xfId="2" applyNumberFormat="1" applyFont="1"/>
    <xf numFmtId="166" fontId="2" fillId="0" borderId="0" xfId="2" applyNumberFormat="1" applyFont="1"/>
    <xf numFmtId="165" fontId="2" fillId="0" borderId="2" xfId="1" applyNumberFormat="1" applyFont="1" applyBorder="1" applyAlignment="1">
      <alignment horizontal="right"/>
    </xf>
    <xf numFmtId="165" fontId="3" fillId="0" borderId="2" xfId="1" applyNumberFormat="1" applyFont="1" applyBorder="1" applyAlignment="1">
      <alignment horizontal="right"/>
    </xf>
    <xf numFmtId="43" fontId="3" fillId="0" borderId="2" xfId="1" applyFont="1" applyBorder="1" applyAlignment="1">
      <alignment horizontal="right"/>
    </xf>
    <xf numFmtId="165" fontId="3" fillId="0" borderId="2" xfId="1" applyNumberFormat="1" applyFont="1" applyBorder="1"/>
    <xf numFmtId="43" fontId="3" fillId="0" borderId="2" xfId="1" applyFont="1" applyBorder="1"/>
    <xf numFmtId="166" fontId="3" fillId="0" borderId="2" xfId="1" applyNumberFormat="1" applyFont="1" applyBorder="1"/>
    <xf numFmtId="166" fontId="3" fillId="0" borderId="2" xfId="2" applyNumberFormat="1" applyFont="1" applyBorder="1"/>
    <xf numFmtId="166" fontId="2" fillId="0" borderId="2" xfId="2" applyNumberFormat="1" applyFont="1" applyBorder="1"/>
    <xf numFmtId="0" fontId="3" fillId="0" borderId="0" xfId="0" applyFont="1"/>
    <xf numFmtId="0" fontId="2" fillId="0" borderId="0" xfId="0" applyFont="1"/>
    <xf numFmtId="43" fontId="2" fillId="0" borderId="0" xfId="1" applyFont="1"/>
    <xf numFmtId="0" fontId="5" fillId="0" borderId="1" xfId="0" applyFont="1" applyBorder="1" applyAlignment="1">
      <alignment vertical="center"/>
    </xf>
    <xf numFmtId="0" fontId="5" fillId="0" borderId="1" xfId="0" applyFont="1" applyBorder="1" applyAlignment="1">
      <alignment horizontal="center" vertical="center"/>
    </xf>
    <xf numFmtId="168" fontId="5" fillId="0" borderId="1" xfId="0" applyNumberFormat="1" applyFont="1" applyBorder="1" applyAlignment="1">
      <alignment vertical="center"/>
    </xf>
    <xf numFmtId="169" fontId="5" fillId="0" borderId="1" xfId="0" applyNumberFormat="1" applyFont="1" applyBorder="1" applyAlignment="1">
      <alignment vertical="center"/>
    </xf>
    <xf numFmtId="0" fontId="6" fillId="0" borderId="1" xfId="0" applyFont="1" applyBorder="1" applyAlignment="1">
      <alignment vertical="center"/>
    </xf>
    <xf numFmtId="0" fontId="6" fillId="0" borderId="1" xfId="0" applyFont="1" applyBorder="1" applyAlignment="1">
      <alignment horizontal="center" vertical="center"/>
    </xf>
    <xf numFmtId="168" fontId="6" fillId="0" borderId="1" xfId="0" applyNumberFormat="1" applyFont="1" applyBorder="1" applyAlignment="1">
      <alignment vertical="center"/>
    </xf>
    <xf numFmtId="169" fontId="6" fillId="0" borderId="1" xfId="0" applyNumberFormat="1" applyFont="1" applyBorder="1" applyAlignment="1">
      <alignment vertical="center"/>
    </xf>
    <xf numFmtId="165" fontId="2" fillId="0" borderId="0" xfId="1" applyNumberFormat="1" applyFont="1" applyAlignment="1"/>
    <xf numFmtId="165" fontId="2" fillId="0" borderId="0" xfId="1" applyNumberFormat="1" applyFont="1" applyAlignment="1">
      <alignment horizontal="center"/>
    </xf>
  </cellXfs>
  <cellStyles count="3">
    <cellStyle name="Comma" xfId="1" builtinId="3"/>
    <cellStyle name="Normal" xfId="0" builtinId="0"/>
    <cellStyle name="Percent" xfId="2" builtinId="5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52DDFA-F3C4-453D-98EC-30BFACD0D98F}">
  <dimension ref="A1:M37"/>
  <sheetViews>
    <sheetView workbookViewId="0">
      <selection activeCell="D27" sqref="D27:M27"/>
    </sheetView>
  </sheetViews>
  <sheetFormatPr defaultRowHeight="15" x14ac:dyDescent="0.25"/>
  <cols>
    <col min="1" max="1" width="18.28515625" style="20" customWidth="1"/>
    <col min="2" max="2" width="9.140625" style="20"/>
    <col min="3" max="5" width="16" style="20" customWidth="1"/>
    <col min="6" max="6" width="9.140625" style="20"/>
    <col min="7" max="7" width="18.5703125" style="20" customWidth="1"/>
    <col min="8" max="8" width="9.7109375" style="20" customWidth="1"/>
    <col min="9" max="9" width="13.5703125" style="20" customWidth="1"/>
    <col min="10" max="10" width="20.85546875" style="20" customWidth="1"/>
    <col min="11" max="11" width="21.7109375" style="20" customWidth="1"/>
    <col min="12" max="12" width="21.85546875" style="20" customWidth="1"/>
    <col min="13" max="13" width="26" style="20" customWidth="1"/>
    <col min="14" max="16384" width="9.140625" style="20"/>
  </cols>
  <sheetData>
    <row r="1" spans="1:13" s="21" customFormat="1" x14ac:dyDescent="0.25">
      <c r="A1" s="21" t="s">
        <v>233</v>
      </c>
      <c r="B1" s="22">
        <v>818</v>
      </c>
    </row>
    <row r="2" spans="1:13" x14ac:dyDescent="0.25">
      <c r="A2" s="20" t="s">
        <v>234</v>
      </c>
      <c r="B2" s="3">
        <f>'Income-Quarterly'!AT24</f>
        <v>465.8</v>
      </c>
    </row>
    <row r="3" spans="1:13" s="21" customFormat="1" x14ac:dyDescent="0.25">
      <c r="A3" s="21" t="s">
        <v>235</v>
      </c>
      <c r="B3" s="6">
        <f>B2*B1</f>
        <v>381024.4</v>
      </c>
    </row>
    <row r="4" spans="1:13" x14ac:dyDescent="0.25">
      <c r="A4" s="20" t="s">
        <v>236</v>
      </c>
      <c r="B4" s="3">
        <f>SUM('Balance-Sheet-Quarterly'!AT2)</f>
        <v>4072</v>
      </c>
    </row>
    <row r="5" spans="1:13" x14ac:dyDescent="0.25">
      <c r="A5" s="20" t="s">
        <v>237</v>
      </c>
      <c r="B5" s="3">
        <v>43066</v>
      </c>
    </row>
    <row r="6" spans="1:13" s="21" customFormat="1" x14ac:dyDescent="0.25">
      <c r="A6" s="21" t="s">
        <v>238</v>
      </c>
      <c r="B6" s="6">
        <f>B3-B4+B5</f>
        <v>420018.4</v>
      </c>
    </row>
    <row r="7" spans="1:13" x14ac:dyDescent="0.25">
      <c r="A7" s="20" t="s">
        <v>239</v>
      </c>
      <c r="B7" s="8">
        <f>B6/SUM('Income-Quarterly'!AQ26:AT26)</f>
        <v>29.477044003087936</v>
      </c>
    </row>
    <row r="8" spans="1:13" x14ac:dyDescent="0.25">
      <c r="A8" s="20" t="s">
        <v>240</v>
      </c>
      <c r="B8" s="8">
        <f>B6/SUM('Income-Quarterly'!AU26:AW26)</f>
        <v>31.248871555481422</v>
      </c>
    </row>
    <row r="9" spans="1:13" s="6" customFormat="1" x14ac:dyDescent="0.25">
      <c r="C9" s="1" t="s">
        <v>241</v>
      </c>
      <c r="D9" s="31" t="s">
        <v>242</v>
      </c>
      <c r="E9" s="32" t="s">
        <v>243</v>
      </c>
      <c r="F9" s="2" t="s">
        <v>244</v>
      </c>
      <c r="G9" s="32" t="s">
        <v>245</v>
      </c>
      <c r="H9" s="2" t="s">
        <v>238</v>
      </c>
      <c r="I9" s="2" t="s">
        <v>246</v>
      </c>
      <c r="J9" s="2" t="s">
        <v>247</v>
      </c>
      <c r="K9" s="32" t="s">
        <v>248</v>
      </c>
      <c r="L9" s="2" t="s">
        <v>249</v>
      </c>
      <c r="M9" s="2" t="s">
        <v>250</v>
      </c>
    </row>
    <row r="10" spans="1:13" x14ac:dyDescent="0.25">
      <c r="C10" s="23" t="s">
        <v>251</v>
      </c>
      <c r="D10" s="23" t="s">
        <v>252</v>
      </c>
      <c r="E10" s="24" t="s">
        <v>233</v>
      </c>
      <c r="F10" s="24" t="s">
        <v>253</v>
      </c>
      <c r="G10" s="24" t="s">
        <v>254</v>
      </c>
      <c r="H10" s="25">
        <f>B6</f>
        <v>420018.4</v>
      </c>
      <c r="I10" s="25">
        <f>SUM('Income-Quarterly'!AQ26:AT26)</f>
        <v>14249</v>
      </c>
      <c r="J10" s="26">
        <f t="shared" ref="J10:J30" si="0">H10/I10</f>
        <v>29.477044003087936</v>
      </c>
      <c r="K10" s="24" t="s">
        <v>255</v>
      </c>
      <c r="L10" s="25">
        <f>SUM('Income-Quarterly'!AU26:AW26)</f>
        <v>13441.074160206717</v>
      </c>
      <c r="M10" s="26">
        <f>H10/L10</f>
        <v>31.248871555481422</v>
      </c>
    </row>
    <row r="11" spans="1:13" x14ac:dyDescent="0.25">
      <c r="C11" s="27" t="s">
        <v>251</v>
      </c>
      <c r="D11" s="27" t="s">
        <v>256</v>
      </c>
      <c r="E11" s="28" t="s">
        <v>257</v>
      </c>
      <c r="F11" s="28" t="s">
        <v>253</v>
      </c>
      <c r="G11" s="28" t="s">
        <v>254</v>
      </c>
      <c r="H11" s="29">
        <v>164984</v>
      </c>
      <c r="I11" s="29">
        <v>6033</v>
      </c>
      <c r="J11" s="30">
        <f t="shared" si="0"/>
        <v>27.346925244488645</v>
      </c>
      <c r="K11" s="28" t="s">
        <v>255</v>
      </c>
      <c r="L11" s="29">
        <v>7473</v>
      </c>
      <c r="M11" s="30">
        <f>H11/L11</f>
        <v>22.07734510905928</v>
      </c>
    </row>
    <row r="12" spans="1:13" x14ac:dyDescent="0.25">
      <c r="C12" s="27" t="s">
        <v>251</v>
      </c>
      <c r="D12" s="27" t="s">
        <v>258</v>
      </c>
      <c r="E12" s="28" t="s">
        <v>259</v>
      </c>
      <c r="F12" s="28" t="s">
        <v>260</v>
      </c>
      <c r="G12" s="28" t="s">
        <v>261</v>
      </c>
      <c r="H12" s="29">
        <v>6691000</v>
      </c>
      <c r="I12" s="29">
        <v>555000</v>
      </c>
      <c r="J12" s="30">
        <f t="shared" si="0"/>
        <v>12.055855855855857</v>
      </c>
      <c r="K12" s="28" t="s">
        <v>262</v>
      </c>
      <c r="L12" s="29">
        <v>612173</v>
      </c>
      <c r="M12" s="30">
        <f>H12/L12</f>
        <v>10.929916869904423</v>
      </c>
    </row>
    <row r="13" spans="1:13" x14ac:dyDescent="0.25">
      <c r="C13" s="27" t="s">
        <v>251</v>
      </c>
      <c r="D13" s="27" t="s">
        <v>263</v>
      </c>
      <c r="E13" s="28" t="s">
        <v>264</v>
      </c>
      <c r="F13" s="28" t="s">
        <v>265</v>
      </c>
      <c r="G13" s="28" t="s">
        <v>254</v>
      </c>
      <c r="H13" s="29">
        <v>682967</v>
      </c>
      <c r="I13" s="29">
        <v>57816</v>
      </c>
      <c r="J13" s="30">
        <f t="shared" si="0"/>
        <v>11.812768091877681</v>
      </c>
      <c r="K13" s="28" t="s">
        <v>255</v>
      </c>
      <c r="L13" s="29">
        <v>67495</v>
      </c>
      <c r="M13" s="30">
        <f>H13/L13</f>
        <v>10.11877916882732</v>
      </c>
    </row>
    <row r="14" spans="1:13" x14ac:dyDescent="0.25">
      <c r="C14" s="27" t="s">
        <v>251</v>
      </c>
      <c r="D14" s="27" t="s">
        <v>266</v>
      </c>
      <c r="E14" s="28" t="s">
        <v>267</v>
      </c>
      <c r="F14" s="28" t="s">
        <v>253</v>
      </c>
      <c r="G14" s="28" t="s">
        <v>254</v>
      </c>
      <c r="H14" s="29">
        <v>16276</v>
      </c>
      <c r="I14" s="29">
        <v>485.5</v>
      </c>
      <c r="J14" s="30">
        <f t="shared" si="0"/>
        <v>33.52420185375901</v>
      </c>
      <c r="K14" s="28" t="s">
        <v>255</v>
      </c>
      <c r="L14" s="29">
        <v>975.8</v>
      </c>
      <c r="M14" s="30">
        <f>H14/L14</f>
        <v>16.679647468743596</v>
      </c>
    </row>
    <row r="15" spans="1:13" x14ac:dyDescent="0.25">
      <c r="C15" s="27" t="s">
        <v>251</v>
      </c>
      <c r="D15" s="27" t="s">
        <v>268</v>
      </c>
      <c r="E15" s="28" t="s">
        <v>269</v>
      </c>
      <c r="F15" s="28" t="s">
        <v>260</v>
      </c>
      <c r="G15" s="28" t="s">
        <v>261</v>
      </c>
      <c r="H15" s="29">
        <v>1534086</v>
      </c>
      <c r="I15" s="29">
        <v>145485</v>
      </c>
      <c r="J15" s="30">
        <f t="shared" si="0"/>
        <v>10.54463346736777</v>
      </c>
      <c r="K15" s="28" t="s">
        <v>262</v>
      </c>
      <c r="L15" s="29">
        <v>172701</v>
      </c>
      <c r="M15" s="30">
        <f>H15/L15</f>
        <v>8.882901662410756</v>
      </c>
    </row>
    <row r="16" spans="1:13" x14ac:dyDescent="0.25">
      <c r="C16" s="27" t="s">
        <v>251</v>
      </c>
      <c r="D16" s="27" t="s">
        <v>270</v>
      </c>
      <c r="E16" s="28" t="s">
        <v>271</v>
      </c>
      <c r="F16" s="28" t="s">
        <v>253</v>
      </c>
      <c r="G16" s="28" t="s">
        <v>254</v>
      </c>
      <c r="H16" s="29">
        <v>3430</v>
      </c>
      <c r="I16" s="29">
        <v>482</v>
      </c>
      <c r="J16" s="30">
        <f t="shared" si="0"/>
        <v>7.1161825726141075</v>
      </c>
      <c r="K16" s="28" t="s">
        <v>255</v>
      </c>
      <c r="L16" s="29">
        <v>647</v>
      </c>
      <c r="M16" s="30">
        <f>H16/L16</f>
        <v>5.3013910355486864</v>
      </c>
    </row>
    <row r="17" spans="3:13" x14ac:dyDescent="0.25">
      <c r="C17" s="27" t="s">
        <v>251</v>
      </c>
      <c r="D17" s="27" t="s">
        <v>272</v>
      </c>
      <c r="E17" s="28" t="s">
        <v>273</v>
      </c>
      <c r="F17" s="28" t="s">
        <v>274</v>
      </c>
      <c r="G17" s="28" t="s">
        <v>254</v>
      </c>
      <c r="H17" s="29">
        <v>7740000</v>
      </c>
      <c r="I17" s="29">
        <v>686700</v>
      </c>
      <c r="J17" s="30">
        <f t="shared" si="0"/>
        <v>11.271297509829619</v>
      </c>
      <c r="K17" s="28" t="s">
        <v>255</v>
      </c>
      <c r="L17" s="29">
        <v>825600</v>
      </c>
      <c r="M17" s="30">
        <f>H17/L17</f>
        <v>9.375</v>
      </c>
    </row>
    <row r="18" spans="3:13" x14ac:dyDescent="0.25">
      <c r="C18" s="27" t="s">
        <v>251</v>
      </c>
      <c r="D18" s="27" t="s">
        <v>275</v>
      </c>
      <c r="E18" s="28" t="s">
        <v>276</v>
      </c>
      <c r="F18" s="28" t="s">
        <v>260</v>
      </c>
      <c r="G18" s="28" t="s">
        <v>254</v>
      </c>
      <c r="H18" s="29">
        <v>5003315</v>
      </c>
      <c r="I18" s="29">
        <v>322795</v>
      </c>
      <c r="J18" s="30">
        <f t="shared" si="0"/>
        <v>15.499976765439365</v>
      </c>
      <c r="K18" s="28" t="s">
        <v>255</v>
      </c>
      <c r="L18" s="29">
        <v>356415</v>
      </c>
      <c r="M18" s="30">
        <f>H18/L18</f>
        <v>14.037891222311069</v>
      </c>
    </row>
    <row r="19" spans="3:13" x14ac:dyDescent="0.25">
      <c r="C19" s="27" t="s">
        <v>251</v>
      </c>
      <c r="D19" s="27" t="s">
        <v>277</v>
      </c>
      <c r="E19" s="28" t="s">
        <v>278</v>
      </c>
      <c r="F19" s="28" t="s">
        <v>279</v>
      </c>
      <c r="G19" s="28" t="s">
        <v>254</v>
      </c>
      <c r="H19" s="29">
        <v>148363</v>
      </c>
      <c r="I19" s="29">
        <v>12123</v>
      </c>
      <c r="J19" s="30">
        <f t="shared" si="0"/>
        <v>12.238142373999835</v>
      </c>
      <c r="K19" s="28" t="s">
        <v>255</v>
      </c>
      <c r="L19" s="29">
        <v>15174</v>
      </c>
      <c r="M19" s="30">
        <f>H19/L19</f>
        <v>9.7774482667721099</v>
      </c>
    </row>
    <row r="20" spans="3:13" x14ac:dyDescent="0.25">
      <c r="C20" s="27" t="s">
        <v>251</v>
      </c>
      <c r="D20" s="27" t="s">
        <v>280</v>
      </c>
      <c r="E20" s="28" t="s">
        <v>281</v>
      </c>
      <c r="F20" s="28" t="s">
        <v>279</v>
      </c>
      <c r="G20" s="28" t="s">
        <v>254</v>
      </c>
      <c r="H20" s="29">
        <v>128550</v>
      </c>
      <c r="I20" s="29">
        <v>10413</v>
      </c>
      <c r="J20" s="30">
        <f t="shared" si="0"/>
        <v>12.345145491212907</v>
      </c>
      <c r="K20" s="28" t="s">
        <v>255</v>
      </c>
      <c r="L20" s="29">
        <v>12896</v>
      </c>
      <c r="M20" s="30">
        <f>H20/L20</f>
        <v>9.9682071960297769</v>
      </c>
    </row>
    <row r="21" spans="3:13" x14ac:dyDescent="0.25">
      <c r="C21" s="27" t="s">
        <v>282</v>
      </c>
      <c r="D21" s="27" t="s">
        <v>283</v>
      </c>
      <c r="E21" s="28" t="s">
        <v>284</v>
      </c>
      <c r="F21" s="28" t="s">
        <v>265</v>
      </c>
      <c r="G21" s="28" t="s">
        <v>254</v>
      </c>
      <c r="H21" s="29">
        <v>279759</v>
      </c>
      <c r="I21" s="29">
        <v>13684</v>
      </c>
      <c r="J21" s="30">
        <f t="shared" si="0"/>
        <v>20.444241449868461</v>
      </c>
      <c r="K21" s="28" t="s">
        <v>255</v>
      </c>
      <c r="L21" s="29">
        <v>16227</v>
      </c>
      <c r="M21" s="30">
        <f>H21/L21</f>
        <v>17.240340173784432</v>
      </c>
    </row>
    <row r="22" spans="3:13" x14ac:dyDescent="0.25">
      <c r="C22" s="27" t="s">
        <v>282</v>
      </c>
      <c r="D22" s="27" t="s">
        <v>285</v>
      </c>
      <c r="E22" s="28" t="s">
        <v>286</v>
      </c>
      <c r="F22" s="28" t="s">
        <v>265</v>
      </c>
      <c r="G22" s="28" t="s">
        <v>254</v>
      </c>
      <c r="H22" s="29">
        <v>463267</v>
      </c>
      <c r="I22" s="29">
        <v>29586</v>
      </c>
      <c r="J22" s="30">
        <f t="shared" si="0"/>
        <v>15.658318123436761</v>
      </c>
      <c r="K22" s="28" t="s">
        <v>255</v>
      </c>
      <c r="L22" s="29">
        <v>32374</v>
      </c>
      <c r="M22" s="30">
        <f>H22/L22</f>
        <v>14.309847408414159</v>
      </c>
    </row>
    <row r="23" spans="3:13" x14ac:dyDescent="0.25">
      <c r="C23" s="27" t="s">
        <v>282</v>
      </c>
      <c r="D23" s="27" t="s">
        <v>287</v>
      </c>
      <c r="E23" s="28" t="s">
        <v>288</v>
      </c>
      <c r="F23" s="28" t="s">
        <v>289</v>
      </c>
      <c r="G23" s="28" t="s">
        <v>254</v>
      </c>
      <c r="H23" s="29">
        <v>14131</v>
      </c>
      <c r="I23" s="29">
        <v>918</v>
      </c>
      <c r="J23" s="30">
        <f t="shared" si="0"/>
        <v>15.393246187363834</v>
      </c>
      <c r="K23" s="28" t="s">
        <v>255</v>
      </c>
      <c r="L23" s="29">
        <v>1055</v>
      </c>
      <c r="M23" s="30">
        <f>H23/L23</f>
        <v>13.394312796208531</v>
      </c>
    </row>
    <row r="24" spans="3:13" x14ac:dyDescent="0.25">
      <c r="C24" s="27" t="s">
        <v>290</v>
      </c>
      <c r="D24" s="27" t="s">
        <v>291</v>
      </c>
      <c r="E24" s="28" t="s">
        <v>292</v>
      </c>
      <c r="F24" s="28" t="s">
        <v>253</v>
      </c>
      <c r="G24" s="28" t="s">
        <v>254</v>
      </c>
      <c r="H24" s="29">
        <v>87212</v>
      </c>
      <c r="I24" s="29">
        <v>5651</v>
      </c>
      <c r="J24" s="30">
        <f t="shared" si="0"/>
        <v>15.433020704300123</v>
      </c>
      <c r="K24" s="28" t="s">
        <v>255</v>
      </c>
      <c r="L24" s="29">
        <v>6176</v>
      </c>
      <c r="M24" s="30">
        <f>H24/L24</f>
        <v>14.121113989637307</v>
      </c>
    </row>
    <row r="25" spans="3:13" x14ac:dyDescent="0.25">
      <c r="C25" s="27" t="s">
        <v>290</v>
      </c>
      <c r="D25" s="27" t="s">
        <v>293</v>
      </c>
      <c r="E25" s="28" t="s">
        <v>294</v>
      </c>
      <c r="F25" s="28" t="s">
        <v>289</v>
      </c>
      <c r="G25" s="28" t="s">
        <v>254</v>
      </c>
      <c r="H25" s="29">
        <v>1836</v>
      </c>
      <c r="I25" s="29">
        <v>180</v>
      </c>
      <c r="J25" s="30">
        <f t="shared" si="0"/>
        <v>10.199999999999999</v>
      </c>
      <c r="K25" s="28" t="s">
        <v>255</v>
      </c>
      <c r="L25" s="29">
        <v>220</v>
      </c>
      <c r="M25" s="30">
        <f>H25/L25</f>
        <v>8.3454545454545457</v>
      </c>
    </row>
    <row r="26" spans="3:13" x14ac:dyDescent="0.25">
      <c r="C26" s="27" t="s">
        <v>290</v>
      </c>
      <c r="D26" s="27" t="s">
        <v>295</v>
      </c>
      <c r="E26" s="28" t="s">
        <v>296</v>
      </c>
      <c r="F26" s="28" t="s">
        <v>289</v>
      </c>
      <c r="G26" s="28" t="s">
        <v>297</v>
      </c>
      <c r="H26" s="29">
        <v>116261</v>
      </c>
      <c r="I26" s="29">
        <v>5077</v>
      </c>
      <c r="J26" s="30">
        <f t="shared" si="0"/>
        <v>22.899546976560963</v>
      </c>
      <c r="K26" s="28" t="s">
        <v>298</v>
      </c>
      <c r="L26" s="29">
        <v>7100</v>
      </c>
      <c r="M26" s="30">
        <f>H26/L26</f>
        <v>16.374788732394368</v>
      </c>
    </row>
    <row r="27" spans="3:13" x14ac:dyDescent="0.25">
      <c r="C27" s="27" t="s">
        <v>290</v>
      </c>
      <c r="D27" s="27" t="s">
        <v>299</v>
      </c>
      <c r="E27" s="28" t="s">
        <v>300</v>
      </c>
      <c r="F27" s="28" t="s">
        <v>253</v>
      </c>
      <c r="G27" s="28" t="s">
        <v>254</v>
      </c>
      <c r="H27" s="29">
        <v>227935</v>
      </c>
      <c r="I27" s="29">
        <v>4741</v>
      </c>
      <c r="J27" s="30">
        <f t="shared" si="0"/>
        <v>48.077409829149971</v>
      </c>
      <c r="K27" s="28" t="s">
        <v>255</v>
      </c>
      <c r="L27" s="29">
        <v>8244</v>
      </c>
      <c r="M27" s="30">
        <f>H27/L27</f>
        <v>27.648592916060164</v>
      </c>
    </row>
    <row r="28" spans="3:13" x14ac:dyDescent="0.25">
      <c r="C28" s="27" t="s">
        <v>290</v>
      </c>
      <c r="D28" s="27" t="s">
        <v>301</v>
      </c>
      <c r="E28" s="28" t="s">
        <v>302</v>
      </c>
      <c r="F28" s="28" t="s">
        <v>253</v>
      </c>
      <c r="G28" s="28" t="s">
        <v>254</v>
      </c>
      <c r="H28" s="29">
        <v>66050</v>
      </c>
      <c r="I28" s="29">
        <v>3570</v>
      </c>
      <c r="J28" s="30">
        <f t="shared" si="0"/>
        <v>18.501400560224091</v>
      </c>
      <c r="K28" s="28" t="s">
        <v>255</v>
      </c>
      <c r="L28" s="29">
        <v>4233</v>
      </c>
      <c r="M28" s="30">
        <f>H28/L28</f>
        <v>15.603590833923931</v>
      </c>
    </row>
    <row r="29" spans="3:13" x14ac:dyDescent="0.25">
      <c r="C29" s="27" t="s">
        <v>290</v>
      </c>
      <c r="D29" s="27" t="s">
        <v>303</v>
      </c>
      <c r="E29" s="28" t="s">
        <v>304</v>
      </c>
      <c r="F29" s="28" t="s">
        <v>253</v>
      </c>
      <c r="G29" s="28" t="s">
        <v>254</v>
      </c>
      <c r="H29" s="29">
        <v>12380</v>
      </c>
      <c r="I29" s="29">
        <v>669.2</v>
      </c>
      <c r="J29" s="30">
        <f t="shared" si="0"/>
        <v>18.499701135684397</v>
      </c>
      <c r="K29" s="28" t="s">
        <v>255</v>
      </c>
      <c r="L29" s="29">
        <v>851.2</v>
      </c>
      <c r="M29" s="30">
        <f>H29/L29</f>
        <v>14.544172932330826</v>
      </c>
    </row>
    <row r="30" spans="3:13" x14ac:dyDescent="0.25">
      <c r="C30" s="27" t="s">
        <v>290</v>
      </c>
      <c r="D30" s="27" t="s">
        <v>305</v>
      </c>
      <c r="E30" s="28" t="s">
        <v>306</v>
      </c>
      <c r="F30" s="28" t="s">
        <v>253</v>
      </c>
      <c r="G30" s="28" t="s">
        <v>254</v>
      </c>
      <c r="H30" s="29">
        <v>50679</v>
      </c>
      <c r="I30" s="29">
        <v>2652</v>
      </c>
      <c r="J30" s="30">
        <f t="shared" si="0"/>
        <v>19.109728506787331</v>
      </c>
      <c r="K30" s="28" t="s">
        <v>255</v>
      </c>
      <c r="L30" s="29">
        <v>2939</v>
      </c>
      <c r="M30" s="30">
        <f>H30/L30</f>
        <v>17.243620279006464</v>
      </c>
    </row>
    <row r="31" spans="3:13" x14ac:dyDescent="0.25">
      <c r="C31" s="27"/>
      <c r="D31" s="27"/>
      <c r="E31" s="27"/>
      <c r="F31" s="27"/>
      <c r="G31" s="27"/>
      <c r="H31" s="27"/>
      <c r="I31" s="27"/>
      <c r="J31" s="30"/>
      <c r="K31" s="27"/>
      <c r="L31" s="27"/>
      <c r="M31" s="30"/>
    </row>
    <row r="32" spans="3:13" x14ac:dyDescent="0.25">
      <c r="C32" s="23" t="s">
        <v>307</v>
      </c>
      <c r="D32" s="23"/>
      <c r="E32" s="23"/>
      <c r="F32" s="23"/>
      <c r="G32" s="23"/>
      <c r="H32" s="23"/>
      <c r="I32" s="23"/>
      <c r="J32" s="26"/>
      <c r="K32" s="23"/>
      <c r="L32" s="23"/>
      <c r="M32" s="26"/>
    </row>
    <row r="33" spans="3:13" x14ac:dyDescent="0.25">
      <c r="C33" s="27"/>
      <c r="D33" s="27" t="s">
        <v>308</v>
      </c>
      <c r="E33" s="27"/>
      <c r="F33" s="27"/>
      <c r="G33" s="27"/>
      <c r="H33" s="27"/>
      <c r="I33" s="27"/>
      <c r="J33" s="30">
        <f>MEDIAN(J11:J20)</f>
        <v>12.146999114927846</v>
      </c>
      <c r="K33" s="27"/>
      <c r="L33" s="27"/>
      <c r="M33" s="30">
        <f>MEDIAN(M11:M20)</f>
        <v>10.043493182428548</v>
      </c>
    </row>
    <row r="34" spans="3:13" x14ac:dyDescent="0.25">
      <c r="C34" s="27"/>
      <c r="D34" s="27" t="s">
        <v>309</v>
      </c>
      <c r="E34" s="27"/>
      <c r="F34" s="27"/>
      <c r="G34" s="27"/>
      <c r="H34" s="27"/>
      <c r="I34" s="27"/>
      <c r="J34" s="30">
        <f>MEDIAN(J21:J23)</f>
        <v>15.658318123436761</v>
      </c>
      <c r="K34" s="27"/>
      <c r="L34" s="27"/>
      <c r="M34" s="30">
        <f>MEDIAN(M21:M23)</f>
        <v>14.309847408414159</v>
      </c>
    </row>
    <row r="35" spans="3:13" x14ac:dyDescent="0.25">
      <c r="C35" s="27"/>
      <c r="D35" s="27" t="s">
        <v>310</v>
      </c>
      <c r="E35" s="27"/>
      <c r="F35" s="27"/>
      <c r="G35" s="27"/>
      <c r="H35" s="27"/>
      <c r="I35" s="27"/>
      <c r="J35" s="30">
        <f>MEDIAN(J24:J30)</f>
        <v>18.501400560224091</v>
      </c>
      <c r="K35" s="27"/>
      <c r="L35" s="27"/>
      <c r="M35" s="30">
        <f>MEDIAN(M24:M30)</f>
        <v>15.603590833923931</v>
      </c>
    </row>
    <row r="36" spans="3:13" x14ac:dyDescent="0.25">
      <c r="C36" s="27"/>
      <c r="D36" s="23" t="s">
        <v>311</v>
      </c>
      <c r="E36" s="23"/>
      <c r="F36" s="23"/>
      <c r="G36" s="23"/>
      <c r="H36" s="23"/>
      <c r="I36" s="23"/>
      <c r="J36" s="26">
        <f>MEDIAN(J11:J30)</f>
        <v>15.466498734869745</v>
      </c>
      <c r="K36" s="23"/>
      <c r="L36" s="23"/>
      <c r="M36" s="26">
        <f>MEDIAN(M11:M30)</f>
        <v>14.079502605974188</v>
      </c>
    </row>
    <row r="37" spans="3:13" x14ac:dyDescent="0.25">
      <c r="C37" s="27"/>
      <c r="D37" s="23" t="s">
        <v>312</v>
      </c>
      <c r="E37" s="23"/>
      <c r="F37" s="23"/>
      <c r="G37" s="23"/>
      <c r="H37" s="23"/>
      <c r="I37" s="23"/>
      <c r="J37" s="26">
        <f>AVERAGE(J11:J30)</f>
        <v>17.89858713499104</v>
      </c>
      <c r="K37" s="23"/>
      <c r="L37" s="23"/>
      <c r="M37" s="26">
        <f>AVERAGE(M11:M30)</f>
        <v>13.798718130341086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S58"/>
  <sheetViews>
    <sheetView tabSelected="1" zoomScale="85" zoomScaleNormal="85" workbookViewId="0">
      <pane xSplit="1" ySplit="1" topLeftCell="AU2" activePane="bottomRight" state="frozen"/>
      <selection pane="topRight" activeCell="B1" sqref="B1"/>
      <selection pane="bottomLeft" activeCell="A2" sqref="A2"/>
      <selection pane="bottomRight" activeCell="BS39" sqref="BS39"/>
    </sheetView>
  </sheetViews>
  <sheetFormatPr defaultRowHeight="15" x14ac:dyDescent="0.25"/>
  <cols>
    <col min="1" max="1" width="33.42578125" style="3" customWidth="1"/>
    <col min="2" max="5" width="11.85546875" style="3" customWidth="1"/>
    <col min="6" max="6" width="10.85546875" style="3" customWidth="1"/>
    <col min="7" max="7" width="11.85546875" style="3" customWidth="1"/>
    <col min="8" max="8" width="10.85546875" style="3" customWidth="1"/>
    <col min="9" max="9" width="11.85546875" style="3" customWidth="1"/>
    <col min="10" max="10" width="10.85546875" style="3" customWidth="1"/>
    <col min="11" max="22" width="11.85546875" style="3" customWidth="1"/>
    <col min="23" max="24" width="10.85546875" style="3" customWidth="1"/>
    <col min="25" max="45" width="11.85546875" style="3" customWidth="1"/>
    <col min="46" max="46" width="11.85546875" style="15" customWidth="1"/>
    <col min="47" max="64" width="9.140625" style="3"/>
    <col min="65" max="65" width="9.140625" style="15"/>
    <col min="66" max="16384" width="9.140625" style="3"/>
  </cols>
  <sheetData>
    <row r="1" spans="1:71" x14ac:dyDescent="0.25">
      <c r="A1" s="1" t="s">
        <v>0</v>
      </c>
      <c r="B1" s="2" t="s">
        <v>190</v>
      </c>
      <c r="C1" s="2" t="s">
        <v>191</v>
      </c>
      <c r="D1" s="2" t="s">
        <v>192</v>
      </c>
      <c r="E1" s="2" t="s">
        <v>193</v>
      </c>
      <c r="F1" s="2" t="s">
        <v>194</v>
      </c>
      <c r="G1" s="2" t="s">
        <v>195</v>
      </c>
      <c r="H1" s="2" t="s">
        <v>196</v>
      </c>
      <c r="I1" s="2" t="s">
        <v>197</v>
      </c>
      <c r="J1" s="2" t="s">
        <v>198</v>
      </c>
      <c r="K1" s="2" t="s">
        <v>199</v>
      </c>
      <c r="L1" s="2" t="s">
        <v>200</v>
      </c>
      <c r="M1" s="2" t="s">
        <v>201</v>
      </c>
      <c r="N1" s="2" t="s">
        <v>202</v>
      </c>
      <c r="O1" s="2" t="s">
        <v>203</v>
      </c>
      <c r="P1" s="2" t="s">
        <v>204</v>
      </c>
      <c r="Q1" s="2" t="s">
        <v>205</v>
      </c>
      <c r="R1" s="2" t="s">
        <v>206</v>
      </c>
      <c r="S1" s="2" t="s">
        <v>207</v>
      </c>
      <c r="T1" s="2" t="s">
        <v>208</v>
      </c>
      <c r="U1" s="2" t="s">
        <v>209</v>
      </c>
      <c r="V1" s="2" t="s">
        <v>210</v>
      </c>
      <c r="W1" s="2" t="s">
        <v>211</v>
      </c>
      <c r="X1" s="2" t="s">
        <v>212</v>
      </c>
      <c r="Y1" s="2" t="s">
        <v>213</v>
      </c>
      <c r="Z1" s="2" t="s">
        <v>214</v>
      </c>
      <c r="AA1" s="2" t="s">
        <v>215</v>
      </c>
      <c r="AB1" s="2" t="s">
        <v>216</v>
      </c>
      <c r="AC1" s="2" t="s">
        <v>217</v>
      </c>
      <c r="AD1" s="2" t="s">
        <v>218</v>
      </c>
      <c r="AE1" s="2" t="s">
        <v>219</v>
      </c>
      <c r="AF1" s="2" t="s">
        <v>220</v>
      </c>
      <c r="AG1" s="2" t="s">
        <v>221</v>
      </c>
      <c r="AH1" s="2" t="s">
        <v>222</v>
      </c>
      <c r="AI1" s="2" t="s">
        <v>223</v>
      </c>
      <c r="AJ1" s="2" t="s">
        <v>224</v>
      </c>
      <c r="AK1" s="2" t="s">
        <v>225</v>
      </c>
      <c r="AL1" s="2" t="s">
        <v>226</v>
      </c>
      <c r="AM1" s="2" t="s">
        <v>227</v>
      </c>
      <c r="AN1" s="2" t="s">
        <v>228</v>
      </c>
      <c r="AO1" s="2" t="s">
        <v>229</v>
      </c>
      <c r="AP1" s="2" t="s">
        <v>187</v>
      </c>
      <c r="AQ1" s="2" t="s">
        <v>188</v>
      </c>
      <c r="AR1" s="2" t="s">
        <v>189</v>
      </c>
      <c r="AS1" s="2" t="s">
        <v>186</v>
      </c>
      <c r="AT1" s="12" t="s">
        <v>185</v>
      </c>
      <c r="AU1" s="2" t="s">
        <v>230</v>
      </c>
      <c r="AV1" s="2" t="s">
        <v>231</v>
      </c>
      <c r="AW1" s="2" t="s">
        <v>232</v>
      </c>
      <c r="BC1" s="2" t="s">
        <v>327</v>
      </c>
      <c r="BD1" s="2" t="s">
        <v>313</v>
      </c>
      <c r="BE1" s="2" t="s">
        <v>314</v>
      </c>
      <c r="BF1" s="2" t="s">
        <v>315</v>
      </c>
      <c r="BG1" s="2" t="s">
        <v>316</v>
      </c>
      <c r="BH1" s="2" t="s">
        <v>317</v>
      </c>
      <c r="BI1" s="2" t="s">
        <v>318</v>
      </c>
      <c r="BJ1" s="2" t="s">
        <v>319</v>
      </c>
      <c r="BK1" s="2" t="s">
        <v>320</v>
      </c>
      <c r="BL1" s="2" t="s">
        <v>321</v>
      </c>
      <c r="BM1" s="12" t="s">
        <v>322</v>
      </c>
      <c r="BN1" s="2" t="s">
        <v>323</v>
      </c>
      <c r="BO1" s="2" t="s">
        <v>324</v>
      </c>
      <c r="BP1" s="2" t="s">
        <v>325</v>
      </c>
      <c r="BQ1" s="2" t="s">
        <v>326</v>
      </c>
      <c r="BR1" s="2" t="s">
        <v>328</v>
      </c>
      <c r="BS1" s="2" t="s">
        <v>329</v>
      </c>
    </row>
    <row r="2" spans="1:71" x14ac:dyDescent="0.25">
      <c r="A2" s="4" t="s">
        <v>13</v>
      </c>
      <c r="B2" s="5">
        <v>11961</v>
      </c>
      <c r="C2" s="5">
        <v>11583</v>
      </c>
      <c r="D2" s="5">
        <v>10285</v>
      </c>
      <c r="E2" s="5">
        <v>11118</v>
      </c>
      <c r="F2" s="5">
        <v>8780</v>
      </c>
      <c r="G2" s="5">
        <v>9645</v>
      </c>
      <c r="H2" s="5">
        <v>8463</v>
      </c>
      <c r="I2" s="5">
        <v>8885</v>
      </c>
      <c r="J2" s="5">
        <v>9130</v>
      </c>
      <c r="K2" s="5">
        <v>10639</v>
      </c>
      <c r="L2" s="5">
        <v>10713</v>
      </c>
      <c r="M2" s="5">
        <v>12194</v>
      </c>
      <c r="N2" s="5">
        <v>12150</v>
      </c>
      <c r="O2" s="5">
        <v>13279</v>
      </c>
      <c r="P2" s="5">
        <v>12763</v>
      </c>
      <c r="Q2" s="5">
        <v>13630</v>
      </c>
      <c r="R2" s="5">
        <v>12724</v>
      </c>
      <c r="S2" s="5">
        <v>13671</v>
      </c>
      <c r="T2" s="5">
        <v>11974</v>
      </c>
      <c r="U2" s="5">
        <v>12386</v>
      </c>
      <c r="V2" s="5">
        <v>9914</v>
      </c>
      <c r="W2" s="5">
        <v>9310</v>
      </c>
      <c r="X2" s="5">
        <v>9228</v>
      </c>
      <c r="Y2" s="5">
        <v>10570</v>
      </c>
      <c r="Z2" s="5">
        <v>11191</v>
      </c>
      <c r="AA2" s="5">
        <v>12193</v>
      </c>
      <c r="AB2" s="5">
        <v>11707</v>
      </c>
      <c r="AC2" s="5">
        <v>13097</v>
      </c>
      <c r="AD2" s="5">
        <v>12886</v>
      </c>
      <c r="AE2" s="5">
        <v>13539</v>
      </c>
      <c r="AF2" s="5">
        <v>14278</v>
      </c>
      <c r="AG2" s="5">
        <v>15871</v>
      </c>
      <c r="AH2" s="5">
        <v>15099</v>
      </c>
      <c r="AI2" s="5">
        <v>16545</v>
      </c>
      <c r="AJ2" s="5">
        <v>15988</v>
      </c>
      <c r="AK2" s="5">
        <v>16237</v>
      </c>
      <c r="AL2" s="5">
        <v>14960</v>
      </c>
      <c r="AM2" s="5">
        <v>15840</v>
      </c>
      <c r="AN2" s="5">
        <v>15231</v>
      </c>
      <c r="AO2" s="5">
        <v>15332</v>
      </c>
      <c r="AP2" s="5">
        <v>13378</v>
      </c>
      <c r="AQ2" s="5">
        <v>15674</v>
      </c>
      <c r="AR2" s="5">
        <v>16726</v>
      </c>
      <c r="AS2" s="5">
        <v>18202</v>
      </c>
      <c r="AT2" s="13">
        <v>16473</v>
      </c>
      <c r="AU2" s="3">
        <v>19000</v>
      </c>
      <c r="AV2" s="3">
        <v>20100</v>
      </c>
      <c r="AW2" s="3">
        <v>21500</v>
      </c>
      <c r="BC2" s="3">
        <f>SUM(B2:E2)</f>
        <v>44947</v>
      </c>
      <c r="BD2" s="3">
        <f>SUM(F2:I2)</f>
        <v>35773</v>
      </c>
      <c r="BE2" s="3">
        <f>SUM(J2:M2)</f>
        <v>42676</v>
      </c>
      <c r="BF2" s="3">
        <f>SUM(N2:Q2)</f>
        <v>51822</v>
      </c>
      <c r="BG2" s="3">
        <f>SUM(R2:U2)</f>
        <v>50755</v>
      </c>
      <c r="BH2" s="3">
        <f>SUM(V2:Y2)</f>
        <v>39022</v>
      </c>
      <c r="BI2" s="3">
        <f>SUM(Z2:AC2)</f>
        <v>48188</v>
      </c>
      <c r="BJ2" s="3">
        <f>SUM(AD2:AG2)</f>
        <v>56574</v>
      </c>
      <c r="BK2" s="3">
        <f>SUM(AH2:AK2)</f>
        <v>63869</v>
      </c>
      <c r="BL2" s="3">
        <f>SUM(AL2:AO2)</f>
        <v>61363</v>
      </c>
      <c r="BM2" s="15">
        <f>SUM(AP2:AS2)</f>
        <v>63980</v>
      </c>
      <c r="BN2" s="3">
        <f>SUM(AT2:AW2)</f>
        <v>77073</v>
      </c>
      <c r="BO2" s="3">
        <v>79200</v>
      </c>
      <c r="BP2" s="3">
        <v>83500</v>
      </c>
      <c r="BQ2" s="3">
        <v>87400</v>
      </c>
      <c r="BR2" s="3">
        <v>90900</v>
      </c>
      <c r="BS2" s="3">
        <v>94100</v>
      </c>
    </row>
    <row r="3" spans="1:71" x14ac:dyDescent="0.25">
      <c r="A3" s="4" t="s">
        <v>14</v>
      </c>
      <c r="B3" s="5">
        <v>741</v>
      </c>
      <c r="C3" s="5">
        <v>734</v>
      </c>
      <c r="D3" s="5">
        <v>677</v>
      </c>
      <c r="E3" s="5">
        <v>712</v>
      </c>
      <c r="F3" s="5">
        <v>681</v>
      </c>
      <c r="G3" s="5">
        <v>697</v>
      </c>
      <c r="H3" s="5">
        <v>697</v>
      </c>
      <c r="I3" s="5">
        <v>689</v>
      </c>
      <c r="J3" s="5">
        <v>692</v>
      </c>
      <c r="K3" s="5">
        <v>692</v>
      </c>
      <c r="L3" s="5">
        <v>700</v>
      </c>
      <c r="M3" s="5">
        <v>702</v>
      </c>
      <c r="N3" s="5">
        <v>709</v>
      </c>
      <c r="O3" s="5">
        <v>732</v>
      </c>
      <c r="P3" s="5">
        <v>747</v>
      </c>
      <c r="Q3" s="5">
        <v>712</v>
      </c>
      <c r="R3" s="5">
        <v>742</v>
      </c>
      <c r="S3" s="5">
        <v>761</v>
      </c>
      <c r="T3" s="5">
        <v>784</v>
      </c>
      <c r="U3" s="5">
        <v>758</v>
      </c>
      <c r="V3" s="5">
        <v>721</v>
      </c>
      <c r="W3" s="5">
        <v>687</v>
      </c>
      <c r="X3" s="5">
        <v>653</v>
      </c>
      <c r="Y3" s="5">
        <v>665</v>
      </c>
      <c r="Z3" s="5">
        <v>696</v>
      </c>
      <c r="AA3" s="5">
        <v>696</v>
      </c>
      <c r="AB3" s="5">
        <v>690</v>
      </c>
      <c r="AC3" s="5">
        <v>701</v>
      </c>
      <c r="AD3" s="5">
        <v>703</v>
      </c>
      <c r="AE3" s="5">
        <v>708</v>
      </c>
      <c r="AF3" s="5">
        <v>716</v>
      </c>
      <c r="AG3" s="5">
        <v>726</v>
      </c>
      <c r="AH3" s="5">
        <v>763</v>
      </c>
      <c r="AI3" s="5">
        <v>773</v>
      </c>
      <c r="AJ3" s="5">
        <v>822</v>
      </c>
      <c r="AK3" s="5">
        <v>833</v>
      </c>
      <c r="AL3" s="5">
        <v>839</v>
      </c>
      <c r="AM3" s="5">
        <v>849</v>
      </c>
      <c r="AN3" s="5">
        <v>875</v>
      </c>
      <c r="AO3" s="5">
        <v>883</v>
      </c>
      <c r="AP3" s="5">
        <v>871</v>
      </c>
      <c r="AQ3" s="5">
        <v>895</v>
      </c>
      <c r="AR3" s="5">
        <v>912</v>
      </c>
      <c r="AS3" s="5">
        <v>931</v>
      </c>
      <c r="AT3" s="13">
        <v>942</v>
      </c>
      <c r="AU3" s="3">
        <v>0</v>
      </c>
      <c r="AV3" s="3">
        <v>0</v>
      </c>
      <c r="AW3" s="3">
        <v>0</v>
      </c>
      <c r="BC3" s="3">
        <f>SUM(B3:E3)</f>
        <v>2864</v>
      </c>
      <c r="BD3" s="3">
        <f>SUM(F3:I3)</f>
        <v>2764</v>
      </c>
      <c r="BE3" s="3">
        <f>SUM(J3:M3)</f>
        <v>2786</v>
      </c>
      <c r="BF3" s="3">
        <f>SUM(N3:Q3)</f>
        <v>2900</v>
      </c>
      <c r="BG3" s="3">
        <f>SUM(R3:U3)</f>
        <v>3045</v>
      </c>
      <c r="BH3" s="3">
        <f>SUM(V3:Y3)</f>
        <v>2726</v>
      </c>
      <c r="BI3" s="3">
        <f>SUM(Z3:AC3)</f>
        <v>2783</v>
      </c>
      <c r="BJ3" s="3">
        <f>SUM(AD3:AG3)</f>
        <v>2853</v>
      </c>
      <c r="BK3" s="3">
        <f>SUM(AH3:AK3)</f>
        <v>3191</v>
      </c>
      <c r="BL3" s="3">
        <f>SUM(AL3:AO3)</f>
        <v>3446</v>
      </c>
      <c r="BM3" s="15">
        <f>SUM(AP3:AS3)</f>
        <v>3609</v>
      </c>
      <c r="BN3" s="3">
        <f>SUM(AT3:AW3)</f>
        <v>942</v>
      </c>
      <c r="BO3" s="3">
        <v>0</v>
      </c>
      <c r="BP3" s="3">
        <v>0</v>
      </c>
      <c r="BQ3" s="3">
        <v>0</v>
      </c>
      <c r="BR3" s="3">
        <v>0</v>
      </c>
      <c r="BS3" s="3">
        <v>0</v>
      </c>
    </row>
    <row r="4" spans="1:71" s="6" customFormat="1" x14ac:dyDescent="0.25">
      <c r="A4" s="1" t="s">
        <v>15</v>
      </c>
      <c r="B4" s="2">
        <f>SUM(B2:B3)</f>
        <v>12702</v>
      </c>
      <c r="C4" s="2">
        <f t="shared" ref="C4:AT4" si="0">SUM(C2:C3)</f>
        <v>12317</v>
      </c>
      <c r="D4" s="2">
        <f t="shared" si="0"/>
        <v>10962</v>
      </c>
      <c r="E4" s="2">
        <f t="shared" si="0"/>
        <v>11830</v>
      </c>
      <c r="F4" s="2">
        <f t="shared" si="0"/>
        <v>9461</v>
      </c>
      <c r="G4" s="2">
        <f t="shared" si="0"/>
        <v>10342</v>
      </c>
      <c r="H4" s="2">
        <f t="shared" si="0"/>
        <v>9160</v>
      </c>
      <c r="I4" s="2">
        <f t="shared" si="0"/>
        <v>9574</v>
      </c>
      <c r="J4" s="2">
        <f t="shared" si="0"/>
        <v>9822</v>
      </c>
      <c r="K4" s="2">
        <f t="shared" si="0"/>
        <v>11331</v>
      </c>
      <c r="L4" s="2">
        <f t="shared" si="0"/>
        <v>11413</v>
      </c>
      <c r="M4" s="2">
        <f t="shared" si="0"/>
        <v>12896</v>
      </c>
      <c r="N4" s="2">
        <f t="shared" si="0"/>
        <v>12859</v>
      </c>
      <c r="O4" s="2">
        <f t="shared" si="0"/>
        <v>14011</v>
      </c>
      <c r="P4" s="2">
        <f t="shared" si="0"/>
        <v>13510</v>
      </c>
      <c r="Q4" s="2">
        <f t="shared" si="0"/>
        <v>14342</v>
      </c>
      <c r="R4" s="2">
        <f t="shared" si="0"/>
        <v>13466</v>
      </c>
      <c r="S4" s="2">
        <f t="shared" si="0"/>
        <v>14432</v>
      </c>
      <c r="T4" s="2">
        <f t="shared" si="0"/>
        <v>12758</v>
      </c>
      <c r="U4" s="2">
        <f t="shared" si="0"/>
        <v>13144</v>
      </c>
      <c r="V4" s="2">
        <f t="shared" si="0"/>
        <v>10635</v>
      </c>
      <c r="W4" s="2">
        <f t="shared" si="0"/>
        <v>9997</v>
      </c>
      <c r="X4" s="2">
        <f t="shared" si="0"/>
        <v>9881</v>
      </c>
      <c r="Y4" s="2">
        <f t="shared" si="0"/>
        <v>11235</v>
      </c>
      <c r="Z4" s="2">
        <f t="shared" si="0"/>
        <v>11887</v>
      </c>
      <c r="AA4" s="2">
        <f t="shared" si="0"/>
        <v>12889</v>
      </c>
      <c r="AB4" s="2">
        <f t="shared" si="0"/>
        <v>12397</v>
      </c>
      <c r="AC4" s="2">
        <f t="shared" si="0"/>
        <v>13798</v>
      </c>
      <c r="AD4" s="2">
        <f t="shared" si="0"/>
        <v>13589</v>
      </c>
      <c r="AE4" s="2">
        <f t="shared" si="0"/>
        <v>14247</v>
      </c>
      <c r="AF4" s="2">
        <f t="shared" si="0"/>
        <v>14994</v>
      </c>
      <c r="AG4" s="2">
        <f t="shared" si="0"/>
        <v>16597</v>
      </c>
      <c r="AH4" s="2">
        <f t="shared" si="0"/>
        <v>15862</v>
      </c>
      <c r="AI4" s="2">
        <f t="shared" si="0"/>
        <v>17318</v>
      </c>
      <c r="AJ4" s="2">
        <f t="shared" si="0"/>
        <v>16810</v>
      </c>
      <c r="AK4" s="2">
        <f t="shared" si="0"/>
        <v>17070</v>
      </c>
      <c r="AL4" s="2">
        <f t="shared" si="0"/>
        <v>15799</v>
      </c>
      <c r="AM4" s="2">
        <f t="shared" si="0"/>
        <v>16689</v>
      </c>
      <c r="AN4" s="2">
        <f t="shared" si="0"/>
        <v>16106</v>
      </c>
      <c r="AO4" s="2">
        <f t="shared" si="0"/>
        <v>16215</v>
      </c>
      <c r="AP4" s="2">
        <f t="shared" si="0"/>
        <v>14249</v>
      </c>
      <c r="AQ4" s="2">
        <f t="shared" si="0"/>
        <v>16569</v>
      </c>
      <c r="AR4" s="2">
        <f t="shared" si="0"/>
        <v>17638</v>
      </c>
      <c r="AS4" s="2">
        <f t="shared" si="0"/>
        <v>19133</v>
      </c>
      <c r="AT4" s="12">
        <f t="shared" si="0"/>
        <v>17415</v>
      </c>
      <c r="AU4" s="2">
        <f t="shared" ref="AU4" si="1">SUM(AU2:AU3)</f>
        <v>19000</v>
      </c>
      <c r="AV4" s="2">
        <f t="shared" ref="AV4" si="2">SUM(AV2:AV3)</f>
        <v>20100</v>
      </c>
      <c r="AW4" s="2">
        <f t="shared" ref="AW4" si="3">SUM(AW2:AW3)</f>
        <v>21500</v>
      </c>
      <c r="BC4" s="2">
        <f>SUM(B4:E4)</f>
        <v>47811</v>
      </c>
      <c r="BD4" s="2">
        <f>SUM(F4:I4)</f>
        <v>38537</v>
      </c>
      <c r="BE4" s="2">
        <f>SUM(J4:M4)</f>
        <v>45462</v>
      </c>
      <c r="BF4" s="2">
        <f>SUM(N4:Q4)</f>
        <v>54722</v>
      </c>
      <c r="BG4" s="2">
        <f>SUM(R4:U4)</f>
        <v>53800</v>
      </c>
      <c r="BH4" s="2">
        <f>SUM(V4:Y4)</f>
        <v>41748</v>
      </c>
      <c r="BI4" s="2">
        <f>SUM(Z4:AC4)</f>
        <v>50971</v>
      </c>
      <c r="BJ4" s="2">
        <f>SUM(AD4:AG4)</f>
        <v>59427</v>
      </c>
      <c r="BK4" s="2">
        <f>SUM(AH4:AK4)</f>
        <v>67060</v>
      </c>
      <c r="BL4" s="2">
        <f>SUM(AL4:AO4)</f>
        <v>64809</v>
      </c>
      <c r="BM4" s="12">
        <f>SUM(AP4:AS4)</f>
        <v>67589</v>
      </c>
      <c r="BN4" s="2">
        <f>SUM(AT4:AW4)</f>
        <v>78015</v>
      </c>
      <c r="BO4" s="2">
        <f>SUM(BO2:BO3)</f>
        <v>79200</v>
      </c>
      <c r="BP4" s="2">
        <f t="shared" ref="BP4:BS4" si="4">SUM(BP2:BP3)</f>
        <v>83500</v>
      </c>
      <c r="BQ4" s="2">
        <f t="shared" si="4"/>
        <v>87400</v>
      </c>
      <c r="BR4" s="2">
        <f t="shared" si="4"/>
        <v>90900</v>
      </c>
      <c r="BS4" s="2">
        <f t="shared" si="4"/>
        <v>94100</v>
      </c>
    </row>
    <row r="5" spans="1:71" x14ac:dyDescent="0.25">
      <c r="A5" s="4" t="s">
        <v>16</v>
      </c>
      <c r="B5" s="5">
        <v>8760</v>
      </c>
      <c r="C5" s="5">
        <v>8674</v>
      </c>
      <c r="D5" s="5">
        <v>7872</v>
      </c>
      <c r="E5" s="5">
        <v>7987</v>
      </c>
      <c r="F5" s="5">
        <v>6822</v>
      </c>
      <c r="G5" s="5">
        <v>7419</v>
      </c>
      <c r="H5" s="5">
        <v>6527</v>
      </c>
      <c r="I5" s="5">
        <v>7276</v>
      </c>
      <c r="J5" s="5">
        <v>6801</v>
      </c>
      <c r="K5" s="5">
        <v>7816</v>
      </c>
      <c r="L5" s="5">
        <v>7678</v>
      </c>
      <c r="M5" s="5">
        <v>8965</v>
      </c>
      <c r="N5" s="5">
        <v>8566</v>
      </c>
      <c r="O5" s="5">
        <v>9422</v>
      </c>
      <c r="P5" s="5">
        <v>9022</v>
      </c>
      <c r="Q5" s="5">
        <v>9987</v>
      </c>
      <c r="R5" s="5">
        <v>9003</v>
      </c>
      <c r="S5" s="5">
        <v>9941</v>
      </c>
      <c r="T5" s="5">
        <v>8569</v>
      </c>
      <c r="U5" s="5">
        <v>9117</v>
      </c>
      <c r="V5" s="5">
        <v>7266</v>
      </c>
      <c r="W5" s="5">
        <v>7113</v>
      </c>
      <c r="X5" s="5">
        <v>6919</v>
      </c>
      <c r="Y5" s="5">
        <v>7784</v>
      </c>
      <c r="Z5" s="5">
        <v>8012</v>
      </c>
      <c r="AA5" s="5">
        <v>8881</v>
      </c>
      <c r="AB5" s="5">
        <v>8617</v>
      </c>
      <c r="AC5" s="5">
        <v>10003</v>
      </c>
      <c r="AD5" s="5">
        <v>9559</v>
      </c>
      <c r="AE5" s="5">
        <v>9975</v>
      </c>
      <c r="AF5" s="5">
        <v>10202</v>
      </c>
      <c r="AG5" s="5">
        <v>11614</v>
      </c>
      <c r="AH5" s="5">
        <v>10103</v>
      </c>
      <c r="AI5" s="5">
        <v>11065</v>
      </c>
      <c r="AJ5" s="5">
        <v>10583</v>
      </c>
      <c r="AK5" s="5">
        <v>11016</v>
      </c>
      <c r="AL5" s="5">
        <v>9662</v>
      </c>
      <c r="AM5" s="5">
        <v>10150</v>
      </c>
      <c r="AN5" s="5">
        <v>10066</v>
      </c>
      <c r="AO5" s="5">
        <v>10321</v>
      </c>
      <c r="AP5" s="5">
        <v>8965</v>
      </c>
      <c r="AQ5" s="5">
        <v>10807</v>
      </c>
      <c r="AR5" s="5">
        <v>11673</v>
      </c>
      <c r="AS5" s="5">
        <v>13307</v>
      </c>
      <c r="AT5" s="13">
        <v>11306</v>
      </c>
      <c r="AU5" s="3">
        <f>AU$4*AU43</f>
        <v>12277.998564455929</v>
      </c>
      <c r="AV5" s="3">
        <f t="shared" ref="AV5:AW13" si="5">AV$4*AV43</f>
        <v>12928.530060292851</v>
      </c>
      <c r="AW5" s="3">
        <f t="shared" si="5"/>
        <v>13764.524691358025</v>
      </c>
      <c r="BC5" s="3">
        <f>SUM(B5:E5)</f>
        <v>33293</v>
      </c>
      <c r="BD5" s="3">
        <f>SUM(F5:I5)</f>
        <v>28044</v>
      </c>
      <c r="BE5" s="3">
        <f>SUM(J5:M5)</f>
        <v>31260</v>
      </c>
      <c r="BF5" s="3">
        <f>SUM(N5:Q5)</f>
        <v>36997</v>
      </c>
      <c r="BG5" s="3">
        <f>SUM(R5:U5)</f>
        <v>36630</v>
      </c>
      <c r="BH5" s="3">
        <f>SUM(V5:Y5)</f>
        <v>29082</v>
      </c>
      <c r="BI5" s="3">
        <f>SUM(Z5:AC5)</f>
        <v>35513</v>
      </c>
      <c r="BJ5" s="3">
        <f>SUM(AD5:AG5)</f>
        <v>41350</v>
      </c>
      <c r="BK5" s="3">
        <f>SUM(AH5:AK5)</f>
        <v>42767</v>
      </c>
      <c r="BL5" s="3">
        <f>SUM(AL5:AO5)</f>
        <v>40199</v>
      </c>
      <c r="BM5" s="15">
        <f>SUM(AP5:AS5)</f>
        <v>44752</v>
      </c>
      <c r="BN5" s="3">
        <f>SUM(AT5:AW5)</f>
        <v>50277.053316106809</v>
      </c>
    </row>
    <row r="6" spans="1:71" x14ac:dyDescent="0.25">
      <c r="A6" s="4" t="s">
        <v>172</v>
      </c>
      <c r="B6" s="5">
        <v>150</v>
      </c>
      <c r="C6" s="5">
        <v>148</v>
      </c>
      <c r="D6" s="5">
        <v>142</v>
      </c>
      <c r="E6" s="5">
        <v>147</v>
      </c>
      <c r="F6" s="5">
        <v>152</v>
      </c>
      <c r="G6" s="5">
        <v>148</v>
      </c>
      <c r="H6" s="5">
        <v>147</v>
      </c>
      <c r="I6" s="5">
        <v>149</v>
      </c>
      <c r="J6" s="5">
        <v>159</v>
      </c>
      <c r="K6" s="5">
        <v>162</v>
      </c>
      <c r="L6" s="5">
        <v>163</v>
      </c>
      <c r="M6" s="5">
        <v>162</v>
      </c>
      <c r="N6" s="5">
        <v>166</v>
      </c>
      <c r="O6" s="5">
        <v>182</v>
      </c>
      <c r="P6" s="5">
        <v>185</v>
      </c>
      <c r="Q6" s="5">
        <v>189</v>
      </c>
      <c r="R6" s="5">
        <v>190</v>
      </c>
      <c r="S6" s="5">
        <v>192</v>
      </c>
      <c r="T6" s="5">
        <v>189</v>
      </c>
      <c r="U6" s="5">
        <v>183</v>
      </c>
      <c r="V6" s="5">
        <v>175</v>
      </c>
      <c r="W6" s="5">
        <v>149</v>
      </c>
      <c r="X6" s="5">
        <v>137</v>
      </c>
      <c r="Y6" s="5">
        <v>128</v>
      </c>
      <c r="Z6" s="5">
        <v>125</v>
      </c>
      <c r="AA6" s="5">
        <v>116</v>
      </c>
      <c r="AB6" s="5">
        <v>111</v>
      </c>
      <c r="AC6" s="5">
        <v>103</v>
      </c>
      <c r="AD6" s="5">
        <v>106</v>
      </c>
      <c r="AE6" s="5">
        <v>120</v>
      </c>
      <c r="AF6" s="5">
        <v>151</v>
      </c>
      <c r="AG6" s="5">
        <v>188</v>
      </c>
      <c r="AH6" s="5">
        <v>217</v>
      </c>
      <c r="AI6" s="5">
        <v>245</v>
      </c>
      <c r="AJ6" s="5">
        <v>280</v>
      </c>
      <c r="AK6" s="5">
        <v>288</v>
      </c>
      <c r="AL6" s="5">
        <v>298</v>
      </c>
      <c r="AM6" s="5">
        <v>314</v>
      </c>
      <c r="AN6" s="5">
        <v>336</v>
      </c>
      <c r="AO6" s="5">
        <v>338</v>
      </c>
      <c r="AP6" s="5">
        <v>326</v>
      </c>
      <c r="AQ6" s="5">
        <v>336</v>
      </c>
      <c r="AR6" s="5">
        <v>346</v>
      </c>
      <c r="AS6" s="5">
        <v>351</v>
      </c>
      <c r="AT6" s="13">
        <v>345</v>
      </c>
      <c r="AU6" s="3">
        <f>AU$4*AU44</f>
        <v>380</v>
      </c>
      <c r="AV6" s="3">
        <f t="shared" si="5"/>
        <v>402</v>
      </c>
      <c r="AW6" s="3">
        <f t="shared" si="5"/>
        <v>430</v>
      </c>
      <c r="BC6" s="3">
        <f>SUM(B6:E6)</f>
        <v>587</v>
      </c>
      <c r="BD6" s="3">
        <f>SUM(F6:I6)</f>
        <v>596</v>
      </c>
      <c r="BE6" s="3">
        <f>SUM(J6:M6)</f>
        <v>646</v>
      </c>
      <c r="BF6" s="3">
        <f>SUM(N6:Q6)</f>
        <v>722</v>
      </c>
      <c r="BG6" s="3">
        <f>SUM(R6:U6)</f>
        <v>754</v>
      </c>
      <c r="BH6" s="3">
        <f>SUM(V6:Y6)</f>
        <v>589</v>
      </c>
      <c r="BI6" s="3">
        <f>SUM(Z6:AC6)</f>
        <v>455</v>
      </c>
      <c r="BJ6" s="3">
        <f>SUM(AD6:AG6)</f>
        <v>565</v>
      </c>
      <c r="BK6" s="3">
        <f>SUM(AH6:AK6)</f>
        <v>1030</v>
      </c>
      <c r="BL6" s="3">
        <f>SUM(AL6:AO6)</f>
        <v>1286</v>
      </c>
      <c r="BM6" s="15">
        <f>SUM(AP6:AS6)</f>
        <v>1359</v>
      </c>
      <c r="BN6" s="3">
        <f>SUM(AT6:AW6)</f>
        <v>1557</v>
      </c>
    </row>
    <row r="7" spans="1:71" s="6" customFormat="1" x14ac:dyDescent="0.25">
      <c r="A7" s="1" t="s">
        <v>173</v>
      </c>
      <c r="B7" s="2">
        <f>B4-B5-B6</f>
        <v>3792</v>
      </c>
      <c r="C7" s="2">
        <f t="shared" ref="C7:AT7" si="6">C4-C5-C6</f>
        <v>3495</v>
      </c>
      <c r="D7" s="2">
        <f t="shared" si="6"/>
        <v>2948</v>
      </c>
      <c r="E7" s="2">
        <f t="shared" si="6"/>
        <v>3696</v>
      </c>
      <c r="F7" s="2">
        <f t="shared" si="6"/>
        <v>2487</v>
      </c>
      <c r="G7" s="2">
        <f t="shared" si="6"/>
        <v>2775</v>
      </c>
      <c r="H7" s="2">
        <f t="shared" si="6"/>
        <v>2486</v>
      </c>
      <c r="I7" s="2">
        <f t="shared" si="6"/>
        <v>2149</v>
      </c>
      <c r="J7" s="2">
        <f t="shared" si="6"/>
        <v>2862</v>
      </c>
      <c r="K7" s="2">
        <f t="shared" si="6"/>
        <v>3353</v>
      </c>
      <c r="L7" s="2">
        <f t="shared" si="6"/>
        <v>3572</v>
      </c>
      <c r="M7" s="2">
        <f t="shared" si="6"/>
        <v>3769</v>
      </c>
      <c r="N7" s="2">
        <f t="shared" si="6"/>
        <v>4127</v>
      </c>
      <c r="O7" s="2">
        <f t="shared" si="6"/>
        <v>4407</v>
      </c>
      <c r="P7" s="2">
        <f t="shared" si="6"/>
        <v>4303</v>
      </c>
      <c r="Q7" s="2">
        <f t="shared" si="6"/>
        <v>4166</v>
      </c>
      <c r="R7" s="2">
        <f t="shared" si="6"/>
        <v>4273</v>
      </c>
      <c r="S7" s="2">
        <f t="shared" si="6"/>
        <v>4299</v>
      </c>
      <c r="T7" s="2">
        <f t="shared" si="6"/>
        <v>4000</v>
      </c>
      <c r="U7" s="2">
        <f t="shared" si="6"/>
        <v>3844</v>
      </c>
      <c r="V7" s="2">
        <f t="shared" si="6"/>
        <v>3194</v>
      </c>
      <c r="W7" s="2">
        <f t="shared" si="6"/>
        <v>2735</v>
      </c>
      <c r="X7" s="2">
        <f t="shared" si="6"/>
        <v>2825</v>
      </c>
      <c r="Y7" s="2">
        <f t="shared" si="6"/>
        <v>3323</v>
      </c>
      <c r="Z7" s="2">
        <f t="shared" si="6"/>
        <v>3750</v>
      </c>
      <c r="AA7" s="2">
        <f t="shared" si="6"/>
        <v>3892</v>
      </c>
      <c r="AB7" s="2">
        <f t="shared" si="6"/>
        <v>3669</v>
      </c>
      <c r="AC7" s="2">
        <f t="shared" si="6"/>
        <v>3692</v>
      </c>
      <c r="AD7" s="2">
        <f t="shared" si="6"/>
        <v>3924</v>
      </c>
      <c r="AE7" s="2">
        <f t="shared" si="6"/>
        <v>4152</v>
      </c>
      <c r="AF7" s="2">
        <f t="shared" si="6"/>
        <v>4641</v>
      </c>
      <c r="AG7" s="2">
        <f t="shared" si="6"/>
        <v>4795</v>
      </c>
      <c r="AH7" s="2">
        <f t="shared" si="6"/>
        <v>5542</v>
      </c>
      <c r="AI7" s="2">
        <f t="shared" si="6"/>
        <v>6008</v>
      </c>
      <c r="AJ7" s="2">
        <f t="shared" si="6"/>
        <v>5947</v>
      </c>
      <c r="AK7" s="2">
        <f t="shared" si="6"/>
        <v>5766</v>
      </c>
      <c r="AL7" s="2">
        <f t="shared" si="6"/>
        <v>5839</v>
      </c>
      <c r="AM7" s="2">
        <f t="shared" si="6"/>
        <v>6225</v>
      </c>
      <c r="AN7" s="2">
        <f t="shared" si="6"/>
        <v>5704</v>
      </c>
      <c r="AO7" s="2">
        <f t="shared" si="6"/>
        <v>5556</v>
      </c>
      <c r="AP7" s="2">
        <f t="shared" si="6"/>
        <v>4958</v>
      </c>
      <c r="AQ7" s="2">
        <f t="shared" si="6"/>
        <v>5426</v>
      </c>
      <c r="AR7" s="2">
        <f t="shared" si="6"/>
        <v>5619</v>
      </c>
      <c r="AS7" s="2">
        <f t="shared" si="6"/>
        <v>5475</v>
      </c>
      <c r="AT7" s="12">
        <f t="shared" si="6"/>
        <v>5764</v>
      </c>
      <c r="AU7" s="2">
        <f t="shared" ref="AU7" si="7">AU4-AU5-AU6</f>
        <v>6342.0014355440708</v>
      </c>
      <c r="AV7" s="2">
        <f t="shared" ref="AV7" si="8">AV4-AV5-AV6</f>
        <v>6769.469939707149</v>
      </c>
      <c r="AW7" s="2">
        <f t="shared" ref="AW7" si="9">AW4-AW5-AW6</f>
        <v>7305.4753086419751</v>
      </c>
      <c r="BC7" s="2">
        <f>SUM(B7:E7)</f>
        <v>13931</v>
      </c>
      <c r="BD7" s="2">
        <f>SUM(F7:I7)</f>
        <v>9897</v>
      </c>
      <c r="BE7" s="2">
        <f>SUM(J7:M7)</f>
        <v>13556</v>
      </c>
      <c r="BF7" s="2">
        <f>SUM(N7:Q7)</f>
        <v>17003</v>
      </c>
      <c r="BG7" s="2">
        <f>SUM(R7:U7)</f>
        <v>16416</v>
      </c>
      <c r="BH7" s="2">
        <f>SUM(V7:Y7)</f>
        <v>12077</v>
      </c>
      <c r="BI7" s="2">
        <f>SUM(Z7:AC7)</f>
        <v>15003</v>
      </c>
      <c r="BJ7" s="2">
        <f>SUM(AD7:AG7)</f>
        <v>17512</v>
      </c>
      <c r="BK7" s="2">
        <f>SUM(AH7:AK7)</f>
        <v>23263</v>
      </c>
      <c r="BL7" s="2">
        <f>SUM(AL7:AO7)</f>
        <v>23324</v>
      </c>
      <c r="BM7" s="12">
        <f>SUM(AP7:AS7)</f>
        <v>21478</v>
      </c>
      <c r="BN7" s="2">
        <f>SUM(AT7:AW7)</f>
        <v>26180.946683893191</v>
      </c>
      <c r="BO7" s="2"/>
      <c r="BP7" s="2"/>
      <c r="BQ7" s="2"/>
    </row>
    <row r="8" spans="1:71" x14ac:dyDescent="0.25">
      <c r="A8" s="4" t="s">
        <v>170</v>
      </c>
      <c r="B8" s="5">
        <v>1249</v>
      </c>
      <c r="C8" s="5">
        <v>1318</v>
      </c>
      <c r="D8" s="5">
        <v>1129</v>
      </c>
      <c r="E8" s="5">
        <v>1267</v>
      </c>
      <c r="F8" s="5">
        <v>1088</v>
      </c>
      <c r="G8" s="5">
        <v>1123</v>
      </c>
      <c r="H8" s="5">
        <v>992</v>
      </c>
      <c r="I8" s="5">
        <v>1483</v>
      </c>
      <c r="J8" s="5">
        <v>1061</v>
      </c>
      <c r="K8" s="5">
        <v>1304</v>
      </c>
      <c r="L8" s="5">
        <v>1254</v>
      </c>
      <c r="M8" s="5">
        <v>1606</v>
      </c>
      <c r="N8" s="5">
        <v>1276</v>
      </c>
      <c r="O8" s="5">
        <v>1440</v>
      </c>
      <c r="P8" s="5">
        <v>1299</v>
      </c>
      <c r="Q8" s="5">
        <v>1463</v>
      </c>
      <c r="R8" s="5">
        <v>1319</v>
      </c>
      <c r="S8" s="5">
        <v>1309</v>
      </c>
      <c r="T8" s="5">
        <v>1251</v>
      </c>
      <c r="U8" s="5">
        <v>1283</v>
      </c>
      <c r="V8" s="5">
        <v>1121</v>
      </c>
      <c r="W8" s="5">
        <v>1179</v>
      </c>
      <c r="X8" s="5">
        <v>1126</v>
      </c>
      <c r="Y8" s="5">
        <v>1216</v>
      </c>
      <c r="Z8" s="5">
        <v>1239</v>
      </c>
      <c r="AA8" s="5">
        <v>1364</v>
      </c>
      <c r="AB8" s="5">
        <v>1340</v>
      </c>
      <c r="AC8" s="5">
        <v>1422</v>
      </c>
      <c r="AD8" s="5">
        <v>1346</v>
      </c>
      <c r="AE8" s="5">
        <v>1425</v>
      </c>
      <c r="AF8" s="5">
        <v>1401</v>
      </c>
      <c r="AG8" s="5">
        <v>1479</v>
      </c>
      <c r="AH8" s="5">
        <v>1463</v>
      </c>
      <c r="AI8" s="5">
        <v>1528</v>
      </c>
      <c r="AJ8" s="5">
        <v>1624</v>
      </c>
      <c r="AK8" s="5">
        <v>1756</v>
      </c>
      <c r="AL8" s="5">
        <v>1577</v>
      </c>
      <c r="AM8" s="5">
        <v>1652</v>
      </c>
      <c r="AN8" s="5">
        <v>1669</v>
      </c>
      <c r="AO8" s="5">
        <v>1769</v>
      </c>
      <c r="AP8" s="5">
        <v>1593</v>
      </c>
      <c r="AQ8" s="5">
        <v>1694</v>
      </c>
      <c r="AR8" s="5">
        <v>1822</v>
      </c>
      <c r="AS8" s="5">
        <v>1876</v>
      </c>
      <c r="AT8" s="13">
        <v>1816</v>
      </c>
      <c r="AU8" s="3">
        <f>AU$4*AU46</f>
        <v>1981.280505311513</v>
      </c>
      <c r="AV8" s="3">
        <f t="shared" si="5"/>
        <v>2095.9862187769163</v>
      </c>
      <c r="AW8" s="3">
        <f t="shared" si="5"/>
        <v>2241.9753086419755</v>
      </c>
      <c r="BC8" s="3">
        <f>SUM(B8:E8)</f>
        <v>4963</v>
      </c>
      <c r="BD8" s="3">
        <f>SUM(F8:I8)</f>
        <v>4686</v>
      </c>
      <c r="BE8" s="3">
        <f>SUM(J8:M8)</f>
        <v>5225</v>
      </c>
      <c r="BF8" s="3">
        <f>SUM(N8:Q8)</f>
        <v>5478</v>
      </c>
      <c r="BG8" s="3">
        <f>SUM(R8:U8)</f>
        <v>5162</v>
      </c>
      <c r="BH8" s="3">
        <f>SUM(V8:Y8)</f>
        <v>4642</v>
      </c>
      <c r="BI8" s="3">
        <f>SUM(Z8:AC8)</f>
        <v>5365</v>
      </c>
      <c r="BJ8" s="3">
        <f>SUM(AD8:AG8)</f>
        <v>5651</v>
      </c>
      <c r="BK8" s="3">
        <f>SUM(AH8:AK8)</f>
        <v>6371</v>
      </c>
      <c r="BL8" s="3">
        <f>SUM(AL8:AO8)</f>
        <v>6667</v>
      </c>
      <c r="BM8" s="15">
        <f>SUM(AP8:AS8)</f>
        <v>6985</v>
      </c>
      <c r="BN8" s="3">
        <f>SUM(AT8:AW8)</f>
        <v>8135.2420327304044</v>
      </c>
    </row>
    <row r="9" spans="1:71" x14ac:dyDescent="0.25">
      <c r="A9" s="4" t="s">
        <v>171</v>
      </c>
      <c r="B9" s="5">
        <v>524</v>
      </c>
      <c r="C9" s="5">
        <v>510</v>
      </c>
      <c r="D9" s="5">
        <v>513</v>
      </c>
      <c r="E9" s="5">
        <v>507</v>
      </c>
      <c r="F9" s="5">
        <v>508</v>
      </c>
      <c r="G9" s="5">
        <v>468</v>
      </c>
      <c r="H9" s="5">
        <v>453</v>
      </c>
      <c r="I9" s="5">
        <v>522</v>
      </c>
      <c r="J9" s="5">
        <v>425</v>
      </c>
      <c r="K9" s="5">
        <v>458</v>
      </c>
      <c r="L9" s="5">
        <v>461</v>
      </c>
      <c r="M9" s="5">
        <v>579</v>
      </c>
      <c r="N9" s="5">
        <v>443</v>
      </c>
      <c r="O9" s="5">
        <v>462</v>
      </c>
      <c r="P9" s="5">
        <v>479</v>
      </c>
      <c r="Q9" s="5">
        <v>466</v>
      </c>
      <c r="R9" s="5">
        <v>435</v>
      </c>
      <c r="S9" s="5">
        <v>441</v>
      </c>
      <c r="T9" s="5">
        <v>431</v>
      </c>
      <c r="U9" s="5">
        <v>386</v>
      </c>
      <c r="V9" s="5">
        <v>356</v>
      </c>
      <c r="W9" s="5">
        <v>341</v>
      </c>
      <c r="X9" s="5">
        <v>344</v>
      </c>
      <c r="Y9" s="5">
        <v>374</v>
      </c>
      <c r="Z9" s="5">
        <v>374</v>
      </c>
      <c r="AA9" s="5">
        <v>446</v>
      </c>
      <c r="AB9" s="5">
        <v>427</v>
      </c>
      <c r="AC9" s="5">
        <v>439</v>
      </c>
      <c r="AD9" s="5">
        <v>457</v>
      </c>
      <c r="AE9" s="5">
        <v>480</v>
      </c>
      <c r="AF9" s="5">
        <v>476</v>
      </c>
      <c r="AG9" s="5">
        <v>401</v>
      </c>
      <c r="AH9" s="5">
        <v>472</v>
      </c>
      <c r="AI9" s="5">
        <v>528</v>
      </c>
      <c r="AJ9" s="5">
        <v>554</v>
      </c>
      <c r="AK9" s="5">
        <v>554</v>
      </c>
      <c r="AL9" s="5">
        <v>520</v>
      </c>
      <c r="AM9" s="5">
        <v>535</v>
      </c>
      <c r="AN9" s="5">
        <v>533</v>
      </c>
      <c r="AO9" s="5">
        <v>519</v>
      </c>
      <c r="AP9" s="5">
        <v>480</v>
      </c>
      <c r="AQ9" s="5">
        <v>551</v>
      </c>
      <c r="AR9" s="5">
        <v>555</v>
      </c>
      <c r="AS9" s="5">
        <v>562</v>
      </c>
      <c r="AT9" s="13">
        <v>537</v>
      </c>
      <c r="AU9" s="3">
        <f>AU$4*AU47</f>
        <v>585.87424633936268</v>
      </c>
      <c r="AV9" s="3">
        <f t="shared" si="5"/>
        <v>619.79328165374682</v>
      </c>
      <c r="AW9" s="3">
        <f t="shared" si="5"/>
        <v>662.96296296296305</v>
      </c>
      <c r="BC9" s="3">
        <f>SUM(B9:E9)</f>
        <v>2054</v>
      </c>
      <c r="BD9" s="3">
        <f>SUM(F9:I9)</f>
        <v>1951</v>
      </c>
      <c r="BE9" s="3">
        <f>SUM(J9:M9)</f>
        <v>1923</v>
      </c>
      <c r="BF9" s="3">
        <f>SUM(N9:Q9)</f>
        <v>1850</v>
      </c>
      <c r="BG9" s="3">
        <f>SUM(R9:U9)</f>
        <v>1693</v>
      </c>
      <c r="BH9" s="3">
        <f>SUM(V9:Y9)</f>
        <v>1415</v>
      </c>
      <c r="BI9" s="3">
        <f>SUM(Z9:AC9)</f>
        <v>1686</v>
      </c>
      <c r="BJ9" s="3">
        <f>SUM(AD9:AG9)</f>
        <v>1814</v>
      </c>
      <c r="BK9" s="3">
        <f>SUM(AH9:AK9)</f>
        <v>2108</v>
      </c>
      <c r="BL9" s="3">
        <f>SUM(AL9:AO9)</f>
        <v>2107</v>
      </c>
      <c r="BM9" s="15">
        <f>SUM(AP9:AS9)</f>
        <v>2148</v>
      </c>
      <c r="BN9" s="3">
        <f>SUM(AT9:AW9)</f>
        <v>2405.6304909560727</v>
      </c>
    </row>
    <row r="10" spans="1:71" x14ac:dyDescent="0.25">
      <c r="A10" s="4" t="s">
        <v>17</v>
      </c>
      <c r="B10" s="5">
        <v>317</v>
      </c>
      <c r="C10" s="5">
        <v>334</v>
      </c>
      <c r="D10" s="5">
        <v>381</v>
      </c>
      <c r="E10" s="5">
        <v>955</v>
      </c>
      <c r="F10" s="5">
        <v>397</v>
      </c>
      <c r="G10" s="5">
        <v>399</v>
      </c>
      <c r="H10" s="5">
        <v>560</v>
      </c>
      <c r="I10" s="5">
        <v>548</v>
      </c>
      <c r="J10" s="5">
        <v>996</v>
      </c>
      <c r="K10" s="5">
        <v>407</v>
      </c>
      <c r="L10" s="5">
        <v>348</v>
      </c>
      <c r="M10" s="5">
        <v>504</v>
      </c>
      <c r="N10" s="5">
        <v>300</v>
      </c>
      <c r="O10" s="5">
        <v>338</v>
      </c>
      <c r="P10" s="5">
        <v>390</v>
      </c>
      <c r="Q10" s="5">
        <v>354</v>
      </c>
      <c r="R10" s="5">
        <v>312</v>
      </c>
      <c r="S10" s="5">
        <v>336</v>
      </c>
      <c r="T10" s="5">
        <v>298</v>
      </c>
      <c r="U10" s="5">
        <v>325</v>
      </c>
      <c r="V10" s="5">
        <v>313</v>
      </c>
      <c r="W10" s="5">
        <v>431</v>
      </c>
      <c r="X10" s="5">
        <v>370</v>
      </c>
      <c r="Y10" s="5">
        <v>353</v>
      </c>
      <c r="Z10" s="5">
        <v>323</v>
      </c>
      <c r="AA10" s="5">
        <v>293</v>
      </c>
      <c r="AB10" s="5">
        <v>238</v>
      </c>
      <c r="AC10" s="5">
        <v>220</v>
      </c>
      <c r="AD10" s="5">
        <v>266</v>
      </c>
      <c r="AE10" s="5">
        <v>303</v>
      </c>
      <c r="AF10" s="5">
        <v>339</v>
      </c>
      <c r="AG10" s="5">
        <v>310</v>
      </c>
      <c r="AH10" s="5">
        <v>876</v>
      </c>
      <c r="AI10" s="5">
        <v>300</v>
      </c>
      <c r="AJ10" s="5">
        <v>320</v>
      </c>
      <c r="AK10" s="5">
        <v>322</v>
      </c>
      <c r="AL10" s="5">
        <v>223</v>
      </c>
      <c r="AM10" s="5">
        <v>556</v>
      </c>
      <c r="AN10" s="5">
        <v>355</v>
      </c>
      <c r="AO10" s="5">
        <v>344</v>
      </c>
      <c r="AP10" s="5">
        <v>306</v>
      </c>
      <c r="AQ10" s="5">
        <v>321</v>
      </c>
      <c r="AR10" s="5">
        <v>190</v>
      </c>
      <c r="AS10" s="5">
        <v>377</v>
      </c>
      <c r="AT10" s="13">
        <v>326</v>
      </c>
      <c r="AU10" s="3">
        <f>AU$4*AU48</f>
        <v>355.67039908125179</v>
      </c>
      <c r="AV10" s="3">
        <f t="shared" si="5"/>
        <v>376.26184323858746</v>
      </c>
      <c r="AW10" s="3">
        <f t="shared" si="5"/>
        <v>402.46913580246917</v>
      </c>
      <c r="BC10" s="3">
        <f>SUM(B10:E10)</f>
        <v>1987</v>
      </c>
      <c r="BD10" s="3">
        <f>SUM(F10:I10)</f>
        <v>1904</v>
      </c>
      <c r="BE10" s="3">
        <f>SUM(J10:M10)</f>
        <v>2255</v>
      </c>
      <c r="BF10" s="3">
        <f>SUM(N10:Q10)</f>
        <v>1382</v>
      </c>
      <c r="BG10" s="3">
        <f>SUM(R10:U10)</f>
        <v>1271</v>
      </c>
      <c r="BH10" s="3">
        <f>SUM(V10:Y10)</f>
        <v>1467</v>
      </c>
      <c r="BI10" s="3">
        <f>SUM(Z10:AC10)</f>
        <v>1074</v>
      </c>
      <c r="BJ10" s="3">
        <f>SUM(AD10:AG10)</f>
        <v>1218</v>
      </c>
      <c r="BK10" s="3">
        <f>SUM(AH10:AK10)</f>
        <v>1818</v>
      </c>
      <c r="BL10" s="3">
        <f>SUM(AL10:AO10)</f>
        <v>1478</v>
      </c>
      <c r="BM10" s="15">
        <f>SUM(AP10:AS10)</f>
        <v>1194</v>
      </c>
      <c r="BN10" s="3">
        <f>SUM(AT10:AW10)</f>
        <v>1460.4013781223084</v>
      </c>
    </row>
    <row r="11" spans="1:71" s="6" customFormat="1" x14ac:dyDescent="0.25">
      <c r="A11" s="1" t="s">
        <v>18</v>
      </c>
      <c r="B11" s="2">
        <f>B7-B8-B9-B10</f>
        <v>1702</v>
      </c>
      <c r="C11" s="2">
        <f t="shared" ref="C11:AT11" si="10">C7-C8-C9-C10</f>
        <v>1333</v>
      </c>
      <c r="D11" s="2">
        <f t="shared" si="10"/>
        <v>925</v>
      </c>
      <c r="E11" s="2">
        <f t="shared" si="10"/>
        <v>967</v>
      </c>
      <c r="F11" s="2">
        <f t="shared" si="10"/>
        <v>494</v>
      </c>
      <c r="G11" s="2">
        <f t="shared" si="10"/>
        <v>785</v>
      </c>
      <c r="H11" s="2">
        <f t="shared" si="10"/>
        <v>481</v>
      </c>
      <c r="I11" s="2">
        <f t="shared" si="10"/>
        <v>-404</v>
      </c>
      <c r="J11" s="2">
        <f t="shared" si="10"/>
        <v>380</v>
      </c>
      <c r="K11" s="2">
        <f t="shared" si="10"/>
        <v>1184</v>
      </c>
      <c r="L11" s="2">
        <f t="shared" si="10"/>
        <v>1509</v>
      </c>
      <c r="M11" s="2">
        <f t="shared" si="10"/>
        <v>1080</v>
      </c>
      <c r="N11" s="2">
        <f t="shared" si="10"/>
        <v>2108</v>
      </c>
      <c r="O11" s="2">
        <f t="shared" si="10"/>
        <v>2167</v>
      </c>
      <c r="P11" s="2">
        <f t="shared" si="10"/>
        <v>2135</v>
      </c>
      <c r="Q11" s="2">
        <f t="shared" si="10"/>
        <v>1883</v>
      </c>
      <c r="R11" s="2">
        <f t="shared" si="10"/>
        <v>2207</v>
      </c>
      <c r="S11" s="2">
        <f t="shared" si="10"/>
        <v>2213</v>
      </c>
      <c r="T11" s="2">
        <f t="shared" si="10"/>
        <v>2020</v>
      </c>
      <c r="U11" s="2">
        <f t="shared" si="10"/>
        <v>1850</v>
      </c>
      <c r="V11" s="2">
        <f t="shared" si="10"/>
        <v>1404</v>
      </c>
      <c r="W11" s="2">
        <f t="shared" si="10"/>
        <v>784</v>
      </c>
      <c r="X11" s="2">
        <f t="shared" si="10"/>
        <v>985</v>
      </c>
      <c r="Y11" s="2">
        <f t="shared" si="10"/>
        <v>1380</v>
      </c>
      <c r="Z11" s="2">
        <f t="shared" si="10"/>
        <v>1814</v>
      </c>
      <c r="AA11" s="2">
        <f t="shared" si="10"/>
        <v>1789</v>
      </c>
      <c r="AB11" s="2">
        <f t="shared" si="10"/>
        <v>1664</v>
      </c>
      <c r="AC11" s="2">
        <f t="shared" si="10"/>
        <v>1611</v>
      </c>
      <c r="AD11" s="2">
        <f t="shared" si="10"/>
        <v>1855</v>
      </c>
      <c r="AE11" s="2">
        <f t="shared" si="10"/>
        <v>1944</v>
      </c>
      <c r="AF11" s="2">
        <f t="shared" si="10"/>
        <v>2425</v>
      </c>
      <c r="AG11" s="2">
        <f t="shared" si="10"/>
        <v>2605</v>
      </c>
      <c r="AH11" s="2">
        <f t="shared" si="10"/>
        <v>2731</v>
      </c>
      <c r="AI11" s="2">
        <f t="shared" si="10"/>
        <v>3652</v>
      </c>
      <c r="AJ11" s="2">
        <f t="shared" si="10"/>
        <v>3449</v>
      </c>
      <c r="AK11" s="2">
        <f t="shared" si="10"/>
        <v>3134</v>
      </c>
      <c r="AL11" s="2">
        <f t="shared" si="10"/>
        <v>3519</v>
      </c>
      <c r="AM11" s="2">
        <f t="shared" si="10"/>
        <v>3482</v>
      </c>
      <c r="AN11" s="2">
        <f t="shared" si="10"/>
        <v>3147</v>
      </c>
      <c r="AO11" s="2">
        <f t="shared" si="10"/>
        <v>2924</v>
      </c>
      <c r="AP11" s="2">
        <f t="shared" si="10"/>
        <v>2579</v>
      </c>
      <c r="AQ11" s="2">
        <f t="shared" si="10"/>
        <v>2860</v>
      </c>
      <c r="AR11" s="2">
        <f t="shared" si="10"/>
        <v>3052</v>
      </c>
      <c r="AS11" s="2">
        <f t="shared" si="10"/>
        <v>2660</v>
      </c>
      <c r="AT11" s="12">
        <f t="shared" si="10"/>
        <v>3085</v>
      </c>
      <c r="AU11" s="2">
        <f t="shared" ref="AU11" si="11">AU7-AU8-AU9-AU10</f>
        <v>3419.1762848119429</v>
      </c>
      <c r="AV11" s="2">
        <f t="shared" ref="AV11" si="12">AV7-AV8-AV9-AV10</f>
        <v>3677.4285960378988</v>
      </c>
      <c r="AW11" s="2">
        <f t="shared" ref="AW11" si="13">AW7-AW8-AW9-AW10</f>
        <v>3998.0679012345672</v>
      </c>
      <c r="BC11" s="2">
        <f>SUM(B11:E11)</f>
        <v>4927</v>
      </c>
      <c r="BD11" s="2">
        <f>SUM(F11:I11)</f>
        <v>1356</v>
      </c>
      <c r="BE11" s="2">
        <f>SUM(J11:M11)</f>
        <v>4153</v>
      </c>
      <c r="BF11" s="2">
        <f>SUM(N11:Q11)</f>
        <v>8293</v>
      </c>
      <c r="BG11" s="2">
        <f>SUM(R11:U11)</f>
        <v>8290</v>
      </c>
      <c r="BH11" s="2">
        <f>SUM(V11:Y11)</f>
        <v>4553</v>
      </c>
      <c r="BI11" s="2">
        <f>SUM(Z11:AC11)</f>
        <v>6878</v>
      </c>
      <c r="BJ11" s="2">
        <f>SUM(AD11:AG11)</f>
        <v>8829</v>
      </c>
      <c r="BK11" s="2">
        <f>SUM(AH11:AK11)</f>
        <v>12966</v>
      </c>
      <c r="BL11" s="2">
        <f>SUM(AL11:AO11)</f>
        <v>13072</v>
      </c>
      <c r="BM11" s="12">
        <f>SUM(AP11:AS11)</f>
        <v>11151</v>
      </c>
      <c r="BN11" s="2">
        <f>SUM(AT11:AW11)</f>
        <v>14179.67278208441</v>
      </c>
      <c r="BO11" s="2"/>
      <c r="BP11" s="2"/>
      <c r="BQ11" s="2"/>
    </row>
    <row r="12" spans="1:71" x14ac:dyDescent="0.25">
      <c r="A12" s="4" t="s">
        <v>169</v>
      </c>
      <c r="B12" s="5">
        <v>129</v>
      </c>
      <c r="C12" s="5">
        <v>125</v>
      </c>
      <c r="D12" s="5">
        <v>127</v>
      </c>
      <c r="E12" s="5">
        <v>126</v>
      </c>
      <c r="F12" s="5">
        <v>129</v>
      </c>
      <c r="G12" s="5">
        <v>130</v>
      </c>
      <c r="H12" s="5">
        <v>126</v>
      </c>
      <c r="I12" s="5">
        <v>120</v>
      </c>
      <c r="J12" s="5">
        <v>123</v>
      </c>
      <c r="K12" s="5">
        <v>121</v>
      </c>
      <c r="L12" s="5">
        <v>118</v>
      </c>
      <c r="M12" s="5">
        <v>169</v>
      </c>
      <c r="N12" s="5">
        <v>101</v>
      </c>
      <c r="O12" s="5">
        <v>102</v>
      </c>
      <c r="P12" s="5">
        <v>102</v>
      </c>
      <c r="Q12" s="5">
        <v>99</v>
      </c>
      <c r="R12" s="5">
        <v>103</v>
      </c>
      <c r="S12" s="5">
        <v>103</v>
      </c>
      <c r="T12" s="5">
        <v>103</v>
      </c>
      <c r="U12" s="5">
        <v>112</v>
      </c>
      <c r="V12" s="5">
        <v>113</v>
      </c>
      <c r="W12" s="5">
        <v>135</v>
      </c>
      <c r="X12" s="5">
        <v>136</v>
      </c>
      <c r="Y12" s="5">
        <v>130</v>
      </c>
      <c r="Z12" s="5">
        <v>142</v>
      </c>
      <c r="AA12" s="5">
        <v>120</v>
      </c>
      <c r="AB12" s="5">
        <v>114</v>
      </c>
      <c r="AC12" s="5">
        <v>112</v>
      </c>
      <c r="AD12" s="5">
        <v>109</v>
      </c>
      <c r="AE12" s="5">
        <v>108</v>
      </c>
      <c r="AF12" s="5">
        <v>109</v>
      </c>
      <c r="AG12" s="5">
        <v>117</v>
      </c>
      <c r="AH12" s="5">
        <v>129</v>
      </c>
      <c r="AI12" s="5">
        <v>127</v>
      </c>
      <c r="AJ12" s="5">
        <v>129</v>
      </c>
      <c r="AK12" s="5">
        <v>126</v>
      </c>
      <c r="AL12" s="5">
        <v>143</v>
      </c>
      <c r="AM12" s="5">
        <v>137</v>
      </c>
      <c r="AN12" s="5">
        <v>125</v>
      </c>
      <c r="AO12" s="5">
        <v>107</v>
      </c>
      <c r="AP12" s="5">
        <v>116</v>
      </c>
      <c r="AQ12" s="5">
        <v>126</v>
      </c>
      <c r="AR12" s="5">
        <v>133</v>
      </c>
      <c r="AS12" s="5">
        <v>127</v>
      </c>
      <c r="AT12" s="13">
        <v>134</v>
      </c>
      <c r="AU12" s="3">
        <f>AU$4*AU50</f>
        <v>146.19580821131208</v>
      </c>
      <c r="AV12" s="3">
        <f t="shared" si="5"/>
        <v>154.65977605512489</v>
      </c>
      <c r="AW12" s="3">
        <f t="shared" si="5"/>
        <v>165.4320987654321</v>
      </c>
      <c r="BC12" s="3">
        <f>SUM(B12:E12)</f>
        <v>507</v>
      </c>
      <c r="BD12" s="3">
        <f>SUM(F12:I12)</f>
        <v>505</v>
      </c>
      <c r="BE12" s="3">
        <f>SUM(J12:M12)</f>
        <v>531</v>
      </c>
      <c r="BF12" s="3">
        <f>SUM(N12:Q12)</f>
        <v>404</v>
      </c>
      <c r="BG12" s="3">
        <f>SUM(R12:U12)</f>
        <v>421</v>
      </c>
      <c r="BH12" s="3">
        <f>SUM(V12:Y12)</f>
        <v>514</v>
      </c>
      <c r="BI12" s="3">
        <f>SUM(Z12:AC12)</f>
        <v>488</v>
      </c>
      <c r="BJ12" s="3">
        <f>SUM(AD12:AG12)</f>
        <v>443</v>
      </c>
      <c r="BK12" s="3">
        <f>SUM(AH12:AK12)</f>
        <v>511</v>
      </c>
      <c r="BL12" s="3">
        <f>SUM(AL12:AO12)</f>
        <v>512</v>
      </c>
      <c r="BM12" s="15">
        <f>SUM(AP12:AS12)</f>
        <v>502</v>
      </c>
      <c r="BN12" s="3">
        <f>SUM(AT12:AW12)</f>
        <v>600.28768303186905</v>
      </c>
    </row>
    <row r="13" spans="1:71" x14ac:dyDescent="0.25">
      <c r="A13" s="4" t="s">
        <v>19</v>
      </c>
      <c r="B13" s="5">
        <v>194</v>
      </c>
      <c r="C13" s="5">
        <v>-72</v>
      </c>
      <c r="D13" s="5">
        <v>-15</v>
      </c>
      <c r="E13" s="5">
        <v>30</v>
      </c>
      <c r="G13" s="5">
        <v>84</v>
      </c>
      <c r="H13" s="5">
        <v>28</v>
      </c>
      <c r="I13" s="5">
        <v>34</v>
      </c>
      <c r="J13" s="5">
        <v>32</v>
      </c>
      <c r="K13" s="5">
        <v>96</v>
      </c>
      <c r="L13" s="5">
        <v>132</v>
      </c>
      <c r="M13" s="5">
        <v>-107</v>
      </c>
      <c r="N13" s="5">
        <v>127</v>
      </c>
      <c r="O13" s="5">
        <v>121</v>
      </c>
      <c r="P13" s="5">
        <v>102</v>
      </c>
      <c r="Q13" s="5">
        <v>-417</v>
      </c>
      <c r="R13" s="5">
        <v>160</v>
      </c>
      <c r="S13" s="5">
        <v>68</v>
      </c>
      <c r="T13" s="5">
        <v>88</v>
      </c>
      <c r="U13" s="5">
        <v>-373</v>
      </c>
      <c r="V13" s="5">
        <v>222</v>
      </c>
      <c r="W13" s="5">
        <v>29</v>
      </c>
      <c r="X13" s="5">
        <v>14</v>
      </c>
      <c r="Y13" s="5">
        <v>-309</v>
      </c>
      <c r="Z13" s="5">
        <v>325</v>
      </c>
      <c r="AA13" s="5">
        <v>201</v>
      </c>
      <c r="AB13" s="5">
        <v>225</v>
      </c>
      <c r="AC13" s="5">
        <v>1063</v>
      </c>
      <c r="AD13" s="5">
        <v>253</v>
      </c>
      <c r="AE13" s="5">
        <v>260</v>
      </c>
      <c r="AF13" s="5">
        <v>242</v>
      </c>
      <c r="AG13" s="5">
        <v>536</v>
      </c>
      <c r="AH13" s="5">
        <v>32</v>
      </c>
      <c r="AI13" s="5">
        <v>127</v>
      </c>
      <c r="AJ13" s="5">
        <v>195</v>
      </c>
      <c r="AK13" s="5">
        <v>241</v>
      </c>
      <c r="AL13" s="5">
        <v>156</v>
      </c>
      <c r="AM13" s="5">
        <v>155</v>
      </c>
      <c r="AN13" s="5">
        <v>76</v>
      </c>
      <c r="AO13" s="5">
        <v>426</v>
      </c>
      <c r="AP13" s="5">
        <v>107</v>
      </c>
      <c r="AQ13" s="5">
        <v>84</v>
      </c>
      <c r="AR13" s="5">
        <v>208</v>
      </c>
      <c r="AS13" s="5">
        <v>493</v>
      </c>
      <c r="AT13" s="13">
        <v>260</v>
      </c>
      <c r="AU13" s="3">
        <f>AU$4*AU51</f>
        <v>0</v>
      </c>
      <c r="AV13" s="3">
        <f t="shared" si="5"/>
        <v>0</v>
      </c>
      <c r="AW13" s="3">
        <f t="shared" si="5"/>
        <v>0</v>
      </c>
      <c r="BC13" s="3">
        <f>SUM(B13:E13)</f>
        <v>137</v>
      </c>
      <c r="BD13" s="3">
        <f>SUM(F13:I13)</f>
        <v>146</v>
      </c>
      <c r="BE13" s="3">
        <f>SUM(J13:M13)</f>
        <v>153</v>
      </c>
      <c r="BF13" s="3">
        <f>SUM(N13:Q13)</f>
        <v>-67</v>
      </c>
      <c r="BG13" s="3">
        <f>SUM(R13:U13)</f>
        <v>-57</v>
      </c>
      <c r="BH13" s="3">
        <f>SUM(V13:Y13)</f>
        <v>-44</v>
      </c>
      <c r="BI13" s="3">
        <f>SUM(Z13:AC13)</f>
        <v>1814</v>
      </c>
      <c r="BJ13" s="3">
        <f>SUM(AD13:AG13)</f>
        <v>1291</v>
      </c>
      <c r="BK13" s="3">
        <f>SUM(AH13:AK13)</f>
        <v>595</v>
      </c>
      <c r="BL13" s="3">
        <f>SUM(AL13:AO13)</f>
        <v>813</v>
      </c>
      <c r="BM13" s="15">
        <f>SUM(AP13:AS13)</f>
        <v>892</v>
      </c>
      <c r="BN13" s="3">
        <f>SUM(AT13:AW13)</f>
        <v>260</v>
      </c>
    </row>
    <row r="14" spans="1:71" s="6" customFormat="1" x14ac:dyDescent="0.25">
      <c r="A14" s="1" t="s">
        <v>20</v>
      </c>
      <c r="B14" s="2">
        <f>B11-B12+B13</f>
        <v>1767</v>
      </c>
      <c r="C14" s="2">
        <f t="shared" ref="C14:AT14" si="14">C11-C12+C13</f>
        <v>1136</v>
      </c>
      <c r="D14" s="2">
        <f t="shared" si="14"/>
        <v>783</v>
      </c>
      <c r="E14" s="2">
        <f t="shared" si="14"/>
        <v>871</v>
      </c>
      <c r="F14" s="2">
        <f t="shared" si="14"/>
        <v>365</v>
      </c>
      <c r="G14" s="2">
        <f t="shared" si="14"/>
        <v>739</v>
      </c>
      <c r="H14" s="2">
        <f t="shared" si="14"/>
        <v>383</v>
      </c>
      <c r="I14" s="2">
        <f t="shared" si="14"/>
        <v>-490</v>
      </c>
      <c r="J14" s="2">
        <f t="shared" si="14"/>
        <v>289</v>
      </c>
      <c r="K14" s="2">
        <f t="shared" si="14"/>
        <v>1159</v>
      </c>
      <c r="L14" s="2">
        <f t="shared" si="14"/>
        <v>1523</v>
      </c>
      <c r="M14" s="2">
        <f t="shared" si="14"/>
        <v>804</v>
      </c>
      <c r="N14" s="2">
        <f t="shared" si="14"/>
        <v>2134</v>
      </c>
      <c r="O14" s="2">
        <f t="shared" si="14"/>
        <v>2186</v>
      </c>
      <c r="P14" s="2">
        <f t="shared" si="14"/>
        <v>2135</v>
      </c>
      <c r="Q14" s="2">
        <f t="shared" si="14"/>
        <v>1367</v>
      </c>
      <c r="R14" s="2">
        <f t="shared" si="14"/>
        <v>2264</v>
      </c>
      <c r="S14" s="2">
        <f t="shared" si="14"/>
        <v>2178</v>
      </c>
      <c r="T14" s="2">
        <f t="shared" si="14"/>
        <v>2005</v>
      </c>
      <c r="U14" s="2">
        <f t="shared" si="14"/>
        <v>1365</v>
      </c>
      <c r="V14" s="2">
        <f t="shared" si="14"/>
        <v>1513</v>
      </c>
      <c r="W14" s="2">
        <f t="shared" si="14"/>
        <v>678</v>
      </c>
      <c r="X14" s="2">
        <f t="shared" si="14"/>
        <v>863</v>
      </c>
      <c r="Y14" s="2">
        <f t="shared" si="14"/>
        <v>941</v>
      </c>
      <c r="Z14" s="2">
        <f t="shared" si="14"/>
        <v>1997</v>
      </c>
      <c r="AA14" s="2">
        <f t="shared" si="14"/>
        <v>1870</v>
      </c>
      <c r="AB14" s="2">
        <f t="shared" si="14"/>
        <v>1775</v>
      </c>
      <c r="AC14" s="2">
        <f t="shared" si="14"/>
        <v>2562</v>
      </c>
      <c r="AD14" s="2">
        <f t="shared" si="14"/>
        <v>1999</v>
      </c>
      <c r="AE14" s="2">
        <f t="shared" si="14"/>
        <v>2096</v>
      </c>
      <c r="AF14" s="2">
        <f t="shared" si="14"/>
        <v>2558</v>
      </c>
      <c r="AG14" s="2">
        <f t="shared" si="14"/>
        <v>3024</v>
      </c>
      <c r="AH14" s="2">
        <f t="shared" si="14"/>
        <v>2634</v>
      </c>
      <c r="AI14" s="2">
        <f t="shared" si="14"/>
        <v>3652</v>
      </c>
      <c r="AJ14" s="2">
        <f t="shared" si="14"/>
        <v>3515</v>
      </c>
      <c r="AK14" s="2">
        <f t="shared" si="14"/>
        <v>3249</v>
      </c>
      <c r="AL14" s="2">
        <f t="shared" si="14"/>
        <v>3532</v>
      </c>
      <c r="AM14" s="2">
        <f t="shared" si="14"/>
        <v>3500</v>
      </c>
      <c r="AN14" s="2">
        <f t="shared" si="14"/>
        <v>3098</v>
      </c>
      <c r="AO14" s="2">
        <f t="shared" si="14"/>
        <v>3243</v>
      </c>
      <c r="AP14" s="2">
        <f t="shared" si="14"/>
        <v>2570</v>
      </c>
      <c r="AQ14" s="2">
        <f t="shared" si="14"/>
        <v>2818</v>
      </c>
      <c r="AR14" s="2">
        <f t="shared" si="14"/>
        <v>3127</v>
      </c>
      <c r="AS14" s="2">
        <f t="shared" si="14"/>
        <v>3026</v>
      </c>
      <c r="AT14" s="12">
        <f t="shared" si="14"/>
        <v>3211</v>
      </c>
      <c r="AU14" s="2">
        <f t="shared" ref="AU14" si="15">AU11-AU12+AU13</f>
        <v>3272.9804766006309</v>
      </c>
      <c r="AV14" s="2">
        <f t="shared" ref="AV14" si="16">AV11-AV12+AV13</f>
        <v>3522.7688199827739</v>
      </c>
      <c r="AW14" s="2">
        <f t="shared" ref="AW14" si="17">AW11-AW12+AW13</f>
        <v>3832.6358024691353</v>
      </c>
      <c r="BC14" s="2">
        <f>SUM(B14:E14)</f>
        <v>4557</v>
      </c>
      <c r="BD14" s="2">
        <f>SUM(F14:I14)</f>
        <v>997</v>
      </c>
      <c r="BE14" s="2">
        <f>SUM(J14:M14)</f>
        <v>3775</v>
      </c>
      <c r="BF14" s="2">
        <f>SUM(N14:Q14)</f>
        <v>7822</v>
      </c>
      <c r="BG14" s="2">
        <f>SUM(R14:U14)</f>
        <v>7812</v>
      </c>
      <c r="BH14" s="2">
        <f>SUM(V14:Y14)</f>
        <v>3995</v>
      </c>
      <c r="BI14" s="2">
        <f>SUM(Z14:AC14)</f>
        <v>8204</v>
      </c>
      <c r="BJ14" s="2">
        <f>SUM(AD14:AG14)</f>
        <v>9677</v>
      </c>
      <c r="BK14" s="2">
        <f>SUM(AH14:AK14)</f>
        <v>13050</v>
      </c>
      <c r="BL14" s="2">
        <f>SUM(AL14:AO14)</f>
        <v>13373</v>
      </c>
      <c r="BM14" s="12">
        <f>SUM(AP14:AS14)</f>
        <v>11541</v>
      </c>
      <c r="BN14" s="2">
        <f>SUM(AT14:AW14)</f>
        <v>13839.385099052539</v>
      </c>
      <c r="BO14" s="2"/>
      <c r="BP14" s="2"/>
      <c r="BQ14" s="2"/>
    </row>
    <row r="15" spans="1:71" x14ac:dyDescent="0.25">
      <c r="A15" s="4" t="s">
        <v>21</v>
      </c>
      <c r="B15" s="5">
        <v>521</v>
      </c>
      <c r="C15" s="5">
        <v>335</v>
      </c>
      <c r="D15" s="5">
        <v>218</v>
      </c>
      <c r="E15" s="5">
        <v>-128</v>
      </c>
      <c r="F15" s="5">
        <v>92</v>
      </c>
      <c r="G15" s="5">
        <v>184</v>
      </c>
      <c r="H15" s="5">
        <v>96</v>
      </c>
      <c r="I15" s="5">
        <v>-180</v>
      </c>
      <c r="J15" s="5">
        <v>90</v>
      </c>
      <c r="K15" s="5">
        <v>361</v>
      </c>
      <c r="L15" s="5">
        <v>470</v>
      </c>
      <c r="M15" s="5">
        <v>2418</v>
      </c>
      <c r="N15" s="5">
        <v>472</v>
      </c>
      <c r="O15" s="5">
        <v>490</v>
      </c>
      <c r="P15" s="5">
        <v>415</v>
      </c>
      <c r="Q15" s="5">
        <v>321</v>
      </c>
      <c r="R15" s="5">
        <v>387</v>
      </c>
      <c r="S15" s="5">
        <v>565</v>
      </c>
      <c r="T15" s="5">
        <v>518</v>
      </c>
      <c r="U15" s="5">
        <v>276</v>
      </c>
      <c r="V15" s="5">
        <v>425</v>
      </c>
      <c r="W15" s="5">
        <v>227</v>
      </c>
      <c r="X15" s="5">
        <v>187</v>
      </c>
      <c r="Y15" s="5">
        <v>167</v>
      </c>
      <c r="Z15" s="5">
        <v>475</v>
      </c>
      <c r="AA15" s="5">
        <v>470</v>
      </c>
      <c r="AB15" s="5">
        <v>368</v>
      </c>
      <c r="AC15" s="5">
        <v>429</v>
      </c>
      <c r="AD15" s="5">
        <v>469</v>
      </c>
      <c r="AE15" s="5">
        <v>427</v>
      </c>
      <c r="AF15" s="5">
        <v>527</v>
      </c>
      <c r="AG15" s="5">
        <v>644</v>
      </c>
      <c r="AH15" s="5">
        <v>708</v>
      </c>
      <c r="AI15" s="5">
        <v>752</v>
      </c>
      <c r="AJ15" s="5">
        <v>734</v>
      </c>
      <c r="AK15" s="5">
        <v>587</v>
      </c>
      <c r="AL15" s="5">
        <v>688</v>
      </c>
      <c r="AM15" s="5">
        <v>836</v>
      </c>
      <c r="AN15" s="5">
        <v>642</v>
      </c>
      <c r="AO15" s="5">
        <v>463</v>
      </c>
      <c r="AP15" s="5">
        <v>574</v>
      </c>
      <c r="AQ15" s="5">
        <v>646</v>
      </c>
      <c r="AR15" s="5">
        <v>836</v>
      </c>
      <c r="AS15" s="5">
        <v>712</v>
      </c>
      <c r="AT15" s="13">
        <v>670</v>
      </c>
      <c r="AU15" s="3">
        <f>+AU14*AU29</f>
        <v>687.32590008613249</v>
      </c>
      <c r="AV15" s="3">
        <f t="shared" ref="AV15:AW15" si="18">+AV14*AV29</f>
        <v>739.78145219638247</v>
      </c>
      <c r="AW15" s="3">
        <f t="shared" si="18"/>
        <v>804.8535185185184</v>
      </c>
      <c r="BC15" s="3">
        <f>SUM(B15:E15)</f>
        <v>946</v>
      </c>
      <c r="BD15" s="3">
        <f>SUM(F15:I15)</f>
        <v>192</v>
      </c>
      <c r="BE15" s="3">
        <f>SUM(J15:M15)</f>
        <v>3339</v>
      </c>
      <c r="BF15" s="3">
        <f>SUM(N15:Q15)</f>
        <v>1698</v>
      </c>
      <c r="BG15" s="3">
        <f>SUM(R15:U15)</f>
        <v>1746</v>
      </c>
      <c r="BH15" s="3">
        <f>SUM(V15:Y15)</f>
        <v>1006</v>
      </c>
      <c r="BI15" s="3">
        <f>SUM(Z15:AC15)</f>
        <v>1742</v>
      </c>
      <c r="BJ15" s="3">
        <f>SUM(AD15:AG15)</f>
        <v>2067</v>
      </c>
      <c r="BK15" s="3">
        <f>SUM(AH15:AK15)</f>
        <v>2781</v>
      </c>
      <c r="BL15" s="3">
        <f>SUM(AL15:AO15)</f>
        <v>2629</v>
      </c>
      <c r="BM15" s="15">
        <f>SUM(AP15:AS15)</f>
        <v>2768</v>
      </c>
      <c r="BN15" s="3">
        <f>SUM(AT15:AW15)</f>
        <v>2901.9608708010333</v>
      </c>
    </row>
    <row r="16" spans="1:71" x14ac:dyDescent="0.25">
      <c r="A16" s="4" t="s">
        <v>22</v>
      </c>
      <c r="B16" s="5">
        <f>B14-B15</f>
        <v>1246</v>
      </c>
      <c r="C16" s="5">
        <f t="shared" ref="C16:AT16" si="19">C14-C15</f>
        <v>801</v>
      </c>
      <c r="D16" s="5">
        <f t="shared" si="19"/>
        <v>565</v>
      </c>
      <c r="E16" s="5">
        <f t="shared" si="19"/>
        <v>999</v>
      </c>
      <c r="F16" s="5">
        <f t="shared" si="19"/>
        <v>273</v>
      </c>
      <c r="G16" s="5">
        <f t="shared" si="19"/>
        <v>555</v>
      </c>
      <c r="H16" s="5">
        <f t="shared" si="19"/>
        <v>287</v>
      </c>
      <c r="I16" s="5">
        <f t="shared" si="19"/>
        <v>-310</v>
      </c>
      <c r="J16" s="5">
        <f t="shared" si="19"/>
        <v>199</v>
      </c>
      <c r="K16" s="5">
        <f t="shared" si="19"/>
        <v>798</v>
      </c>
      <c r="L16" s="5">
        <f t="shared" si="19"/>
        <v>1053</v>
      </c>
      <c r="M16" s="5">
        <f t="shared" si="19"/>
        <v>-1614</v>
      </c>
      <c r="N16" s="5">
        <f t="shared" si="19"/>
        <v>1662</v>
      </c>
      <c r="O16" s="5">
        <f t="shared" si="19"/>
        <v>1696</v>
      </c>
      <c r="P16" s="5">
        <f t="shared" si="19"/>
        <v>1720</v>
      </c>
      <c r="Q16" s="5">
        <f t="shared" si="19"/>
        <v>1046</v>
      </c>
      <c r="R16" s="5">
        <f t="shared" si="19"/>
        <v>1877</v>
      </c>
      <c r="S16" s="5">
        <f t="shared" si="19"/>
        <v>1613</v>
      </c>
      <c r="T16" s="5">
        <f t="shared" si="19"/>
        <v>1487</v>
      </c>
      <c r="U16" s="5">
        <f t="shared" si="19"/>
        <v>1089</v>
      </c>
      <c r="V16" s="5">
        <f t="shared" si="19"/>
        <v>1088</v>
      </c>
      <c r="W16" s="5">
        <f t="shared" si="19"/>
        <v>451</v>
      </c>
      <c r="X16" s="5">
        <f t="shared" si="19"/>
        <v>676</v>
      </c>
      <c r="Y16" s="5">
        <f t="shared" si="19"/>
        <v>774</v>
      </c>
      <c r="Z16" s="5">
        <f t="shared" si="19"/>
        <v>1522</v>
      </c>
      <c r="AA16" s="5">
        <f t="shared" si="19"/>
        <v>1400</v>
      </c>
      <c r="AB16" s="5">
        <f t="shared" si="19"/>
        <v>1407</v>
      </c>
      <c r="AC16" s="5">
        <f t="shared" si="19"/>
        <v>2133</v>
      </c>
      <c r="AD16" s="5">
        <f t="shared" si="19"/>
        <v>1530</v>
      </c>
      <c r="AE16" s="5">
        <f t="shared" si="19"/>
        <v>1669</v>
      </c>
      <c r="AF16" s="5">
        <f t="shared" si="19"/>
        <v>2031</v>
      </c>
      <c r="AG16" s="5">
        <f t="shared" si="19"/>
        <v>2380</v>
      </c>
      <c r="AH16" s="5">
        <f t="shared" si="19"/>
        <v>1926</v>
      </c>
      <c r="AI16" s="5">
        <f t="shared" si="19"/>
        <v>2900</v>
      </c>
      <c r="AJ16" s="5">
        <f t="shared" si="19"/>
        <v>2781</v>
      </c>
      <c r="AK16" s="5">
        <f t="shared" si="19"/>
        <v>2662</v>
      </c>
      <c r="AL16" s="5">
        <f t="shared" si="19"/>
        <v>2844</v>
      </c>
      <c r="AM16" s="5">
        <f t="shared" si="19"/>
        <v>2664</v>
      </c>
      <c r="AN16" s="5">
        <f t="shared" si="19"/>
        <v>2456</v>
      </c>
      <c r="AO16" s="5">
        <f t="shared" si="19"/>
        <v>2780</v>
      </c>
      <c r="AP16" s="5">
        <f t="shared" si="19"/>
        <v>1996</v>
      </c>
      <c r="AQ16" s="5">
        <f t="shared" si="19"/>
        <v>2172</v>
      </c>
      <c r="AR16" s="5">
        <f t="shared" si="19"/>
        <v>2291</v>
      </c>
      <c r="AS16" s="5">
        <f t="shared" si="19"/>
        <v>2314</v>
      </c>
      <c r="AT16" s="13">
        <f t="shared" si="19"/>
        <v>2541</v>
      </c>
      <c r="AU16" s="5">
        <f t="shared" ref="AU16" si="20">AU14-AU15</f>
        <v>2585.6545765144983</v>
      </c>
      <c r="AV16" s="5">
        <f t="shared" ref="AV16" si="21">AV14-AV15</f>
        <v>2782.9873677863916</v>
      </c>
      <c r="AW16" s="5">
        <f t="shared" ref="AW16" si="22">AW14-AW15</f>
        <v>3027.7822839506171</v>
      </c>
      <c r="BC16" s="5">
        <f>SUM(B16:E16)</f>
        <v>3611</v>
      </c>
      <c r="BD16" s="5">
        <f>SUM(F16:I16)</f>
        <v>805</v>
      </c>
      <c r="BE16" s="5">
        <f>SUM(J16:M16)</f>
        <v>436</v>
      </c>
      <c r="BF16" s="5">
        <f>SUM(N16:Q16)</f>
        <v>6124</v>
      </c>
      <c r="BG16" s="5">
        <f>SUM(R16:U16)</f>
        <v>6066</v>
      </c>
      <c r="BH16" s="5">
        <f>SUM(V16:Y16)</f>
        <v>2989</v>
      </c>
      <c r="BI16" s="5">
        <f>SUM(Z16:AC16)</f>
        <v>6462</v>
      </c>
      <c r="BJ16" s="5">
        <f>SUM(AD16:AG16)</f>
        <v>7610</v>
      </c>
      <c r="BK16" s="5">
        <f>SUM(AH16:AK16)</f>
        <v>10269</v>
      </c>
      <c r="BL16" s="5">
        <f>SUM(AL16:AO16)</f>
        <v>10744</v>
      </c>
      <c r="BM16" s="13">
        <f>SUM(AP16:AS16)</f>
        <v>8773</v>
      </c>
      <c r="BN16" s="5">
        <f>SUM(AT16:AW16)</f>
        <v>10937.424228251508</v>
      </c>
      <c r="BO16" s="5"/>
      <c r="BP16" s="5"/>
      <c r="BQ16" s="5"/>
    </row>
    <row r="17" spans="1:71" x14ac:dyDescent="0.25">
      <c r="A17" s="4" t="s">
        <v>166</v>
      </c>
      <c r="B17" s="5">
        <v>2</v>
      </c>
      <c r="C17" s="5">
        <v>2</v>
      </c>
      <c r="D17" s="5">
        <v>-3</v>
      </c>
      <c r="E17" s="5">
        <v>-1</v>
      </c>
      <c r="F17" s="5">
        <v>-1</v>
      </c>
      <c r="G17" s="5">
        <v>-2</v>
      </c>
      <c r="H17" s="5">
        <v>-4</v>
      </c>
      <c r="I17" s="5">
        <v>1</v>
      </c>
      <c r="J17" s="5">
        <v>-5</v>
      </c>
      <c r="K17" s="5">
        <v>5</v>
      </c>
      <c r="L17" s="5">
        <v>8</v>
      </c>
      <c r="M17" s="5">
        <v>8</v>
      </c>
      <c r="N17" s="5">
        <v>5</v>
      </c>
      <c r="O17" s="5">
        <v>9</v>
      </c>
      <c r="P17" s="5">
        <v>7</v>
      </c>
      <c r="Q17" s="5">
        <v>3</v>
      </c>
      <c r="R17" s="5">
        <v>7</v>
      </c>
      <c r="S17" s="5">
        <v>6</v>
      </c>
      <c r="T17" s="5">
        <v>7</v>
      </c>
      <c r="U17" s="5">
        <v>8</v>
      </c>
      <c r="V17" s="5">
        <v>5</v>
      </c>
      <c r="W17" s="5">
        <v>8</v>
      </c>
      <c r="X17" s="5">
        <v>-5</v>
      </c>
      <c r="Y17" s="5">
        <v>6</v>
      </c>
      <c r="Z17" s="5">
        <v>9</v>
      </c>
      <c r="AA17" s="5">
        <v>14</v>
      </c>
      <c r="AB17" s="5">
        <v>21</v>
      </c>
      <c r="AC17" s="5">
        <v>-13</v>
      </c>
      <c r="AD17" s="5">
        <v>7</v>
      </c>
      <c r="AE17" s="5">
        <v>4</v>
      </c>
      <c r="AF17" s="5">
        <v>9</v>
      </c>
      <c r="AG17" s="5">
        <v>-1</v>
      </c>
      <c r="AH17" s="5">
        <v>16</v>
      </c>
      <c r="AI17" s="5">
        <v>24</v>
      </c>
      <c r="AJ17" s="5">
        <v>12</v>
      </c>
      <c r="AK17" s="5">
        <v>11</v>
      </c>
      <c r="AL17" s="5">
        <v>10</v>
      </c>
      <c r="AM17" s="5">
        <v>17</v>
      </c>
      <c r="AN17" s="5">
        <v>7</v>
      </c>
      <c r="AO17" s="5">
        <v>10</v>
      </c>
      <c r="AP17" s="5">
        <v>7</v>
      </c>
      <c r="AQ17" s="5">
        <v>7</v>
      </c>
      <c r="AR17" s="5">
        <v>8</v>
      </c>
      <c r="AS17" s="5">
        <v>87</v>
      </c>
      <c r="AT17" s="13">
        <v>7</v>
      </c>
      <c r="AU17" s="3">
        <f>AU$4*AU55</f>
        <v>7.6370944587998855</v>
      </c>
      <c r="AV17" s="3">
        <f t="shared" ref="AV17:AW17" si="23">AV$4*AV55</f>
        <v>8.0792420327304058</v>
      </c>
      <c r="AW17" s="3">
        <f t="shared" si="23"/>
        <v>8.6419753086419764</v>
      </c>
      <c r="BC17" s="3">
        <f>SUM(B17:E17)</f>
        <v>0</v>
      </c>
      <c r="BD17" s="3">
        <f>SUM(F17:I17)</f>
        <v>-6</v>
      </c>
      <c r="BE17" s="3">
        <f>SUM(J17:M17)</f>
        <v>16</v>
      </c>
      <c r="BF17" s="3">
        <f>SUM(N17:Q17)</f>
        <v>24</v>
      </c>
      <c r="BG17" s="3">
        <f>SUM(R17:U17)</f>
        <v>28</v>
      </c>
      <c r="BH17" s="3">
        <f>SUM(V17:Y17)</f>
        <v>14</v>
      </c>
      <c r="BI17" s="3">
        <f>SUM(Z17:AC17)</f>
        <v>31</v>
      </c>
      <c r="BJ17" s="3">
        <f>SUM(AD17:AG17)</f>
        <v>19</v>
      </c>
      <c r="BK17" s="3">
        <f>SUM(AH17:AK17)</f>
        <v>63</v>
      </c>
      <c r="BL17" s="3">
        <f>SUM(AL17:AO17)</f>
        <v>44</v>
      </c>
      <c r="BM17" s="15">
        <f>SUM(AP17:AS17)</f>
        <v>109</v>
      </c>
      <c r="BN17" s="3">
        <f>SUM(AT17:AW17)</f>
        <v>31.358311800172267</v>
      </c>
    </row>
    <row r="18" spans="1:71" x14ac:dyDescent="0.25">
      <c r="A18" s="4" t="s">
        <v>168</v>
      </c>
      <c r="B18" s="5">
        <f>B16+B17</f>
        <v>1248</v>
      </c>
      <c r="C18" s="5">
        <f t="shared" ref="C18:AT18" si="24">C16+C17</f>
        <v>803</v>
      </c>
      <c r="D18" s="5">
        <f t="shared" si="24"/>
        <v>562</v>
      </c>
      <c r="E18" s="5">
        <f t="shared" si="24"/>
        <v>998</v>
      </c>
      <c r="F18" s="5">
        <f t="shared" si="24"/>
        <v>272</v>
      </c>
      <c r="G18" s="5">
        <f t="shared" si="24"/>
        <v>553</v>
      </c>
      <c r="H18" s="5">
        <f t="shared" si="24"/>
        <v>283</v>
      </c>
      <c r="I18" s="5">
        <f t="shared" si="24"/>
        <v>-309</v>
      </c>
      <c r="J18" s="5">
        <f t="shared" si="24"/>
        <v>194</v>
      </c>
      <c r="K18" s="5">
        <f t="shared" si="24"/>
        <v>803</v>
      </c>
      <c r="L18" s="5">
        <f t="shared" si="24"/>
        <v>1061</v>
      </c>
      <c r="M18" s="5">
        <f t="shared" si="24"/>
        <v>-1606</v>
      </c>
      <c r="N18" s="5">
        <f t="shared" si="24"/>
        <v>1667</v>
      </c>
      <c r="O18" s="5">
        <f t="shared" si="24"/>
        <v>1705</v>
      </c>
      <c r="P18" s="5">
        <f t="shared" si="24"/>
        <v>1727</v>
      </c>
      <c r="Q18" s="5">
        <f t="shared" si="24"/>
        <v>1049</v>
      </c>
      <c r="R18" s="5">
        <f t="shared" si="24"/>
        <v>1884</v>
      </c>
      <c r="S18" s="5">
        <f t="shared" si="24"/>
        <v>1619</v>
      </c>
      <c r="T18" s="5">
        <f t="shared" si="24"/>
        <v>1494</v>
      </c>
      <c r="U18" s="5">
        <f t="shared" si="24"/>
        <v>1097</v>
      </c>
      <c r="V18" s="5">
        <f t="shared" si="24"/>
        <v>1093</v>
      </c>
      <c r="W18" s="5">
        <f t="shared" si="24"/>
        <v>459</v>
      </c>
      <c r="X18" s="5">
        <f t="shared" si="24"/>
        <v>671</v>
      </c>
      <c r="Y18" s="5">
        <f t="shared" si="24"/>
        <v>780</v>
      </c>
      <c r="Z18" s="5">
        <f t="shared" si="24"/>
        <v>1531</v>
      </c>
      <c r="AA18" s="5">
        <f t="shared" si="24"/>
        <v>1414</v>
      </c>
      <c r="AB18" s="5">
        <f t="shared" si="24"/>
        <v>1428</v>
      </c>
      <c r="AC18" s="5">
        <f t="shared" si="24"/>
        <v>2120</v>
      </c>
      <c r="AD18" s="5">
        <f t="shared" si="24"/>
        <v>1537</v>
      </c>
      <c r="AE18" s="5">
        <f t="shared" si="24"/>
        <v>1673</v>
      </c>
      <c r="AF18" s="5">
        <f t="shared" si="24"/>
        <v>2040</v>
      </c>
      <c r="AG18" s="5">
        <f t="shared" si="24"/>
        <v>2379</v>
      </c>
      <c r="AH18" s="5">
        <f t="shared" si="24"/>
        <v>1942</v>
      </c>
      <c r="AI18" s="5">
        <f t="shared" si="24"/>
        <v>2924</v>
      </c>
      <c r="AJ18" s="5">
        <f t="shared" si="24"/>
        <v>2793</v>
      </c>
      <c r="AK18" s="5">
        <f t="shared" si="24"/>
        <v>2673</v>
      </c>
      <c r="AL18" s="5">
        <f t="shared" si="24"/>
        <v>2854</v>
      </c>
      <c r="AM18" s="5">
        <f t="shared" si="24"/>
        <v>2681</v>
      </c>
      <c r="AN18" s="5">
        <f t="shared" si="24"/>
        <v>2463</v>
      </c>
      <c r="AO18" s="5">
        <f t="shared" si="24"/>
        <v>2790</v>
      </c>
      <c r="AP18" s="5">
        <f t="shared" si="24"/>
        <v>2003</v>
      </c>
      <c r="AQ18" s="5">
        <f t="shared" si="24"/>
        <v>2179</v>
      </c>
      <c r="AR18" s="5">
        <f t="shared" si="24"/>
        <v>2299</v>
      </c>
      <c r="AS18" s="5">
        <f t="shared" si="24"/>
        <v>2401</v>
      </c>
      <c r="AT18" s="13">
        <f t="shared" si="24"/>
        <v>2548</v>
      </c>
      <c r="AU18" s="5">
        <f t="shared" ref="AU18" si="25">AU16+AU17</f>
        <v>2593.2916709732981</v>
      </c>
      <c r="AV18" s="5">
        <f t="shared" ref="AV18" si="26">AV16+AV17</f>
        <v>2791.0666098191218</v>
      </c>
      <c r="AW18" s="5">
        <f t="shared" ref="AW18" si="27">AW16+AW17</f>
        <v>3036.4242592592591</v>
      </c>
      <c r="BC18" s="5">
        <f>SUM(B18:E18)</f>
        <v>3611</v>
      </c>
      <c r="BD18" s="5">
        <f>SUM(F18:I18)</f>
        <v>799</v>
      </c>
      <c r="BE18" s="5">
        <f>SUM(J18:M18)</f>
        <v>452</v>
      </c>
      <c r="BF18" s="5">
        <f>SUM(N18:Q18)</f>
        <v>6148</v>
      </c>
      <c r="BG18" s="5">
        <f>SUM(R18:U18)</f>
        <v>6094</v>
      </c>
      <c r="BH18" s="5">
        <f>SUM(V18:Y18)</f>
        <v>3003</v>
      </c>
      <c r="BI18" s="5">
        <f>SUM(Z18:AC18)</f>
        <v>6493</v>
      </c>
      <c r="BJ18" s="5">
        <f>SUM(AD18:AG18)</f>
        <v>7629</v>
      </c>
      <c r="BK18" s="5">
        <f>SUM(AH18:AK18)</f>
        <v>10332</v>
      </c>
      <c r="BL18" s="5">
        <f>SUM(AL18:AO18)</f>
        <v>10788</v>
      </c>
      <c r="BM18" s="13">
        <f>SUM(AP18:AS18)</f>
        <v>8882</v>
      </c>
      <c r="BN18" s="5">
        <f>SUM(AT18:AW18)</f>
        <v>10968.782540051678</v>
      </c>
      <c r="BO18" s="5"/>
      <c r="BP18" s="5"/>
      <c r="BQ18" s="5"/>
    </row>
    <row r="19" spans="1:71" x14ac:dyDescent="0.25">
      <c r="A19" s="4" t="s">
        <v>167</v>
      </c>
      <c r="B19" s="5">
        <v>3</v>
      </c>
      <c r="C19" s="5">
        <v>1</v>
      </c>
      <c r="D19" s="5">
        <v>3</v>
      </c>
      <c r="E19" s="5">
        <v>4</v>
      </c>
      <c r="F19" s="5">
        <v>1</v>
      </c>
      <c r="G19" s="5">
        <v>3</v>
      </c>
      <c r="I19" s="5">
        <v>4</v>
      </c>
      <c r="J19" s="5">
        <v>2</v>
      </c>
      <c r="K19" s="5">
        <v>1</v>
      </c>
      <c r="L19" s="5">
        <v>-3</v>
      </c>
      <c r="M19" s="5">
        <v>5</v>
      </c>
      <c r="N19" s="5">
        <v>2</v>
      </c>
      <c r="O19" s="5">
        <v>-2</v>
      </c>
      <c r="P19" s="5">
        <v>0</v>
      </c>
      <c r="Q19" s="5">
        <v>1</v>
      </c>
      <c r="R19" s="5">
        <v>3</v>
      </c>
      <c r="S19" s="5">
        <v>-1</v>
      </c>
      <c r="U19" s="5">
        <v>-1</v>
      </c>
      <c r="V19" s="5">
        <v>1</v>
      </c>
      <c r="W19" s="5">
        <v>1</v>
      </c>
      <c r="X19" s="5">
        <v>3</v>
      </c>
      <c r="Y19" s="5">
        <v>0</v>
      </c>
      <c r="Z19" s="5">
        <v>1</v>
      </c>
      <c r="AA19" s="5">
        <v>1</v>
      </c>
      <c r="AB19" s="5">
        <v>2</v>
      </c>
      <c r="AC19" s="5">
        <v>0</v>
      </c>
      <c r="AF19" s="5">
        <v>-1</v>
      </c>
      <c r="AG19" s="5">
        <v>0</v>
      </c>
      <c r="AH19" s="5">
        <v>-1</v>
      </c>
      <c r="AI19" s="5">
        <v>2</v>
      </c>
      <c r="AJ19" s="5">
        <v>-1</v>
      </c>
      <c r="AK19" s="5">
        <v>-3</v>
      </c>
      <c r="AL19" s="5">
        <v>-2</v>
      </c>
      <c r="AM19" s="5">
        <v>0</v>
      </c>
      <c r="AN19" s="5">
        <v>-1</v>
      </c>
      <c r="AO19" s="5">
        <v>-1</v>
      </c>
      <c r="AR19" s="5">
        <v>-1</v>
      </c>
      <c r="AS19" s="5">
        <v>-1</v>
      </c>
      <c r="AT19" s="13">
        <v>-1</v>
      </c>
      <c r="AU19" s="3">
        <f t="shared" ref="AU19:AW19" si="28">AU$4*AU57</f>
        <v>-1.0910134941142693</v>
      </c>
      <c r="AV19" s="3">
        <f t="shared" si="28"/>
        <v>-1.1541774332472006</v>
      </c>
      <c r="AW19" s="3">
        <f t="shared" si="28"/>
        <v>-1.2345679012345678</v>
      </c>
      <c r="BC19" s="3">
        <f>SUM(B19:E19)</f>
        <v>11</v>
      </c>
      <c r="BD19" s="3">
        <f>SUM(F19:I19)</f>
        <v>8</v>
      </c>
      <c r="BE19" s="3">
        <f>SUM(J19:M19)</f>
        <v>5</v>
      </c>
      <c r="BF19" s="3">
        <f>SUM(N19:Q19)</f>
        <v>1</v>
      </c>
      <c r="BG19" s="3">
        <f>SUM(R19:U19)</f>
        <v>1</v>
      </c>
      <c r="BH19" s="3">
        <f>SUM(V19:Y19)</f>
        <v>5</v>
      </c>
      <c r="BI19" s="3">
        <f>SUM(Z19:AC19)</f>
        <v>4</v>
      </c>
      <c r="BJ19" s="3">
        <f>SUM(AD19:AG19)</f>
        <v>-1</v>
      </c>
      <c r="BK19" s="3">
        <f>SUM(AH19:AK19)</f>
        <v>-3</v>
      </c>
      <c r="BL19" s="3">
        <f>SUM(AL19:AO19)</f>
        <v>-4</v>
      </c>
      <c r="BM19" s="15">
        <f>SUM(AP19:AS19)</f>
        <v>-2</v>
      </c>
      <c r="BN19" s="3">
        <f>SUM(AT19:AW19)</f>
        <v>-4.4797588285960375</v>
      </c>
    </row>
    <row r="20" spans="1:71" s="6" customFormat="1" x14ac:dyDescent="0.25">
      <c r="A20" s="1" t="s">
        <v>24</v>
      </c>
      <c r="B20" s="2">
        <f>B18-B19</f>
        <v>1245</v>
      </c>
      <c r="C20" s="2">
        <f t="shared" ref="C20:AT20" si="29">C18-C19</f>
        <v>802</v>
      </c>
      <c r="D20" s="2">
        <f t="shared" si="29"/>
        <v>559</v>
      </c>
      <c r="E20" s="2">
        <f t="shared" si="29"/>
        <v>994</v>
      </c>
      <c r="F20" s="2">
        <f t="shared" si="29"/>
        <v>271</v>
      </c>
      <c r="G20" s="2">
        <f t="shared" si="29"/>
        <v>550</v>
      </c>
      <c r="H20" s="2">
        <f t="shared" si="29"/>
        <v>283</v>
      </c>
      <c r="I20" s="2">
        <f t="shared" si="29"/>
        <v>-313</v>
      </c>
      <c r="J20" s="2">
        <f t="shared" si="29"/>
        <v>192</v>
      </c>
      <c r="K20" s="2">
        <f t="shared" si="29"/>
        <v>802</v>
      </c>
      <c r="L20" s="2">
        <f t="shared" si="29"/>
        <v>1064</v>
      </c>
      <c r="M20" s="2">
        <f t="shared" si="29"/>
        <v>-1611</v>
      </c>
      <c r="N20" s="2">
        <f t="shared" si="29"/>
        <v>1665</v>
      </c>
      <c r="O20" s="2">
        <f t="shared" si="29"/>
        <v>1707</v>
      </c>
      <c r="P20" s="2">
        <f t="shared" si="29"/>
        <v>1727</v>
      </c>
      <c r="Q20" s="2">
        <f t="shared" si="29"/>
        <v>1048</v>
      </c>
      <c r="R20" s="2">
        <f t="shared" si="29"/>
        <v>1881</v>
      </c>
      <c r="S20" s="2">
        <f t="shared" si="29"/>
        <v>1620</v>
      </c>
      <c r="T20" s="2">
        <f t="shared" si="29"/>
        <v>1494</v>
      </c>
      <c r="U20" s="2">
        <f t="shared" si="29"/>
        <v>1098</v>
      </c>
      <c r="V20" s="2">
        <f t="shared" si="29"/>
        <v>1092</v>
      </c>
      <c r="W20" s="2">
        <f t="shared" si="29"/>
        <v>458</v>
      </c>
      <c r="X20" s="2">
        <f t="shared" si="29"/>
        <v>668</v>
      </c>
      <c r="Y20" s="2">
        <f t="shared" si="29"/>
        <v>780</v>
      </c>
      <c r="Z20" s="2">
        <f t="shared" si="29"/>
        <v>1530</v>
      </c>
      <c r="AA20" s="2">
        <f t="shared" si="29"/>
        <v>1413</v>
      </c>
      <c r="AB20" s="2">
        <f t="shared" si="29"/>
        <v>1426</v>
      </c>
      <c r="AC20" s="2">
        <f t="shared" si="29"/>
        <v>2120</v>
      </c>
      <c r="AD20" s="2">
        <f t="shared" si="29"/>
        <v>1537</v>
      </c>
      <c r="AE20" s="2">
        <f t="shared" si="29"/>
        <v>1673</v>
      </c>
      <c r="AF20" s="2">
        <f t="shared" si="29"/>
        <v>2041</v>
      </c>
      <c r="AG20" s="2">
        <f t="shared" si="29"/>
        <v>2379</v>
      </c>
      <c r="AH20" s="2">
        <f t="shared" si="29"/>
        <v>1943</v>
      </c>
      <c r="AI20" s="2">
        <f t="shared" si="29"/>
        <v>2922</v>
      </c>
      <c r="AJ20" s="2">
        <f t="shared" si="29"/>
        <v>2794</v>
      </c>
      <c r="AK20" s="2">
        <f t="shared" si="29"/>
        <v>2676</v>
      </c>
      <c r="AL20" s="2">
        <f t="shared" si="29"/>
        <v>2856</v>
      </c>
      <c r="AM20" s="2">
        <f t="shared" si="29"/>
        <v>2681</v>
      </c>
      <c r="AN20" s="2">
        <f t="shared" si="29"/>
        <v>2464</v>
      </c>
      <c r="AO20" s="2">
        <f t="shared" si="29"/>
        <v>2791</v>
      </c>
      <c r="AP20" s="2">
        <f t="shared" si="29"/>
        <v>2003</v>
      </c>
      <c r="AQ20" s="2">
        <f t="shared" si="29"/>
        <v>2179</v>
      </c>
      <c r="AR20" s="2">
        <f t="shared" si="29"/>
        <v>2300</v>
      </c>
      <c r="AS20" s="2">
        <f t="shared" si="29"/>
        <v>2402</v>
      </c>
      <c r="AT20" s="12">
        <f t="shared" si="29"/>
        <v>2549</v>
      </c>
      <c r="AU20" s="2">
        <f t="shared" ref="AU20" si="30">AU18-AU19</f>
        <v>2594.3826844674122</v>
      </c>
      <c r="AV20" s="2">
        <f t="shared" ref="AV20" si="31">AV18-AV19</f>
        <v>2792.2207872523691</v>
      </c>
      <c r="AW20" s="2">
        <f t="shared" ref="AW20" si="32">AW18-AW19</f>
        <v>3037.6588271604937</v>
      </c>
      <c r="BC20" s="2">
        <f>SUM(B20:E20)</f>
        <v>3600</v>
      </c>
      <c r="BD20" s="2">
        <f>SUM(F20:I20)</f>
        <v>791</v>
      </c>
      <c r="BE20" s="2">
        <f>SUM(J20:M20)</f>
        <v>447</v>
      </c>
      <c r="BF20" s="2">
        <f>SUM(N20:Q20)</f>
        <v>6147</v>
      </c>
      <c r="BG20" s="2">
        <f>SUM(R20:U20)</f>
        <v>6093</v>
      </c>
      <c r="BH20" s="2">
        <f>SUM(V20:Y20)</f>
        <v>2998</v>
      </c>
      <c r="BI20" s="2">
        <f>SUM(Z20:AC20)</f>
        <v>6489</v>
      </c>
      <c r="BJ20" s="2">
        <f>SUM(AD20:AG20)</f>
        <v>7630</v>
      </c>
      <c r="BK20" s="2">
        <f>SUM(AH20:AK20)</f>
        <v>10335</v>
      </c>
      <c r="BL20" s="2">
        <f>SUM(AL20:AO20)</f>
        <v>10792</v>
      </c>
      <c r="BM20" s="12">
        <f>SUM(AP20:AS20)</f>
        <v>8884</v>
      </c>
      <c r="BN20" s="2">
        <f>SUM(AT20:AW20)</f>
        <v>10973.262298880276</v>
      </c>
      <c r="BO20" s="2"/>
      <c r="BP20" s="2"/>
      <c r="BQ20" s="2"/>
    </row>
    <row r="21" spans="1:71" x14ac:dyDescent="0.25">
      <c r="A21" s="4" t="s">
        <v>25</v>
      </c>
      <c r="B21" s="7">
        <f>B$20/B23</f>
        <v>2.0581914366010912</v>
      </c>
      <c r="C21" s="7">
        <f t="shared" ref="C21:AT22" si="33">C$20/C23</f>
        <v>1.329575596816976</v>
      </c>
      <c r="D21" s="7">
        <f t="shared" si="33"/>
        <v>0.9500339904826649</v>
      </c>
      <c r="E21" s="7">
        <f t="shared" si="33"/>
        <v>1.7070238708569467</v>
      </c>
      <c r="F21" s="7">
        <f t="shared" si="33"/>
        <v>0.46499656829100894</v>
      </c>
      <c r="G21" s="7">
        <f t="shared" si="33"/>
        <v>0.94161958568738224</v>
      </c>
      <c r="H21" s="7">
        <f t="shared" si="33"/>
        <v>0.48400889344963227</v>
      </c>
      <c r="I21" s="7">
        <f t="shared" si="33"/>
        <v>-0.53431205189484465</v>
      </c>
      <c r="J21" s="7">
        <f t="shared" si="33"/>
        <v>0.32680851063829786</v>
      </c>
      <c r="K21" s="7">
        <f t="shared" si="33"/>
        <v>1.3590916793763768</v>
      </c>
      <c r="L21" s="7">
        <f t="shared" si="33"/>
        <v>1.7933591774818811</v>
      </c>
      <c r="M21" s="7">
        <f t="shared" si="33"/>
        <v>-2.7012072434607646</v>
      </c>
      <c r="N21" s="7">
        <f t="shared" si="33"/>
        <v>2.7842809364548495</v>
      </c>
      <c r="O21" s="7">
        <f t="shared" si="33"/>
        <v>2.8640939597315436</v>
      </c>
      <c r="P21" s="7">
        <f t="shared" si="33"/>
        <v>2.9177225882750464</v>
      </c>
      <c r="Q21" s="7">
        <f t="shared" si="33"/>
        <v>1.8025455796353629</v>
      </c>
      <c r="R21" s="7">
        <f t="shared" si="33"/>
        <v>3.2861635220125787</v>
      </c>
      <c r="S21" s="7">
        <f t="shared" si="33"/>
        <v>2.8531172948221206</v>
      </c>
      <c r="T21" s="7">
        <f t="shared" si="33"/>
        <v>2.6856012942656844</v>
      </c>
      <c r="U21" s="7">
        <f t="shared" si="33"/>
        <v>1.9952753043794296</v>
      </c>
      <c r="V21" s="7">
        <f t="shared" si="33"/>
        <v>1.9970738844184346</v>
      </c>
      <c r="W21" s="7">
        <f t="shared" si="33"/>
        <v>0.8457987072945522</v>
      </c>
      <c r="X21" s="7">
        <f t="shared" si="33"/>
        <v>1.2317905218513738</v>
      </c>
      <c r="Y21" s="7">
        <f t="shared" si="33"/>
        <v>1.4325068870523416</v>
      </c>
      <c r="Z21" s="7">
        <f t="shared" si="33"/>
        <v>2.8001464128843341</v>
      </c>
      <c r="AA21" s="7">
        <f t="shared" si="33"/>
        <v>2.5789377623653951</v>
      </c>
      <c r="AB21" s="7">
        <f t="shared" si="33"/>
        <v>2.6251840942562592</v>
      </c>
      <c r="AC21" s="7">
        <f t="shared" si="33"/>
        <v>3.9354000371264153</v>
      </c>
      <c r="AD21" s="7">
        <f t="shared" si="33"/>
        <v>2.8755846585594012</v>
      </c>
      <c r="AE21" s="7">
        <f t="shared" si="33"/>
        <v>3.150659133709981</v>
      </c>
      <c r="AF21" s="7">
        <f t="shared" si="33"/>
        <v>3.8868786897733765</v>
      </c>
      <c r="AG21" s="7">
        <f t="shared" si="33"/>
        <v>4.5979899497487438</v>
      </c>
      <c r="AH21" s="7">
        <f t="shared" si="33"/>
        <v>3.7640449438202244</v>
      </c>
      <c r="AI21" s="7">
        <f t="shared" si="33"/>
        <v>5.7025761124121779</v>
      </c>
      <c r="AJ21" s="7">
        <f t="shared" si="33"/>
        <v>5.4741379310344831</v>
      </c>
      <c r="AK21" s="7">
        <f t="shared" si="33"/>
        <v>5.3053132434575732</v>
      </c>
      <c r="AL21" s="7">
        <f t="shared" si="33"/>
        <v>5.7825470743065397</v>
      </c>
      <c r="AM21" s="7">
        <f t="shared" si="33"/>
        <v>5.4994871794871791</v>
      </c>
      <c r="AN21" s="7">
        <f t="shared" si="33"/>
        <v>5.0741350906095546</v>
      </c>
      <c r="AO21" s="7">
        <f t="shared" si="33"/>
        <v>5.8145833333333332</v>
      </c>
      <c r="AP21" s="7">
        <f t="shared" si="33"/>
        <v>4.2177300484312488</v>
      </c>
      <c r="AQ21" s="7">
        <f t="shared" si="33"/>
        <v>4.6371568418812519</v>
      </c>
      <c r="AR21" s="7">
        <f t="shared" si="33"/>
        <v>4.9030057557024085</v>
      </c>
      <c r="AS21" s="7">
        <f t="shared" si="33"/>
        <v>5.14898177920686</v>
      </c>
      <c r="AT21" s="14">
        <f t="shared" si="33"/>
        <v>5.5006473888649117</v>
      </c>
      <c r="AU21" s="7">
        <f t="shared" ref="AU21:AW21" si="34">AU$20/AU23</f>
        <v>5.5985815374782311</v>
      </c>
      <c r="AV21" s="7">
        <f t="shared" si="34"/>
        <v>6.0255088201389064</v>
      </c>
      <c r="AW21" s="7">
        <f t="shared" si="34"/>
        <v>6.5551550003463399</v>
      </c>
      <c r="BC21" s="7">
        <f>SUM(B21:E21)</f>
        <v>6.0448248947576788</v>
      </c>
      <c r="BD21" s="7">
        <f>SUM(F21:I21)</f>
        <v>1.356312995533179</v>
      </c>
      <c r="BE21" s="7">
        <f>SUM(J21:M21)</f>
        <v>0.77805212403579116</v>
      </c>
      <c r="BF21" s="7">
        <f>SUM(N21:Q21)</f>
        <v>10.368643064096801</v>
      </c>
      <c r="BG21" s="7">
        <f>SUM(R21:U21)</f>
        <v>10.820157415479812</v>
      </c>
      <c r="BH21" s="7">
        <f>SUM(V21:Y21)</f>
        <v>5.5071700006167026</v>
      </c>
      <c r="BI21" s="7">
        <f>SUM(Z21:AC21)</f>
        <v>11.939668306632404</v>
      </c>
      <c r="BJ21" s="7">
        <f>SUM(AD21:AG21)</f>
        <v>14.511112431791503</v>
      </c>
      <c r="BK21" s="7">
        <f>SUM(AH21:AK21)</f>
        <v>20.246072230724458</v>
      </c>
      <c r="BL21" s="7">
        <f>SUM(AL21:AO21)</f>
        <v>22.170752677736608</v>
      </c>
      <c r="BM21" s="14">
        <f>SUM(AP21:AS21)</f>
        <v>18.906874425221769</v>
      </c>
      <c r="BN21" s="7">
        <f>SUM(AT21:AW21)</f>
        <v>23.679892746828386</v>
      </c>
      <c r="BO21" s="7"/>
      <c r="BP21" s="7"/>
      <c r="BQ21" s="7"/>
    </row>
    <row r="22" spans="1:71" x14ac:dyDescent="0.25">
      <c r="A22" s="4" t="s">
        <v>26</v>
      </c>
      <c r="B22" s="7">
        <f>B$20/B24</f>
        <v>2.0319895544312061</v>
      </c>
      <c r="C22" s="7">
        <f t="shared" si="33"/>
        <v>1.3132470934992631</v>
      </c>
      <c r="D22" s="7">
        <f t="shared" si="33"/>
        <v>0.93981170141223946</v>
      </c>
      <c r="E22" s="7">
        <f t="shared" si="33"/>
        <v>1.7070238708569467</v>
      </c>
      <c r="F22" s="7">
        <f t="shared" si="33"/>
        <v>0.46111961885315633</v>
      </c>
      <c r="G22" s="7">
        <f t="shared" si="33"/>
        <v>0.93442065919130135</v>
      </c>
      <c r="H22" s="7">
        <f t="shared" si="33"/>
        <v>0.4799864314789688</v>
      </c>
      <c r="I22" s="7">
        <f t="shared" si="33"/>
        <v>-0.53431205189484465</v>
      </c>
      <c r="J22" s="7">
        <f t="shared" si="33"/>
        <v>0.32366824005394468</v>
      </c>
      <c r="K22" s="7">
        <f t="shared" si="33"/>
        <v>1.3465413028878441</v>
      </c>
      <c r="L22" s="7">
        <f t="shared" si="33"/>
        <v>1.7712668553354418</v>
      </c>
      <c r="M22" s="7">
        <f t="shared" si="33"/>
        <v>-2.7012072434607646</v>
      </c>
      <c r="N22" s="7">
        <f t="shared" si="33"/>
        <v>2.7384868421052633</v>
      </c>
      <c r="O22" s="7">
        <f t="shared" si="33"/>
        <v>2.8252234359483612</v>
      </c>
      <c r="P22" s="7">
        <f t="shared" si="33"/>
        <v>2.8821762349799731</v>
      </c>
      <c r="Q22" s="7">
        <f t="shared" si="33"/>
        <v>1.7835262083049692</v>
      </c>
      <c r="R22" s="7">
        <f t="shared" si="33"/>
        <v>3.2498272287491363</v>
      </c>
      <c r="S22" s="7">
        <f t="shared" si="33"/>
        <v>2.8267318094573373</v>
      </c>
      <c r="T22" s="7">
        <f t="shared" si="33"/>
        <v>2.6621525302922309</v>
      </c>
      <c r="U22" s="7">
        <f t="shared" si="33"/>
        <v>1.9744650242762092</v>
      </c>
      <c r="V22" s="7">
        <f t="shared" si="33"/>
        <v>1.9814915623298857</v>
      </c>
      <c r="W22" s="7">
        <f t="shared" si="33"/>
        <v>0.84113865932047749</v>
      </c>
      <c r="X22" s="7">
        <f t="shared" si="33"/>
        <v>1.2225475841874085</v>
      </c>
      <c r="Y22" s="7">
        <f t="shared" si="33"/>
        <v>1.4194722474977253</v>
      </c>
      <c r="Z22" s="7">
        <f t="shared" si="33"/>
        <v>2.774755168661589</v>
      </c>
      <c r="AA22" s="7">
        <f t="shared" si="33"/>
        <v>2.5593189639558052</v>
      </c>
      <c r="AB22" s="7">
        <f t="shared" si="33"/>
        <v>2.6069469835466181</v>
      </c>
      <c r="AC22" s="7">
        <f t="shared" si="33"/>
        <v>3.9071138960560265</v>
      </c>
      <c r="AD22" s="7">
        <f t="shared" si="33"/>
        <v>2.8755846585594012</v>
      </c>
      <c r="AE22" s="7">
        <f t="shared" si="33"/>
        <v>3.132372214941022</v>
      </c>
      <c r="AF22" s="7">
        <f t="shared" si="33"/>
        <v>3.8699279484262421</v>
      </c>
      <c r="AG22" s="7">
        <f t="shared" si="33"/>
        <v>4.5670954117872915</v>
      </c>
      <c r="AH22" s="7">
        <f t="shared" si="33"/>
        <v>3.7408548324990374</v>
      </c>
      <c r="AI22" s="7">
        <f t="shared" si="33"/>
        <v>5.6759906759906764</v>
      </c>
      <c r="AJ22" s="7">
        <f t="shared" si="33"/>
        <v>5.4474556443751219</v>
      </c>
      <c r="AK22" s="7">
        <f t="shared" si="33"/>
        <v>5.27810650887574</v>
      </c>
      <c r="AL22" s="7">
        <f t="shared" si="33"/>
        <v>5.7476353391024357</v>
      </c>
      <c r="AM22" s="7">
        <f t="shared" si="33"/>
        <v>5.474780477843578</v>
      </c>
      <c r="AN22" s="7">
        <f t="shared" si="33"/>
        <v>5.0440122824974409</v>
      </c>
      <c r="AO22" s="7">
        <f t="shared" si="33"/>
        <v>5.783257355988396</v>
      </c>
      <c r="AP22" s="7">
        <f t="shared" si="33"/>
        <v>4.1982812827499476</v>
      </c>
      <c r="AQ22" s="7">
        <f t="shared" si="33"/>
        <v>4.6175037084127997</v>
      </c>
      <c r="AR22" s="7">
        <f t="shared" si="33"/>
        <v>4.881154499151104</v>
      </c>
      <c r="AS22" s="7">
        <f t="shared" si="33"/>
        <v>5.1215351812366734</v>
      </c>
      <c r="AT22" s="14">
        <f t="shared" si="33"/>
        <v>5.4723057106054096</v>
      </c>
      <c r="AU22" s="7">
        <f t="shared" ref="AU22:AW22" si="35">AU$20/AU24</f>
        <v>5.5697352607716022</v>
      </c>
      <c r="AV22" s="7">
        <f t="shared" si="35"/>
        <v>5.9944628322292166</v>
      </c>
      <c r="AW22" s="7">
        <f t="shared" si="35"/>
        <v>6.5213800497219703</v>
      </c>
      <c r="BC22" s="7">
        <f>SUM(B22:E22)</f>
        <v>5.9920722201996552</v>
      </c>
      <c r="BD22" s="7">
        <f>SUM(F22:I22)</f>
        <v>1.3412146576285817</v>
      </c>
      <c r="BE22" s="7">
        <f>SUM(J22:M22)</f>
        <v>0.74026915481646594</v>
      </c>
      <c r="BF22" s="7">
        <f>SUM(N22:Q22)</f>
        <v>10.229412721338567</v>
      </c>
      <c r="BG22" s="7">
        <f>SUM(R22:U22)</f>
        <v>10.713176592774914</v>
      </c>
      <c r="BH22" s="7">
        <f>SUM(V22:Y22)</f>
        <v>5.4646500533354967</v>
      </c>
      <c r="BI22" s="7">
        <f>SUM(Z22:AC22)</f>
        <v>11.848135012220038</v>
      </c>
      <c r="BJ22" s="7">
        <f>SUM(AD22:AG22)</f>
        <v>14.444980233713956</v>
      </c>
      <c r="BK22" s="7">
        <f>SUM(AH22:AK22)</f>
        <v>20.142407661740577</v>
      </c>
      <c r="BL22" s="7">
        <f>SUM(AL22:AO22)</f>
        <v>22.049685455431852</v>
      </c>
      <c r="BM22" s="14">
        <f>SUM(AP22:AS22)</f>
        <v>18.818474671550526</v>
      </c>
      <c r="BN22" s="7">
        <f>SUM(AT22:AW22)</f>
        <v>23.5578838533282</v>
      </c>
      <c r="BO22" s="7"/>
      <c r="BP22" s="7"/>
      <c r="BQ22" s="7"/>
    </row>
    <row r="23" spans="1:71" x14ac:dyDescent="0.25">
      <c r="A23" s="4" t="s">
        <v>27</v>
      </c>
      <c r="B23" s="5">
        <v>604.9</v>
      </c>
      <c r="C23" s="5">
        <v>603.20000000000005</v>
      </c>
      <c r="D23" s="5">
        <v>588.4</v>
      </c>
      <c r="E23" s="5">
        <v>582.29999999999995</v>
      </c>
      <c r="F23" s="5">
        <v>582.79999999999995</v>
      </c>
      <c r="G23" s="5">
        <v>584.1</v>
      </c>
      <c r="H23" s="5">
        <v>584.70000000000005</v>
      </c>
      <c r="I23" s="5">
        <v>585.79999999999995</v>
      </c>
      <c r="J23" s="5">
        <v>587.5</v>
      </c>
      <c r="K23" s="5">
        <v>590.1</v>
      </c>
      <c r="L23" s="5">
        <v>593.29999999999995</v>
      </c>
      <c r="M23" s="5">
        <v>596.4</v>
      </c>
      <c r="N23" s="5">
        <v>598</v>
      </c>
      <c r="O23" s="5">
        <v>596</v>
      </c>
      <c r="P23" s="5">
        <v>591.9</v>
      </c>
      <c r="Q23" s="5">
        <v>581.4</v>
      </c>
      <c r="R23" s="5">
        <v>572.4</v>
      </c>
      <c r="S23" s="5">
        <v>567.79999999999995</v>
      </c>
      <c r="T23" s="5">
        <v>556.29999999999995</v>
      </c>
      <c r="U23" s="5">
        <v>550.29999999999995</v>
      </c>
      <c r="V23" s="5">
        <v>546.79999999999995</v>
      </c>
      <c r="W23" s="5">
        <v>541.5</v>
      </c>
      <c r="X23" s="5">
        <v>542.29999999999995</v>
      </c>
      <c r="Y23" s="5">
        <v>544.5</v>
      </c>
      <c r="Z23" s="5">
        <v>546.4</v>
      </c>
      <c r="AA23" s="5">
        <v>547.9</v>
      </c>
      <c r="AB23" s="5">
        <v>543.20000000000005</v>
      </c>
      <c r="AC23" s="5">
        <v>538.70000000000005</v>
      </c>
      <c r="AD23" s="5">
        <v>534.5</v>
      </c>
      <c r="AE23" s="5">
        <v>531</v>
      </c>
      <c r="AF23" s="5">
        <v>525.1</v>
      </c>
      <c r="AG23" s="5">
        <v>517.4</v>
      </c>
      <c r="AH23" s="5">
        <v>516.20000000000005</v>
      </c>
      <c r="AI23" s="5">
        <v>512.4</v>
      </c>
      <c r="AJ23" s="5">
        <v>510.4</v>
      </c>
      <c r="AK23" s="5">
        <v>504.4</v>
      </c>
      <c r="AL23" s="5">
        <v>493.9</v>
      </c>
      <c r="AM23" s="5">
        <v>487.5</v>
      </c>
      <c r="AN23" s="5">
        <v>485.6</v>
      </c>
      <c r="AO23" s="5">
        <v>480</v>
      </c>
      <c r="AP23" s="5">
        <v>474.9</v>
      </c>
      <c r="AQ23" s="5">
        <v>469.9</v>
      </c>
      <c r="AR23" s="5">
        <v>469.1</v>
      </c>
      <c r="AS23" s="5">
        <v>466.5</v>
      </c>
      <c r="AT23" s="13">
        <v>463.4</v>
      </c>
      <c r="AU23" s="5">
        <v>463.4</v>
      </c>
      <c r="AV23" s="5">
        <v>463.4</v>
      </c>
      <c r="AW23" s="5">
        <v>463.4</v>
      </c>
      <c r="BC23" s="5">
        <f>E23</f>
        <v>582.29999999999995</v>
      </c>
      <c r="BD23" s="5">
        <f>I23</f>
        <v>585.79999999999995</v>
      </c>
      <c r="BE23" s="5">
        <f>M23</f>
        <v>596.4</v>
      </c>
      <c r="BF23" s="5">
        <f>M23</f>
        <v>596.4</v>
      </c>
      <c r="BG23" s="5">
        <f>U23</f>
        <v>550.29999999999995</v>
      </c>
      <c r="BH23" s="5">
        <f>Y23</f>
        <v>544.5</v>
      </c>
      <c r="BI23" s="5">
        <f>AC23</f>
        <v>538.70000000000005</v>
      </c>
      <c r="BJ23" s="5">
        <f>AG23</f>
        <v>517.4</v>
      </c>
      <c r="BK23" s="5">
        <f>AK23</f>
        <v>504.4</v>
      </c>
      <c r="BL23" s="5">
        <f>AO23</f>
        <v>480</v>
      </c>
      <c r="BM23" s="13">
        <f>AS23</f>
        <v>466.5</v>
      </c>
      <c r="BN23" s="5">
        <f>AW23</f>
        <v>463.4</v>
      </c>
      <c r="BO23" s="5"/>
      <c r="BP23" s="5"/>
      <c r="BQ23" s="5"/>
    </row>
    <row r="24" spans="1:71" x14ac:dyDescent="0.25">
      <c r="A24" s="4" t="s">
        <v>28</v>
      </c>
      <c r="B24" s="5">
        <v>612.70000000000005</v>
      </c>
      <c r="C24" s="5">
        <v>610.70000000000005</v>
      </c>
      <c r="D24" s="5">
        <v>594.79999999999995</v>
      </c>
      <c r="E24" s="5">
        <v>582.29999999999995</v>
      </c>
      <c r="F24" s="5">
        <v>587.70000000000005</v>
      </c>
      <c r="G24" s="5">
        <v>588.6</v>
      </c>
      <c r="H24" s="5">
        <v>589.6</v>
      </c>
      <c r="I24" s="5">
        <v>585.79999999999995</v>
      </c>
      <c r="J24" s="5">
        <v>593.20000000000005</v>
      </c>
      <c r="K24" s="5">
        <v>595.6</v>
      </c>
      <c r="L24" s="5">
        <v>600.70000000000005</v>
      </c>
      <c r="M24" s="5">
        <v>596.4</v>
      </c>
      <c r="N24" s="5">
        <v>608</v>
      </c>
      <c r="O24" s="5">
        <v>604.20000000000005</v>
      </c>
      <c r="P24" s="5">
        <v>599.20000000000005</v>
      </c>
      <c r="Q24" s="5">
        <v>587.6</v>
      </c>
      <c r="R24" s="5">
        <v>578.79999999999995</v>
      </c>
      <c r="S24" s="5">
        <v>573.1</v>
      </c>
      <c r="T24" s="5">
        <v>561.20000000000005</v>
      </c>
      <c r="U24" s="5">
        <v>556.1</v>
      </c>
      <c r="V24" s="5">
        <v>551.1</v>
      </c>
      <c r="W24" s="5">
        <v>544.5</v>
      </c>
      <c r="X24" s="5">
        <v>546.4</v>
      </c>
      <c r="Y24" s="5">
        <v>549.5</v>
      </c>
      <c r="Z24" s="5">
        <v>551.4</v>
      </c>
      <c r="AA24" s="5">
        <v>552.1</v>
      </c>
      <c r="AB24" s="5">
        <v>547</v>
      </c>
      <c r="AC24" s="5">
        <v>542.6</v>
      </c>
      <c r="AD24" s="3">
        <v>534.5</v>
      </c>
      <c r="AE24" s="5">
        <v>534.1</v>
      </c>
      <c r="AF24" s="5">
        <v>527.4</v>
      </c>
      <c r="AG24" s="5">
        <v>520.9</v>
      </c>
      <c r="AH24" s="5">
        <v>519.4</v>
      </c>
      <c r="AI24" s="5">
        <v>514.79999999999995</v>
      </c>
      <c r="AJ24" s="5">
        <v>512.9</v>
      </c>
      <c r="AK24" s="5">
        <v>507</v>
      </c>
      <c r="AL24" s="5">
        <v>496.9</v>
      </c>
      <c r="AM24" s="5">
        <v>489.7</v>
      </c>
      <c r="AN24" s="5">
        <v>488.5</v>
      </c>
      <c r="AO24" s="5">
        <v>482.6</v>
      </c>
      <c r="AP24" s="5">
        <v>477.1</v>
      </c>
      <c r="AQ24" s="5">
        <v>471.9</v>
      </c>
      <c r="AR24" s="5">
        <v>471.2</v>
      </c>
      <c r="AS24" s="5">
        <v>469</v>
      </c>
      <c r="AT24" s="13">
        <v>465.8</v>
      </c>
      <c r="AU24" s="5">
        <v>465.8</v>
      </c>
      <c r="AV24" s="5">
        <v>465.8</v>
      </c>
      <c r="AW24" s="5">
        <v>465.8</v>
      </c>
      <c r="BC24" s="5">
        <f>E24</f>
        <v>582.29999999999995</v>
      </c>
      <c r="BD24" s="5">
        <f>I24</f>
        <v>585.79999999999995</v>
      </c>
      <c r="BE24" s="5">
        <f>M24</f>
        <v>596.4</v>
      </c>
      <c r="BF24" s="5">
        <f>M24</f>
        <v>596.4</v>
      </c>
      <c r="BG24" s="5">
        <f>U24</f>
        <v>556.1</v>
      </c>
      <c r="BH24" s="5">
        <f>Y24</f>
        <v>549.5</v>
      </c>
      <c r="BI24" s="5">
        <f>AC24</f>
        <v>542.6</v>
      </c>
      <c r="BJ24" s="5">
        <f>AG24</f>
        <v>520.9</v>
      </c>
      <c r="BK24" s="5">
        <f>AK24</f>
        <v>507</v>
      </c>
      <c r="BL24" s="5">
        <f>AO24</f>
        <v>482.6</v>
      </c>
      <c r="BM24" s="13">
        <f>AS24</f>
        <v>469</v>
      </c>
      <c r="BN24" s="5">
        <f>AW24</f>
        <v>465.8</v>
      </c>
      <c r="BO24" s="5"/>
      <c r="BP24" s="5"/>
      <c r="BQ24" s="5"/>
    </row>
    <row r="26" spans="1:71" x14ac:dyDescent="0.25">
      <c r="A26" s="3" t="s">
        <v>174</v>
      </c>
      <c r="B26" s="3">
        <f>B11+B10+B6</f>
        <v>2169</v>
      </c>
      <c r="C26" s="3">
        <f t="shared" ref="C26:AT26" si="36">C11+C10+C6</f>
        <v>1815</v>
      </c>
      <c r="D26" s="3">
        <f t="shared" si="36"/>
        <v>1448</v>
      </c>
      <c r="E26" s="3">
        <f t="shared" si="36"/>
        <v>2069</v>
      </c>
      <c r="F26" s="3">
        <f t="shared" si="36"/>
        <v>1043</v>
      </c>
      <c r="G26" s="3">
        <f t="shared" si="36"/>
        <v>1332</v>
      </c>
      <c r="H26" s="3">
        <f t="shared" si="36"/>
        <v>1188</v>
      </c>
      <c r="I26" s="3">
        <f t="shared" si="36"/>
        <v>293</v>
      </c>
      <c r="J26" s="3">
        <f t="shared" si="36"/>
        <v>1535</v>
      </c>
      <c r="K26" s="3">
        <f t="shared" si="36"/>
        <v>1753</v>
      </c>
      <c r="L26" s="3">
        <f t="shared" si="36"/>
        <v>2020</v>
      </c>
      <c r="M26" s="3">
        <f t="shared" si="36"/>
        <v>1746</v>
      </c>
      <c r="N26" s="3">
        <f t="shared" si="36"/>
        <v>2574</v>
      </c>
      <c r="O26" s="3">
        <f t="shared" si="36"/>
        <v>2687</v>
      </c>
      <c r="P26" s="3">
        <f t="shared" si="36"/>
        <v>2710</v>
      </c>
      <c r="Q26" s="3">
        <f t="shared" si="36"/>
        <v>2426</v>
      </c>
      <c r="R26" s="3">
        <f t="shared" si="36"/>
        <v>2709</v>
      </c>
      <c r="S26" s="3">
        <f t="shared" si="36"/>
        <v>2741</v>
      </c>
      <c r="T26" s="3">
        <f t="shared" si="36"/>
        <v>2507</v>
      </c>
      <c r="U26" s="3">
        <f t="shared" si="36"/>
        <v>2358</v>
      </c>
      <c r="V26" s="3">
        <f t="shared" si="36"/>
        <v>1892</v>
      </c>
      <c r="W26" s="3">
        <f t="shared" si="36"/>
        <v>1364</v>
      </c>
      <c r="X26" s="3">
        <f t="shared" si="36"/>
        <v>1492</v>
      </c>
      <c r="Y26" s="3">
        <f t="shared" si="36"/>
        <v>1861</v>
      </c>
      <c r="Z26" s="3">
        <f t="shared" si="36"/>
        <v>2262</v>
      </c>
      <c r="AA26" s="3">
        <f t="shared" si="36"/>
        <v>2198</v>
      </c>
      <c r="AB26" s="3">
        <f t="shared" si="36"/>
        <v>2013</v>
      </c>
      <c r="AC26" s="3">
        <f t="shared" si="36"/>
        <v>1934</v>
      </c>
      <c r="AD26" s="3">
        <f t="shared" si="36"/>
        <v>2227</v>
      </c>
      <c r="AE26" s="3">
        <f t="shared" si="36"/>
        <v>2367</v>
      </c>
      <c r="AF26" s="3">
        <f t="shared" si="36"/>
        <v>2915</v>
      </c>
      <c r="AG26" s="3">
        <f t="shared" si="36"/>
        <v>3103</v>
      </c>
      <c r="AH26" s="3">
        <f t="shared" si="36"/>
        <v>3824</v>
      </c>
      <c r="AI26" s="3">
        <f t="shared" si="36"/>
        <v>4197</v>
      </c>
      <c r="AJ26" s="3">
        <f t="shared" si="36"/>
        <v>4049</v>
      </c>
      <c r="AK26" s="3">
        <f t="shared" si="36"/>
        <v>3744</v>
      </c>
      <c r="AL26" s="3">
        <f t="shared" si="36"/>
        <v>4040</v>
      </c>
      <c r="AM26" s="3">
        <f t="shared" si="36"/>
        <v>4352</v>
      </c>
      <c r="AN26" s="3">
        <f t="shared" si="36"/>
        <v>3838</v>
      </c>
      <c r="AO26" s="3">
        <f t="shared" si="36"/>
        <v>3606</v>
      </c>
      <c r="AP26" s="3">
        <f t="shared" si="36"/>
        <v>3211</v>
      </c>
      <c r="AQ26" s="3">
        <f t="shared" si="36"/>
        <v>3517</v>
      </c>
      <c r="AR26" s="3">
        <f t="shared" si="36"/>
        <v>3588</v>
      </c>
      <c r="AS26" s="3">
        <f t="shared" si="36"/>
        <v>3388</v>
      </c>
      <c r="AT26" s="15">
        <f t="shared" si="36"/>
        <v>3756</v>
      </c>
      <c r="AU26" s="3">
        <f t="shared" ref="AU26:AW26" si="37">AU11+AU10+AU6</f>
        <v>4154.8466838931945</v>
      </c>
      <c r="AV26" s="3">
        <f t="shared" si="37"/>
        <v>4455.6904392764864</v>
      </c>
      <c r="AW26" s="3">
        <f t="shared" si="37"/>
        <v>4830.5370370370365</v>
      </c>
      <c r="BC26" s="3">
        <f t="shared" ref="BC26" si="38">BC11+BC10+BC6</f>
        <v>7501</v>
      </c>
      <c r="BD26" s="3">
        <f t="shared" ref="BD26:BN26" si="39">BD11+BD10+BD6</f>
        <v>3856</v>
      </c>
      <c r="BE26" s="3">
        <f t="shared" si="39"/>
        <v>7054</v>
      </c>
      <c r="BF26" s="3">
        <f t="shared" si="39"/>
        <v>10397</v>
      </c>
      <c r="BG26" s="3">
        <f t="shared" si="39"/>
        <v>10315</v>
      </c>
      <c r="BH26" s="3">
        <f t="shared" si="39"/>
        <v>6609</v>
      </c>
      <c r="BI26" s="3">
        <f t="shared" si="39"/>
        <v>8407</v>
      </c>
      <c r="BJ26" s="3">
        <f t="shared" si="39"/>
        <v>10612</v>
      </c>
      <c r="BK26" s="3">
        <f t="shared" si="39"/>
        <v>15814</v>
      </c>
      <c r="BL26" s="3">
        <f t="shared" si="39"/>
        <v>15836</v>
      </c>
      <c r="BM26" s="15">
        <f t="shared" si="39"/>
        <v>13704</v>
      </c>
      <c r="BN26" s="3">
        <f t="shared" si="39"/>
        <v>17197.074160206717</v>
      </c>
      <c r="BO26" s="3">
        <f t="shared" ref="BO26:BS26" si="40">BO11+BO10+BO6</f>
        <v>0</v>
      </c>
      <c r="BP26" s="3">
        <f t="shared" si="40"/>
        <v>0</v>
      </c>
      <c r="BQ26" s="3">
        <f t="shared" si="40"/>
        <v>0</v>
      </c>
      <c r="BR26" s="3">
        <f t="shared" si="40"/>
        <v>0</v>
      </c>
      <c r="BS26" s="3">
        <f t="shared" si="40"/>
        <v>0</v>
      </c>
    </row>
    <row r="27" spans="1:71" x14ac:dyDescent="0.25">
      <c r="A27" s="3" t="s">
        <v>175</v>
      </c>
      <c r="B27" s="3">
        <f>B26-B6-B12-B15+B17-B19</f>
        <v>1368</v>
      </c>
      <c r="C27" s="3">
        <f t="shared" ref="C27:AT27" si="41">C26-C6-C12-C15+C17-C19</f>
        <v>1208</v>
      </c>
      <c r="D27" s="3">
        <f t="shared" si="41"/>
        <v>955</v>
      </c>
      <c r="E27" s="3">
        <f t="shared" si="41"/>
        <v>1919</v>
      </c>
      <c r="F27" s="3">
        <f t="shared" si="41"/>
        <v>668</v>
      </c>
      <c r="G27" s="3">
        <f t="shared" si="41"/>
        <v>865</v>
      </c>
      <c r="H27" s="3">
        <f t="shared" si="41"/>
        <v>815</v>
      </c>
      <c r="I27" s="3">
        <f t="shared" si="41"/>
        <v>201</v>
      </c>
      <c r="J27" s="3">
        <f t="shared" si="41"/>
        <v>1156</v>
      </c>
      <c r="K27" s="3">
        <f t="shared" si="41"/>
        <v>1113</v>
      </c>
      <c r="L27" s="3">
        <f t="shared" si="41"/>
        <v>1280</v>
      </c>
      <c r="M27" s="3">
        <f t="shared" si="41"/>
        <v>-1000</v>
      </c>
      <c r="N27" s="3">
        <f t="shared" si="41"/>
        <v>1838</v>
      </c>
      <c r="O27" s="3">
        <f t="shared" si="41"/>
        <v>1924</v>
      </c>
      <c r="P27" s="3">
        <f t="shared" si="41"/>
        <v>2015</v>
      </c>
      <c r="Q27" s="3">
        <f t="shared" si="41"/>
        <v>1819</v>
      </c>
      <c r="R27" s="3">
        <f t="shared" si="41"/>
        <v>2033</v>
      </c>
      <c r="S27" s="3">
        <f t="shared" si="41"/>
        <v>1888</v>
      </c>
      <c r="T27" s="3">
        <f t="shared" si="41"/>
        <v>1704</v>
      </c>
      <c r="U27" s="3">
        <f t="shared" si="41"/>
        <v>1796</v>
      </c>
      <c r="V27" s="3">
        <f t="shared" si="41"/>
        <v>1183</v>
      </c>
      <c r="W27" s="3">
        <f t="shared" si="41"/>
        <v>860</v>
      </c>
      <c r="X27" s="3">
        <f t="shared" si="41"/>
        <v>1024</v>
      </c>
      <c r="Y27" s="3">
        <f t="shared" si="41"/>
        <v>1442</v>
      </c>
      <c r="Z27" s="3">
        <f t="shared" si="41"/>
        <v>1528</v>
      </c>
      <c r="AA27" s="3">
        <f t="shared" si="41"/>
        <v>1505</v>
      </c>
      <c r="AB27" s="3">
        <f t="shared" si="41"/>
        <v>1439</v>
      </c>
      <c r="AC27" s="3">
        <f t="shared" si="41"/>
        <v>1277</v>
      </c>
      <c r="AD27" s="3">
        <f t="shared" si="41"/>
        <v>1550</v>
      </c>
      <c r="AE27" s="3">
        <f t="shared" si="41"/>
        <v>1716</v>
      </c>
      <c r="AF27" s="3">
        <f t="shared" si="41"/>
        <v>2138</v>
      </c>
      <c r="AG27" s="3">
        <f t="shared" si="41"/>
        <v>2153</v>
      </c>
      <c r="AH27" s="3">
        <f t="shared" si="41"/>
        <v>2787</v>
      </c>
      <c r="AI27" s="3">
        <f t="shared" si="41"/>
        <v>3095</v>
      </c>
      <c r="AJ27" s="3">
        <f t="shared" si="41"/>
        <v>2919</v>
      </c>
      <c r="AK27" s="3">
        <f t="shared" si="41"/>
        <v>2757</v>
      </c>
      <c r="AL27" s="3">
        <f t="shared" si="41"/>
        <v>2923</v>
      </c>
      <c r="AM27" s="3">
        <f t="shared" si="41"/>
        <v>3082</v>
      </c>
      <c r="AN27" s="3">
        <f t="shared" si="41"/>
        <v>2743</v>
      </c>
      <c r="AO27" s="3">
        <f t="shared" si="41"/>
        <v>2709</v>
      </c>
      <c r="AP27" s="3">
        <f t="shared" si="41"/>
        <v>2202</v>
      </c>
      <c r="AQ27" s="3">
        <f t="shared" si="41"/>
        <v>2416</v>
      </c>
      <c r="AR27" s="3">
        <f t="shared" si="41"/>
        <v>2282</v>
      </c>
      <c r="AS27" s="3">
        <f t="shared" si="41"/>
        <v>2286</v>
      </c>
      <c r="AT27" s="15">
        <f t="shared" si="41"/>
        <v>2615</v>
      </c>
      <c r="AU27" s="3">
        <f t="shared" ref="AU27" si="42">AU26-AU6-AU12-AU15+AU17-AU19</f>
        <v>2950.0530835486638</v>
      </c>
      <c r="AV27" s="3">
        <f t="shared" ref="AV27" si="43">AV26-AV6-AV12-AV15+AV17-AV19</f>
        <v>3168.4826304909566</v>
      </c>
      <c r="AW27" s="3">
        <f t="shared" ref="AW27" si="44">AW26-AW6-AW12-AW15+AW17-AW19</f>
        <v>3440.127962962963</v>
      </c>
      <c r="BC27" s="3">
        <f t="shared" ref="BC27:BE27" si="45">BC26-BC6-BC12-BC15+BC17-BC19</f>
        <v>5450</v>
      </c>
      <c r="BD27" s="3">
        <f t="shared" si="45"/>
        <v>2549</v>
      </c>
      <c r="BE27" s="3">
        <f t="shared" si="45"/>
        <v>2549</v>
      </c>
      <c r="BF27" s="3">
        <f t="shared" ref="BF27" si="46">BF26-BF6-BF12-BF15+BF17-BF19</f>
        <v>7596</v>
      </c>
      <c r="BG27" s="3">
        <f t="shared" ref="BG27" si="47">BG26-BG6-BG12-BG15+BG17-BG19</f>
        <v>7421</v>
      </c>
      <c r="BH27" s="3">
        <f t="shared" ref="BH27" si="48">BH26-BH6-BH12-BH15+BH17-BH19</f>
        <v>4509</v>
      </c>
      <c r="BI27" s="3">
        <f t="shared" ref="BI27" si="49">BI26-BI6-BI12-BI15+BI17-BI19</f>
        <v>5749</v>
      </c>
      <c r="BJ27" s="3">
        <f t="shared" ref="BJ27" si="50">BJ26-BJ6-BJ12-BJ15+BJ17-BJ19</f>
        <v>7557</v>
      </c>
      <c r="BK27" s="3">
        <f t="shared" ref="BK27" si="51">BK26-BK6-BK12-BK15+BK17-BK19</f>
        <v>11558</v>
      </c>
      <c r="BL27" s="3">
        <f t="shared" ref="BL27" si="52">BL26-BL6-BL12-BL15+BL17-BL19</f>
        <v>11457</v>
      </c>
      <c r="BM27" s="15">
        <f t="shared" ref="BM27" si="53">BM26-BM6-BM12-BM15+BM17-BM19</f>
        <v>9186</v>
      </c>
      <c r="BN27" s="3">
        <f t="shared" ref="BN27" si="54">BN26-BN6-BN12-BN15+BN17-BN19</f>
        <v>12173.663677002583</v>
      </c>
      <c r="BO27" s="3">
        <f t="shared" ref="BO27" si="55">BO26-BO6-BO12-BO15+BO17-BO19</f>
        <v>0</v>
      </c>
      <c r="BP27" s="3">
        <f t="shared" ref="BP27" si="56">BP26-BP6-BP12-BP15+BP17-BP19</f>
        <v>0</v>
      </c>
      <c r="BQ27" s="3">
        <f t="shared" ref="BQ27" si="57">BQ26-BQ6-BQ12-BQ15+BQ17-BQ19</f>
        <v>0</v>
      </c>
      <c r="BR27" s="3">
        <f t="shared" ref="BR27" si="58">BR26-BR6-BR12-BR15+BR17-BR19</f>
        <v>0</v>
      </c>
      <c r="BS27" s="3">
        <f t="shared" ref="BS27" si="59">BS26-BS6-BS12-BS15+BS17-BS19</f>
        <v>0</v>
      </c>
    </row>
    <row r="28" spans="1:71" x14ac:dyDescent="0.25">
      <c r="A28" s="3" t="s">
        <v>176</v>
      </c>
      <c r="B28" s="8">
        <f>B27/B24</f>
        <v>2.2327403296882649</v>
      </c>
      <c r="C28" s="8">
        <f t="shared" ref="C28:AT28" si="60">C27/C24</f>
        <v>1.9780579662682167</v>
      </c>
      <c r="D28" s="8">
        <f t="shared" si="60"/>
        <v>1.605581708137189</v>
      </c>
      <c r="E28" s="8">
        <f t="shared" si="60"/>
        <v>3.2955521208998801</v>
      </c>
      <c r="F28" s="8">
        <f t="shared" si="60"/>
        <v>1.1366343372468946</v>
      </c>
      <c r="G28" s="8">
        <f t="shared" si="60"/>
        <v>1.4695888549099558</v>
      </c>
      <c r="H28" s="8">
        <f t="shared" si="60"/>
        <v>1.3822930800542741</v>
      </c>
      <c r="I28" s="8">
        <f t="shared" si="60"/>
        <v>0.34312051894844658</v>
      </c>
      <c r="J28" s="8">
        <f t="shared" si="60"/>
        <v>1.9487525286581253</v>
      </c>
      <c r="K28" s="8">
        <f t="shared" si="60"/>
        <v>1.8687038280725319</v>
      </c>
      <c r="L28" s="8">
        <f t="shared" si="60"/>
        <v>2.1308473447644412</v>
      </c>
      <c r="M28" s="8">
        <f t="shared" si="60"/>
        <v>-1.6767270288397049</v>
      </c>
      <c r="N28" s="8">
        <f t="shared" si="60"/>
        <v>3.0230263157894739</v>
      </c>
      <c r="O28" s="8">
        <f t="shared" si="60"/>
        <v>3.1843760344256866</v>
      </c>
      <c r="P28" s="8">
        <f t="shared" si="60"/>
        <v>3.3628170894526033</v>
      </c>
      <c r="Q28" s="8">
        <f t="shared" si="60"/>
        <v>3.095643294758339</v>
      </c>
      <c r="R28" s="8">
        <f t="shared" si="60"/>
        <v>3.5124395300621978</v>
      </c>
      <c r="S28" s="8">
        <f t="shared" si="60"/>
        <v>3.2943639853428719</v>
      </c>
      <c r="T28" s="8">
        <f t="shared" si="60"/>
        <v>3.0363506771204558</v>
      </c>
      <c r="U28" s="8">
        <f t="shared" si="60"/>
        <v>3.2296349577414132</v>
      </c>
      <c r="V28" s="8">
        <f t="shared" si="60"/>
        <v>2.1466158591907094</v>
      </c>
      <c r="W28" s="8">
        <f t="shared" si="60"/>
        <v>1.5794306703397611</v>
      </c>
      <c r="X28" s="8">
        <f t="shared" si="60"/>
        <v>1.8740849194729137</v>
      </c>
      <c r="Y28" s="8">
        <f t="shared" si="60"/>
        <v>2.6242038216560508</v>
      </c>
      <c r="Z28" s="8">
        <f t="shared" si="60"/>
        <v>2.7711280377221619</v>
      </c>
      <c r="AA28" s="8">
        <f t="shared" si="60"/>
        <v>2.7259554428545552</v>
      </c>
      <c r="AB28" s="8">
        <f t="shared" si="60"/>
        <v>2.6307129798903106</v>
      </c>
      <c r="AC28" s="8">
        <f t="shared" si="60"/>
        <v>2.3534832288978991</v>
      </c>
      <c r="AD28" s="8">
        <f t="shared" si="60"/>
        <v>2.899906454630496</v>
      </c>
      <c r="AE28" s="8">
        <f t="shared" si="60"/>
        <v>3.2128814828683767</v>
      </c>
      <c r="AF28" s="8">
        <f t="shared" si="60"/>
        <v>4.0538490709139179</v>
      </c>
      <c r="AG28" s="8">
        <f t="shared" si="60"/>
        <v>4.1332309464388564</v>
      </c>
      <c r="AH28" s="8">
        <f t="shared" si="60"/>
        <v>5.3658067000385063</v>
      </c>
      <c r="AI28" s="8">
        <f t="shared" si="60"/>
        <v>6.0120435120435127</v>
      </c>
      <c r="AJ28" s="8">
        <f t="shared" si="60"/>
        <v>5.6911678689803082</v>
      </c>
      <c r="AK28" s="8">
        <f t="shared" si="60"/>
        <v>5.4378698224852071</v>
      </c>
      <c r="AL28" s="8">
        <f t="shared" si="60"/>
        <v>5.8824713221976257</v>
      </c>
      <c r="AM28" s="8">
        <f t="shared" si="60"/>
        <v>6.2936491729630388</v>
      </c>
      <c r="AN28" s="8">
        <f t="shared" si="60"/>
        <v>5.615148413510747</v>
      </c>
      <c r="AO28" s="8">
        <f t="shared" si="60"/>
        <v>5.613344384583506</v>
      </c>
      <c r="AP28" s="8">
        <f t="shared" si="60"/>
        <v>4.615384615384615</v>
      </c>
      <c r="AQ28" s="8">
        <f t="shared" si="60"/>
        <v>5.1197287560923925</v>
      </c>
      <c r="AR28" s="8">
        <f t="shared" si="60"/>
        <v>4.8429541595925301</v>
      </c>
      <c r="AS28" s="8">
        <f t="shared" si="60"/>
        <v>4.8742004264392325</v>
      </c>
      <c r="AT28" s="16">
        <f t="shared" si="60"/>
        <v>5.6139974237870325</v>
      </c>
      <c r="AU28" s="8">
        <f t="shared" ref="AU28" si="61">AU27/AU24</f>
        <v>6.3333041724960575</v>
      </c>
      <c r="AV28" s="8">
        <f t="shared" ref="AV28" si="62">AV27/AV24</f>
        <v>6.8022383651587734</v>
      </c>
      <c r="AW28" s="8">
        <f t="shared" ref="AW28" si="63">AW27/AW24</f>
        <v>7.3854185550943816</v>
      </c>
      <c r="BC28" s="8">
        <f t="shared" ref="BC28:BE28" si="64">BC27/BC24</f>
        <v>9.3594367164691743</v>
      </c>
      <c r="BD28" s="8">
        <f t="shared" si="64"/>
        <v>4.3513144417890066</v>
      </c>
      <c r="BE28" s="8">
        <f t="shared" si="64"/>
        <v>4.2739771965124076</v>
      </c>
      <c r="BF28" s="8">
        <f t="shared" ref="BF28" si="65">BF27/BF24</f>
        <v>12.736418511066399</v>
      </c>
      <c r="BG28" s="8">
        <f t="shared" ref="BG28" si="66">BG27/BG24</f>
        <v>13.344722172271174</v>
      </c>
      <c r="BH28" s="8">
        <f t="shared" ref="BH28" si="67">BH27/BH24</f>
        <v>8.2056414922656966</v>
      </c>
      <c r="BI28" s="8">
        <f t="shared" ref="BI28" si="68">BI27/BI24</f>
        <v>10.595281975672687</v>
      </c>
      <c r="BJ28" s="8">
        <f t="shared" ref="BJ28" si="69">BJ27/BJ24</f>
        <v>14.507583029372242</v>
      </c>
      <c r="BK28" s="8">
        <f t="shared" ref="BK28" si="70">BK27/BK24</f>
        <v>22.796844181459566</v>
      </c>
      <c r="BL28" s="8">
        <f t="shared" ref="BL28" si="71">BL27/BL24</f>
        <v>23.740157480314959</v>
      </c>
      <c r="BM28" s="16">
        <f t="shared" ref="BM28" si="72">BM27/BM24</f>
        <v>19.586353944562898</v>
      </c>
      <c r="BN28" s="8">
        <f t="shared" ref="BN28" si="73">BN27/BN24</f>
        <v>26.134958516536244</v>
      </c>
      <c r="BO28" s="8" t="e">
        <f t="shared" ref="BO28" si="74">BO27/BO24</f>
        <v>#DIV/0!</v>
      </c>
      <c r="BP28" s="8" t="e">
        <f t="shared" ref="BP28" si="75">BP27/BP24</f>
        <v>#DIV/0!</v>
      </c>
      <c r="BQ28" s="8" t="e">
        <f t="shared" ref="BQ28" si="76">BQ27/BQ24</f>
        <v>#DIV/0!</v>
      </c>
      <c r="BR28" s="8" t="e">
        <f t="shared" ref="BR28" si="77">BR27/BR24</f>
        <v>#DIV/0!</v>
      </c>
      <c r="BS28" s="8" t="e">
        <f t="shared" ref="BS28" si="78">BS27/BS24</f>
        <v>#DIV/0!</v>
      </c>
    </row>
    <row r="29" spans="1:71" x14ac:dyDescent="0.25">
      <c r="A29" s="3" t="s">
        <v>180</v>
      </c>
      <c r="B29" s="9">
        <v>0.21</v>
      </c>
      <c r="C29" s="9">
        <v>0.21</v>
      </c>
      <c r="D29" s="9">
        <v>0.21</v>
      </c>
      <c r="E29" s="9">
        <v>0.21</v>
      </c>
      <c r="F29" s="9">
        <v>0.21</v>
      </c>
      <c r="G29" s="9">
        <v>0.21</v>
      </c>
      <c r="H29" s="9">
        <v>0.21</v>
      </c>
      <c r="I29" s="9">
        <v>0.21</v>
      </c>
      <c r="J29" s="9">
        <v>0.21</v>
      </c>
      <c r="K29" s="9">
        <v>0.21</v>
      </c>
      <c r="L29" s="9">
        <v>0.21</v>
      </c>
      <c r="M29" s="9">
        <v>0.21</v>
      </c>
      <c r="N29" s="9">
        <v>0.21</v>
      </c>
      <c r="O29" s="9">
        <v>0.21</v>
      </c>
      <c r="P29" s="9">
        <v>0.21</v>
      </c>
      <c r="Q29" s="9">
        <v>0.21</v>
      </c>
      <c r="R29" s="9">
        <v>0.21</v>
      </c>
      <c r="S29" s="9">
        <v>0.21</v>
      </c>
      <c r="T29" s="9">
        <v>0.21</v>
      </c>
      <c r="U29" s="9">
        <v>0.21</v>
      </c>
      <c r="V29" s="9">
        <v>0.21</v>
      </c>
      <c r="W29" s="9">
        <v>0.21</v>
      </c>
      <c r="X29" s="9">
        <v>0.21</v>
      </c>
      <c r="Y29" s="9">
        <v>0.21</v>
      </c>
      <c r="Z29" s="9">
        <v>0.21</v>
      </c>
      <c r="AA29" s="9">
        <v>0.21</v>
      </c>
      <c r="AB29" s="9">
        <v>0.21</v>
      </c>
      <c r="AC29" s="9">
        <v>0.21</v>
      </c>
      <c r="AD29" s="9">
        <v>0.21</v>
      </c>
      <c r="AE29" s="9">
        <v>0.21</v>
      </c>
      <c r="AF29" s="9">
        <v>0.21</v>
      </c>
      <c r="AG29" s="9">
        <v>0.21</v>
      </c>
      <c r="AH29" s="9">
        <v>0.21</v>
      </c>
      <c r="AI29" s="9">
        <v>0.21</v>
      </c>
      <c r="AJ29" s="9">
        <v>0.21</v>
      </c>
      <c r="AK29" s="9">
        <v>0.21</v>
      </c>
      <c r="AL29" s="9">
        <v>0.21</v>
      </c>
      <c r="AM29" s="9">
        <v>0.21</v>
      </c>
      <c r="AN29" s="9">
        <v>0.21</v>
      </c>
      <c r="AO29" s="9">
        <v>0.21</v>
      </c>
      <c r="AP29" s="9">
        <v>0.21</v>
      </c>
      <c r="AQ29" s="9">
        <v>0.21</v>
      </c>
      <c r="AR29" s="9">
        <v>0.21</v>
      </c>
      <c r="AS29" s="9">
        <v>0.21</v>
      </c>
      <c r="AT29" s="17">
        <v>0.21</v>
      </c>
      <c r="AU29" s="9">
        <v>0.21</v>
      </c>
      <c r="AV29" s="9">
        <v>0.21</v>
      </c>
      <c r="AW29" s="9">
        <v>0.21</v>
      </c>
      <c r="BC29" s="9">
        <v>0.21</v>
      </c>
      <c r="BD29" s="9">
        <v>0.21</v>
      </c>
      <c r="BE29" s="9">
        <v>0.21</v>
      </c>
      <c r="BF29" s="9">
        <v>0.21</v>
      </c>
      <c r="BG29" s="9">
        <v>0.21</v>
      </c>
      <c r="BH29" s="9">
        <v>0.21</v>
      </c>
      <c r="BI29" s="9">
        <v>0.21</v>
      </c>
      <c r="BJ29" s="9">
        <v>0.21</v>
      </c>
      <c r="BK29" s="9">
        <v>0.21</v>
      </c>
      <c r="BL29" s="9">
        <v>0.21</v>
      </c>
      <c r="BM29" s="17">
        <v>0.21</v>
      </c>
      <c r="BN29" s="9">
        <v>0.21</v>
      </c>
      <c r="BO29" s="9">
        <v>1.21</v>
      </c>
      <c r="BP29" s="9">
        <v>2.21</v>
      </c>
      <c r="BQ29" s="9">
        <v>3.21</v>
      </c>
      <c r="BR29" s="9">
        <v>4.21</v>
      </c>
      <c r="BS29" s="9">
        <v>5.21</v>
      </c>
    </row>
    <row r="30" spans="1:71" x14ac:dyDescent="0.25">
      <c r="A30" s="3" t="s">
        <v>181</v>
      </c>
      <c r="B30" s="3">
        <f>B26*(1-B29)</f>
        <v>1713.51</v>
      </c>
      <c r="C30" s="3">
        <f t="shared" ref="C30:AT30" si="79">C26*(1-C29)</f>
        <v>1433.8500000000001</v>
      </c>
      <c r="D30" s="3">
        <f t="shared" si="79"/>
        <v>1143.92</v>
      </c>
      <c r="E30" s="3">
        <f t="shared" si="79"/>
        <v>1634.51</v>
      </c>
      <c r="F30" s="3">
        <f t="shared" si="79"/>
        <v>823.97</v>
      </c>
      <c r="G30" s="3">
        <f t="shared" si="79"/>
        <v>1052.28</v>
      </c>
      <c r="H30" s="3">
        <f t="shared" si="79"/>
        <v>938.5200000000001</v>
      </c>
      <c r="I30" s="3">
        <f t="shared" si="79"/>
        <v>231.47</v>
      </c>
      <c r="J30" s="3">
        <f t="shared" si="79"/>
        <v>1212.6500000000001</v>
      </c>
      <c r="K30" s="3">
        <f t="shared" si="79"/>
        <v>1384.8700000000001</v>
      </c>
      <c r="L30" s="3">
        <f t="shared" si="79"/>
        <v>1595.8000000000002</v>
      </c>
      <c r="M30" s="3">
        <f t="shared" si="79"/>
        <v>1379.3400000000001</v>
      </c>
      <c r="N30" s="3">
        <f t="shared" si="79"/>
        <v>2033.46</v>
      </c>
      <c r="O30" s="3">
        <f t="shared" si="79"/>
        <v>2122.73</v>
      </c>
      <c r="P30" s="3">
        <f t="shared" si="79"/>
        <v>2140.9</v>
      </c>
      <c r="Q30" s="3">
        <f t="shared" si="79"/>
        <v>1916.5400000000002</v>
      </c>
      <c r="R30" s="3">
        <f t="shared" si="79"/>
        <v>2140.11</v>
      </c>
      <c r="S30" s="3">
        <f t="shared" si="79"/>
        <v>2165.39</v>
      </c>
      <c r="T30" s="3">
        <f t="shared" si="79"/>
        <v>1980.5300000000002</v>
      </c>
      <c r="U30" s="3">
        <f t="shared" si="79"/>
        <v>1862.8200000000002</v>
      </c>
      <c r="V30" s="3">
        <f t="shared" si="79"/>
        <v>1494.68</v>
      </c>
      <c r="W30" s="3">
        <f t="shared" si="79"/>
        <v>1077.56</v>
      </c>
      <c r="X30" s="3">
        <f t="shared" si="79"/>
        <v>1178.68</v>
      </c>
      <c r="Y30" s="3">
        <f t="shared" si="79"/>
        <v>1470.19</v>
      </c>
      <c r="Z30" s="3">
        <f t="shared" si="79"/>
        <v>1786.98</v>
      </c>
      <c r="AA30" s="3">
        <f t="shared" si="79"/>
        <v>1736.42</v>
      </c>
      <c r="AB30" s="3">
        <f t="shared" si="79"/>
        <v>1590.27</v>
      </c>
      <c r="AC30" s="3">
        <f t="shared" si="79"/>
        <v>1527.8600000000001</v>
      </c>
      <c r="AD30" s="3">
        <f t="shared" si="79"/>
        <v>1759.3300000000002</v>
      </c>
      <c r="AE30" s="3">
        <f t="shared" si="79"/>
        <v>1869.93</v>
      </c>
      <c r="AF30" s="3">
        <f t="shared" si="79"/>
        <v>2302.85</v>
      </c>
      <c r="AG30" s="3">
        <f t="shared" si="79"/>
        <v>2451.37</v>
      </c>
      <c r="AH30" s="3">
        <f t="shared" si="79"/>
        <v>3020.96</v>
      </c>
      <c r="AI30" s="3">
        <f t="shared" si="79"/>
        <v>3315.63</v>
      </c>
      <c r="AJ30" s="3">
        <f t="shared" si="79"/>
        <v>3198.71</v>
      </c>
      <c r="AK30" s="3">
        <f t="shared" si="79"/>
        <v>2957.76</v>
      </c>
      <c r="AL30" s="3">
        <f t="shared" si="79"/>
        <v>3191.6000000000004</v>
      </c>
      <c r="AM30" s="3">
        <f t="shared" si="79"/>
        <v>3438.08</v>
      </c>
      <c r="AN30" s="3">
        <f t="shared" si="79"/>
        <v>3032.02</v>
      </c>
      <c r="AO30" s="3">
        <f t="shared" si="79"/>
        <v>2848.7400000000002</v>
      </c>
      <c r="AP30" s="3">
        <f t="shared" si="79"/>
        <v>2536.69</v>
      </c>
      <c r="AQ30" s="3">
        <f t="shared" si="79"/>
        <v>2778.4300000000003</v>
      </c>
      <c r="AR30" s="3">
        <f t="shared" si="79"/>
        <v>2834.52</v>
      </c>
      <c r="AS30" s="3">
        <f t="shared" si="79"/>
        <v>2676.52</v>
      </c>
      <c r="AT30" s="15">
        <f t="shared" si="79"/>
        <v>2967.2400000000002</v>
      </c>
      <c r="AU30" s="3">
        <f t="shared" ref="AU30" si="80">AU26*(1-AU29)</f>
        <v>3282.3288802756238</v>
      </c>
      <c r="AV30" s="3">
        <f t="shared" ref="AV30" si="81">AV26*(1-AV29)</f>
        <v>3519.9954470284242</v>
      </c>
      <c r="AW30" s="3">
        <f t="shared" ref="AW30" si="82">AW26*(1-AW29)</f>
        <v>3816.1242592592589</v>
      </c>
      <c r="BC30" s="3">
        <f t="shared" ref="BC30:BE30" si="83">BC26*(1-BC29)</f>
        <v>5925.79</v>
      </c>
      <c r="BD30" s="3">
        <f t="shared" si="83"/>
        <v>3046.2400000000002</v>
      </c>
      <c r="BE30" s="3">
        <f t="shared" si="83"/>
        <v>5572.66</v>
      </c>
      <c r="BF30" s="3">
        <f t="shared" ref="BF30" si="84">BF26*(1-BF29)</f>
        <v>8213.630000000001</v>
      </c>
      <c r="BG30" s="3">
        <f t="shared" ref="BG30" si="85">BG26*(1-BG29)</f>
        <v>8148.85</v>
      </c>
      <c r="BH30" s="3">
        <f t="shared" ref="BH30" si="86">BH26*(1-BH29)</f>
        <v>5221.1100000000006</v>
      </c>
      <c r="BI30" s="3">
        <f t="shared" ref="BI30" si="87">BI26*(1-BI29)</f>
        <v>6641.5300000000007</v>
      </c>
      <c r="BJ30" s="3">
        <f t="shared" ref="BJ30" si="88">BJ26*(1-BJ29)</f>
        <v>8383.48</v>
      </c>
      <c r="BK30" s="3">
        <f t="shared" ref="BK30" si="89">BK26*(1-BK29)</f>
        <v>12493.060000000001</v>
      </c>
      <c r="BL30" s="3">
        <f t="shared" ref="BL30" si="90">BL26*(1-BL29)</f>
        <v>12510.44</v>
      </c>
      <c r="BM30" s="15">
        <f t="shared" ref="BM30" si="91">BM26*(1-BM29)</f>
        <v>10826.16</v>
      </c>
      <c r="BN30" s="3">
        <f t="shared" ref="BN30" si="92">BN26*(1-BN29)</f>
        <v>13585.688586563307</v>
      </c>
      <c r="BO30" s="3">
        <f t="shared" ref="BO30" si="93">BO26*(1-BO29)</f>
        <v>0</v>
      </c>
      <c r="BP30" s="3">
        <f t="shared" ref="BP30" si="94">BP26*(1-BP29)</f>
        <v>0</v>
      </c>
      <c r="BQ30" s="3">
        <f t="shared" ref="BQ30" si="95">BQ26*(1-BQ29)</f>
        <v>0</v>
      </c>
      <c r="BR30" s="3">
        <f t="shared" ref="BR30" si="96">BR26*(1-BR29)</f>
        <v>0</v>
      </c>
      <c r="BS30" s="3">
        <f t="shared" ref="BS30" si="97">BS26*(1-BS29)</f>
        <v>0</v>
      </c>
    </row>
    <row r="32" spans="1:71" x14ac:dyDescent="0.25">
      <c r="A32" s="3" t="s">
        <v>177</v>
      </c>
      <c r="B32" s="9">
        <f>B7/B4</f>
        <v>0.29853566367501183</v>
      </c>
      <c r="C32" s="9">
        <f t="shared" ref="C32:AT32" si="98">C7/C4</f>
        <v>0.28375416091580741</v>
      </c>
      <c r="D32" s="9">
        <f t="shared" si="98"/>
        <v>0.2689290275497172</v>
      </c>
      <c r="E32" s="9">
        <f t="shared" si="98"/>
        <v>0.31242603550295855</v>
      </c>
      <c r="F32" s="9">
        <f t="shared" si="98"/>
        <v>0.26286861853926646</v>
      </c>
      <c r="G32" s="9">
        <f t="shared" si="98"/>
        <v>0.26832334171340166</v>
      </c>
      <c r="H32" s="9">
        <f t="shared" si="98"/>
        <v>0.27139737991266377</v>
      </c>
      <c r="I32" s="9">
        <f t="shared" si="98"/>
        <v>0.22446208481303531</v>
      </c>
      <c r="J32" s="9">
        <f t="shared" si="98"/>
        <v>0.29138668295662795</v>
      </c>
      <c r="K32" s="9">
        <f t="shared" si="98"/>
        <v>0.29591386461918628</v>
      </c>
      <c r="L32" s="9">
        <f t="shared" si="98"/>
        <v>0.31297643038640149</v>
      </c>
      <c r="M32" s="9">
        <f t="shared" si="98"/>
        <v>0.29226116625310172</v>
      </c>
      <c r="N32" s="9">
        <f t="shared" si="98"/>
        <v>0.32094253052336885</v>
      </c>
      <c r="O32" s="9">
        <f t="shared" si="98"/>
        <v>0.31453857683248876</v>
      </c>
      <c r="P32" s="9">
        <f t="shared" si="98"/>
        <v>0.31850481125092522</v>
      </c>
      <c r="Q32" s="9">
        <f t="shared" si="98"/>
        <v>0.29047552642588204</v>
      </c>
      <c r="R32" s="9">
        <f t="shared" si="98"/>
        <v>0.31731768899450469</v>
      </c>
      <c r="S32" s="9">
        <f t="shared" si="98"/>
        <v>0.29787971175166295</v>
      </c>
      <c r="T32" s="9">
        <f t="shared" si="98"/>
        <v>0.31352876626430476</v>
      </c>
      <c r="U32" s="9">
        <f t="shared" si="98"/>
        <v>0.29245283018867924</v>
      </c>
      <c r="V32" s="9">
        <f t="shared" si="98"/>
        <v>0.30032910202162671</v>
      </c>
      <c r="W32" s="9">
        <f t="shared" si="98"/>
        <v>0.27358207462238671</v>
      </c>
      <c r="X32" s="9">
        <f t="shared" si="98"/>
        <v>0.28590223661572717</v>
      </c>
      <c r="Y32" s="9">
        <f t="shared" si="98"/>
        <v>0.29577214063195373</v>
      </c>
      <c r="Z32" s="9">
        <f t="shared" si="98"/>
        <v>0.31547068225792885</v>
      </c>
      <c r="AA32" s="9">
        <f t="shared" si="98"/>
        <v>0.3019629141128094</v>
      </c>
      <c r="AB32" s="9">
        <f t="shared" si="98"/>
        <v>0.29595869968540778</v>
      </c>
      <c r="AC32" s="9">
        <f t="shared" si="98"/>
        <v>0.26757501087114077</v>
      </c>
      <c r="AD32" s="9">
        <f t="shared" si="98"/>
        <v>0.28876297004930457</v>
      </c>
      <c r="AE32" s="9">
        <f t="shared" si="98"/>
        <v>0.29142977468940828</v>
      </c>
      <c r="AF32" s="9">
        <f t="shared" si="98"/>
        <v>0.30952380952380953</v>
      </c>
      <c r="AG32" s="9">
        <f t="shared" si="98"/>
        <v>0.28890763390974272</v>
      </c>
      <c r="AH32" s="9">
        <f t="shared" si="98"/>
        <v>0.34938847560206782</v>
      </c>
      <c r="AI32" s="9">
        <f t="shared" si="98"/>
        <v>0.34692227739923781</v>
      </c>
      <c r="AJ32" s="9">
        <f t="shared" si="98"/>
        <v>0.35377751338488994</v>
      </c>
      <c r="AK32" s="9">
        <f t="shared" si="98"/>
        <v>0.33778558875219683</v>
      </c>
      <c r="AL32" s="9">
        <f t="shared" si="98"/>
        <v>0.36958035318691057</v>
      </c>
      <c r="AM32" s="9">
        <f t="shared" si="98"/>
        <v>0.37300017975912275</v>
      </c>
      <c r="AN32" s="9">
        <f t="shared" si="98"/>
        <v>0.35415373152862289</v>
      </c>
      <c r="AO32" s="9">
        <f t="shared" si="98"/>
        <v>0.34264569842738207</v>
      </c>
      <c r="AP32" s="9">
        <f t="shared" si="98"/>
        <v>0.34795424240297562</v>
      </c>
      <c r="AQ32" s="9">
        <f t="shared" si="98"/>
        <v>0.32747902709879895</v>
      </c>
      <c r="AR32" s="9">
        <f t="shared" si="98"/>
        <v>0.31857353441433267</v>
      </c>
      <c r="AS32" s="9">
        <f t="shared" si="98"/>
        <v>0.28615481105942614</v>
      </c>
      <c r="AT32" s="17">
        <f t="shared" si="98"/>
        <v>0.33097904105656045</v>
      </c>
      <c r="AU32" s="9">
        <f t="shared" ref="AU32:AW32" si="99">AU7/AU4</f>
        <v>0.3337895492391616</v>
      </c>
      <c r="AV32" s="9">
        <f t="shared" si="99"/>
        <v>0.33678954923916166</v>
      </c>
      <c r="AW32" s="9">
        <f t="shared" si="99"/>
        <v>0.3397895492391616</v>
      </c>
      <c r="BC32" s="9">
        <f t="shared" ref="BC32" si="100">BC7/BC4</f>
        <v>0.29137646148375895</v>
      </c>
      <c r="BD32" s="9">
        <f t="shared" ref="BD32:BN32" si="101">BD7/BD4</f>
        <v>0.25681812284298206</v>
      </c>
      <c r="BE32" s="9">
        <f t="shared" si="101"/>
        <v>0.2981830979719326</v>
      </c>
      <c r="BF32" s="9">
        <f t="shared" si="101"/>
        <v>0.31071598260297506</v>
      </c>
      <c r="BG32" s="9">
        <f t="shared" si="101"/>
        <v>0.30513011152416358</v>
      </c>
      <c r="BH32" s="9">
        <f t="shared" si="101"/>
        <v>0.28928331896138737</v>
      </c>
      <c r="BI32" s="9">
        <f t="shared" si="101"/>
        <v>0.29434384257715174</v>
      </c>
      <c r="BJ32" s="9">
        <f t="shared" si="101"/>
        <v>0.29468086896528511</v>
      </c>
      <c r="BK32" s="9">
        <f t="shared" si="101"/>
        <v>0.34689830002982402</v>
      </c>
      <c r="BL32" s="9">
        <f t="shared" si="101"/>
        <v>0.35988828712061599</v>
      </c>
      <c r="BM32" s="17">
        <f t="shared" si="101"/>
        <v>0.31777360221337791</v>
      </c>
      <c r="BN32" s="9">
        <f t="shared" si="101"/>
        <v>0.3355886263397192</v>
      </c>
      <c r="BO32" s="9">
        <f t="shared" ref="BO32:BS32" si="102">BO7/BO4</f>
        <v>0</v>
      </c>
      <c r="BP32" s="9">
        <f t="shared" si="102"/>
        <v>0</v>
      </c>
      <c r="BQ32" s="9">
        <f t="shared" si="102"/>
        <v>0</v>
      </c>
      <c r="BR32" s="9">
        <f t="shared" si="102"/>
        <v>0</v>
      </c>
      <c r="BS32" s="9">
        <f t="shared" si="102"/>
        <v>0</v>
      </c>
    </row>
    <row r="33" spans="1:71" x14ac:dyDescent="0.25">
      <c r="A33" s="3" t="s">
        <v>178</v>
      </c>
      <c r="B33" s="9">
        <f>B26/B4</f>
        <v>0.17076051015588095</v>
      </c>
      <c r="C33" s="9">
        <f t="shared" ref="C33:AT33" si="103">C26/C4</f>
        <v>0.14735731103353089</v>
      </c>
      <c r="D33" s="9">
        <f t="shared" si="103"/>
        <v>0.13209268381682174</v>
      </c>
      <c r="E33" s="9">
        <f t="shared" si="103"/>
        <v>0.17489433643279798</v>
      </c>
      <c r="F33" s="9">
        <f t="shared" si="103"/>
        <v>0.11024204629531761</v>
      </c>
      <c r="G33" s="9">
        <f t="shared" si="103"/>
        <v>0.1287952040224328</v>
      </c>
      <c r="H33" s="9">
        <f t="shared" si="103"/>
        <v>0.12969432314410481</v>
      </c>
      <c r="I33" s="9">
        <f t="shared" si="103"/>
        <v>3.0603718404010861E-2</v>
      </c>
      <c r="J33" s="9">
        <f t="shared" si="103"/>
        <v>0.15628181633068622</v>
      </c>
      <c r="K33" s="9">
        <f t="shared" si="103"/>
        <v>0.15470832230165035</v>
      </c>
      <c r="L33" s="9">
        <f t="shared" si="103"/>
        <v>0.17699115044247787</v>
      </c>
      <c r="M33" s="9">
        <f t="shared" si="103"/>
        <v>0.1353908188585608</v>
      </c>
      <c r="N33" s="9">
        <f t="shared" si="103"/>
        <v>0.20017108639863132</v>
      </c>
      <c r="O33" s="9">
        <f t="shared" si="103"/>
        <v>0.19177788880165583</v>
      </c>
      <c r="P33" s="9">
        <f t="shared" si="103"/>
        <v>0.20059215396002961</v>
      </c>
      <c r="Q33" s="9">
        <f t="shared" si="103"/>
        <v>0.16915353507181705</v>
      </c>
      <c r="R33" s="9">
        <f t="shared" si="103"/>
        <v>0.20117332541214911</v>
      </c>
      <c r="S33" s="9">
        <f t="shared" si="103"/>
        <v>0.1899251662971175</v>
      </c>
      <c r="T33" s="9">
        <f t="shared" si="103"/>
        <v>0.196504154256153</v>
      </c>
      <c r="U33" s="9">
        <f t="shared" si="103"/>
        <v>0.17939744370054778</v>
      </c>
      <c r="V33" s="9">
        <f t="shared" si="103"/>
        <v>0.1779031499764927</v>
      </c>
      <c r="W33" s="9">
        <f t="shared" si="103"/>
        <v>0.1364409322796839</v>
      </c>
      <c r="X33" s="9">
        <f t="shared" si="103"/>
        <v>0.1509968626657221</v>
      </c>
      <c r="Y33" s="9">
        <f t="shared" si="103"/>
        <v>0.16564307966177125</v>
      </c>
      <c r="Z33" s="9">
        <f t="shared" si="103"/>
        <v>0.19029191553798266</v>
      </c>
      <c r="AA33" s="9">
        <f t="shared" si="103"/>
        <v>0.17053301264644272</v>
      </c>
      <c r="AB33" s="9">
        <f t="shared" si="103"/>
        <v>0.16237799467613132</v>
      </c>
      <c r="AC33" s="9">
        <f t="shared" si="103"/>
        <v>0.14016524133932454</v>
      </c>
      <c r="AD33" s="9">
        <f t="shared" si="103"/>
        <v>0.16388255206416955</v>
      </c>
      <c r="AE33" s="9">
        <f t="shared" si="103"/>
        <v>0.16614024005053696</v>
      </c>
      <c r="AF33" s="9">
        <f t="shared" si="103"/>
        <v>0.19441109777244231</v>
      </c>
      <c r="AG33" s="9">
        <f t="shared" si="103"/>
        <v>0.18696149906609627</v>
      </c>
      <c r="AH33" s="9">
        <f t="shared" si="103"/>
        <v>0.24107930904047409</v>
      </c>
      <c r="AI33" s="9">
        <f t="shared" si="103"/>
        <v>0.24234900103938098</v>
      </c>
      <c r="AJ33" s="9">
        <f t="shared" si="103"/>
        <v>0.24086853063652588</v>
      </c>
      <c r="AK33" s="9">
        <f t="shared" si="103"/>
        <v>0.21933216168717048</v>
      </c>
      <c r="AL33" s="9">
        <f t="shared" si="103"/>
        <v>0.25571238685992786</v>
      </c>
      <c r="AM33" s="9">
        <f t="shared" si="103"/>
        <v>0.2607705674396309</v>
      </c>
      <c r="AN33" s="9">
        <f t="shared" si="103"/>
        <v>0.2382962870979759</v>
      </c>
      <c r="AO33" s="9">
        <f t="shared" si="103"/>
        <v>0.22238667900092507</v>
      </c>
      <c r="AP33" s="9">
        <f t="shared" si="103"/>
        <v>0.22534914730858305</v>
      </c>
      <c r="AQ33" s="9">
        <f t="shared" si="103"/>
        <v>0.2122638662562617</v>
      </c>
      <c r="AR33" s="9">
        <f t="shared" si="103"/>
        <v>0.20342442453792947</v>
      </c>
      <c r="AS33" s="9">
        <f t="shared" si="103"/>
        <v>0.17707625568389693</v>
      </c>
      <c r="AT33" s="17">
        <f t="shared" si="103"/>
        <v>0.21567614125753662</v>
      </c>
      <c r="AU33" s="9">
        <f t="shared" ref="AU33:AW33" si="104">AU26/AU4</f>
        <v>0.21867614125753657</v>
      </c>
      <c r="AV33" s="9">
        <f t="shared" si="104"/>
        <v>0.22167614125753662</v>
      </c>
      <c r="AW33" s="9">
        <f t="shared" si="104"/>
        <v>0.22467614125753657</v>
      </c>
      <c r="BC33" s="9">
        <f t="shared" ref="BC33" si="105">BC26/BC4</f>
        <v>0.15688858212545231</v>
      </c>
      <c r="BD33" s="9">
        <f t="shared" ref="BD33:BN33" si="106">BD26/BD4</f>
        <v>0.10005968290214599</v>
      </c>
      <c r="BE33" s="9">
        <f t="shared" si="106"/>
        <v>0.15516255334125204</v>
      </c>
      <c r="BF33" s="9">
        <f t="shared" si="106"/>
        <v>0.1899967106465407</v>
      </c>
      <c r="BG33" s="9">
        <f t="shared" si="106"/>
        <v>0.19172862453531597</v>
      </c>
      <c r="BH33" s="9">
        <f t="shared" si="106"/>
        <v>0.15830698476573729</v>
      </c>
      <c r="BI33" s="9">
        <f t="shared" si="106"/>
        <v>0.16493692491809067</v>
      </c>
      <c r="BJ33" s="9">
        <f t="shared" si="106"/>
        <v>0.17857202954885826</v>
      </c>
      <c r="BK33" s="9">
        <f t="shared" si="106"/>
        <v>0.2358186698478974</v>
      </c>
      <c r="BL33" s="9">
        <f t="shared" si="106"/>
        <v>0.24434877871900507</v>
      </c>
      <c r="BM33" s="17">
        <f t="shared" si="106"/>
        <v>0.20275488615011319</v>
      </c>
      <c r="BN33" s="9">
        <f t="shared" si="106"/>
        <v>0.22043291880031682</v>
      </c>
      <c r="BO33" s="9">
        <f t="shared" ref="BO33:BS33" si="107">BO26/BO4</f>
        <v>0</v>
      </c>
      <c r="BP33" s="9">
        <f t="shared" si="107"/>
        <v>0</v>
      </c>
      <c r="BQ33" s="9">
        <f t="shared" si="107"/>
        <v>0</v>
      </c>
      <c r="BR33" s="9">
        <f t="shared" si="107"/>
        <v>0</v>
      </c>
      <c r="BS33" s="9">
        <f t="shared" si="107"/>
        <v>0</v>
      </c>
    </row>
    <row r="34" spans="1:71" x14ac:dyDescent="0.25">
      <c r="A34" s="3" t="s">
        <v>179</v>
      </c>
      <c r="B34" s="9">
        <f>B27/B4</f>
        <v>0.10769957487009919</v>
      </c>
      <c r="C34" s="9">
        <f t="shared" ref="C34:AT34" si="108">C27/C4</f>
        <v>9.8075830153446453E-2</v>
      </c>
      <c r="D34" s="9">
        <f t="shared" si="108"/>
        <v>8.711913884327678E-2</v>
      </c>
      <c r="E34" s="9">
        <f t="shared" si="108"/>
        <v>0.16221470836855453</v>
      </c>
      <c r="F34" s="9">
        <f t="shared" si="108"/>
        <v>7.0605644223655006E-2</v>
      </c>
      <c r="G34" s="9">
        <f t="shared" si="108"/>
        <v>8.3639528137690974E-2</v>
      </c>
      <c r="H34" s="9">
        <f t="shared" si="108"/>
        <v>8.8973799126637554E-2</v>
      </c>
      <c r="I34" s="9">
        <f t="shared" si="108"/>
        <v>2.0994359724253186E-2</v>
      </c>
      <c r="J34" s="9">
        <f t="shared" si="108"/>
        <v>0.11769497047444512</v>
      </c>
      <c r="K34" s="9">
        <f t="shared" si="108"/>
        <v>9.8226105374635955E-2</v>
      </c>
      <c r="L34" s="9">
        <f t="shared" si="108"/>
        <v>0.1121528082011741</v>
      </c>
      <c r="M34" s="9">
        <f t="shared" si="108"/>
        <v>-7.7543424317617862E-2</v>
      </c>
      <c r="N34" s="9">
        <f t="shared" si="108"/>
        <v>0.14293490940197526</v>
      </c>
      <c r="O34" s="9">
        <f t="shared" si="108"/>
        <v>0.13732067661123404</v>
      </c>
      <c r="P34" s="9">
        <f t="shared" si="108"/>
        <v>0.14914877868245743</v>
      </c>
      <c r="Q34" s="9">
        <f t="shared" si="108"/>
        <v>0.12683028866266907</v>
      </c>
      <c r="R34" s="9">
        <f t="shared" si="108"/>
        <v>0.15097282043665528</v>
      </c>
      <c r="S34" s="9">
        <f t="shared" si="108"/>
        <v>0.13082039911308205</v>
      </c>
      <c r="T34" s="9">
        <f t="shared" si="108"/>
        <v>0.13356325442859382</v>
      </c>
      <c r="U34" s="9">
        <f t="shared" si="108"/>
        <v>0.13664029214850881</v>
      </c>
      <c r="V34" s="9">
        <f t="shared" si="108"/>
        <v>0.11123648330982605</v>
      </c>
      <c r="W34" s="9">
        <f t="shared" si="108"/>
        <v>8.6025807742322699E-2</v>
      </c>
      <c r="X34" s="9">
        <f t="shared" si="108"/>
        <v>0.10363323550247951</v>
      </c>
      <c r="Y34" s="9">
        <f t="shared" si="108"/>
        <v>0.12834890965732088</v>
      </c>
      <c r="Z34" s="9">
        <f t="shared" si="108"/>
        <v>0.12854378733069741</v>
      </c>
      <c r="AA34" s="9">
        <f t="shared" si="108"/>
        <v>0.11676623477383816</v>
      </c>
      <c r="AB34" s="9">
        <f t="shared" si="108"/>
        <v>0.1160764701137372</v>
      </c>
      <c r="AC34" s="9">
        <f t="shared" si="108"/>
        <v>9.2549644876068995E-2</v>
      </c>
      <c r="AD34" s="9">
        <f t="shared" si="108"/>
        <v>0.1140628449481198</v>
      </c>
      <c r="AE34" s="9">
        <f t="shared" si="108"/>
        <v>0.12044640977047799</v>
      </c>
      <c r="AF34" s="9">
        <f t="shared" si="108"/>
        <v>0.14259036948112577</v>
      </c>
      <c r="AG34" s="9">
        <f t="shared" si="108"/>
        <v>0.12972223895884799</v>
      </c>
      <c r="AH34" s="9">
        <f t="shared" si="108"/>
        <v>0.17570293783886018</v>
      </c>
      <c r="AI34" s="9">
        <f t="shared" si="108"/>
        <v>0.17871578704238364</v>
      </c>
      <c r="AJ34" s="9">
        <f t="shared" si="108"/>
        <v>0.17364663890541343</v>
      </c>
      <c r="AK34" s="9">
        <f t="shared" si="108"/>
        <v>0.16151142355008788</v>
      </c>
      <c r="AL34" s="9">
        <f t="shared" si="108"/>
        <v>0.18501170960187355</v>
      </c>
      <c r="AM34" s="9">
        <f t="shared" si="108"/>
        <v>0.18467253879801065</v>
      </c>
      <c r="AN34" s="9">
        <f t="shared" si="108"/>
        <v>0.17030920153979884</v>
      </c>
      <c r="AO34" s="9">
        <f t="shared" si="108"/>
        <v>0.16706753006475486</v>
      </c>
      <c r="AP34" s="9">
        <f t="shared" si="108"/>
        <v>0.15453716050249142</v>
      </c>
      <c r="AQ34" s="9">
        <f t="shared" si="108"/>
        <v>0.14581447281067053</v>
      </c>
      <c r="AR34" s="9">
        <f t="shared" si="108"/>
        <v>0.129379748270779</v>
      </c>
      <c r="AS34" s="9">
        <f t="shared" si="108"/>
        <v>0.11947943343960696</v>
      </c>
      <c r="AT34" s="17">
        <f t="shared" si="108"/>
        <v>0.15015790984783234</v>
      </c>
      <c r="AU34" s="9">
        <f t="shared" ref="AU34:AW34" si="109">AU27/AU4</f>
        <v>0.15526595176571914</v>
      </c>
      <c r="AV34" s="9">
        <f t="shared" si="109"/>
        <v>0.15763595176571923</v>
      </c>
      <c r="AW34" s="9">
        <f t="shared" si="109"/>
        <v>0.16000595176571922</v>
      </c>
      <c r="BC34" s="9">
        <f t="shared" ref="BC34" si="110">BC27/BC4</f>
        <v>0.11399050427725838</v>
      </c>
      <c r="BD34" s="9">
        <f t="shared" ref="BD34:BN34" si="111">BD27/BD4</f>
        <v>6.6144225030490181E-2</v>
      </c>
      <c r="BE34" s="9">
        <f t="shared" si="111"/>
        <v>5.6068804716026571E-2</v>
      </c>
      <c r="BF34" s="9">
        <f t="shared" si="111"/>
        <v>0.13881071598260297</v>
      </c>
      <c r="BG34" s="9">
        <f t="shared" si="111"/>
        <v>0.1379368029739777</v>
      </c>
      <c r="BH34" s="9">
        <f t="shared" si="111"/>
        <v>0.10800517390054613</v>
      </c>
      <c r="BI34" s="9">
        <f t="shared" si="111"/>
        <v>0.11278962547330836</v>
      </c>
      <c r="BJ34" s="9">
        <f t="shared" si="111"/>
        <v>0.12716442021303448</v>
      </c>
      <c r="BK34" s="9">
        <f t="shared" si="111"/>
        <v>0.17235311661198927</v>
      </c>
      <c r="BL34" s="9">
        <f t="shared" si="111"/>
        <v>0.17678100263852242</v>
      </c>
      <c r="BM34" s="17">
        <f t="shared" si="111"/>
        <v>0.13590968944650758</v>
      </c>
      <c r="BN34" s="9">
        <f t="shared" si="111"/>
        <v>0.15604260305072851</v>
      </c>
      <c r="BO34" s="9">
        <f t="shared" ref="BO34:BS34" si="112">BO27/BO4</f>
        <v>0</v>
      </c>
      <c r="BP34" s="9">
        <f t="shared" si="112"/>
        <v>0</v>
      </c>
      <c r="BQ34" s="9">
        <f t="shared" si="112"/>
        <v>0</v>
      </c>
      <c r="BR34" s="9">
        <f t="shared" si="112"/>
        <v>0</v>
      </c>
      <c r="BS34" s="9">
        <f t="shared" si="112"/>
        <v>0</v>
      </c>
    </row>
    <row r="36" spans="1:71" x14ac:dyDescent="0.25">
      <c r="A36" s="3" t="s">
        <v>182</v>
      </c>
      <c r="C36" s="9">
        <f>C4/B4-1</f>
        <v>-3.0310187372067365E-2</v>
      </c>
      <c r="D36" s="9">
        <f t="shared" ref="D36:AT36" si="113">D4/C4-1</f>
        <v>-0.11001055451814568</v>
      </c>
      <c r="E36" s="9">
        <f t="shared" si="113"/>
        <v>7.9182630906768914E-2</v>
      </c>
      <c r="F36" s="9">
        <f t="shared" si="113"/>
        <v>-0.20025359256128483</v>
      </c>
      <c r="G36" s="9">
        <f t="shared" si="113"/>
        <v>9.3119120600359429E-2</v>
      </c>
      <c r="H36" s="9">
        <f t="shared" si="113"/>
        <v>-0.11429123960549215</v>
      </c>
      <c r="I36" s="9">
        <f t="shared" si="113"/>
        <v>4.5196506550218452E-2</v>
      </c>
      <c r="J36" s="9">
        <f t="shared" si="113"/>
        <v>2.5903488614998915E-2</v>
      </c>
      <c r="K36" s="9">
        <f t="shared" si="113"/>
        <v>0.15363469761759307</v>
      </c>
      <c r="L36" s="9">
        <f t="shared" si="113"/>
        <v>7.236784043773703E-3</v>
      </c>
      <c r="M36" s="9">
        <f t="shared" si="113"/>
        <v>0.12993954262682905</v>
      </c>
      <c r="N36" s="9">
        <f t="shared" si="113"/>
        <v>-2.8691066997518222E-3</v>
      </c>
      <c r="O36" s="9">
        <f t="shared" si="113"/>
        <v>8.9587059646939915E-2</v>
      </c>
      <c r="P36" s="9">
        <f t="shared" si="113"/>
        <v>-3.5757619013632169E-2</v>
      </c>
      <c r="Q36" s="9">
        <f t="shared" si="113"/>
        <v>6.1584011843079267E-2</v>
      </c>
      <c r="R36" s="9">
        <f t="shared" si="113"/>
        <v>-6.1079347371356896E-2</v>
      </c>
      <c r="S36" s="9">
        <f t="shared" si="113"/>
        <v>7.1736224565572604E-2</v>
      </c>
      <c r="T36" s="9">
        <f t="shared" si="113"/>
        <v>-0.1159922394678492</v>
      </c>
      <c r="U36" s="9">
        <f t="shared" si="113"/>
        <v>3.0255525944505424E-2</v>
      </c>
      <c r="V36" s="9">
        <f t="shared" si="113"/>
        <v>-0.1908855751673767</v>
      </c>
      <c r="W36" s="9">
        <f t="shared" si="113"/>
        <v>-5.9990597085096353E-2</v>
      </c>
      <c r="X36" s="9">
        <f t="shared" si="113"/>
        <v>-1.1603481044313302E-2</v>
      </c>
      <c r="Y36" s="9">
        <f t="shared" si="113"/>
        <v>0.13703066491245819</v>
      </c>
      <c r="Z36" s="9">
        <f t="shared" si="113"/>
        <v>5.8032932799287895E-2</v>
      </c>
      <c r="AA36" s="9">
        <f t="shared" si="113"/>
        <v>8.4293766299318618E-2</v>
      </c>
      <c r="AB36" s="9">
        <f t="shared" si="113"/>
        <v>-3.8172084723407607E-2</v>
      </c>
      <c r="AC36" s="9">
        <f t="shared" si="113"/>
        <v>0.11301121239009437</v>
      </c>
      <c r="AD36" s="9">
        <f t="shared" si="113"/>
        <v>-1.5147122771416166E-2</v>
      </c>
      <c r="AE36" s="9">
        <f t="shared" si="113"/>
        <v>4.8421517403782532E-2</v>
      </c>
      <c r="AF36" s="9">
        <f t="shared" si="113"/>
        <v>5.243209096651924E-2</v>
      </c>
      <c r="AG36" s="9">
        <f t="shared" si="113"/>
        <v>0.10690943043884227</v>
      </c>
      <c r="AH36" s="9">
        <f t="shared" si="113"/>
        <v>-4.4285111767186858E-2</v>
      </c>
      <c r="AI36" s="9">
        <f t="shared" si="113"/>
        <v>9.1791703442188899E-2</v>
      </c>
      <c r="AJ36" s="9">
        <f t="shared" si="113"/>
        <v>-2.9333641298071367E-2</v>
      </c>
      <c r="AK36" s="9">
        <f t="shared" si="113"/>
        <v>1.5466983938132062E-2</v>
      </c>
      <c r="AL36" s="9">
        <f t="shared" si="113"/>
        <v>-7.4458113649677804E-2</v>
      </c>
      <c r="AM36" s="9">
        <f t="shared" si="113"/>
        <v>5.6332679283499054E-2</v>
      </c>
      <c r="AN36" s="9">
        <f t="shared" si="113"/>
        <v>-3.493318952603508E-2</v>
      </c>
      <c r="AO36" s="9">
        <f t="shared" si="113"/>
        <v>6.7676642245126928E-3</v>
      </c>
      <c r="AP36" s="9">
        <f t="shared" si="113"/>
        <v>-0.12124576009867405</v>
      </c>
      <c r="AQ36" s="9">
        <f t="shared" si="113"/>
        <v>0.16281844339953677</v>
      </c>
      <c r="AR36" s="9">
        <f t="shared" si="113"/>
        <v>6.4518075924919982E-2</v>
      </c>
      <c r="AS36" s="9">
        <f t="shared" si="113"/>
        <v>8.4760176890803951E-2</v>
      </c>
      <c r="AT36" s="17">
        <f t="shared" si="113"/>
        <v>-8.9792505095907638E-2</v>
      </c>
      <c r="AU36" s="9">
        <f t="shared" ref="AU36:AW36" si="114">AU4/AT4-1</f>
        <v>9.1013494114269289E-2</v>
      </c>
      <c r="AV36" s="9">
        <f t="shared" si="114"/>
        <v>5.7894736842105221E-2</v>
      </c>
      <c r="AW36" s="9">
        <f t="shared" si="114"/>
        <v>6.9651741293532243E-2</v>
      </c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17"/>
      <c r="BN36" s="9"/>
      <c r="BO36" s="9"/>
      <c r="BP36" s="9"/>
      <c r="BQ36" s="9"/>
      <c r="BR36" s="9"/>
      <c r="BS36" s="9"/>
    </row>
    <row r="37" spans="1:71" x14ac:dyDescent="0.25">
      <c r="A37" s="3" t="s">
        <v>183</v>
      </c>
      <c r="F37" s="9">
        <f>F4/B4-1</f>
        <v>-0.25515666824122185</v>
      </c>
      <c r="G37" s="9">
        <f t="shared" ref="G37:AT37" si="115">G4/C4-1</f>
        <v>-0.16034748721279535</v>
      </c>
      <c r="H37" s="9">
        <f t="shared" si="115"/>
        <v>-0.16438606093778507</v>
      </c>
      <c r="I37" s="9">
        <f t="shared" si="115"/>
        <v>-0.19070160608622144</v>
      </c>
      <c r="J37" s="9">
        <f t="shared" si="115"/>
        <v>3.8156643060987205E-2</v>
      </c>
      <c r="K37" s="9">
        <f t="shared" si="115"/>
        <v>9.5629472055695164E-2</v>
      </c>
      <c r="L37" s="9">
        <f t="shared" si="115"/>
        <v>0.24596069868995629</v>
      </c>
      <c r="M37" s="9">
        <f t="shared" si="115"/>
        <v>0.34698140797994559</v>
      </c>
      <c r="N37" s="9">
        <f t="shared" si="115"/>
        <v>0.30920382814090819</v>
      </c>
      <c r="O37" s="9">
        <f t="shared" si="115"/>
        <v>0.23651928338187278</v>
      </c>
      <c r="P37" s="9">
        <f t="shared" si="115"/>
        <v>0.18373784281082983</v>
      </c>
      <c r="Q37" s="9">
        <f t="shared" si="115"/>
        <v>0.11212779156327546</v>
      </c>
      <c r="R37" s="9">
        <f t="shared" si="115"/>
        <v>4.7204292713274754E-2</v>
      </c>
      <c r="S37" s="9">
        <f t="shared" si="115"/>
        <v>3.0047819570337531E-2</v>
      </c>
      <c r="T37" s="9">
        <f t="shared" si="115"/>
        <v>-5.566247224278309E-2</v>
      </c>
      <c r="U37" s="9">
        <f t="shared" si="115"/>
        <v>-8.3530888300097583E-2</v>
      </c>
      <c r="V37" s="9">
        <f t="shared" si="115"/>
        <v>-0.21023317986038914</v>
      </c>
      <c r="W37" s="9">
        <f t="shared" si="115"/>
        <v>-0.30730321507760527</v>
      </c>
      <c r="X37" s="9">
        <f t="shared" si="115"/>
        <v>-0.22550556513560116</v>
      </c>
      <c r="Y37" s="9">
        <f t="shared" si="115"/>
        <v>-0.14523737066342057</v>
      </c>
      <c r="Z37" s="9">
        <f t="shared" si="115"/>
        <v>0.11772449459332401</v>
      </c>
      <c r="AA37" s="9">
        <f t="shared" si="115"/>
        <v>0.28928678603581082</v>
      </c>
      <c r="AB37" s="9">
        <f t="shared" si="115"/>
        <v>0.2546300981682017</v>
      </c>
      <c r="AC37" s="9">
        <f t="shared" si="115"/>
        <v>0.22812639074321317</v>
      </c>
      <c r="AD37" s="9">
        <f t="shared" si="115"/>
        <v>0.14318162698746528</v>
      </c>
      <c r="AE37" s="9">
        <f t="shared" si="115"/>
        <v>0.1053611606796494</v>
      </c>
      <c r="AF37" s="9">
        <f t="shared" si="115"/>
        <v>0.20948616600790504</v>
      </c>
      <c r="AG37" s="9">
        <f t="shared" si="115"/>
        <v>0.20285548630236261</v>
      </c>
      <c r="AH37" s="9">
        <f t="shared" si="115"/>
        <v>0.16726764294650076</v>
      </c>
      <c r="AI37" s="9">
        <f t="shared" si="115"/>
        <v>0.21555415175124581</v>
      </c>
      <c r="AJ37" s="9">
        <f t="shared" si="115"/>
        <v>0.12111511271175135</v>
      </c>
      <c r="AK37" s="9">
        <f t="shared" si="115"/>
        <v>2.8499126348135118E-2</v>
      </c>
      <c r="AL37" s="9">
        <f t="shared" si="115"/>
        <v>-3.9717563989408733E-3</v>
      </c>
      <c r="AM37" s="9">
        <f t="shared" si="115"/>
        <v>-3.6320591292297033E-2</v>
      </c>
      <c r="AN37" s="9">
        <f t="shared" si="115"/>
        <v>-4.1879833432480695E-2</v>
      </c>
      <c r="AO37" s="9">
        <f t="shared" si="115"/>
        <v>-5.0087873462214438E-2</v>
      </c>
      <c r="AP37" s="9">
        <f t="shared" si="115"/>
        <v>-9.8107475156655521E-2</v>
      </c>
      <c r="AQ37" s="9">
        <f t="shared" si="115"/>
        <v>-7.1903649110192092E-3</v>
      </c>
      <c r="AR37" s="9">
        <f t="shared" si="115"/>
        <v>9.5119831118837705E-2</v>
      </c>
      <c r="AS37" s="9">
        <f t="shared" si="115"/>
        <v>0.17995683009559049</v>
      </c>
      <c r="AT37" s="17">
        <f t="shared" si="115"/>
        <v>0.22219103094954029</v>
      </c>
      <c r="AU37" s="9">
        <f t="shared" ref="AU37" si="116">AU4/AQ4-1</f>
        <v>0.14671977789848523</v>
      </c>
      <c r="AV37" s="9">
        <f t="shared" ref="AV37" si="117">AV4/AR4-1</f>
        <v>0.13958498695997279</v>
      </c>
      <c r="AW37" s="9">
        <f t="shared" ref="AW37" si="118">AW4/AS4-1</f>
        <v>0.123712956671719</v>
      </c>
      <c r="BC37" s="9"/>
      <c r="BD37" s="9">
        <f>BD4/BC4-1</f>
        <v>-0.19397209847106311</v>
      </c>
      <c r="BE37" s="9">
        <f t="shared" ref="BE37:BN37" si="119">BE4/BD4-1</f>
        <v>0.17969743363520774</v>
      </c>
      <c r="BF37" s="9">
        <f t="shared" si="119"/>
        <v>0.20368659539835465</v>
      </c>
      <c r="BG37" s="9">
        <f t="shared" si="119"/>
        <v>-1.6848799385987379E-2</v>
      </c>
      <c r="BH37" s="9">
        <f t="shared" si="119"/>
        <v>-0.22401486988847585</v>
      </c>
      <c r="BI37" s="9">
        <f t="shared" si="119"/>
        <v>0.2209207626712657</v>
      </c>
      <c r="BJ37" s="9">
        <f t="shared" si="119"/>
        <v>0.16589825587098539</v>
      </c>
      <c r="BK37" s="9">
        <f t="shared" si="119"/>
        <v>0.12844330018341821</v>
      </c>
      <c r="BL37" s="9">
        <f t="shared" si="119"/>
        <v>-3.3566954965702389E-2</v>
      </c>
      <c r="BM37" s="17">
        <f t="shared" si="119"/>
        <v>4.2895276890555278E-2</v>
      </c>
      <c r="BN37" s="9">
        <f t="shared" si="119"/>
        <v>0.15425587003802388</v>
      </c>
      <c r="BO37" s="9">
        <f t="shared" ref="BO37:BS37" si="120">BO4/BN4-1</f>
        <v>1.5189386656412118E-2</v>
      </c>
      <c r="BP37" s="9">
        <f t="shared" si="120"/>
        <v>5.4292929292929282E-2</v>
      </c>
      <c r="BQ37" s="9">
        <f t="shared" si="120"/>
        <v>4.6706586826347207E-2</v>
      </c>
      <c r="BR37" s="9">
        <f t="shared" si="120"/>
        <v>4.0045766590389054E-2</v>
      </c>
      <c r="BS37" s="9">
        <f t="shared" si="120"/>
        <v>3.5203520352035111E-2</v>
      </c>
    </row>
    <row r="39" spans="1:71" x14ac:dyDescent="0.25">
      <c r="A39" s="3" t="s">
        <v>184</v>
      </c>
    </row>
    <row r="40" spans="1:71" x14ac:dyDescent="0.25">
      <c r="A40" s="4" t="s">
        <v>13</v>
      </c>
      <c r="B40" s="10">
        <f>B2/B$4</f>
        <v>0.94166273027869629</v>
      </c>
      <c r="C40" s="10">
        <f t="shared" ref="C40:AT46" si="121">C2/C$4</f>
        <v>0.94040756677762438</v>
      </c>
      <c r="D40" s="10">
        <f t="shared" si="121"/>
        <v>0.93824119686188656</v>
      </c>
      <c r="E40" s="10">
        <f t="shared" si="121"/>
        <v>0.93981403212172443</v>
      </c>
      <c r="F40" s="10">
        <f t="shared" si="121"/>
        <v>0.92802029383786067</v>
      </c>
      <c r="G40" s="10">
        <f t="shared" si="121"/>
        <v>0.93260491200928253</v>
      </c>
      <c r="H40" s="10">
        <f t="shared" si="121"/>
        <v>0.9239082969432314</v>
      </c>
      <c r="I40" s="10">
        <f t="shared" si="121"/>
        <v>0.92803425945268436</v>
      </c>
      <c r="J40" s="10">
        <f t="shared" si="121"/>
        <v>0.92954591732844638</v>
      </c>
      <c r="K40" s="10">
        <f t="shared" si="121"/>
        <v>0.93892860294766567</v>
      </c>
      <c r="L40" s="10">
        <f t="shared" si="121"/>
        <v>0.93866643301498287</v>
      </c>
      <c r="M40" s="10">
        <f t="shared" si="121"/>
        <v>0.94556451612903225</v>
      </c>
      <c r="N40" s="10">
        <f t="shared" si="121"/>
        <v>0.9448635197138191</v>
      </c>
      <c r="O40" s="10">
        <f t="shared" si="121"/>
        <v>0.94775533509385479</v>
      </c>
      <c r="P40" s="10">
        <f t="shared" si="121"/>
        <v>0.9447076239822354</v>
      </c>
      <c r="Q40" s="10">
        <f t="shared" si="121"/>
        <v>0.95035559894017574</v>
      </c>
      <c r="R40" s="10">
        <f t="shared" si="121"/>
        <v>0.94489826229021234</v>
      </c>
      <c r="S40" s="10">
        <f t="shared" si="121"/>
        <v>0.94726995565410199</v>
      </c>
      <c r="T40" s="10">
        <f t="shared" si="121"/>
        <v>0.93854836181219625</v>
      </c>
      <c r="U40" s="10">
        <f t="shared" si="121"/>
        <v>0.94233110164333533</v>
      </c>
      <c r="V40" s="10">
        <f t="shared" si="121"/>
        <v>0.93220498354489889</v>
      </c>
      <c r="W40" s="10">
        <f t="shared" si="121"/>
        <v>0.93127938381514452</v>
      </c>
      <c r="X40" s="10">
        <f t="shared" si="121"/>
        <v>0.93391357150086018</v>
      </c>
      <c r="Y40" s="10">
        <f t="shared" si="121"/>
        <v>0.94080996884735202</v>
      </c>
      <c r="Z40" s="10">
        <f t="shared" si="121"/>
        <v>0.94144864137292839</v>
      </c>
      <c r="AA40" s="10">
        <f t="shared" si="121"/>
        <v>0.94600046551322836</v>
      </c>
      <c r="AB40" s="10">
        <f t="shared" si="121"/>
        <v>0.94434137291280151</v>
      </c>
      <c r="AC40" s="10">
        <f t="shared" si="121"/>
        <v>0.94919553558486736</v>
      </c>
      <c r="AD40" s="10">
        <f t="shared" si="121"/>
        <v>0.94826698064611081</v>
      </c>
      <c r="AE40" s="10">
        <f t="shared" si="121"/>
        <v>0.95030532743735519</v>
      </c>
      <c r="AF40" s="10">
        <f t="shared" si="121"/>
        <v>0.95224756569294389</v>
      </c>
      <c r="AG40" s="10">
        <f t="shared" si="121"/>
        <v>0.9562571549075134</v>
      </c>
      <c r="AH40" s="10">
        <f t="shared" si="121"/>
        <v>0.9518976169461606</v>
      </c>
      <c r="AI40" s="10">
        <f t="shared" si="121"/>
        <v>0.95536436078069065</v>
      </c>
      <c r="AJ40" s="10">
        <f t="shared" si="121"/>
        <v>0.95110053539559791</v>
      </c>
      <c r="AK40" s="10">
        <f t="shared" si="121"/>
        <v>0.95120093731693034</v>
      </c>
      <c r="AL40" s="10">
        <f t="shared" si="121"/>
        <v>0.94689537312488137</v>
      </c>
      <c r="AM40" s="10">
        <f t="shared" si="121"/>
        <v>0.94912816825453894</v>
      </c>
      <c r="AN40" s="10">
        <f t="shared" si="121"/>
        <v>0.94567242021606857</v>
      </c>
      <c r="AO40" s="10">
        <f t="shared" si="121"/>
        <v>0.94554424915201973</v>
      </c>
      <c r="AP40" s="10">
        <f t="shared" si="121"/>
        <v>0.93887290336163942</v>
      </c>
      <c r="AQ40" s="10">
        <f t="shared" si="121"/>
        <v>0.94598346309372927</v>
      </c>
      <c r="AR40" s="10">
        <f t="shared" si="121"/>
        <v>0.94829345730808479</v>
      </c>
      <c r="AS40" s="10">
        <f t="shared" si="121"/>
        <v>0.95134061569016881</v>
      </c>
      <c r="AT40" s="18">
        <f t="shared" si="121"/>
        <v>0.94590869939707145</v>
      </c>
      <c r="AU40" s="10">
        <f t="shared" ref="AU40:AW42" si="122">AU2/AU$4</f>
        <v>1</v>
      </c>
      <c r="AV40" s="10">
        <f t="shared" si="122"/>
        <v>1</v>
      </c>
      <c r="AW40" s="10">
        <f t="shared" si="122"/>
        <v>1</v>
      </c>
      <c r="BC40" s="10">
        <f t="shared" ref="BC40" si="123">BC2/BC$4</f>
        <v>0.94009746711007924</v>
      </c>
      <c r="BD40" s="10">
        <f t="shared" ref="BD40:BS56" si="124">BD2/BD$4</f>
        <v>0.92827672107325432</v>
      </c>
      <c r="BE40" s="10">
        <f t="shared" si="124"/>
        <v>0.93871805023976063</v>
      </c>
      <c r="BF40" s="10">
        <f t="shared" si="124"/>
        <v>0.94700486093344538</v>
      </c>
      <c r="BG40" s="10">
        <f t="shared" si="124"/>
        <v>0.94340148698884763</v>
      </c>
      <c r="BH40" s="10">
        <f t="shared" si="124"/>
        <v>0.93470345884832806</v>
      </c>
      <c r="BI40" s="10">
        <f t="shared" si="124"/>
        <v>0.94540032567538401</v>
      </c>
      <c r="BJ40" s="10">
        <f t="shared" si="124"/>
        <v>0.95199151900651224</v>
      </c>
      <c r="BK40" s="10">
        <f t="shared" si="124"/>
        <v>0.95241574709215626</v>
      </c>
      <c r="BL40" s="10">
        <f t="shared" si="124"/>
        <v>0.94682837260257058</v>
      </c>
      <c r="BM40" s="18">
        <f t="shared" si="124"/>
        <v>0.94660373729453018</v>
      </c>
      <c r="BN40" s="10">
        <f t="shared" si="124"/>
        <v>0.98792539896173814</v>
      </c>
      <c r="BO40" s="10">
        <f t="shared" ref="BO40:BS40" si="125">BO2/BO$4</f>
        <v>1</v>
      </c>
      <c r="BP40" s="10">
        <f t="shared" si="125"/>
        <v>1</v>
      </c>
      <c r="BQ40" s="10">
        <f t="shared" si="125"/>
        <v>1</v>
      </c>
      <c r="BR40" s="10">
        <f t="shared" si="125"/>
        <v>1</v>
      </c>
      <c r="BS40" s="10">
        <f t="shared" si="125"/>
        <v>1</v>
      </c>
    </row>
    <row r="41" spans="1:71" x14ac:dyDescent="0.25">
      <c r="A41" s="4" t="s">
        <v>14</v>
      </c>
      <c r="B41" s="10">
        <f t="shared" ref="B41:Q58" si="126">B3/B$4</f>
        <v>5.8337269721303729E-2</v>
      </c>
      <c r="C41" s="10">
        <f t="shared" si="126"/>
        <v>5.9592433222375576E-2</v>
      </c>
      <c r="D41" s="10">
        <f t="shared" si="126"/>
        <v>6.175880313811348E-2</v>
      </c>
      <c r="E41" s="10">
        <f t="shared" si="126"/>
        <v>6.018596787827557E-2</v>
      </c>
      <c r="F41" s="10">
        <f t="shared" si="126"/>
        <v>7.1979706162139306E-2</v>
      </c>
      <c r="G41" s="10">
        <f t="shared" si="126"/>
        <v>6.7395087990717459E-2</v>
      </c>
      <c r="H41" s="10">
        <f t="shared" si="126"/>
        <v>7.6091703056768559E-2</v>
      </c>
      <c r="I41" s="10">
        <f t="shared" si="126"/>
        <v>7.1965740547315651E-2</v>
      </c>
      <c r="J41" s="10">
        <f t="shared" si="126"/>
        <v>7.0454082671553661E-2</v>
      </c>
      <c r="K41" s="10">
        <f t="shared" si="126"/>
        <v>6.1071397052334303E-2</v>
      </c>
      <c r="L41" s="10">
        <f t="shared" si="126"/>
        <v>6.1333566985017088E-2</v>
      </c>
      <c r="M41" s="10">
        <f t="shared" si="126"/>
        <v>5.4435483870967742E-2</v>
      </c>
      <c r="N41" s="10">
        <f t="shared" si="126"/>
        <v>5.5136480286180886E-2</v>
      </c>
      <c r="O41" s="10">
        <f t="shared" si="126"/>
        <v>5.2244664906145169E-2</v>
      </c>
      <c r="P41" s="10">
        <f t="shared" si="126"/>
        <v>5.529237601776462E-2</v>
      </c>
      <c r="Q41" s="10">
        <f t="shared" si="126"/>
        <v>4.9644401059824289E-2</v>
      </c>
      <c r="R41" s="10">
        <f t="shared" si="121"/>
        <v>5.5101737709787615E-2</v>
      </c>
      <c r="S41" s="10">
        <f t="shared" si="121"/>
        <v>5.2730044345898001E-2</v>
      </c>
      <c r="T41" s="10">
        <f t="shared" si="121"/>
        <v>6.1451638187803734E-2</v>
      </c>
      <c r="U41" s="10">
        <f t="shared" si="121"/>
        <v>5.7668898356664638E-2</v>
      </c>
      <c r="V41" s="10">
        <f t="shared" si="121"/>
        <v>6.7795016455101081E-2</v>
      </c>
      <c r="W41" s="10">
        <f t="shared" si="121"/>
        <v>6.8720616184855463E-2</v>
      </c>
      <c r="X41" s="10">
        <f t="shared" si="121"/>
        <v>6.608642849913976E-2</v>
      </c>
      <c r="Y41" s="10">
        <f t="shared" si="121"/>
        <v>5.9190031152647975E-2</v>
      </c>
      <c r="Z41" s="10">
        <f t="shared" si="121"/>
        <v>5.8551358627071594E-2</v>
      </c>
      <c r="AA41" s="10">
        <f t="shared" si="121"/>
        <v>5.3999534486771666E-2</v>
      </c>
      <c r="AB41" s="10">
        <f t="shared" si="121"/>
        <v>5.5658627087198514E-2</v>
      </c>
      <c r="AC41" s="10">
        <f t="shared" si="121"/>
        <v>5.080446441513263E-2</v>
      </c>
      <c r="AD41" s="10">
        <f t="shared" si="121"/>
        <v>5.1733019353889173E-2</v>
      </c>
      <c r="AE41" s="10">
        <f t="shared" si="121"/>
        <v>4.9694672562644766E-2</v>
      </c>
      <c r="AF41" s="10">
        <f t="shared" si="121"/>
        <v>4.7752434307056155E-2</v>
      </c>
      <c r="AG41" s="10">
        <f t="shared" si="121"/>
        <v>4.3742845092486597E-2</v>
      </c>
      <c r="AH41" s="10">
        <f t="shared" si="121"/>
        <v>4.8102383053839362E-2</v>
      </c>
      <c r="AI41" s="10">
        <f t="shared" si="121"/>
        <v>4.4635639219309388E-2</v>
      </c>
      <c r="AJ41" s="10">
        <f t="shared" si="121"/>
        <v>4.8899464604402143E-2</v>
      </c>
      <c r="AK41" s="10">
        <f t="shared" si="121"/>
        <v>4.8799062683069716E-2</v>
      </c>
      <c r="AL41" s="10">
        <f t="shared" si="121"/>
        <v>5.3104626875118681E-2</v>
      </c>
      <c r="AM41" s="10">
        <f t="shared" si="121"/>
        <v>5.0871831745461081E-2</v>
      </c>
      <c r="AN41" s="10">
        <f t="shared" si="121"/>
        <v>5.4327579783931455E-2</v>
      </c>
      <c r="AO41" s="10">
        <f t="shared" si="121"/>
        <v>5.4455750847980267E-2</v>
      </c>
      <c r="AP41" s="10">
        <f t="shared" si="121"/>
        <v>6.1127096638360585E-2</v>
      </c>
      <c r="AQ41" s="10">
        <f t="shared" si="121"/>
        <v>5.401653690627075E-2</v>
      </c>
      <c r="AR41" s="10">
        <f t="shared" si="121"/>
        <v>5.1706542691915186E-2</v>
      </c>
      <c r="AS41" s="10">
        <f t="shared" si="121"/>
        <v>4.8659384309831182E-2</v>
      </c>
      <c r="AT41" s="18">
        <f t="shared" si="121"/>
        <v>5.4091300602928508E-2</v>
      </c>
      <c r="AU41" s="10">
        <f t="shared" si="122"/>
        <v>0</v>
      </c>
      <c r="AV41" s="10">
        <f t="shared" si="122"/>
        <v>0</v>
      </c>
      <c r="AW41" s="10">
        <f t="shared" si="122"/>
        <v>0</v>
      </c>
      <c r="BC41" s="10">
        <f t="shared" ref="BC41" si="127">BC3/BC$4</f>
        <v>5.9902532889920729E-2</v>
      </c>
      <c r="BD41" s="10">
        <f t="shared" si="124"/>
        <v>7.1723278926745723E-2</v>
      </c>
      <c r="BE41" s="10">
        <f t="shared" si="124"/>
        <v>6.1281949760239318E-2</v>
      </c>
      <c r="BF41" s="10">
        <f t="shared" si="124"/>
        <v>5.2995139066554585E-2</v>
      </c>
      <c r="BG41" s="10">
        <f t="shared" si="124"/>
        <v>5.6598513011152415E-2</v>
      </c>
      <c r="BH41" s="10">
        <f t="shared" si="124"/>
        <v>6.5296541151671939E-2</v>
      </c>
      <c r="BI41" s="10">
        <f t="shared" si="124"/>
        <v>5.459967432461596E-2</v>
      </c>
      <c r="BJ41" s="10">
        <f t="shared" si="124"/>
        <v>4.8008480993487805E-2</v>
      </c>
      <c r="BK41" s="10">
        <f t="shared" si="124"/>
        <v>4.7584252907843724E-2</v>
      </c>
      <c r="BL41" s="10">
        <f t="shared" si="124"/>
        <v>5.3171627397429366E-2</v>
      </c>
      <c r="BM41" s="18">
        <f t="shared" si="124"/>
        <v>5.3396262705469828E-2</v>
      </c>
      <c r="BN41" s="10">
        <f t="shared" si="124"/>
        <v>1.2074601038261872E-2</v>
      </c>
      <c r="BO41" s="10">
        <v>0</v>
      </c>
      <c r="BP41" s="10">
        <v>0</v>
      </c>
      <c r="BQ41" s="10">
        <v>0</v>
      </c>
      <c r="BR41" s="10">
        <v>0</v>
      </c>
      <c r="BS41" s="10">
        <v>0</v>
      </c>
    </row>
    <row r="42" spans="1:71" s="6" customFormat="1" x14ac:dyDescent="0.25">
      <c r="A42" s="1" t="s">
        <v>15</v>
      </c>
      <c r="B42" s="11">
        <f t="shared" si="126"/>
        <v>1</v>
      </c>
      <c r="C42" s="11">
        <f t="shared" si="121"/>
        <v>1</v>
      </c>
      <c r="D42" s="11">
        <f t="shared" si="121"/>
        <v>1</v>
      </c>
      <c r="E42" s="11">
        <f t="shared" si="121"/>
        <v>1</v>
      </c>
      <c r="F42" s="11">
        <f t="shared" si="121"/>
        <v>1</v>
      </c>
      <c r="G42" s="11">
        <f t="shared" si="121"/>
        <v>1</v>
      </c>
      <c r="H42" s="11">
        <f t="shared" si="121"/>
        <v>1</v>
      </c>
      <c r="I42" s="11">
        <f t="shared" si="121"/>
        <v>1</v>
      </c>
      <c r="J42" s="11">
        <f t="shared" si="121"/>
        <v>1</v>
      </c>
      <c r="K42" s="11">
        <f t="shared" si="121"/>
        <v>1</v>
      </c>
      <c r="L42" s="11">
        <f t="shared" si="121"/>
        <v>1</v>
      </c>
      <c r="M42" s="11">
        <f t="shared" si="121"/>
        <v>1</v>
      </c>
      <c r="N42" s="11">
        <f t="shared" si="121"/>
        <v>1</v>
      </c>
      <c r="O42" s="11">
        <f t="shared" si="121"/>
        <v>1</v>
      </c>
      <c r="P42" s="11">
        <f t="shared" si="121"/>
        <v>1</v>
      </c>
      <c r="Q42" s="11">
        <f t="shared" si="121"/>
        <v>1</v>
      </c>
      <c r="R42" s="11">
        <f t="shared" si="121"/>
        <v>1</v>
      </c>
      <c r="S42" s="11">
        <f t="shared" si="121"/>
        <v>1</v>
      </c>
      <c r="T42" s="11">
        <f t="shared" si="121"/>
        <v>1</v>
      </c>
      <c r="U42" s="11">
        <f t="shared" si="121"/>
        <v>1</v>
      </c>
      <c r="V42" s="11">
        <f t="shared" si="121"/>
        <v>1</v>
      </c>
      <c r="W42" s="11">
        <f t="shared" si="121"/>
        <v>1</v>
      </c>
      <c r="X42" s="11">
        <f t="shared" si="121"/>
        <v>1</v>
      </c>
      <c r="Y42" s="11">
        <f t="shared" si="121"/>
        <v>1</v>
      </c>
      <c r="Z42" s="11">
        <f t="shared" si="121"/>
        <v>1</v>
      </c>
      <c r="AA42" s="11">
        <f t="shared" si="121"/>
        <v>1</v>
      </c>
      <c r="AB42" s="11">
        <f t="shared" si="121"/>
        <v>1</v>
      </c>
      <c r="AC42" s="11">
        <f t="shared" si="121"/>
        <v>1</v>
      </c>
      <c r="AD42" s="11">
        <f t="shared" si="121"/>
        <v>1</v>
      </c>
      <c r="AE42" s="11">
        <f t="shared" si="121"/>
        <v>1</v>
      </c>
      <c r="AF42" s="11">
        <f t="shared" si="121"/>
        <v>1</v>
      </c>
      <c r="AG42" s="11">
        <f t="shared" si="121"/>
        <v>1</v>
      </c>
      <c r="AH42" s="11">
        <f t="shared" si="121"/>
        <v>1</v>
      </c>
      <c r="AI42" s="11">
        <f t="shared" si="121"/>
        <v>1</v>
      </c>
      <c r="AJ42" s="11">
        <f t="shared" si="121"/>
        <v>1</v>
      </c>
      <c r="AK42" s="11">
        <f t="shared" si="121"/>
        <v>1</v>
      </c>
      <c r="AL42" s="11">
        <f t="shared" si="121"/>
        <v>1</v>
      </c>
      <c r="AM42" s="11">
        <f t="shared" si="121"/>
        <v>1</v>
      </c>
      <c r="AN42" s="11">
        <f t="shared" si="121"/>
        <v>1</v>
      </c>
      <c r="AO42" s="11">
        <f t="shared" si="121"/>
        <v>1</v>
      </c>
      <c r="AP42" s="11">
        <f t="shared" si="121"/>
        <v>1</v>
      </c>
      <c r="AQ42" s="11">
        <f t="shared" si="121"/>
        <v>1</v>
      </c>
      <c r="AR42" s="11">
        <f t="shared" si="121"/>
        <v>1</v>
      </c>
      <c r="AS42" s="11">
        <f t="shared" si="121"/>
        <v>1</v>
      </c>
      <c r="AT42" s="19">
        <f t="shared" si="121"/>
        <v>1</v>
      </c>
      <c r="AU42" s="11">
        <f t="shared" si="122"/>
        <v>1</v>
      </c>
      <c r="AV42" s="11">
        <f t="shared" si="122"/>
        <v>1</v>
      </c>
      <c r="AW42" s="11">
        <f t="shared" si="122"/>
        <v>1</v>
      </c>
      <c r="BC42" s="11">
        <f t="shared" ref="BC42" si="128">BC4/BC$4</f>
        <v>1</v>
      </c>
      <c r="BD42" s="11">
        <f t="shared" si="124"/>
        <v>1</v>
      </c>
      <c r="BE42" s="11">
        <f t="shared" si="124"/>
        <v>1</v>
      </c>
      <c r="BF42" s="11">
        <f t="shared" si="124"/>
        <v>1</v>
      </c>
      <c r="BG42" s="11">
        <f t="shared" si="124"/>
        <v>1</v>
      </c>
      <c r="BH42" s="11">
        <f t="shared" si="124"/>
        <v>1</v>
      </c>
      <c r="BI42" s="11">
        <f t="shared" si="124"/>
        <v>1</v>
      </c>
      <c r="BJ42" s="11">
        <f t="shared" si="124"/>
        <v>1</v>
      </c>
      <c r="BK42" s="11">
        <f t="shared" si="124"/>
        <v>1</v>
      </c>
      <c r="BL42" s="11">
        <f t="shared" si="124"/>
        <v>1</v>
      </c>
      <c r="BM42" s="19">
        <f t="shared" si="124"/>
        <v>1</v>
      </c>
      <c r="BN42" s="11">
        <f t="shared" si="124"/>
        <v>1</v>
      </c>
      <c r="BO42" s="11">
        <f t="shared" si="124"/>
        <v>1</v>
      </c>
      <c r="BP42" s="11">
        <f t="shared" si="124"/>
        <v>1</v>
      </c>
      <c r="BQ42" s="11">
        <f t="shared" si="124"/>
        <v>1</v>
      </c>
      <c r="BR42" s="11">
        <f t="shared" si="124"/>
        <v>1</v>
      </c>
      <c r="BS42" s="11">
        <f t="shared" si="124"/>
        <v>1</v>
      </c>
    </row>
    <row r="43" spans="1:71" x14ac:dyDescent="0.25">
      <c r="A43" s="4" t="s">
        <v>16</v>
      </c>
      <c r="B43" s="10">
        <f t="shared" si="126"/>
        <v>0.68965517241379315</v>
      </c>
      <c r="C43" s="10">
        <f t="shared" si="121"/>
        <v>0.70422992611837298</v>
      </c>
      <c r="D43" s="10">
        <f t="shared" si="121"/>
        <v>0.71811713191023541</v>
      </c>
      <c r="E43" s="10">
        <f t="shared" si="121"/>
        <v>0.67514792899408282</v>
      </c>
      <c r="F43" s="10">
        <f t="shared" si="121"/>
        <v>0.72106542648768635</v>
      </c>
      <c r="G43" s="10">
        <f t="shared" si="121"/>
        <v>0.71736608006188363</v>
      </c>
      <c r="H43" s="10">
        <f t="shared" si="121"/>
        <v>0.71255458515283843</v>
      </c>
      <c r="I43" s="10">
        <f t="shared" si="121"/>
        <v>0.75997493210779199</v>
      </c>
      <c r="J43" s="10">
        <f t="shared" si="121"/>
        <v>0.69242516799022602</v>
      </c>
      <c r="K43" s="10">
        <f t="shared" si="121"/>
        <v>0.6897890742211632</v>
      </c>
      <c r="L43" s="10">
        <f t="shared" si="121"/>
        <v>0.67274161044423031</v>
      </c>
      <c r="M43" s="10">
        <f t="shared" si="121"/>
        <v>0.69517679900744422</v>
      </c>
      <c r="N43" s="10">
        <f t="shared" si="121"/>
        <v>0.66614822303445054</v>
      </c>
      <c r="O43" s="10">
        <f t="shared" si="121"/>
        <v>0.67247162943401617</v>
      </c>
      <c r="P43" s="10">
        <f t="shared" si="121"/>
        <v>0.66780162842339008</v>
      </c>
      <c r="Q43" s="10">
        <f t="shared" si="121"/>
        <v>0.69634639520290054</v>
      </c>
      <c r="R43" s="10">
        <f t="shared" si="121"/>
        <v>0.66857270161889204</v>
      </c>
      <c r="S43" s="10">
        <f t="shared" si="121"/>
        <v>0.68881651884700668</v>
      </c>
      <c r="T43" s="10">
        <f t="shared" si="121"/>
        <v>0.67165699952970681</v>
      </c>
      <c r="U43" s="10">
        <f t="shared" si="121"/>
        <v>0.69362446743761408</v>
      </c>
      <c r="V43" s="10">
        <f t="shared" si="121"/>
        <v>0.68321579689703804</v>
      </c>
      <c r="W43" s="10">
        <f t="shared" si="121"/>
        <v>0.71151345403621091</v>
      </c>
      <c r="X43" s="10">
        <f t="shared" si="121"/>
        <v>0.70023276996255435</v>
      </c>
      <c r="Y43" s="10">
        <f t="shared" si="121"/>
        <v>0.69283489096573214</v>
      </c>
      <c r="Z43" s="10">
        <f t="shared" si="121"/>
        <v>0.67401362833347356</v>
      </c>
      <c r="AA43" s="10">
        <f t="shared" si="121"/>
        <v>0.6890371634727287</v>
      </c>
      <c r="AB43" s="10">
        <f t="shared" si="121"/>
        <v>0.6950875211744777</v>
      </c>
      <c r="AC43" s="10">
        <f t="shared" si="121"/>
        <v>0.72496013915060153</v>
      </c>
      <c r="AD43" s="10">
        <f t="shared" si="121"/>
        <v>0.70343660313488854</v>
      </c>
      <c r="AE43" s="10">
        <f t="shared" si="121"/>
        <v>0.70014739945251636</v>
      </c>
      <c r="AF43" s="10">
        <f t="shared" si="121"/>
        <v>0.68040549553154595</v>
      </c>
      <c r="AG43" s="10">
        <f t="shared" si="121"/>
        <v>0.69976501777429656</v>
      </c>
      <c r="AH43" s="10">
        <f t="shared" si="121"/>
        <v>0.63693103013491359</v>
      </c>
      <c r="AI43" s="10">
        <f t="shared" si="121"/>
        <v>0.63893059244716477</v>
      </c>
      <c r="AJ43" s="10">
        <f t="shared" si="121"/>
        <v>0.62956573468173704</v>
      </c>
      <c r="AK43" s="10">
        <f t="shared" si="121"/>
        <v>0.64534270650263625</v>
      </c>
      <c r="AL43" s="10">
        <f t="shared" si="121"/>
        <v>0.61155769352490663</v>
      </c>
      <c r="AM43" s="10">
        <f t="shared" si="121"/>
        <v>0.60818503205704355</v>
      </c>
      <c r="AN43" s="10">
        <f t="shared" si="121"/>
        <v>0.62498447783434741</v>
      </c>
      <c r="AO43" s="10">
        <f t="shared" si="121"/>
        <v>0.63650940487203211</v>
      </c>
      <c r="AP43" s="10">
        <f t="shared" si="121"/>
        <v>0.6291669590848481</v>
      </c>
      <c r="AQ43" s="10">
        <f t="shared" si="121"/>
        <v>0.65224213893415417</v>
      </c>
      <c r="AR43" s="10">
        <f t="shared" si="121"/>
        <v>0.66180972899421708</v>
      </c>
      <c r="AS43" s="10">
        <f t="shared" si="121"/>
        <v>0.6954999216014216</v>
      </c>
      <c r="AT43" s="18">
        <f t="shared" si="121"/>
        <v>0.64921045076083839</v>
      </c>
      <c r="AU43" s="9">
        <f>+AT43-0.3%</f>
        <v>0.64621045076083838</v>
      </c>
      <c r="AV43" s="9">
        <f t="shared" ref="AV43:AW43" si="129">+AU43-0.3%</f>
        <v>0.64321045076083838</v>
      </c>
      <c r="AW43" s="9">
        <f t="shared" si="129"/>
        <v>0.64021045076083838</v>
      </c>
      <c r="BC43" s="10">
        <f t="shared" ref="BC43" si="130">BC5/BC$4</f>
        <v>0.69634602915647026</v>
      </c>
      <c r="BD43" s="10">
        <f t="shared" si="124"/>
        <v>0.72771622077483977</v>
      </c>
      <c r="BE43" s="10">
        <f t="shared" si="124"/>
        <v>0.68760723241388411</v>
      </c>
      <c r="BF43" s="10">
        <f t="shared" si="124"/>
        <v>0.67609005518804133</v>
      </c>
      <c r="BG43" s="10">
        <f t="shared" si="124"/>
        <v>0.68085501858736064</v>
      </c>
      <c r="BH43" s="10">
        <f t="shared" si="124"/>
        <v>0.69660822075308992</v>
      </c>
      <c r="BI43" s="10">
        <f t="shared" si="124"/>
        <v>0.69672951286025386</v>
      </c>
      <c r="BJ43" s="10">
        <f t="shared" si="124"/>
        <v>0.69581166809699291</v>
      </c>
      <c r="BK43" s="10">
        <f t="shared" si="124"/>
        <v>0.63774232031016997</v>
      </c>
      <c r="BL43" s="10">
        <f t="shared" si="124"/>
        <v>0.62026878982857314</v>
      </c>
      <c r="BM43" s="18">
        <f t="shared" si="124"/>
        <v>0.66211957567059732</v>
      </c>
      <c r="BN43" s="10">
        <f t="shared" si="124"/>
        <v>0.64445367321805813</v>
      </c>
      <c r="BO43" s="10">
        <f t="shared" ref="BO43:BS43" si="131">BO5/BO$4</f>
        <v>0</v>
      </c>
      <c r="BP43" s="10">
        <f t="shared" si="131"/>
        <v>0</v>
      </c>
      <c r="BQ43" s="10">
        <f t="shared" si="131"/>
        <v>0</v>
      </c>
      <c r="BR43" s="10">
        <f t="shared" si="131"/>
        <v>0</v>
      </c>
      <c r="BS43" s="10">
        <f t="shared" si="131"/>
        <v>0</v>
      </c>
    </row>
    <row r="44" spans="1:71" x14ac:dyDescent="0.25">
      <c r="A44" s="4" t="s">
        <v>172</v>
      </c>
      <c r="B44" s="10">
        <f t="shared" si="126"/>
        <v>1.1809163911195087E-2</v>
      </c>
      <c r="C44" s="10">
        <f t="shared" si="121"/>
        <v>1.20159129658196E-2</v>
      </c>
      <c r="D44" s="10">
        <f t="shared" si="121"/>
        <v>1.2953840540047437E-2</v>
      </c>
      <c r="E44" s="10">
        <f t="shared" si="121"/>
        <v>1.242603550295858E-2</v>
      </c>
      <c r="F44" s="10">
        <f t="shared" si="121"/>
        <v>1.6065954973047247E-2</v>
      </c>
      <c r="G44" s="10">
        <f t="shared" si="121"/>
        <v>1.4310578224714755E-2</v>
      </c>
      <c r="H44" s="10">
        <f t="shared" si="121"/>
        <v>1.6048034934497815E-2</v>
      </c>
      <c r="I44" s="10">
        <f t="shared" si="121"/>
        <v>1.5562983079172759E-2</v>
      </c>
      <c r="J44" s="10">
        <f t="shared" si="121"/>
        <v>1.6188149053146E-2</v>
      </c>
      <c r="K44" s="10">
        <f t="shared" si="121"/>
        <v>1.4297061159650517E-2</v>
      </c>
      <c r="L44" s="10">
        <f t="shared" si="121"/>
        <v>1.4281959169368265E-2</v>
      </c>
      <c r="M44" s="10">
        <f t="shared" si="121"/>
        <v>1.2562034739454095E-2</v>
      </c>
      <c r="N44" s="10">
        <f t="shared" si="121"/>
        <v>1.2909246442180574E-2</v>
      </c>
      <c r="O44" s="10">
        <f t="shared" si="121"/>
        <v>1.2989793733495111E-2</v>
      </c>
      <c r="P44" s="10">
        <f t="shared" si="121"/>
        <v>1.3693560325684678E-2</v>
      </c>
      <c r="Q44" s="10">
        <f t="shared" si="121"/>
        <v>1.3178078371217403E-2</v>
      </c>
      <c r="R44" s="10">
        <f t="shared" si="121"/>
        <v>1.4109609386603297E-2</v>
      </c>
      <c r="S44" s="10">
        <f t="shared" si="121"/>
        <v>1.3303769401330377E-2</v>
      </c>
      <c r="T44" s="10">
        <f t="shared" si="121"/>
        <v>1.4814234205988399E-2</v>
      </c>
      <c r="U44" s="10">
        <f t="shared" si="121"/>
        <v>1.3922702373706634E-2</v>
      </c>
      <c r="V44" s="10">
        <f t="shared" si="121"/>
        <v>1.6455101081335213E-2</v>
      </c>
      <c r="W44" s="10">
        <f t="shared" si="121"/>
        <v>1.4904471341402421E-2</v>
      </c>
      <c r="X44" s="10">
        <f t="shared" si="121"/>
        <v>1.3864993421718449E-2</v>
      </c>
      <c r="Y44" s="10">
        <f t="shared" si="121"/>
        <v>1.1392968402314197E-2</v>
      </c>
      <c r="Z44" s="10">
        <f t="shared" si="121"/>
        <v>1.0515689408597628E-2</v>
      </c>
      <c r="AA44" s="10">
        <f t="shared" si="121"/>
        <v>8.9999224144619444E-3</v>
      </c>
      <c r="AB44" s="10">
        <f t="shared" si="121"/>
        <v>8.9537791401145435E-3</v>
      </c>
      <c r="AC44" s="10">
        <f t="shared" si="121"/>
        <v>7.4648499782577187E-3</v>
      </c>
      <c r="AD44" s="10">
        <f t="shared" si="121"/>
        <v>7.800426815806903E-3</v>
      </c>
      <c r="AE44" s="10">
        <f t="shared" si="121"/>
        <v>8.4228258580753852E-3</v>
      </c>
      <c r="AF44" s="10">
        <f t="shared" si="121"/>
        <v>1.0070694944644524E-2</v>
      </c>
      <c r="AG44" s="10">
        <f t="shared" si="121"/>
        <v>1.1327348315960715E-2</v>
      </c>
      <c r="AH44" s="10">
        <f t="shared" si="121"/>
        <v>1.3680494263018535E-2</v>
      </c>
      <c r="AI44" s="10">
        <f t="shared" si="121"/>
        <v>1.4147130153597413E-2</v>
      </c>
      <c r="AJ44" s="10">
        <f t="shared" si="121"/>
        <v>1.6656751933372991E-2</v>
      </c>
      <c r="AK44" s="10">
        <f t="shared" si="121"/>
        <v>1.6871704745166961E-2</v>
      </c>
      <c r="AL44" s="10">
        <f t="shared" si="121"/>
        <v>1.8861953288182798E-2</v>
      </c>
      <c r="AM44" s="10">
        <f t="shared" si="121"/>
        <v>1.8814788183833663E-2</v>
      </c>
      <c r="AN44" s="10">
        <f t="shared" si="121"/>
        <v>2.0861790637029677E-2</v>
      </c>
      <c r="AO44" s="10">
        <f t="shared" si="121"/>
        <v>2.0844896700585876E-2</v>
      </c>
      <c r="AP44" s="10">
        <f t="shared" si="121"/>
        <v>2.2878798512176293E-2</v>
      </c>
      <c r="AQ44" s="10">
        <f t="shared" si="121"/>
        <v>2.0278833967046894E-2</v>
      </c>
      <c r="AR44" s="10">
        <f t="shared" si="121"/>
        <v>1.9616736591450277E-2</v>
      </c>
      <c r="AS44" s="10">
        <f t="shared" si="121"/>
        <v>1.834526733915225E-2</v>
      </c>
      <c r="AT44" s="18">
        <f t="shared" si="121"/>
        <v>1.9810508182601206E-2</v>
      </c>
      <c r="AU44" s="10">
        <v>0.02</v>
      </c>
      <c r="AV44" s="10">
        <v>0.02</v>
      </c>
      <c r="AW44" s="10">
        <v>0.02</v>
      </c>
      <c r="BC44" s="10">
        <f t="shared" ref="BC44" si="132">BC6/BC$4</f>
        <v>1.2277509359770764E-2</v>
      </c>
      <c r="BD44" s="10">
        <f t="shared" si="124"/>
        <v>1.5465656382178167E-2</v>
      </c>
      <c r="BE44" s="10">
        <f t="shared" si="124"/>
        <v>1.4209669614183273E-2</v>
      </c>
      <c r="BF44" s="10">
        <f t="shared" si="124"/>
        <v>1.3193962208983589E-2</v>
      </c>
      <c r="BG44" s="10">
        <f t="shared" si="124"/>
        <v>1.4014869888475837E-2</v>
      </c>
      <c r="BH44" s="10">
        <f t="shared" si="124"/>
        <v>1.4108460285522659E-2</v>
      </c>
      <c r="BI44" s="10">
        <f t="shared" si="124"/>
        <v>8.9266445625944164E-3</v>
      </c>
      <c r="BJ44" s="10">
        <f t="shared" si="124"/>
        <v>9.5074629377219118E-3</v>
      </c>
      <c r="BK44" s="10">
        <f t="shared" si="124"/>
        <v>1.5359379660005964E-2</v>
      </c>
      <c r="BL44" s="10">
        <f t="shared" si="124"/>
        <v>1.9842923050810844E-2</v>
      </c>
      <c r="BM44" s="18">
        <f t="shared" si="124"/>
        <v>2.0106822116024797E-2</v>
      </c>
      <c r="BN44" s="10">
        <f t="shared" si="124"/>
        <v>1.9957700442222649E-2</v>
      </c>
      <c r="BO44" s="10">
        <f t="shared" ref="BO44:BS44" si="133">BO6/BO$4</f>
        <v>0</v>
      </c>
      <c r="BP44" s="10">
        <f t="shared" si="133"/>
        <v>0</v>
      </c>
      <c r="BQ44" s="10">
        <f t="shared" si="133"/>
        <v>0</v>
      </c>
      <c r="BR44" s="10">
        <f t="shared" si="133"/>
        <v>0</v>
      </c>
      <c r="BS44" s="10">
        <f t="shared" si="133"/>
        <v>0</v>
      </c>
    </row>
    <row r="45" spans="1:71" s="6" customFormat="1" x14ac:dyDescent="0.25">
      <c r="A45" s="1" t="s">
        <v>173</v>
      </c>
      <c r="B45" s="11">
        <f t="shared" si="126"/>
        <v>0.29853566367501183</v>
      </c>
      <c r="C45" s="11">
        <f t="shared" si="121"/>
        <v>0.28375416091580741</v>
      </c>
      <c r="D45" s="11">
        <f t="shared" si="121"/>
        <v>0.2689290275497172</v>
      </c>
      <c r="E45" s="11">
        <f t="shared" si="121"/>
        <v>0.31242603550295855</v>
      </c>
      <c r="F45" s="11">
        <f t="shared" si="121"/>
        <v>0.26286861853926646</v>
      </c>
      <c r="G45" s="11">
        <f t="shared" si="121"/>
        <v>0.26832334171340166</v>
      </c>
      <c r="H45" s="11">
        <f t="shared" si="121"/>
        <v>0.27139737991266377</v>
      </c>
      <c r="I45" s="11">
        <f t="shared" si="121"/>
        <v>0.22446208481303531</v>
      </c>
      <c r="J45" s="11">
        <f t="shared" si="121"/>
        <v>0.29138668295662795</v>
      </c>
      <c r="K45" s="11">
        <f t="shared" si="121"/>
        <v>0.29591386461918628</v>
      </c>
      <c r="L45" s="11">
        <f t="shared" si="121"/>
        <v>0.31297643038640149</v>
      </c>
      <c r="M45" s="11">
        <f t="shared" si="121"/>
        <v>0.29226116625310172</v>
      </c>
      <c r="N45" s="11">
        <f t="shared" si="121"/>
        <v>0.32094253052336885</v>
      </c>
      <c r="O45" s="11">
        <f t="shared" si="121"/>
        <v>0.31453857683248876</v>
      </c>
      <c r="P45" s="11">
        <f t="shared" si="121"/>
        <v>0.31850481125092522</v>
      </c>
      <c r="Q45" s="11">
        <f t="shared" si="121"/>
        <v>0.29047552642588204</v>
      </c>
      <c r="R45" s="11">
        <f t="shared" si="121"/>
        <v>0.31731768899450469</v>
      </c>
      <c r="S45" s="11">
        <f t="shared" si="121"/>
        <v>0.29787971175166295</v>
      </c>
      <c r="T45" s="11">
        <f t="shared" si="121"/>
        <v>0.31352876626430476</v>
      </c>
      <c r="U45" s="11">
        <f t="shared" si="121"/>
        <v>0.29245283018867924</v>
      </c>
      <c r="V45" s="11">
        <f t="shared" si="121"/>
        <v>0.30032910202162671</v>
      </c>
      <c r="W45" s="11">
        <f t="shared" si="121"/>
        <v>0.27358207462238671</v>
      </c>
      <c r="X45" s="11">
        <f t="shared" si="121"/>
        <v>0.28590223661572717</v>
      </c>
      <c r="Y45" s="11">
        <f t="shared" si="121"/>
        <v>0.29577214063195373</v>
      </c>
      <c r="Z45" s="11">
        <f t="shared" si="121"/>
        <v>0.31547068225792885</v>
      </c>
      <c r="AA45" s="11">
        <f t="shared" si="121"/>
        <v>0.3019629141128094</v>
      </c>
      <c r="AB45" s="11">
        <f t="shared" si="121"/>
        <v>0.29595869968540778</v>
      </c>
      <c r="AC45" s="11">
        <f t="shared" si="121"/>
        <v>0.26757501087114077</v>
      </c>
      <c r="AD45" s="11">
        <f t="shared" si="121"/>
        <v>0.28876297004930457</v>
      </c>
      <c r="AE45" s="11">
        <f t="shared" si="121"/>
        <v>0.29142977468940828</v>
      </c>
      <c r="AF45" s="11">
        <f t="shared" si="121"/>
        <v>0.30952380952380953</v>
      </c>
      <c r="AG45" s="11">
        <f t="shared" si="121"/>
        <v>0.28890763390974272</v>
      </c>
      <c r="AH45" s="11">
        <f t="shared" si="121"/>
        <v>0.34938847560206782</v>
      </c>
      <c r="AI45" s="11">
        <f t="shared" si="121"/>
        <v>0.34692227739923781</v>
      </c>
      <c r="AJ45" s="11">
        <f t="shared" si="121"/>
        <v>0.35377751338488994</v>
      </c>
      <c r="AK45" s="11">
        <f t="shared" si="121"/>
        <v>0.33778558875219683</v>
      </c>
      <c r="AL45" s="11">
        <f t="shared" si="121"/>
        <v>0.36958035318691057</v>
      </c>
      <c r="AM45" s="11">
        <f t="shared" si="121"/>
        <v>0.37300017975912275</v>
      </c>
      <c r="AN45" s="11">
        <f t="shared" si="121"/>
        <v>0.35415373152862289</v>
      </c>
      <c r="AO45" s="11">
        <f t="shared" si="121"/>
        <v>0.34264569842738207</v>
      </c>
      <c r="AP45" s="11">
        <f t="shared" si="121"/>
        <v>0.34795424240297562</v>
      </c>
      <c r="AQ45" s="11">
        <f t="shared" si="121"/>
        <v>0.32747902709879895</v>
      </c>
      <c r="AR45" s="11">
        <f t="shared" si="121"/>
        <v>0.31857353441433267</v>
      </c>
      <c r="AS45" s="11">
        <f t="shared" si="121"/>
        <v>0.28615481105942614</v>
      </c>
      <c r="AT45" s="19">
        <f t="shared" si="121"/>
        <v>0.33097904105656045</v>
      </c>
      <c r="AU45" s="11">
        <f t="shared" ref="AU45:AW45" si="134">AU7/AU$4</f>
        <v>0.3337895492391616</v>
      </c>
      <c r="AV45" s="11">
        <f t="shared" si="134"/>
        <v>0.33678954923916166</v>
      </c>
      <c r="AW45" s="11">
        <f t="shared" si="134"/>
        <v>0.3397895492391616</v>
      </c>
      <c r="BC45" s="11">
        <f t="shared" ref="BC45" si="135">BC7/BC$4</f>
        <v>0.29137646148375895</v>
      </c>
      <c r="BD45" s="11">
        <f t="shared" si="124"/>
        <v>0.25681812284298206</v>
      </c>
      <c r="BE45" s="11">
        <f t="shared" si="124"/>
        <v>0.2981830979719326</v>
      </c>
      <c r="BF45" s="11">
        <f t="shared" si="124"/>
        <v>0.31071598260297506</v>
      </c>
      <c r="BG45" s="11">
        <f t="shared" si="124"/>
        <v>0.30513011152416358</v>
      </c>
      <c r="BH45" s="11">
        <f t="shared" si="124"/>
        <v>0.28928331896138737</v>
      </c>
      <c r="BI45" s="11">
        <f t="shared" si="124"/>
        <v>0.29434384257715174</v>
      </c>
      <c r="BJ45" s="11">
        <f t="shared" si="124"/>
        <v>0.29468086896528511</v>
      </c>
      <c r="BK45" s="11">
        <f t="shared" si="124"/>
        <v>0.34689830002982402</v>
      </c>
      <c r="BL45" s="11">
        <f t="shared" si="124"/>
        <v>0.35988828712061599</v>
      </c>
      <c r="BM45" s="19">
        <f t="shared" si="124"/>
        <v>0.31777360221337791</v>
      </c>
      <c r="BN45" s="11">
        <f t="shared" si="124"/>
        <v>0.3355886263397192</v>
      </c>
      <c r="BO45" s="11">
        <f t="shared" ref="BO45:BS45" si="136">BO7/BO$4</f>
        <v>0</v>
      </c>
      <c r="BP45" s="11">
        <f t="shared" si="136"/>
        <v>0</v>
      </c>
      <c r="BQ45" s="11">
        <f t="shared" si="136"/>
        <v>0</v>
      </c>
      <c r="BR45" s="11">
        <f t="shared" si="136"/>
        <v>0</v>
      </c>
      <c r="BS45" s="11">
        <f t="shared" si="136"/>
        <v>0</v>
      </c>
    </row>
    <row r="46" spans="1:71" x14ac:dyDescent="0.25">
      <c r="A46" s="4" t="s">
        <v>170</v>
      </c>
      <c r="B46" s="10">
        <f t="shared" si="126"/>
        <v>9.833097150055109E-2</v>
      </c>
      <c r="C46" s="10">
        <f t="shared" si="121"/>
        <v>0.10700657627669075</v>
      </c>
      <c r="D46" s="10">
        <f t="shared" si="121"/>
        <v>0.10299215471629265</v>
      </c>
      <c r="E46" s="10">
        <f t="shared" si="121"/>
        <v>0.10710059171597633</v>
      </c>
      <c r="F46" s="10">
        <f t="shared" si="121"/>
        <v>0.11499841454391713</v>
      </c>
      <c r="G46" s="10">
        <f t="shared" si="121"/>
        <v>0.10858634693482885</v>
      </c>
      <c r="H46" s="10">
        <f t="shared" si="121"/>
        <v>0.10829694323144105</v>
      </c>
      <c r="I46" s="10">
        <f t="shared" ref="C46:AT51" si="137">I8/I$4</f>
        <v>0.15489868393565909</v>
      </c>
      <c r="J46" s="10">
        <f t="shared" si="137"/>
        <v>0.10802280594583588</v>
      </c>
      <c r="K46" s="10">
        <f t="shared" si="137"/>
        <v>0.11508251698879181</v>
      </c>
      <c r="L46" s="10">
        <f t="shared" si="137"/>
        <v>0.10987470428458775</v>
      </c>
      <c r="M46" s="10">
        <f t="shared" si="137"/>
        <v>0.1245347394540943</v>
      </c>
      <c r="N46" s="10">
        <f t="shared" si="137"/>
        <v>9.9230111206159113E-2</v>
      </c>
      <c r="O46" s="10">
        <f t="shared" si="137"/>
        <v>0.10277638997930198</v>
      </c>
      <c r="P46" s="10">
        <f t="shared" si="137"/>
        <v>9.6150999259807551E-2</v>
      </c>
      <c r="Q46" s="10">
        <f t="shared" si="137"/>
        <v>0.10200808813275694</v>
      </c>
      <c r="R46" s="10">
        <f t="shared" si="137"/>
        <v>9.7950393583840778E-2</v>
      </c>
      <c r="S46" s="10">
        <f t="shared" si="137"/>
        <v>9.0701219512195119E-2</v>
      </c>
      <c r="T46" s="10">
        <f t="shared" si="137"/>
        <v>9.8056121649161304E-2</v>
      </c>
      <c r="U46" s="10">
        <f t="shared" si="137"/>
        <v>9.7611077297626289E-2</v>
      </c>
      <c r="V46" s="10">
        <f t="shared" si="137"/>
        <v>0.10540667606958157</v>
      </c>
      <c r="W46" s="10">
        <f t="shared" si="137"/>
        <v>0.11793538061418425</v>
      </c>
      <c r="X46" s="10">
        <f t="shared" si="137"/>
        <v>0.1139560773201093</v>
      </c>
      <c r="Y46" s="10">
        <f t="shared" si="137"/>
        <v>0.10823319982198487</v>
      </c>
      <c r="Z46" s="10">
        <f t="shared" si="137"/>
        <v>0.10423151341801969</v>
      </c>
      <c r="AA46" s="10">
        <f t="shared" si="137"/>
        <v>0.10582667390798355</v>
      </c>
      <c r="AB46" s="10">
        <f t="shared" si="137"/>
        <v>0.10809066709687827</v>
      </c>
      <c r="AC46" s="10">
        <f t="shared" si="137"/>
        <v>0.10305841426293666</v>
      </c>
      <c r="AD46" s="10">
        <f t="shared" si="137"/>
        <v>9.9050702774302751E-2</v>
      </c>
      <c r="AE46" s="10">
        <f t="shared" si="137"/>
        <v>0.10002105706464519</v>
      </c>
      <c r="AF46" s="10">
        <f t="shared" si="137"/>
        <v>9.3437374949979987E-2</v>
      </c>
      <c r="AG46" s="10">
        <f t="shared" si="137"/>
        <v>8.9112490209073927E-2</v>
      </c>
      <c r="AH46" s="10">
        <f t="shared" si="137"/>
        <v>9.2233009708737865E-2</v>
      </c>
      <c r="AI46" s="10">
        <f t="shared" si="137"/>
        <v>8.8231897447742236E-2</v>
      </c>
      <c r="AJ46" s="10">
        <f t="shared" si="137"/>
        <v>9.660916121356336E-2</v>
      </c>
      <c r="AK46" s="10">
        <f t="shared" si="137"/>
        <v>0.1028705330990041</v>
      </c>
      <c r="AL46" s="10">
        <f t="shared" si="137"/>
        <v>9.9816444078739158E-2</v>
      </c>
      <c r="AM46" s="10">
        <f t="shared" si="137"/>
        <v>9.8987356941698121E-2</v>
      </c>
      <c r="AN46" s="10">
        <f t="shared" si="137"/>
        <v>0.10362597789643611</v>
      </c>
      <c r="AO46" s="10">
        <f t="shared" si="137"/>
        <v>0.10909651557200123</v>
      </c>
      <c r="AP46" s="10">
        <f t="shared" si="137"/>
        <v>0.11179731911011299</v>
      </c>
      <c r="AQ46" s="10">
        <f t="shared" si="137"/>
        <v>0.1022391212505281</v>
      </c>
      <c r="AR46" s="10">
        <f t="shared" si="137"/>
        <v>0.10329969384283932</v>
      </c>
      <c r="AS46" s="10">
        <f t="shared" si="137"/>
        <v>9.8050488684471859E-2</v>
      </c>
      <c r="AT46" s="18">
        <f t="shared" si="137"/>
        <v>0.1042779213321849</v>
      </c>
      <c r="AU46" s="10">
        <f>AT46</f>
        <v>0.1042779213321849</v>
      </c>
      <c r="AV46" s="10">
        <f t="shared" ref="AV46:AW46" si="138">AU46</f>
        <v>0.1042779213321849</v>
      </c>
      <c r="AW46" s="10">
        <f t="shared" si="138"/>
        <v>0.1042779213321849</v>
      </c>
      <c r="BC46" s="10">
        <f t="shared" ref="BC46" si="139">BC8/BC$4</f>
        <v>0.10380456380330887</v>
      </c>
      <c r="BD46" s="10">
        <f t="shared" si="124"/>
        <v>0.12159742585048136</v>
      </c>
      <c r="BE46" s="10">
        <f t="shared" si="124"/>
        <v>0.11493115129118825</v>
      </c>
      <c r="BF46" s="10">
        <f t="shared" si="124"/>
        <v>0.10010599027813311</v>
      </c>
      <c r="BG46" s="10">
        <f t="shared" si="124"/>
        <v>9.5947955390334572E-2</v>
      </c>
      <c r="BH46" s="10">
        <f t="shared" si="124"/>
        <v>0.11119095525534158</v>
      </c>
      <c r="BI46" s="10">
        <f t="shared" si="124"/>
        <v>0.10525592984245943</v>
      </c>
      <c r="BJ46" s="10">
        <f t="shared" si="124"/>
        <v>9.5091456745250477E-2</v>
      </c>
      <c r="BK46" s="10">
        <f t="shared" si="124"/>
        <v>9.5004473605726211E-2</v>
      </c>
      <c r="BL46" s="10">
        <f t="shared" si="124"/>
        <v>0.10287151475875264</v>
      </c>
      <c r="BM46" s="18">
        <f t="shared" si="124"/>
        <v>0.103345218896566</v>
      </c>
      <c r="BN46" s="10">
        <f t="shared" si="124"/>
        <v>0.10427792133218489</v>
      </c>
      <c r="BO46" s="10">
        <f t="shared" ref="BO46:BS46" si="140">BO8/BO$4</f>
        <v>0</v>
      </c>
      <c r="BP46" s="10">
        <f t="shared" si="140"/>
        <v>0</v>
      </c>
      <c r="BQ46" s="10">
        <f t="shared" si="140"/>
        <v>0</v>
      </c>
      <c r="BR46" s="10">
        <f t="shared" si="140"/>
        <v>0</v>
      </c>
      <c r="BS46" s="10">
        <f t="shared" si="140"/>
        <v>0</v>
      </c>
    </row>
    <row r="47" spans="1:71" x14ac:dyDescent="0.25">
      <c r="A47" s="4" t="s">
        <v>171</v>
      </c>
      <c r="B47" s="10">
        <f t="shared" si="126"/>
        <v>4.1253345929774837E-2</v>
      </c>
      <c r="C47" s="10">
        <f t="shared" si="137"/>
        <v>4.1406186571405372E-2</v>
      </c>
      <c r="D47" s="10">
        <f t="shared" si="137"/>
        <v>4.6798029556650245E-2</v>
      </c>
      <c r="E47" s="10">
        <f t="shared" si="137"/>
        <v>4.2857142857142858E-2</v>
      </c>
      <c r="F47" s="10">
        <f t="shared" si="137"/>
        <v>5.3694112673078956E-2</v>
      </c>
      <c r="G47" s="10">
        <f t="shared" si="137"/>
        <v>4.5252368980854767E-2</v>
      </c>
      <c r="H47" s="10">
        <f t="shared" si="137"/>
        <v>4.9454148471615722E-2</v>
      </c>
      <c r="I47" s="10">
        <f t="shared" si="137"/>
        <v>5.4522665552538124E-2</v>
      </c>
      <c r="J47" s="10">
        <f t="shared" si="137"/>
        <v>4.3270209733251887E-2</v>
      </c>
      <c r="K47" s="10">
        <f t="shared" si="137"/>
        <v>4.0420086488394673E-2</v>
      </c>
      <c r="L47" s="10">
        <f t="shared" si="137"/>
        <v>4.0392534828704106E-2</v>
      </c>
      <c r="M47" s="10">
        <f t="shared" si="137"/>
        <v>4.4897642679900741E-2</v>
      </c>
      <c r="N47" s="10">
        <f t="shared" si="137"/>
        <v>3.4450579360759001E-2</v>
      </c>
      <c r="O47" s="10">
        <f t="shared" si="137"/>
        <v>3.2974091785026048E-2</v>
      </c>
      <c r="P47" s="10">
        <f t="shared" si="137"/>
        <v>3.5455218356772761E-2</v>
      </c>
      <c r="Q47" s="10">
        <f t="shared" si="137"/>
        <v>3.2491981592525448E-2</v>
      </c>
      <c r="R47" s="10">
        <f t="shared" si="137"/>
        <v>3.2303579385118075E-2</v>
      </c>
      <c r="S47" s="10">
        <f t="shared" si="137"/>
        <v>3.0557095343680708E-2</v>
      </c>
      <c r="T47" s="10">
        <f t="shared" si="137"/>
        <v>3.3782724564978835E-2</v>
      </c>
      <c r="U47" s="10">
        <f t="shared" si="137"/>
        <v>2.9367011564211808E-2</v>
      </c>
      <c r="V47" s="10">
        <f t="shared" si="137"/>
        <v>3.3474377056887633E-2</v>
      </c>
      <c r="W47" s="10">
        <f t="shared" si="137"/>
        <v>3.4110233069920975E-2</v>
      </c>
      <c r="X47" s="10">
        <f t="shared" si="137"/>
        <v>3.4814290051614211E-2</v>
      </c>
      <c r="Y47" s="10">
        <f t="shared" si="137"/>
        <v>3.3288829550511795E-2</v>
      </c>
      <c r="Z47" s="10">
        <f t="shared" si="137"/>
        <v>3.1462942710524099E-2</v>
      </c>
      <c r="AA47" s="10">
        <f t="shared" si="137"/>
        <v>3.4603149972845061E-2</v>
      </c>
      <c r="AB47" s="10">
        <f t="shared" si="137"/>
        <v>3.4443817052512704E-2</v>
      </c>
      <c r="AC47" s="10">
        <f t="shared" si="137"/>
        <v>3.1816205247137269E-2</v>
      </c>
      <c r="AD47" s="10">
        <f t="shared" si="137"/>
        <v>3.3630142026639193E-2</v>
      </c>
      <c r="AE47" s="10">
        <f t="shared" si="137"/>
        <v>3.3691303432301541E-2</v>
      </c>
      <c r="AF47" s="10">
        <f t="shared" si="137"/>
        <v>3.1746031746031744E-2</v>
      </c>
      <c r="AG47" s="10">
        <f t="shared" si="137"/>
        <v>2.4160992950533228E-2</v>
      </c>
      <c r="AH47" s="10">
        <f t="shared" si="137"/>
        <v>2.9756651115874416E-2</v>
      </c>
      <c r="AI47" s="10">
        <f t="shared" si="137"/>
        <v>3.0488509065711974E-2</v>
      </c>
      <c r="AJ47" s="10">
        <f t="shared" si="137"/>
        <v>3.2956573468173704E-2</v>
      </c>
      <c r="AK47" s="10">
        <f t="shared" si="137"/>
        <v>3.245459871118922E-2</v>
      </c>
      <c r="AL47" s="10">
        <f t="shared" si="137"/>
        <v>3.2913475536426359E-2</v>
      </c>
      <c r="AM47" s="10">
        <f t="shared" si="137"/>
        <v>3.2057043561627419E-2</v>
      </c>
      <c r="AN47" s="10">
        <f t="shared" si="137"/>
        <v>3.309325717124053E-2</v>
      </c>
      <c r="AO47" s="10">
        <f t="shared" si="137"/>
        <v>3.2007400555041629E-2</v>
      </c>
      <c r="AP47" s="10">
        <f t="shared" si="137"/>
        <v>3.3686574496455894E-2</v>
      </c>
      <c r="AQ47" s="10">
        <f t="shared" si="137"/>
        <v>3.325487355905607E-2</v>
      </c>
      <c r="AR47" s="10">
        <f t="shared" si="137"/>
        <v>3.1466152625014177E-2</v>
      </c>
      <c r="AS47" s="10">
        <f t="shared" si="137"/>
        <v>2.9373334030209586E-2</v>
      </c>
      <c r="AT47" s="18">
        <f t="shared" si="137"/>
        <v>3.0835486649440139E-2</v>
      </c>
      <c r="AU47" s="10">
        <f>AT47</f>
        <v>3.0835486649440139E-2</v>
      </c>
      <c r="AV47" s="10">
        <f t="shared" ref="AV47:AW47" si="141">AU47</f>
        <v>3.0835486649440139E-2</v>
      </c>
      <c r="AW47" s="10">
        <f t="shared" si="141"/>
        <v>3.0835486649440139E-2</v>
      </c>
      <c r="BC47" s="10">
        <f t="shared" ref="BC47" si="142">BC9/BC$4</f>
        <v>4.2960824914768568E-2</v>
      </c>
      <c r="BD47" s="10">
        <f t="shared" si="124"/>
        <v>5.0626670472532893E-2</v>
      </c>
      <c r="BE47" s="10">
        <f t="shared" si="124"/>
        <v>4.2299062953675595E-2</v>
      </c>
      <c r="BF47" s="10">
        <f t="shared" si="124"/>
        <v>3.3807243887284823E-2</v>
      </c>
      <c r="BG47" s="10">
        <f t="shared" si="124"/>
        <v>3.1468401486988845E-2</v>
      </c>
      <c r="BH47" s="10">
        <f t="shared" si="124"/>
        <v>3.3893839225831175E-2</v>
      </c>
      <c r="BI47" s="10">
        <f t="shared" si="124"/>
        <v>3.3077632379196011E-2</v>
      </c>
      <c r="BJ47" s="10">
        <f t="shared" si="124"/>
        <v>3.0524845608898312E-2</v>
      </c>
      <c r="BK47" s="10">
        <f t="shared" si="124"/>
        <v>3.143453623620638E-2</v>
      </c>
      <c r="BL47" s="10">
        <f t="shared" si="124"/>
        <v>3.2510916693669088E-2</v>
      </c>
      <c r="BM47" s="18">
        <f t="shared" si="124"/>
        <v>3.178031928272352E-2</v>
      </c>
      <c r="BN47" s="10">
        <f t="shared" si="124"/>
        <v>3.0835486649440143E-2</v>
      </c>
      <c r="BO47" s="10">
        <f t="shared" ref="BO47:BS47" si="143">BO9/BO$4</f>
        <v>0</v>
      </c>
      <c r="BP47" s="10">
        <f t="shared" si="143"/>
        <v>0</v>
      </c>
      <c r="BQ47" s="10">
        <f t="shared" si="143"/>
        <v>0</v>
      </c>
      <c r="BR47" s="10">
        <f t="shared" si="143"/>
        <v>0</v>
      </c>
      <c r="BS47" s="10">
        <f t="shared" si="143"/>
        <v>0</v>
      </c>
    </row>
    <row r="48" spans="1:71" x14ac:dyDescent="0.25">
      <c r="A48" s="4" t="s">
        <v>17</v>
      </c>
      <c r="B48" s="10">
        <f t="shared" si="126"/>
        <v>2.4956699732325619E-2</v>
      </c>
      <c r="C48" s="10">
        <f t="shared" si="137"/>
        <v>2.7116992774214501E-2</v>
      </c>
      <c r="D48" s="10">
        <f t="shared" si="137"/>
        <v>3.4756431308155443E-2</v>
      </c>
      <c r="E48" s="10">
        <f t="shared" si="137"/>
        <v>8.0726965342349952E-2</v>
      </c>
      <c r="F48" s="10">
        <f t="shared" si="137"/>
        <v>4.196173765986682E-2</v>
      </c>
      <c r="G48" s="10">
        <f t="shared" si="137"/>
        <v>3.8580545349062079E-2</v>
      </c>
      <c r="H48" s="10">
        <f t="shared" si="137"/>
        <v>6.1135371179039298E-2</v>
      </c>
      <c r="I48" s="10">
        <f t="shared" si="137"/>
        <v>5.7238353875078335E-2</v>
      </c>
      <c r="J48" s="10">
        <f t="shared" si="137"/>
        <v>0.10140500916310324</v>
      </c>
      <c r="K48" s="10">
        <f t="shared" si="137"/>
        <v>3.5919159827023213E-2</v>
      </c>
      <c r="L48" s="10">
        <f t="shared" si="137"/>
        <v>3.0491544729694207E-2</v>
      </c>
      <c r="M48" s="10">
        <f t="shared" si="137"/>
        <v>3.9081885856079406E-2</v>
      </c>
      <c r="N48" s="10">
        <f t="shared" si="137"/>
        <v>2.332996344972393E-2</v>
      </c>
      <c r="O48" s="10">
        <f t="shared" si="137"/>
        <v>2.4123902647919492E-2</v>
      </c>
      <c r="P48" s="10">
        <f t="shared" si="137"/>
        <v>2.8867505551443375E-2</v>
      </c>
      <c r="Q48" s="10">
        <f t="shared" si="137"/>
        <v>2.4682749965137359E-2</v>
      </c>
      <c r="R48" s="10">
        <f t="shared" si="137"/>
        <v>2.316946383484331E-2</v>
      </c>
      <c r="S48" s="10">
        <f t="shared" si="137"/>
        <v>2.3281596452328159E-2</v>
      </c>
      <c r="T48" s="10">
        <f t="shared" si="137"/>
        <v>2.3357893086690704E-2</v>
      </c>
      <c r="U48" s="10">
        <f t="shared" si="137"/>
        <v>2.4726110772976262E-2</v>
      </c>
      <c r="V48" s="10">
        <f t="shared" si="137"/>
        <v>2.9431123648330983E-2</v>
      </c>
      <c r="W48" s="10">
        <f t="shared" si="137"/>
        <v>4.3112933880164052E-2</v>
      </c>
      <c r="X48" s="10">
        <f t="shared" si="137"/>
        <v>3.7445602671794351E-2</v>
      </c>
      <c r="Y48" s="10">
        <f t="shared" si="137"/>
        <v>3.141967067200712E-2</v>
      </c>
      <c r="Z48" s="10">
        <f t="shared" si="137"/>
        <v>2.7172541431816268E-2</v>
      </c>
      <c r="AA48" s="10">
        <f t="shared" si="137"/>
        <v>2.2732562650321982E-2</v>
      </c>
      <c r="AB48" s="10">
        <f t="shared" si="137"/>
        <v>1.9198193111236588E-2</v>
      </c>
      <c r="AC48" s="10">
        <f t="shared" si="137"/>
        <v>1.5944339759385417E-2</v>
      </c>
      <c r="AD48" s="10">
        <f t="shared" si="137"/>
        <v>1.957465597174185E-2</v>
      </c>
      <c r="AE48" s="10">
        <f t="shared" si="137"/>
        <v>2.1267635291640344E-2</v>
      </c>
      <c r="AF48" s="10">
        <f t="shared" si="137"/>
        <v>2.2609043617446978E-2</v>
      </c>
      <c r="AG48" s="10">
        <f t="shared" si="137"/>
        <v>1.8678074350786288E-2</v>
      </c>
      <c r="AH48" s="10">
        <f t="shared" si="137"/>
        <v>5.5226327070987263E-2</v>
      </c>
      <c r="AI48" s="10">
        <f t="shared" si="137"/>
        <v>1.7323016514609078E-2</v>
      </c>
      <c r="AJ48" s="10">
        <f t="shared" si="137"/>
        <v>1.9036287923854849E-2</v>
      </c>
      <c r="AK48" s="10">
        <f t="shared" si="137"/>
        <v>1.8863503222026949E-2</v>
      </c>
      <c r="AL48" s="10">
        <f t="shared" si="137"/>
        <v>1.4114817393505919E-2</v>
      </c>
      <c r="AM48" s="10">
        <f t="shared" si="137"/>
        <v>3.3315357421055784E-2</v>
      </c>
      <c r="AN48" s="10">
        <f t="shared" si="137"/>
        <v>2.2041475226623617E-2</v>
      </c>
      <c r="AO48" s="10">
        <f t="shared" si="137"/>
        <v>2.1214924452667282E-2</v>
      </c>
      <c r="AP48" s="10">
        <f t="shared" si="137"/>
        <v>2.1475191241490631E-2</v>
      </c>
      <c r="AQ48" s="10">
        <f t="shared" si="137"/>
        <v>1.9373528879232303E-2</v>
      </c>
      <c r="AR48" s="10">
        <f t="shared" si="137"/>
        <v>1.0772196394148996E-2</v>
      </c>
      <c r="AS48" s="10">
        <f t="shared" si="137"/>
        <v>1.9704176030941305E-2</v>
      </c>
      <c r="AT48" s="18">
        <f t="shared" si="137"/>
        <v>1.8719494688486937E-2</v>
      </c>
      <c r="AU48" s="10">
        <f>AT48</f>
        <v>1.8719494688486937E-2</v>
      </c>
      <c r="AV48" s="10">
        <f t="shared" ref="AV48:AW48" si="144">AU48</f>
        <v>1.8719494688486937E-2</v>
      </c>
      <c r="AW48" s="10">
        <f t="shared" si="144"/>
        <v>1.8719494688486937E-2</v>
      </c>
      <c r="BC48" s="10">
        <f t="shared" ref="BC48" si="145">BC10/BC$4</f>
        <v>4.1559473761268326E-2</v>
      </c>
      <c r="BD48" s="10">
        <f t="shared" si="124"/>
        <v>4.9407063341723539E-2</v>
      </c>
      <c r="BE48" s="10">
        <f t="shared" si="124"/>
        <v>4.9601865294091767E-2</v>
      </c>
      <c r="BF48" s="10">
        <f t="shared" si="124"/>
        <v>2.5254924893096012E-2</v>
      </c>
      <c r="BG48" s="10">
        <f t="shared" si="124"/>
        <v>2.3624535315985129E-2</v>
      </c>
      <c r="BH48" s="10">
        <f t="shared" si="124"/>
        <v>3.5139407875826388E-2</v>
      </c>
      <c r="BI48" s="10">
        <f t="shared" si="124"/>
        <v>2.1070804967530558E-2</v>
      </c>
      <c r="BJ48" s="10">
        <f t="shared" si="124"/>
        <v>2.0495734262204048E-2</v>
      </c>
      <c r="BK48" s="10">
        <f t="shared" si="124"/>
        <v>2.7110050700864897E-2</v>
      </c>
      <c r="BL48" s="10">
        <f t="shared" si="124"/>
        <v>2.2805474548288046E-2</v>
      </c>
      <c r="BM48" s="18">
        <f t="shared" si="124"/>
        <v>1.7665596472798827E-2</v>
      </c>
      <c r="BN48" s="10">
        <f t="shared" si="124"/>
        <v>1.8719494688486937E-2</v>
      </c>
      <c r="BO48" s="10">
        <f t="shared" ref="BO48:BS48" si="146">BO10/BO$4</f>
        <v>0</v>
      </c>
      <c r="BP48" s="10">
        <f t="shared" si="146"/>
        <v>0</v>
      </c>
      <c r="BQ48" s="10">
        <f t="shared" si="146"/>
        <v>0</v>
      </c>
      <c r="BR48" s="10">
        <f t="shared" si="146"/>
        <v>0</v>
      </c>
      <c r="BS48" s="10">
        <f t="shared" si="146"/>
        <v>0</v>
      </c>
    </row>
    <row r="49" spans="1:71" s="6" customFormat="1" x14ac:dyDescent="0.25">
      <c r="A49" s="1" t="s">
        <v>18</v>
      </c>
      <c r="B49" s="11">
        <f t="shared" si="126"/>
        <v>0.13399464651236026</v>
      </c>
      <c r="C49" s="11">
        <f t="shared" si="137"/>
        <v>0.10822440529349679</v>
      </c>
      <c r="D49" s="11">
        <f t="shared" si="137"/>
        <v>8.438241196861887E-2</v>
      </c>
      <c r="E49" s="11">
        <f t="shared" si="137"/>
        <v>8.174133558748943E-2</v>
      </c>
      <c r="F49" s="11">
        <f t="shared" si="137"/>
        <v>5.2214353662403554E-2</v>
      </c>
      <c r="G49" s="11">
        <f t="shared" si="137"/>
        <v>7.5904080448655972E-2</v>
      </c>
      <c r="H49" s="11">
        <f t="shared" si="137"/>
        <v>5.2510917030567685E-2</v>
      </c>
      <c r="I49" s="11">
        <f t="shared" si="137"/>
        <v>-4.2197618550240235E-2</v>
      </c>
      <c r="J49" s="11">
        <f t="shared" si="137"/>
        <v>3.8688658114436981E-2</v>
      </c>
      <c r="K49" s="11">
        <f t="shared" si="137"/>
        <v>0.10449210131497662</v>
      </c>
      <c r="L49" s="11">
        <f t="shared" si="137"/>
        <v>0.13221764654341539</v>
      </c>
      <c r="M49" s="11">
        <f t="shared" si="137"/>
        <v>8.3746898263027295E-2</v>
      </c>
      <c r="N49" s="11">
        <f t="shared" si="137"/>
        <v>0.1639318765067268</v>
      </c>
      <c r="O49" s="11">
        <f t="shared" si="137"/>
        <v>0.15466419242024124</v>
      </c>
      <c r="P49" s="11">
        <f t="shared" si="137"/>
        <v>0.15803108808290156</v>
      </c>
      <c r="Q49" s="11">
        <f t="shared" si="137"/>
        <v>0.13129270673546228</v>
      </c>
      <c r="R49" s="11">
        <f t="shared" si="137"/>
        <v>0.1638942521907025</v>
      </c>
      <c r="S49" s="11">
        <f t="shared" si="137"/>
        <v>0.15333980044345899</v>
      </c>
      <c r="T49" s="11">
        <f t="shared" si="137"/>
        <v>0.1583320269634739</v>
      </c>
      <c r="U49" s="11">
        <f t="shared" si="137"/>
        <v>0.14074863055386488</v>
      </c>
      <c r="V49" s="11">
        <f t="shared" si="137"/>
        <v>0.13201692524682651</v>
      </c>
      <c r="W49" s="11">
        <f t="shared" si="137"/>
        <v>7.8423527058117434E-2</v>
      </c>
      <c r="X49" s="11">
        <f t="shared" si="137"/>
        <v>9.9686266572209289E-2</v>
      </c>
      <c r="Y49" s="11">
        <f t="shared" si="137"/>
        <v>0.12283044058744993</v>
      </c>
      <c r="Z49" s="11">
        <f t="shared" si="137"/>
        <v>0.15260368469756877</v>
      </c>
      <c r="AA49" s="11">
        <f t="shared" si="137"/>
        <v>0.13880052758165878</v>
      </c>
      <c r="AB49" s="11">
        <f t="shared" si="137"/>
        <v>0.13422602242478018</v>
      </c>
      <c r="AC49" s="11">
        <f t="shared" si="137"/>
        <v>0.1167560516016814</v>
      </c>
      <c r="AD49" s="11">
        <f t="shared" si="137"/>
        <v>0.1365074692766208</v>
      </c>
      <c r="AE49" s="11">
        <f t="shared" si="137"/>
        <v>0.13644977890082122</v>
      </c>
      <c r="AF49" s="11">
        <f t="shared" si="137"/>
        <v>0.16173135921035081</v>
      </c>
      <c r="AG49" s="11">
        <f t="shared" si="137"/>
        <v>0.15695607639934928</v>
      </c>
      <c r="AH49" s="11">
        <f t="shared" si="137"/>
        <v>0.17217248770646829</v>
      </c>
      <c r="AI49" s="11">
        <f t="shared" si="137"/>
        <v>0.21087885437117451</v>
      </c>
      <c r="AJ49" s="11">
        <f t="shared" si="137"/>
        <v>0.20517549077929803</v>
      </c>
      <c r="AK49" s="11">
        <f t="shared" si="137"/>
        <v>0.18359695371997656</v>
      </c>
      <c r="AL49" s="11">
        <f t="shared" si="137"/>
        <v>0.22273561617823912</v>
      </c>
      <c r="AM49" s="11">
        <f t="shared" si="137"/>
        <v>0.20864042183474144</v>
      </c>
      <c r="AN49" s="11">
        <f t="shared" si="137"/>
        <v>0.19539302123432262</v>
      </c>
      <c r="AO49" s="11">
        <f t="shared" si="137"/>
        <v>0.18032685784767191</v>
      </c>
      <c r="AP49" s="11">
        <f t="shared" si="137"/>
        <v>0.18099515755491613</v>
      </c>
      <c r="AQ49" s="11">
        <f t="shared" si="137"/>
        <v>0.17261150340998249</v>
      </c>
      <c r="AR49" s="11">
        <f t="shared" si="137"/>
        <v>0.1730354915523302</v>
      </c>
      <c r="AS49" s="11">
        <f t="shared" si="137"/>
        <v>0.13902681231380337</v>
      </c>
      <c r="AT49" s="19">
        <f t="shared" si="137"/>
        <v>0.17714613838644847</v>
      </c>
      <c r="AU49" s="11">
        <f t="shared" ref="AU49:AW49" si="147">AU11/AU$4</f>
        <v>0.17995664656904964</v>
      </c>
      <c r="AV49" s="11">
        <f t="shared" si="147"/>
        <v>0.1829566465690497</v>
      </c>
      <c r="AW49" s="11">
        <f t="shared" si="147"/>
        <v>0.18595664656904964</v>
      </c>
      <c r="BC49" s="11">
        <f t="shared" ref="BC49" si="148">BC11/BC$4</f>
        <v>0.10305159900441321</v>
      </c>
      <c r="BD49" s="11">
        <f t="shared" si="124"/>
        <v>3.5186963178244282E-2</v>
      </c>
      <c r="BE49" s="11">
        <f t="shared" si="124"/>
        <v>9.1351018432976994E-2</v>
      </c>
      <c r="BF49" s="11">
        <f t="shared" si="124"/>
        <v>0.15154782354446109</v>
      </c>
      <c r="BG49" s="11">
        <f t="shared" si="124"/>
        <v>0.15408921933085501</v>
      </c>
      <c r="BH49" s="11">
        <f t="shared" si="124"/>
        <v>0.10905911660438823</v>
      </c>
      <c r="BI49" s="11">
        <f t="shared" si="124"/>
        <v>0.13493947538796572</v>
      </c>
      <c r="BJ49" s="11">
        <f t="shared" si="124"/>
        <v>0.14856883234893231</v>
      </c>
      <c r="BK49" s="11">
        <f t="shared" si="124"/>
        <v>0.19334923948702654</v>
      </c>
      <c r="BL49" s="11">
        <f t="shared" si="124"/>
        <v>0.20170038111990618</v>
      </c>
      <c r="BM49" s="19">
        <f t="shared" si="124"/>
        <v>0.16498246756128956</v>
      </c>
      <c r="BN49" s="11">
        <f t="shared" si="124"/>
        <v>0.18175572366960727</v>
      </c>
      <c r="BO49" s="11">
        <f t="shared" ref="BO49:BS49" si="149">BO11/BO$4</f>
        <v>0</v>
      </c>
      <c r="BP49" s="11">
        <f t="shared" si="149"/>
        <v>0</v>
      </c>
      <c r="BQ49" s="11">
        <f t="shared" si="149"/>
        <v>0</v>
      </c>
      <c r="BR49" s="11">
        <f t="shared" si="149"/>
        <v>0</v>
      </c>
      <c r="BS49" s="11">
        <f t="shared" si="149"/>
        <v>0</v>
      </c>
    </row>
    <row r="50" spans="1:71" x14ac:dyDescent="0.25">
      <c r="A50" s="4" t="s">
        <v>169</v>
      </c>
      <c r="B50" s="10">
        <f t="shared" si="126"/>
        <v>1.0155880963627776E-2</v>
      </c>
      <c r="C50" s="10">
        <f t="shared" si="137"/>
        <v>1.0148575140050338E-2</v>
      </c>
      <c r="D50" s="10">
        <f t="shared" si="137"/>
        <v>1.1585477102718482E-2</v>
      </c>
      <c r="E50" s="10">
        <f t="shared" si="137"/>
        <v>1.0650887573964497E-2</v>
      </c>
      <c r="F50" s="10">
        <f t="shared" si="137"/>
        <v>1.363492231265194E-2</v>
      </c>
      <c r="G50" s="10">
        <f t="shared" si="137"/>
        <v>1.257010249468188E-2</v>
      </c>
      <c r="H50" s="10">
        <f t="shared" si="137"/>
        <v>1.3755458515283843E-2</v>
      </c>
      <c r="I50" s="10">
        <f t="shared" si="137"/>
        <v>1.2533946104031753E-2</v>
      </c>
      <c r="J50" s="10">
        <f t="shared" si="137"/>
        <v>1.2522907758094075E-2</v>
      </c>
      <c r="K50" s="10">
        <f t="shared" si="137"/>
        <v>1.0678669137763656E-2</v>
      </c>
      <c r="L50" s="10">
        <f t="shared" si="137"/>
        <v>1.0339087006045737E-2</v>
      </c>
      <c r="M50" s="10">
        <f t="shared" si="137"/>
        <v>1.310483870967742E-2</v>
      </c>
      <c r="N50" s="10">
        <f t="shared" si="137"/>
        <v>7.8544210280737225E-3</v>
      </c>
      <c r="O50" s="10">
        <f t="shared" si="137"/>
        <v>7.2799942902005569E-3</v>
      </c>
      <c r="P50" s="10">
        <f t="shared" si="137"/>
        <v>7.5499629903774982E-3</v>
      </c>
      <c r="Q50" s="10">
        <f t="shared" si="137"/>
        <v>6.9028029563519729E-3</v>
      </c>
      <c r="R50" s="10">
        <f t="shared" si="137"/>
        <v>7.6488935095796818E-3</v>
      </c>
      <c r="S50" s="10">
        <f t="shared" si="137"/>
        <v>7.1369179600886921E-3</v>
      </c>
      <c r="T50" s="10">
        <f t="shared" si="137"/>
        <v>8.0733657313058465E-3</v>
      </c>
      <c r="U50" s="10">
        <f t="shared" si="137"/>
        <v>8.5209981740718196E-3</v>
      </c>
      <c r="V50" s="10">
        <f t="shared" si="137"/>
        <v>1.0625293841090738E-2</v>
      </c>
      <c r="W50" s="10">
        <f t="shared" si="137"/>
        <v>1.3504051215364609E-2</v>
      </c>
      <c r="X50" s="10">
        <f t="shared" si="137"/>
        <v>1.376378909017306E-2</v>
      </c>
      <c r="Y50" s="10">
        <f t="shared" si="137"/>
        <v>1.1570983533600357E-2</v>
      </c>
      <c r="Z50" s="10">
        <f t="shared" si="137"/>
        <v>1.1945823168166905E-2</v>
      </c>
      <c r="AA50" s="10">
        <f t="shared" si="137"/>
        <v>9.3102645666847707E-3</v>
      </c>
      <c r="AB50" s="10">
        <f t="shared" si="137"/>
        <v>9.195773170928451E-3</v>
      </c>
      <c r="AC50" s="10">
        <f t="shared" si="137"/>
        <v>8.117118422959849E-3</v>
      </c>
      <c r="AD50" s="10">
        <f t="shared" si="137"/>
        <v>8.0211936124806836E-3</v>
      </c>
      <c r="AE50" s="10">
        <f t="shared" si="137"/>
        <v>7.5805432722678458E-3</v>
      </c>
      <c r="AF50" s="10">
        <f t="shared" si="137"/>
        <v>7.2695744964652526E-3</v>
      </c>
      <c r="AG50" s="10">
        <f t="shared" si="137"/>
        <v>7.0494667711032116E-3</v>
      </c>
      <c r="AH50" s="10">
        <f t="shared" si="137"/>
        <v>8.1326440549741516E-3</v>
      </c>
      <c r="AI50" s="10">
        <f t="shared" si="137"/>
        <v>7.3334103245178426E-3</v>
      </c>
      <c r="AJ50" s="10">
        <f t="shared" si="137"/>
        <v>7.6740035693039855E-3</v>
      </c>
      <c r="AK50" s="10">
        <f t="shared" si="137"/>
        <v>7.3813708260105446E-3</v>
      </c>
      <c r="AL50" s="10">
        <f t="shared" si="137"/>
        <v>9.0512057725172478E-3</v>
      </c>
      <c r="AM50" s="10">
        <f t="shared" si="137"/>
        <v>8.2089999400802929E-3</v>
      </c>
      <c r="AN50" s="10">
        <f t="shared" si="137"/>
        <v>7.7610828262759217E-3</v>
      </c>
      <c r="AO50" s="10">
        <f t="shared" si="137"/>
        <v>6.5988282454517424E-3</v>
      </c>
      <c r="AP50" s="10">
        <f t="shared" si="137"/>
        <v>8.14092216997684E-3</v>
      </c>
      <c r="AQ50" s="10">
        <f t="shared" si="137"/>
        <v>7.6045627376425855E-3</v>
      </c>
      <c r="AR50" s="10">
        <f t="shared" si="137"/>
        <v>7.5405374759042977E-3</v>
      </c>
      <c r="AS50" s="10">
        <f t="shared" si="137"/>
        <v>6.637746302200387E-3</v>
      </c>
      <c r="AT50" s="18">
        <f t="shared" si="137"/>
        <v>7.6945162216480048E-3</v>
      </c>
      <c r="AU50" s="9">
        <f>AT50</f>
        <v>7.6945162216480048E-3</v>
      </c>
      <c r="AV50" s="9">
        <f t="shared" ref="AV50:AW50" si="150">AU50</f>
        <v>7.6945162216480048E-3</v>
      </c>
      <c r="AW50" s="9">
        <f t="shared" si="150"/>
        <v>7.6945162216480048E-3</v>
      </c>
      <c r="BC50" s="10">
        <f t="shared" ref="BC50" si="151">BC12/BC$4</f>
        <v>1.060425425111376E-2</v>
      </c>
      <c r="BD50" s="10">
        <f t="shared" si="124"/>
        <v>1.3104289384228144E-2</v>
      </c>
      <c r="BE50" s="10">
        <f t="shared" si="124"/>
        <v>1.1680084466147551E-2</v>
      </c>
      <c r="BF50" s="10">
        <f t="shared" si="124"/>
        <v>7.3827710975476043E-3</v>
      </c>
      <c r="BG50" s="10">
        <f t="shared" si="124"/>
        <v>7.825278810408922E-3</v>
      </c>
      <c r="BH50" s="10">
        <f t="shared" si="124"/>
        <v>1.2311967040337261E-2</v>
      </c>
      <c r="BI50" s="10">
        <f t="shared" si="124"/>
        <v>9.5740715308704951E-3</v>
      </c>
      <c r="BJ50" s="10">
        <f t="shared" si="124"/>
        <v>7.4545240378952327E-3</v>
      </c>
      <c r="BK50" s="10">
        <f t="shared" si="124"/>
        <v>7.6200417536534445E-3</v>
      </c>
      <c r="BL50" s="10">
        <f t="shared" si="124"/>
        <v>7.9001373266058723E-3</v>
      </c>
      <c r="BM50" s="18">
        <f t="shared" si="124"/>
        <v>7.4272440781784016E-3</v>
      </c>
      <c r="BN50" s="10">
        <f t="shared" si="124"/>
        <v>7.694516221648004E-3</v>
      </c>
      <c r="BO50" s="10">
        <f t="shared" ref="BO50:BS50" si="152">BO12/BO$4</f>
        <v>0</v>
      </c>
      <c r="BP50" s="10">
        <f t="shared" si="152"/>
        <v>0</v>
      </c>
      <c r="BQ50" s="10">
        <f t="shared" si="152"/>
        <v>0</v>
      </c>
      <c r="BR50" s="10">
        <f t="shared" si="152"/>
        <v>0</v>
      </c>
      <c r="BS50" s="10">
        <f t="shared" si="152"/>
        <v>0</v>
      </c>
    </row>
    <row r="51" spans="1:71" x14ac:dyDescent="0.25">
      <c r="A51" s="4" t="s">
        <v>19</v>
      </c>
      <c r="B51" s="10">
        <f t="shared" si="126"/>
        <v>1.5273185325145646E-2</v>
      </c>
      <c r="C51" s="10">
        <f t="shared" si="137"/>
        <v>-5.8455792806689942E-3</v>
      </c>
      <c r="D51" s="10">
        <f t="shared" si="137"/>
        <v>-1.3683634373289546E-3</v>
      </c>
      <c r="E51" s="10">
        <f t="shared" si="137"/>
        <v>2.5359256128486898E-3</v>
      </c>
      <c r="F51" s="10">
        <f t="shared" si="137"/>
        <v>0</v>
      </c>
      <c r="G51" s="10">
        <f t="shared" si="137"/>
        <v>8.1222200734867526E-3</v>
      </c>
      <c r="H51" s="10">
        <f t="shared" si="137"/>
        <v>3.0567685589519651E-3</v>
      </c>
      <c r="I51" s="10">
        <f t="shared" si="137"/>
        <v>3.5512847294756631E-3</v>
      </c>
      <c r="J51" s="10">
        <f t="shared" si="137"/>
        <v>3.2579922622683771E-3</v>
      </c>
      <c r="K51" s="10">
        <f t="shared" si="137"/>
        <v>8.4723325390521579E-3</v>
      </c>
      <c r="L51" s="10">
        <f t="shared" si="137"/>
        <v>1.1565758345746078E-2</v>
      </c>
      <c r="M51" s="10">
        <f t="shared" si="137"/>
        <v>-8.2971464019851119E-3</v>
      </c>
      <c r="N51" s="10">
        <f t="shared" si="137"/>
        <v>9.8763511937164632E-3</v>
      </c>
      <c r="O51" s="10">
        <f t="shared" si="137"/>
        <v>8.6360716579830139E-3</v>
      </c>
      <c r="P51" s="10">
        <f t="shared" si="137"/>
        <v>7.5499629903774982E-3</v>
      </c>
      <c r="Q51" s="10">
        <f t="shared" si="137"/>
        <v>-2.9075442755543159E-2</v>
      </c>
      <c r="R51" s="10">
        <f t="shared" si="137"/>
        <v>1.1881776325560671E-2</v>
      </c>
      <c r="S51" s="10">
        <f t="shared" si="137"/>
        <v>4.7117516629711755E-3</v>
      </c>
      <c r="T51" s="10">
        <f t="shared" si="137"/>
        <v>6.8976328578147046E-3</v>
      </c>
      <c r="U51" s="10">
        <f t="shared" si="137"/>
        <v>-2.8377967133292756E-2</v>
      </c>
      <c r="V51" s="10">
        <f t="shared" si="137"/>
        <v>2.0874471086036673E-2</v>
      </c>
      <c r="W51" s="10">
        <f t="shared" si="137"/>
        <v>2.9008702610783233E-3</v>
      </c>
      <c r="X51" s="10">
        <f t="shared" si="137"/>
        <v>1.416860641635462E-3</v>
      </c>
      <c r="Y51" s="10">
        <f t="shared" si="137"/>
        <v>-2.7503337783711616E-2</v>
      </c>
      <c r="Z51" s="10">
        <f t="shared" si="137"/>
        <v>2.7340792462353831E-2</v>
      </c>
      <c r="AA51" s="10">
        <f t="shared" si="137"/>
        <v>1.559469314919699E-2</v>
      </c>
      <c r="AB51" s="10">
        <f t="shared" si="137"/>
        <v>1.8149552311042993E-2</v>
      </c>
      <c r="AC51" s="10">
        <f t="shared" si="137"/>
        <v>7.7040150746485E-2</v>
      </c>
      <c r="AD51" s="10">
        <f t="shared" si="137"/>
        <v>1.8617999852822135E-2</v>
      </c>
      <c r="AE51" s="10">
        <f t="shared" si="137"/>
        <v>1.8249456025829999E-2</v>
      </c>
      <c r="AF51" s="10">
        <f t="shared" si="137"/>
        <v>1.6139789249032945E-2</v>
      </c>
      <c r="AG51" s="10">
        <f t="shared" si="137"/>
        <v>3.2294993071036934E-2</v>
      </c>
      <c r="AH51" s="10">
        <f t="shared" si="137"/>
        <v>2.0174000756525028E-3</v>
      </c>
      <c r="AI51" s="10">
        <f t="shared" si="137"/>
        <v>7.3334103245178426E-3</v>
      </c>
      <c r="AJ51" s="10">
        <f t="shared" si="137"/>
        <v>1.1600237953599048E-2</v>
      </c>
      <c r="AK51" s="10">
        <f t="shared" si="137"/>
        <v>1.411833626244874E-2</v>
      </c>
      <c r="AL51" s="10">
        <f t="shared" si="137"/>
        <v>9.8740426609279074E-3</v>
      </c>
      <c r="AM51" s="10">
        <f t="shared" si="137"/>
        <v>9.2875546767331781E-3</v>
      </c>
      <c r="AN51" s="10">
        <f t="shared" si="137"/>
        <v>4.7187383583757606E-3</v>
      </c>
      <c r="AO51" s="10">
        <f t="shared" si="137"/>
        <v>2.6271970397779832E-2</v>
      </c>
      <c r="AP51" s="10">
        <f t="shared" si="137"/>
        <v>7.5092988981682925E-3</v>
      </c>
      <c r="AQ51" s="10">
        <f t="shared" si="137"/>
        <v>5.0697084917617234E-3</v>
      </c>
      <c r="AR51" s="10">
        <f t="shared" ref="C51:AT57" si="153">AR13/AR$4</f>
        <v>1.1792720263068376E-2</v>
      </c>
      <c r="AS51" s="10">
        <f t="shared" si="153"/>
        <v>2.576699942507709E-2</v>
      </c>
      <c r="AT51" s="18">
        <f t="shared" si="153"/>
        <v>1.4929658340511054E-2</v>
      </c>
      <c r="AU51" s="9">
        <v>0</v>
      </c>
      <c r="AV51" s="9">
        <v>0</v>
      </c>
      <c r="AW51" s="9">
        <v>0</v>
      </c>
      <c r="BC51" s="10">
        <f t="shared" ref="BC51" si="154">BC13/BC$4</f>
        <v>2.8654493735751187E-3</v>
      </c>
      <c r="BD51" s="10">
        <f t="shared" si="124"/>
        <v>3.7885668318758596E-3</v>
      </c>
      <c r="BE51" s="10">
        <f t="shared" si="124"/>
        <v>3.3654480665170914E-3</v>
      </c>
      <c r="BF51" s="10">
        <f t="shared" si="124"/>
        <v>-1.224370454296261E-3</v>
      </c>
      <c r="BG51" s="10">
        <f t="shared" si="124"/>
        <v>-1.0594795539033458E-3</v>
      </c>
      <c r="BH51" s="10">
        <f t="shared" si="124"/>
        <v>-1.0539427038421003E-3</v>
      </c>
      <c r="BI51" s="10">
        <f t="shared" si="124"/>
        <v>3.5588864256145651E-2</v>
      </c>
      <c r="BJ51" s="10">
        <f t="shared" si="124"/>
        <v>2.1724132128493782E-2</v>
      </c>
      <c r="BK51" s="10">
        <f t="shared" si="124"/>
        <v>8.8726513569937372E-3</v>
      </c>
      <c r="BL51" s="10">
        <f t="shared" si="124"/>
        <v>1.2544553997130028E-2</v>
      </c>
      <c r="BM51" s="18">
        <f t="shared" si="124"/>
        <v>1.3197413780348874E-2</v>
      </c>
      <c r="BN51" s="10">
        <f t="shared" si="124"/>
        <v>3.3326924309427675E-3</v>
      </c>
      <c r="BO51" s="10">
        <f t="shared" ref="BO51:BS51" si="155">BO13/BO$4</f>
        <v>0</v>
      </c>
      <c r="BP51" s="10">
        <f t="shared" si="155"/>
        <v>0</v>
      </c>
      <c r="BQ51" s="10">
        <f t="shared" si="155"/>
        <v>0</v>
      </c>
      <c r="BR51" s="10">
        <f t="shared" si="155"/>
        <v>0</v>
      </c>
      <c r="BS51" s="10">
        <f t="shared" si="155"/>
        <v>0</v>
      </c>
    </row>
    <row r="52" spans="1:71" s="6" customFormat="1" x14ac:dyDescent="0.25">
      <c r="A52" s="1" t="s">
        <v>20</v>
      </c>
      <c r="B52" s="11">
        <f t="shared" si="126"/>
        <v>0.13911195087387812</v>
      </c>
      <c r="C52" s="11">
        <f t="shared" si="153"/>
        <v>9.2230250872777461E-2</v>
      </c>
      <c r="D52" s="11">
        <f t="shared" si="153"/>
        <v>7.1428571428571425E-2</v>
      </c>
      <c r="E52" s="11">
        <f t="shared" si="153"/>
        <v>7.3626373626373628E-2</v>
      </c>
      <c r="F52" s="11">
        <f t="shared" si="153"/>
        <v>3.8579431349751614E-2</v>
      </c>
      <c r="G52" s="11">
        <f t="shared" si="153"/>
        <v>7.1456198027460838E-2</v>
      </c>
      <c r="H52" s="11">
        <f t="shared" si="153"/>
        <v>4.1812227074235805E-2</v>
      </c>
      <c r="I52" s="11">
        <f t="shared" si="153"/>
        <v>-5.1180279924796325E-2</v>
      </c>
      <c r="J52" s="11">
        <f t="shared" si="153"/>
        <v>2.942374261861128E-2</v>
      </c>
      <c r="K52" s="11">
        <f t="shared" si="153"/>
        <v>0.10228576471626512</v>
      </c>
      <c r="L52" s="11">
        <f t="shared" si="153"/>
        <v>0.13344431788311575</v>
      </c>
      <c r="M52" s="11">
        <f t="shared" si="153"/>
        <v>6.2344913151364763E-2</v>
      </c>
      <c r="N52" s="11">
        <f t="shared" si="153"/>
        <v>0.16595380667236956</v>
      </c>
      <c r="O52" s="11">
        <f t="shared" si="153"/>
        <v>0.15602026978802369</v>
      </c>
      <c r="P52" s="11">
        <f t="shared" si="153"/>
        <v>0.15803108808290156</v>
      </c>
      <c r="Q52" s="11">
        <f t="shared" si="153"/>
        <v>9.5314461023567151E-2</v>
      </c>
      <c r="R52" s="11">
        <f t="shared" si="153"/>
        <v>0.1681271350066835</v>
      </c>
      <c r="S52" s="11">
        <f t="shared" si="153"/>
        <v>0.15091463414634146</v>
      </c>
      <c r="T52" s="11">
        <f t="shared" si="153"/>
        <v>0.15715629408998275</v>
      </c>
      <c r="U52" s="11">
        <f t="shared" si="153"/>
        <v>0.1038496652465003</v>
      </c>
      <c r="V52" s="11">
        <f t="shared" si="153"/>
        <v>0.14226610249177246</v>
      </c>
      <c r="W52" s="11">
        <f t="shared" si="153"/>
        <v>6.7820346103831156E-2</v>
      </c>
      <c r="X52" s="11">
        <f t="shared" si="153"/>
        <v>8.7339338123671686E-2</v>
      </c>
      <c r="Y52" s="11">
        <f t="shared" si="153"/>
        <v>8.3756119270137958E-2</v>
      </c>
      <c r="Z52" s="11">
        <f t="shared" si="153"/>
        <v>0.1679986539917557</v>
      </c>
      <c r="AA52" s="11">
        <f t="shared" si="153"/>
        <v>0.145084956164171</v>
      </c>
      <c r="AB52" s="11">
        <f t="shared" si="153"/>
        <v>0.14317980156489474</v>
      </c>
      <c r="AC52" s="11">
        <f t="shared" si="153"/>
        <v>0.18567908392520655</v>
      </c>
      <c r="AD52" s="11">
        <f t="shared" si="153"/>
        <v>0.14710427551696226</v>
      </c>
      <c r="AE52" s="11">
        <f t="shared" si="153"/>
        <v>0.14711869165438338</v>
      </c>
      <c r="AF52" s="11">
        <f t="shared" si="153"/>
        <v>0.1706015739629185</v>
      </c>
      <c r="AG52" s="11">
        <f t="shared" si="153"/>
        <v>0.18220160269928301</v>
      </c>
      <c r="AH52" s="11">
        <f t="shared" si="153"/>
        <v>0.16605724372714664</v>
      </c>
      <c r="AI52" s="11">
        <f t="shared" si="153"/>
        <v>0.21087885437117451</v>
      </c>
      <c r="AJ52" s="11">
        <f t="shared" si="153"/>
        <v>0.2091017251635931</v>
      </c>
      <c r="AK52" s="11">
        <f t="shared" si="153"/>
        <v>0.19033391915641476</v>
      </c>
      <c r="AL52" s="11">
        <f t="shared" si="153"/>
        <v>0.22355845306664979</v>
      </c>
      <c r="AM52" s="11">
        <f t="shared" si="153"/>
        <v>0.20971897657139432</v>
      </c>
      <c r="AN52" s="11">
        <f t="shared" si="153"/>
        <v>0.19235067676642245</v>
      </c>
      <c r="AO52" s="11">
        <f t="shared" si="153"/>
        <v>0.2</v>
      </c>
      <c r="AP52" s="11">
        <f t="shared" si="153"/>
        <v>0.18036353428310758</v>
      </c>
      <c r="AQ52" s="11">
        <f t="shared" si="153"/>
        <v>0.17007664916410165</v>
      </c>
      <c r="AR52" s="11">
        <f t="shared" si="153"/>
        <v>0.17728767433949427</v>
      </c>
      <c r="AS52" s="11">
        <f t="shared" si="153"/>
        <v>0.15815606543668009</v>
      </c>
      <c r="AT52" s="19">
        <f t="shared" si="153"/>
        <v>0.18438128050531152</v>
      </c>
      <c r="AU52" s="11">
        <f t="shared" ref="AU52:AW54" si="156">AU14/AU$4</f>
        <v>0.17226213034740162</v>
      </c>
      <c r="AV52" s="11">
        <f t="shared" si="156"/>
        <v>0.17526213034740168</v>
      </c>
      <c r="AW52" s="11">
        <f t="shared" si="156"/>
        <v>0.17826213034740165</v>
      </c>
      <c r="BC52" s="11">
        <f t="shared" ref="BC52" si="157">BC14/BC$4</f>
        <v>9.5312794126874573E-2</v>
      </c>
      <c r="BD52" s="11">
        <f t="shared" si="124"/>
        <v>2.5871240625892002E-2</v>
      </c>
      <c r="BE52" s="11">
        <f t="shared" si="124"/>
        <v>8.3036382033346526E-2</v>
      </c>
      <c r="BF52" s="11">
        <f t="shared" si="124"/>
        <v>0.14294068199261722</v>
      </c>
      <c r="BG52" s="11">
        <f t="shared" si="124"/>
        <v>0.14520446096654274</v>
      </c>
      <c r="BH52" s="11">
        <f t="shared" si="124"/>
        <v>9.5693206860208865E-2</v>
      </c>
      <c r="BI52" s="11">
        <f t="shared" si="124"/>
        <v>0.16095426811324087</v>
      </c>
      <c r="BJ52" s="11">
        <f t="shared" si="124"/>
        <v>0.16283844043953086</v>
      </c>
      <c r="BK52" s="11">
        <f t="shared" si="124"/>
        <v>0.19460184909036685</v>
      </c>
      <c r="BL52" s="11">
        <f t="shared" si="124"/>
        <v>0.20634479779043033</v>
      </c>
      <c r="BM52" s="19">
        <f t="shared" si="124"/>
        <v>0.17075263726346004</v>
      </c>
      <c r="BN52" s="11">
        <f t="shared" si="124"/>
        <v>0.177393899878902</v>
      </c>
      <c r="BO52" s="11">
        <f t="shared" ref="BO52:BS52" si="158">BO14/BO$4</f>
        <v>0</v>
      </c>
      <c r="BP52" s="11">
        <f t="shared" si="158"/>
        <v>0</v>
      </c>
      <c r="BQ52" s="11">
        <f t="shared" si="158"/>
        <v>0</v>
      </c>
      <c r="BR52" s="11">
        <f t="shared" si="158"/>
        <v>0</v>
      </c>
      <c r="BS52" s="11">
        <f t="shared" si="158"/>
        <v>0</v>
      </c>
    </row>
    <row r="53" spans="1:71" x14ac:dyDescent="0.25">
      <c r="A53" s="4" t="s">
        <v>21</v>
      </c>
      <c r="B53" s="10">
        <f t="shared" si="126"/>
        <v>4.1017162651550934E-2</v>
      </c>
      <c r="C53" s="10">
        <f t="shared" si="153"/>
        <v>2.7198181375334904E-2</v>
      </c>
      <c r="D53" s="10">
        <f t="shared" si="153"/>
        <v>1.9886881955847473E-2</v>
      </c>
      <c r="E53" s="10">
        <f t="shared" si="153"/>
        <v>-1.0819949281487743E-2</v>
      </c>
      <c r="F53" s="10">
        <f t="shared" si="153"/>
        <v>9.7241306415812283E-3</v>
      </c>
      <c r="G53" s="10">
        <f t="shared" si="153"/>
        <v>1.7791529684780507E-2</v>
      </c>
      <c r="H53" s="10">
        <f t="shared" si="153"/>
        <v>1.0480349344978166E-2</v>
      </c>
      <c r="I53" s="10">
        <f t="shared" si="153"/>
        <v>-1.8800919156047629E-2</v>
      </c>
      <c r="J53" s="10">
        <f t="shared" si="153"/>
        <v>9.1631032376298105E-3</v>
      </c>
      <c r="K53" s="10">
        <f t="shared" si="153"/>
        <v>3.185950048539405E-2</v>
      </c>
      <c r="L53" s="10">
        <f t="shared" si="153"/>
        <v>4.1181109261368615E-2</v>
      </c>
      <c r="M53" s="10">
        <f t="shared" si="153"/>
        <v>0.1875</v>
      </c>
      <c r="N53" s="10">
        <f t="shared" si="153"/>
        <v>3.6705809160898981E-2</v>
      </c>
      <c r="O53" s="10">
        <f t="shared" si="153"/>
        <v>3.4972521590179148E-2</v>
      </c>
      <c r="P53" s="10">
        <f t="shared" si="153"/>
        <v>3.0717986676535899E-2</v>
      </c>
      <c r="Q53" s="10">
        <f t="shared" si="153"/>
        <v>2.2381815646353366E-2</v>
      </c>
      <c r="R53" s="10">
        <f t="shared" si="153"/>
        <v>2.8739046487449873E-2</v>
      </c>
      <c r="S53" s="10">
        <f t="shared" si="153"/>
        <v>3.9149113082039909E-2</v>
      </c>
      <c r="T53" s="10">
        <f t="shared" si="153"/>
        <v>4.0601975231227466E-2</v>
      </c>
      <c r="U53" s="10">
        <f t="shared" si="153"/>
        <v>2.0998174071819843E-2</v>
      </c>
      <c r="V53" s="10">
        <f t="shared" si="153"/>
        <v>3.996238834038552E-2</v>
      </c>
      <c r="W53" s="10">
        <f t="shared" si="153"/>
        <v>2.2706812043613085E-2</v>
      </c>
      <c r="X53" s="10">
        <f t="shared" si="153"/>
        <v>1.8925209998987957E-2</v>
      </c>
      <c r="Y53" s="10">
        <f t="shared" si="153"/>
        <v>1.4864263462394304E-2</v>
      </c>
      <c r="Z53" s="10">
        <f t="shared" si="153"/>
        <v>3.9959619752670983E-2</v>
      </c>
      <c r="AA53" s="10">
        <f t="shared" si="153"/>
        <v>3.6465202886182019E-2</v>
      </c>
      <c r="AB53" s="10">
        <f t="shared" si="153"/>
        <v>2.9684601113172542E-2</v>
      </c>
      <c r="AC53" s="10">
        <f t="shared" si="153"/>
        <v>3.1091462530801566E-2</v>
      </c>
      <c r="AD53" s="10">
        <f t="shared" si="153"/>
        <v>3.4513209213334312E-2</v>
      </c>
      <c r="AE53" s="10">
        <f t="shared" si="153"/>
        <v>2.9971222011651574E-2</v>
      </c>
      <c r="AF53" s="10">
        <f t="shared" si="153"/>
        <v>3.5147392290249435E-2</v>
      </c>
      <c r="AG53" s="10">
        <f t="shared" si="153"/>
        <v>3.8802193167439901E-2</v>
      </c>
      <c r="AH53" s="10">
        <f t="shared" si="153"/>
        <v>4.4634976673811624E-2</v>
      </c>
      <c r="AI53" s="10">
        <f t="shared" si="153"/>
        <v>4.3423028063286753E-2</v>
      </c>
      <c r="AJ53" s="10">
        <f t="shared" si="153"/>
        <v>4.3664485425342056E-2</v>
      </c>
      <c r="AK53" s="10">
        <f t="shared" si="153"/>
        <v>3.4387814879906269E-2</v>
      </c>
      <c r="AL53" s="10">
        <f t="shared" si="153"/>
        <v>4.3547059940502564E-2</v>
      </c>
      <c r="AM53" s="10">
        <f t="shared" si="153"/>
        <v>5.0092875546767335E-2</v>
      </c>
      <c r="AN53" s="10">
        <f t="shared" si="153"/>
        <v>3.9860921395753132E-2</v>
      </c>
      <c r="AO53" s="10">
        <f t="shared" si="153"/>
        <v>2.8553808202281837E-2</v>
      </c>
      <c r="AP53" s="10">
        <f t="shared" si="153"/>
        <v>4.02835286686785E-2</v>
      </c>
      <c r="AQ53" s="10">
        <f t="shared" si="153"/>
        <v>3.8988472448548493E-2</v>
      </c>
      <c r="AR53" s="10">
        <f t="shared" si="153"/>
        <v>4.7397664134255585E-2</v>
      </c>
      <c r="AS53" s="10">
        <f t="shared" si="153"/>
        <v>3.7213191867454136E-2</v>
      </c>
      <c r="AT53" s="18">
        <f t="shared" si="153"/>
        <v>3.847258110824002E-2</v>
      </c>
      <c r="AU53" s="10">
        <f t="shared" si="156"/>
        <v>3.6175047372954343E-2</v>
      </c>
      <c r="AV53" s="10">
        <f t="shared" si="156"/>
        <v>3.6805047372954355E-2</v>
      </c>
      <c r="AW53" s="10">
        <f t="shared" si="156"/>
        <v>3.7435047372954347E-2</v>
      </c>
      <c r="BC53" s="10">
        <f t="shared" ref="BC53" si="159">BC15/BC$4</f>
        <v>1.9786241659869069E-2</v>
      </c>
      <c r="BD53" s="10">
        <f t="shared" si="124"/>
        <v>4.9822248747956512E-3</v>
      </c>
      <c r="BE53" s="10">
        <f t="shared" si="124"/>
        <v>7.3445954863402399E-2</v>
      </c>
      <c r="BF53" s="10">
        <f t="shared" si="124"/>
        <v>3.1029567632761962E-2</v>
      </c>
      <c r="BG53" s="10">
        <f t="shared" si="124"/>
        <v>3.2453531598513011E-2</v>
      </c>
      <c r="BH53" s="10">
        <f t="shared" si="124"/>
        <v>2.4096962728753474E-2</v>
      </c>
      <c r="BI53" s="10">
        <f t="shared" si="124"/>
        <v>3.4176296325361483E-2</v>
      </c>
      <c r="BJ53" s="10">
        <f t="shared" si="124"/>
        <v>3.4782169720833964E-2</v>
      </c>
      <c r="BK53" s="10">
        <f t="shared" si="124"/>
        <v>4.1470325082016105E-2</v>
      </c>
      <c r="BL53" s="10">
        <f t="shared" si="124"/>
        <v>4.056535357743523E-2</v>
      </c>
      <c r="BM53" s="18">
        <f t="shared" si="124"/>
        <v>4.0953409578481703E-2</v>
      </c>
      <c r="BN53" s="10">
        <f t="shared" si="124"/>
        <v>3.7197473188502639E-2</v>
      </c>
      <c r="BO53" s="10">
        <f t="shared" ref="BO53:BS53" si="160">BO15/BO$4</f>
        <v>0</v>
      </c>
      <c r="BP53" s="10">
        <f t="shared" si="160"/>
        <v>0</v>
      </c>
      <c r="BQ53" s="10">
        <f t="shared" si="160"/>
        <v>0</v>
      </c>
      <c r="BR53" s="10">
        <f t="shared" si="160"/>
        <v>0</v>
      </c>
      <c r="BS53" s="10">
        <f t="shared" si="160"/>
        <v>0</v>
      </c>
    </row>
    <row r="54" spans="1:71" x14ac:dyDescent="0.25">
      <c r="A54" s="4" t="s">
        <v>22</v>
      </c>
      <c r="B54" s="10">
        <f t="shared" si="126"/>
        <v>9.8094788222327187E-2</v>
      </c>
      <c r="C54" s="10">
        <f t="shared" si="153"/>
        <v>6.5032069497442557E-2</v>
      </c>
      <c r="D54" s="10">
        <f t="shared" si="153"/>
        <v>5.1541689472723959E-2</v>
      </c>
      <c r="E54" s="10">
        <f t="shared" si="153"/>
        <v>8.4446322907861374E-2</v>
      </c>
      <c r="F54" s="10">
        <f t="shared" si="153"/>
        <v>2.8855300708170384E-2</v>
      </c>
      <c r="G54" s="10">
        <f t="shared" si="153"/>
        <v>5.3664668342680334E-2</v>
      </c>
      <c r="H54" s="10">
        <f t="shared" si="153"/>
        <v>3.1331877729257641E-2</v>
      </c>
      <c r="I54" s="10">
        <f t="shared" si="153"/>
        <v>-3.2379360768748693E-2</v>
      </c>
      <c r="J54" s="10">
        <f t="shared" si="153"/>
        <v>2.0260639380981469E-2</v>
      </c>
      <c r="K54" s="10">
        <f t="shared" si="153"/>
        <v>7.0426264230871061E-2</v>
      </c>
      <c r="L54" s="10">
        <f t="shared" si="153"/>
        <v>9.2263208621747125E-2</v>
      </c>
      <c r="M54" s="10">
        <f t="shared" si="153"/>
        <v>-0.12515508684863524</v>
      </c>
      <c r="N54" s="10">
        <f t="shared" si="153"/>
        <v>0.12924799751147056</v>
      </c>
      <c r="O54" s="10">
        <f t="shared" si="153"/>
        <v>0.12104774819784456</v>
      </c>
      <c r="P54" s="10">
        <f t="shared" si="153"/>
        <v>0.12731310140636565</v>
      </c>
      <c r="Q54" s="10">
        <f t="shared" si="153"/>
        <v>7.2932645377213778E-2</v>
      </c>
      <c r="R54" s="10">
        <f t="shared" si="153"/>
        <v>0.13938808851923362</v>
      </c>
      <c r="S54" s="10">
        <f t="shared" si="153"/>
        <v>0.11176552106430156</v>
      </c>
      <c r="T54" s="10">
        <f t="shared" si="153"/>
        <v>0.11655431885875529</v>
      </c>
      <c r="U54" s="10">
        <f t="shared" si="153"/>
        <v>8.2851491174680464E-2</v>
      </c>
      <c r="V54" s="10">
        <f t="shared" si="153"/>
        <v>0.10230371415138693</v>
      </c>
      <c r="W54" s="10">
        <f t="shared" si="153"/>
        <v>4.5113534060218063E-2</v>
      </c>
      <c r="X54" s="10">
        <f t="shared" si="153"/>
        <v>6.841412812468374E-2</v>
      </c>
      <c r="Y54" s="10">
        <f t="shared" si="153"/>
        <v>6.8891855807743652E-2</v>
      </c>
      <c r="Z54" s="10">
        <f t="shared" si="153"/>
        <v>0.12803903423908472</v>
      </c>
      <c r="AA54" s="10">
        <f t="shared" si="153"/>
        <v>0.10861975327798898</v>
      </c>
      <c r="AB54" s="10">
        <f t="shared" si="153"/>
        <v>0.11349520045172219</v>
      </c>
      <c r="AC54" s="10">
        <f t="shared" si="153"/>
        <v>0.15458762139440499</v>
      </c>
      <c r="AD54" s="10">
        <f t="shared" si="153"/>
        <v>0.11259106630362793</v>
      </c>
      <c r="AE54" s="10">
        <f t="shared" si="153"/>
        <v>0.1171474696427318</v>
      </c>
      <c r="AF54" s="10">
        <f t="shared" si="153"/>
        <v>0.13545418167266907</v>
      </c>
      <c r="AG54" s="10">
        <f t="shared" si="153"/>
        <v>0.1433994095318431</v>
      </c>
      <c r="AH54" s="10">
        <f t="shared" si="153"/>
        <v>0.12142226705333502</v>
      </c>
      <c r="AI54" s="10">
        <f t="shared" si="153"/>
        <v>0.16745582630788775</v>
      </c>
      <c r="AJ54" s="10">
        <f t="shared" si="153"/>
        <v>0.16543723973825103</v>
      </c>
      <c r="AK54" s="10">
        <f t="shared" si="153"/>
        <v>0.15594610427650848</v>
      </c>
      <c r="AL54" s="10">
        <f t="shared" si="153"/>
        <v>0.18001139312614722</v>
      </c>
      <c r="AM54" s="10">
        <f t="shared" si="153"/>
        <v>0.15962610102462699</v>
      </c>
      <c r="AN54" s="10">
        <f t="shared" si="153"/>
        <v>0.15248975537066931</v>
      </c>
      <c r="AO54" s="10">
        <f t="shared" si="153"/>
        <v>0.17144619179771817</v>
      </c>
      <c r="AP54" s="10">
        <f t="shared" si="153"/>
        <v>0.14008000561442907</v>
      </c>
      <c r="AQ54" s="10">
        <f t="shared" si="153"/>
        <v>0.13108817671555315</v>
      </c>
      <c r="AR54" s="10">
        <f t="shared" si="153"/>
        <v>0.12989001020523869</v>
      </c>
      <c r="AS54" s="10">
        <f t="shared" si="153"/>
        <v>0.12094287356922595</v>
      </c>
      <c r="AT54" s="18">
        <f t="shared" si="153"/>
        <v>0.14590869939707149</v>
      </c>
      <c r="AU54" s="10">
        <f t="shared" si="156"/>
        <v>0.13608708297444727</v>
      </c>
      <c r="AV54" s="10">
        <f t="shared" si="156"/>
        <v>0.13845708297444734</v>
      </c>
      <c r="AW54" s="10">
        <f t="shared" si="156"/>
        <v>0.14082708297444729</v>
      </c>
      <c r="BC54" s="10">
        <f t="shared" ref="BC54" si="161">BC16/BC$4</f>
        <v>7.5526552467005501E-2</v>
      </c>
      <c r="BD54" s="10">
        <f t="shared" si="124"/>
        <v>2.0889015751096349E-2</v>
      </c>
      <c r="BE54" s="10">
        <f t="shared" si="124"/>
        <v>9.5904271699441285E-3</v>
      </c>
      <c r="BF54" s="10">
        <f t="shared" si="124"/>
        <v>0.11191111435985526</v>
      </c>
      <c r="BG54" s="10">
        <f t="shared" si="124"/>
        <v>0.11275092936802975</v>
      </c>
      <c r="BH54" s="10">
        <f t="shared" si="124"/>
        <v>7.1596244131455405E-2</v>
      </c>
      <c r="BI54" s="10">
        <f t="shared" si="124"/>
        <v>0.12677797178787939</v>
      </c>
      <c r="BJ54" s="10">
        <f t="shared" si="124"/>
        <v>0.12805627071869688</v>
      </c>
      <c r="BK54" s="10">
        <f t="shared" si="124"/>
        <v>0.15313152400835073</v>
      </c>
      <c r="BL54" s="10">
        <f t="shared" si="124"/>
        <v>0.16577944421299512</v>
      </c>
      <c r="BM54" s="18">
        <f t="shared" si="124"/>
        <v>0.12979922768497831</v>
      </c>
      <c r="BN54" s="10">
        <f t="shared" si="124"/>
        <v>0.14019642669039939</v>
      </c>
      <c r="BO54" s="10">
        <f t="shared" ref="BO54:BS54" si="162">BO16/BO$4</f>
        <v>0</v>
      </c>
      <c r="BP54" s="10">
        <f t="shared" si="162"/>
        <v>0</v>
      </c>
      <c r="BQ54" s="10">
        <f t="shared" si="162"/>
        <v>0</v>
      </c>
      <c r="BR54" s="10">
        <f t="shared" si="162"/>
        <v>0</v>
      </c>
      <c r="BS54" s="10">
        <f t="shared" si="162"/>
        <v>0</v>
      </c>
    </row>
    <row r="55" spans="1:71" x14ac:dyDescent="0.25">
      <c r="A55" s="4" t="s">
        <v>166</v>
      </c>
      <c r="B55" s="10">
        <f t="shared" si="126"/>
        <v>1.574555188159345E-4</v>
      </c>
      <c r="C55" s="10">
        <f t="shared" si="153"/>
        <v>1.6237720224080538E-4</v>
      </c>
      <c r="D55" s="10">
        <f t="shared" si="153"/>
        <v>-2.7367268746579092E-4</v>
      </c>
      <c r="E55" s="10">
        <f t="shared" si="153"/>
        <v>-8.4530853761622995E-5</v>
      </c>
      <c r="F55" s="10">
        <f t="shared" si="153"/>
        <v>-1.0569707219110031E-4</v>
      </c>
      <c r="G55" s="10">
        <f t="shared" si="153"/>
        <v>-1.9338619222587506E-4</v>
      </c>
      <c r="H55" s="10">
        <f t="shared" si="153"/>
        <v>-4.3668122270742359E-4</v>
      </c>
      <c r="I55" s="10">
        <f t="shared" si="153"/>
        <v>1.0444955086693127E-4</v>
      </c>
      <c r="J55" s="10">
        <f t="shared" si="153"/>
        <v>-5.090612909794339E-4</v>
      </c>
      <c r="K55" s="10">
        <f t="shared" si="153"/>
        <v>4.4126731974229987E-4</v>
      </c>
      <c r="L55" s="10">
        <f t="shared" si="153"/>
        <v>7.0095505125733818E-4</v>
      </c>
      <c r="M55" s="10">
        <f t="shared" si="153"/>
        <v>6.2034739454094293E-4</v>
      </c>
      <c r="N55" s="10">
        <f t="shared" si="153"/>
        <v>3.8883272416206547E-4</v>
      </c>
      <c r="O55" s="10">
        <f t="shared" si="153"/>
        <v>6.4235243737063733E-4</v>
      </c>
      <c r="P55" s="10">
        <f t="shared" si="153"/>
        <v>5.1813471502590671E-4</v>
      </c>
      <c r="Q55" s="10">
        <f t="shared" si="153"/>
        <v>2.0917584716218101E-4</v>
      </c>
      <c r="R55" s="10">
        <f t="shared" si="153"/>
        <v>5.1982771424327937E-4</v>
      </c>
      <c r="S55" s="10">
        <f t="shared" si="153"/>
        <v>4.1574279379157428E-4</v>
      </c>
      <c r="T55" s="10">
        <f t="shared" si="153"/>
        <v>5.4867534096253326E-4</v>
      </c>
      <c r="U55" s="10">
        <f t="shared" si="153"/>
        <v>6.0864272671941571E-4</v>
      </c>
      <c r="V55" s="10">
        <f t="shared" si="153"/>
        <v>4.7014574518100609E-4</v>
      </c>
      <c r="W55" s="10">
        <f t="shared" si="153"/>
        <v>8.0024007202160647E-4</v>
      </c>
      <c r="X55" s="10">
        <f t="shared" si="153"/>
        <v>-5.0602165772695076E-4</v>
      </c>
      <c r="Y55" s="10">
        <f t="shared" si="153"/>
        <v>5.3404539385847798E-4</v>
      </c>
      <c r="Z55" s="10">
        <f t="shared" si="153"/>
        <v>7.5712963741902917E-4</v>
      </c>
      <c r="AA55" s="10">
        <f t="shared" si="153"/>
        <v>1.0861975327798898E-3</v>
      </c>
      <c r="AB55" s="10">
        <f t="shared" si="153"/>
        <v>1.6939582156973462E-3</v>
      </c>
      <c r="AC55" s="10">
        <f t="shared" si="153"/>
        <v>-9.4216553123641111E-4</v>
      </c>
      <c r="AD55" s="10">
        <f t="shared" si="153"/>
        <v>5.1512252557215396E-4</v>
      </c>
      <c r="AE55" s="10">
        <f t="shared" si="153"/>
        <v>2.8076086193584612E-4</v>
      </c>
      <c r="AF55" s="10">
        <f t="shared" si="153"/>
        <v>6.0024009603841532E-4</v>
      </c>
      <c r="AG55" s="10">
        <f t="shared" si="153"/>
        <v>-6.0251852744471894E-5</v>
      </c>
      <c r="AH55" s="10">
        <f t="shared" si="153"/>
        <v>1.0087000378262514E-3</v>
      </c>
      <c r="AI55" s="10">
        <f t="shared" si="153"/>
        <v>1.3858413211687262E-3</v>
      </c>
      <c r="AJ55" s="10">
        <f t="shared" si="153"/>
        <v>7.1386079714455682E-4</v>
      </c>
      <c r="AK55" s="10">
        <f t="shared" si="153"/>
        <v>6.4440538957234912E-4</v>
      </c>
      <c r="AL55" s="10">
        <f t="shared" si="153"/>
        <v>6.3295145262358377E-4</v>
      </c>
      <c r="AM55" s="10">
        <f t="shared" si="153"/>
        <v>1.0186350290610582E-3</v>
      </c>
      <c r="AN55" s="10">
        <f t="shared" si="153"/>
        <v>4.3462063827145162E-4</v>
      </c>
      <c r="AO55" s="10">
        <f t="shared" si="153"/>
        <v>6.167129201356768E-4</v>
      </c>
      <c r="AP55" s="10">
        <f t="shared" si="153"/>
        <v>4.9126254473998176E-4</v>
      </c>
      <c r="AQ55" s="10">
        <f t="shared" si="153"/>
        <v>4.224757076468103E-4</v>
      </c>
      <c r="AR55" s="10">
        <f t="shared" si="153"/>
        <v>4.5356616396416828E-4</v>
      </c>
      <c r="AS55" s="10">
        <f t="shared" si="153"/>
        <v>4.5471175456018396E-3</v>
      </c>
      <c r="AT55" s="18">
        <f t="shared" si="153"/>
        <v>4.0195233993683608E-4</v>
      </c>
      <c r="AU55" s="10">
        <f>+AT55</f>
        <v>4.0195233993683608E-4</v>
      </c>
      <c r="AV55" s="10">
        <f t="shared" ref="AV55:AW55" si="163">+AU55</f>
        <v>4.0195233993683608E-4</v>
      </c>
      <c r="AW55" s="10">
        <f t="shared" si="163"/>
        <v>4.0195233993683608E-4</v>
      </c>
      <c r="BC55" s="10">
        <f t="shared" ref="BC55" si="164">BC17/BC$4</f>
        <v>0</v>
      </c>
      <c r="BD55" s="10">
        <f t="shared" si="124"/>
        <v>-1.556945273373641E-4</v>
      </c>
      <c r="BE55" s="10">
        <f t="shared" si="124"/>
        <v>3.5194228146583962E-4</v>
      </c>
      <c r="BF55" s="10">
        <f t="shared" si="124"/>
        <v>4.3858046124045175E-4</v>
      </c>
      <c r="BG55" s="10">
        <f t="shared" si="124"/>
        <v>5.2044609665427512E-4</v>
      </c>
      <c r="BH55" s="10">
        <f t="shared" si="124"/>
        <v>3.3534540576794097E-4</v>
      </c>
      <c r="BI55" s="10">
        <f t="shared" si="124"/>
        <v>6.0818897019874042E-4</v>
      </c>
      <c r="BJ55" s="10">
        <f t="shared" si="124"/>
        <v>3.1971999259595806E-4</v>
      </c>
      <c r="BK55" s="10">
        <f t="shared" si="124"/>
        <v>9.3945720250521918E-4</v>
      </c>
      <c r="BL55" s="10">
        <f t="shared" si="124"/>
        <v>6.7891805150519218E-4</v>
      </c>
      <c r="BM55" s="18">
        <f t="shared" si="124"/>
        <v>1.6126884552220037E-3</v>
      </c>
      <c r="BN55" s="10">
        <f t="shared" si="124"/>
        <v>4.0195233993683608E-4</v>
      </c>
      <c r="BO55" s="10">
        <f t="shared" ref="BO55:BS55" si="165">BO17/BO$4</f>
        <v>0</v>
      </c>
      <c r="BP55" s="10">
        <f t="shared" si="165"/>
        <v>0</v>
      </c>
      <c r="BQ55" s="10">
        <f t="shared" si="165"/>
        <v>0</v>
      </c>
      <c r="BR55" s="10">
        <f t="shared" si="165"/>
        <v>0</v>
      </c>
      <c r="BS55" s="10">
        <f t="shared" si="165"/>
        <v>0</v>
      </c>
    </row>
    <row r="56" spans="1:71" x14ac:dyDescent="0.25">
      <c r="A56" s="4" t="s">
        <v>168</v>
      </c>
      <c r="B56" s="10">
        <f t="shared" si="126"/>
        <v>9.8252243741143122E-2</v>
      </c>
      <c r="C56" s="10">
        <f t="shared" si="153"/>
        <v>6.519444669968337E-2</v>
      </c>
      <c r="D56" s="10">
        <f t="shared" si="153"/>
        <v>5.1268016785258164E-2</v>
      </c>
      <c r="E56" s="10">
        <f t="shared" si="153"/>
        <v>8.4361792054099743E-2</v>
      </c>
      <c r="F56" s="10">
        <f t="shared" si="153"/>
        <v>2.8749603635979282E-2</v>
      </c>
      <c r="G56" s="10">
        <f t="shared" si="153"/>
        <v>5.3471282150454456E-2</v>
      </c>
      <c r="H56" s="10">
        <f t="shared" si="153"/>
        <v>3.0895196506550218E-2</v>
      </c>
      <c r="I56" s="10">
        <f t="shared" si="153"/>
        <v>-3.2274911217881765E-2</v>
      </c>
      <c r="J56" s="10">
        <f t="shared" si="153"/>
        <v>1.9751578090002036E-2</v>
      </c>
      <c r="K56" s="10">
        <f t="shared" si="153"/>
        <v>7.0867531550613358E-2</v>
      </c>
      <c r="L56" s="10">
        <f t="shared" si="153"/>
        <v>9.2964163673004474E-2</v>
      </c>
      <c r="M56" s="10">
        <f t="shared" si="153"/>
        <v>-0.1245347394540943</v>
      </c>
      <c r="N56" s="10">
        <f t="shared" si="153"/>
        <v>0.12963683023563263</v>
      </c>
      <c r="O56" s="10">
        <f t="shared" si="153"/>
        <v>0.12169010063521518</v>
      </c>
      <c r="P56" s="10">
        <f t="shared" si="153"/>
        <v>0.12783123612139155</v>
      </c>
      <c r="Q56" s="10">
        <f t="shared" si="153"/>
        <v>7.3141821224375958E-2</v>
      </c>
      <c r="R56" s="10">
        <f t="shared" si="153"/>
        <v>0.1399079162334769</v>
      </c>
      <c r="S56" s="10">
        <f t="shared" si="153"/>
        <v>0.11218126385809313</v>
      </c>
      <c r="T56" s="10">
        <f t="shared" si="153"/>
        <v>0.11710299419971783</v>
      </c>
      <c r="U56" s="10">
        <f t="shared" si="153"/>
        <v>8.3460133901399877E-2</v>
      </c>
      <c r="V56" s="10">
        <f t="shared" si="153"/>
        <v>0.10277385989656794</v>
      </c>
      <c r="W56" s="10">
        <f t="shared" si="153"/>
        <v>4.5913774132239675E-2</v>
      </c>
      <c r="X56" s="10">
        <f t="shared" si="153"/>
        <v>6.7908106466956789E-2</v>
      </c>
      <c r="Y56" s="10">
        <f t="shared" si="153"/>
        <v>6.9425901201602136E-2</v>
      </c>
      <c r="Z56" s="10">
        <f t="shared" si="153"/>
        <v>0.12879616387650375</v>
      </c>
      <c r="AA56" s="10">
        <f t="shared" si="153"/>
        <v>0.10970595081076888</v>
      </c>
      <c r="AB56" s="10">
        <f t="shared" si="153"/>
        <v>0.11518915866741954</v>
      </c>
      <c r="AC56" s="10">
        <f t="shared" si="153"/>
        <v>0.15364545586316858</v>
      </c>
      <c r="AD56" s="10">
        <f t="shared" si="153"/>
        <v>0.11310618882920009</v>
      </c>
      <c r="AE56" s="10">
        <f t="shared" si="153"/>
        <v>0.11742823050466765</v>
      </c>
      <c r="AF56" s="10">
        <f t="shared" si="153"/>
        <v>0.1360544217687075</v>
      </c>
      <c r="AG56" s="10">
        <f t="shared" si="153"/>
        <v>0.14333915767909863</v>
      </c>
      <c r="AH56" s="10">
        <f t="shared" si="153"/>
        <v>0.12243096709116126</v>
      </c>
      <c r="AI56" s="10">
        <f t="shared" si="153"/>
        <v>0.16884166762905647</v>
      </c>
      <c r="AJ56" s="10">
        <f t="shared" si="153"/>
        <v>0.16615110053539558</v>
      </c>
      <c r="AK56" s="10">
        <f t="shared" si="153"/>
        <v>0.15659050966608085</v>
      </c>
      <c r="AL56" s="10">
        <f t="shared" si="153"/>
        <v>0.18064434457877082</v>
      </c>
      <c r="AM56" s="10">
        <f t="shared" si="153"/>
        <v>0.16064473605368806</v>
      </c>
      <c r="AN56" s="10">
        <f t="shared" si="153"/>
        <v>0.15292437600894077</v>
      </c>
      <c r="AO56" s="10">
        <f t="shared" si="153"/>
        <v>0.17206290471785385</v>
      </c>
      <c r="AP56" s="10">
        <f t="shared" si="153"/>
        <v>0.14057126815916907</v>
      </c>
      <c r="AQ56" s="10">
        <f t="shared" si="153"/>
        <v>0.13151065242319995</v>
      </c>
      <c r="AR56" s="10">
        <f t="shared" si="153"/>
        <v>0.13034357636920285</v>
      </c>
      <c r="AS56" s="10">
        <f t="shared" si="153"/>
        <v>0.12548999111482778</v>
      </c>
      <c r="AT56" s="18">
        <f t="shared" si="153"/>
        <v>0.14631065173700833</v>
      </c>
      <c r="AU56" s="10">
        <f t="shared" ref="AU56:AW56" si="166">AU18/AU$4</f>
        <v>0.13648903531438411</v>
      </c>
      <c r="AV56" s="10">
        <f t="shared" si="166"/>
        <v>0.13885903531438418</v>
      </c>
      <c r="AW56" s="10">
        <f t="shared" si="166"/>
        <v>0.14122903531438413</v>
      </c>
      <c r="BC56" s="10">
        <f t="shared" ref="BC56" si="167">BC18/BC$4</f>
        <v>7.5526552467005501E-2</v>
      </c>
      <c r="BD56" s="10">
        <f t="shared" si="124"/>
        <v>2.0733321223758986E-2</v>
      </c>
      <c r="BE56" s="10">
        <f t="shared" si="124"/>
        <v>9.9423694514099679E-3</v>
      </c>
      <c r="BF56" s="10">
        <f t="shared" si="124"/>
        <v>0.11234969482109572</v>
      </c>
      <c r="BG56" s="10">
        <f t="shared" si="124"/>
        <v>0.11327137546468402</v>
      </c>
      <c r="BH56" s="10">
        <f t="shared" si="124"/>
        <v>7.1931589537223339E-2</v>
      </c>
      <c r="BI56" s="10">
        <f t="shared" si="124"/>
        <v>0.12738616075807813</v>
      </c>
      <c r="BJ56" s="10">
        <f t="shared" si="124"/>
        <v>0.12837599071129285</v>
      </c>
      <c r="BK56" s="10">
        <f t="shared" si="124"/>
        <v>0.15407098121085594</v>
      </c>
      <c r="BL56" s="10">
        <f t="shared" si="124"/>
        <v>0.16645836226450031</v>
      </c>
      <c r="BM56" s="18">
        <f t="shared" si="124"/>
        <v>0.13141191614020034</v>
      </c>
      <c r="BN56" s="10">
        <f t="shared" si="124"/>
        <v>0.14059837903033617</v>
      </c>
      <c r="BO56" s="10">
        <f t="shared" ref="BO56:BS56" si="168">BO18/BO$4</f>
        <v>0</v>
      </c>
      <c r="BP56" s="10">
        <f t="shared" si="168"/>
        <v>0</v>
      </c>
      <c r="BQ56" s="10">
        <f t="shared" si="168"/>
        <v>0</v>
      </c>
      <c r="BR56" s="10">
        <f t="shared" si="168"/>
        <v>0</v>
      </c>
      <c r="BS56" s="10">
        <f t="shared" si="168"/>
        <v>0</v>
      </c>
    </row>
    <row r="57" spans="1:71" x14ac:dyDescent="0.25">
      <c r="A57" s="4" t="s">
        <v>167</v>
      </c>
      <c r="B57" s="10">
        <f t="shared" si="126"/>
        <v>2.3618327822390176E-4</v>
      </c>
      <c r="C57" s="10">
        <f t="shared" si="153"/>
        <v>8.1188601120402691E-5</v>
      </c>
      <c r="D57" s="10">
        <f t="shared" si="153"/>
        <v>2.7367268746579092E-4</v>
      </c>
      <c r="E57" s="10">
        <f t="shared" si="153"/>
        <v>3.3812341504649198E-4</v>
      </c>
      <c r="F57" s="10">
        <f t="shared" si="153"/>
        <v>1.0569707219110031E-4</v>
      </c>
      <c r="G57" s="10">
        <f t="shared" si="153"/>
        <v>2.9007928833881262E-4</v>
      </c>
      <c r="H57" s="10">
        <f t="shared" si="153"/>
        <v>0</v>
      </c>
      <c r="I57" s="10">
        <f t="shared" si="153"/>
        <v>4.1779820346772508E-4</v>
      </c>
      <c r="J57" s="10">
        <f t="shared" si="153"/>
        <v>2.0362451639177357E-4</v>
      </c>
      <c r="K57" s="10">
        <f t="shared" si="153"/>
        <v>8.8253463948459983E-5</v>
      </c>
      <c r="L57" s="10">
        <f t="shared" si="153"/>
        <v>-2.628581442215018E-4</v>
      </c>
      <c r="M57" s="10">
        <f t="shared" si="153"/>
        <v>3.8771712158808936E-4</v>
      </c>
      <c r="N57" s="10">
        <f t="shared" si="153"/>
        <v>1.555330896648262E-4</v>
      </c>
      <c r="O57" s="10">
        <f t="shared" si="153"/>
        <v>-1.4274498608236386E-4</v>
      </c>
      <c r="P57" s="10">
        <f t="shared" si="153"/>
        <v>0</v>
      </c>
      <c r="Q57" s="10">
        <f t="shared" si="153"/>
        <v>6.9725282387393675E-5</v>
      </c>
      <c r="R57" s="10">
        <f t="shared" si="153"/>
        <v>2.227833061042626E-4</v>
      </c>
      <c r="S57" s="10">
        <f t="shared" si="153"/>
        <v>-6.9290465631929047E-5</v>
      </c>
      <c r="T57" s="10">
        <f t="shared" si="153"/>
        <v>0</v>
      </c>
      <c r="U57" s="10">
        <f t="shared" si="153"/>
        <v>-7.6080340839926964E-5</v>
      </c>
      <c r="V57" s="10">
        <f t="shared" si="153"/>
        <v>9.4029149036201217E-5</v>
      </c>
      <c r="W57" s="10">
        <f t="shared" si="153"/>
        <v>1.0003000900270081E-4</v>
      </c>
      <c r="X57" s="10">
        <f t="shared" si="153"/>
        <v>3.0361299463617044E-4</v>
      </c>
      <c r="Y57" s="10">
        <f t="shared" si="153"/>
        <v>0</v>
      </c>
      <c r="Z57" s="10">
        <f t="shared" si="153"/>
        <v>8.4125515268781024E-5</v>
      </c>
      <c r="AA57" s="10">
        <f t="shared" si="153"/>
        <v>7.7585538055706418E-5</v>
      </c>
      <c r="AB57" s="10">
        <f t="shared" si="153"/>
        <v>1.6132935387593774E-4</v>
      </c>
      <c r="AC57" s="10">
        <f t="shared" si="153"/>
        <v>0</v>
      </c>
      <c r="AD57" s="10">
        <f t="shared" si="153"/>
        <v>0</v>
      </c>
      <c r="AE57" s="10">
        <f t="shared" si="153"/>
        <v>0</v>
      </c>
      <c r="AF57" s="10">
        <f t="shared" si="153"/>
        <v>-6.6693344004268369E-5</v>
      </c>
      <c r="AG57" s="10">
        <f t="shared" si="153"/>
        <v>0</v>
      </c>
      <c r="AH57" s="10">
        <f t="shared" si="153"/>
        <v>-6.3043752364140714E-5</v>
      </c>
      <c r="AI57" s="10">
        <f t="shared" ref="C57:AT58" si="169">AI19/AI$4</f>
        <v>1.1548677676406051E-4</v>
      </c>
      <c r="AJ57" s="10">
        <f t="shared" si="169"/>
        <v>-5.94883997620464E-5</v>
      </c>
      <c r="AK57" s="10">
        <f t="shared" si="169"/>
        <v>-1.7574692442882251E-4</v>
      </c>
      <c r="AL57" s="10">
        <f t="shared" si="169"/>
        <v>-1.2659029052471674E-4</v>
      </c>
      <c r="AM57" s="10">
        <f t="shared" si="169"/>
        <v>0</v>
      </c>
      <c r="AN57" s="10">
        <f t="shared" si="169"/>
        <v>-6.2088662610207377E-5</v>
      </c>
      <c r="AO57" s="10">
        <f t="shared" si="169"/>
        <v>-6.1671292013567691E-5</v>
      </c>
      <c r="AP57" s="10">
        <f t="shared" si="169"/>
        <v>0</v>
      </c>
      <c r="AQ57" s="10">
        <f t="shared" si="169"/>
        <v>0</v>
      </c>
      <c r="AR57" s="10">
        <f t="shared" si="169"/>
        <v>-5.6695770495521035E-5</v>
      </c>
      <c r="AS57" s="10">
        <f t="shared" si="169"/>
        <v>-5.2265718914963674E-5</v>
      </c>
      <c r="AT57" s="18">
        <f t="shared" si="169"/>
        <v>-5.7421762848119435E-5</v>
      </c>
      <c r="AU57" s="10">
        <f>+AT57</f>
        <v>-5.7421762848119435E-5</v>
      </c>
      <c r="AV57" s="10">
        <f t="shared" ref="AV57:AW57" si="170">+AU57</f>
        <v>-5.7421762848119435E-5</v>
      </c>
      <c r="AW57" s="10">
        <f t="shared" si="170"/>
        <v>-5.7421762848119435E-5</v>
      </c>
      <c r="BC57" s="10">
        <f t="shared" ref="BC57" si="171">BC19/BC$4</f>
        <v>2.3007257744033801E-4</v>
      </c>
      <c r="BD57" s="10">
        <f t="shared" ref="BD57:BN57" si="172">BD19/BD$4</f>
        <v>2.0759270311648546E-4</v>
      </c>
      <c r="BE57" s="10">
        <f t="shared" si="172"/>
        <v>1.0998196295807488E-4</v>
      </c>
      <c r="BF57" s="10">
        <f t="shared" si="172"/>
        <v>1.8274185885018822E-5</v>
      </c>
      <c r="BG57" s="10">
        <f t="shared" si="172"/>
        <v>1.8587360594795539E-5</v>
      </c>
      <c r="BH57" s="10">
        <f t="shared" si="172"/>
        <v>1.1976621634569321E-4</v>
      </c>
      <c r="BI57" s="10">
        <f t="shared" si="172"/>
        <v>7.8475996154676186E-5</v>
      </c>
      <c r="BJ57" s="10">
        <f t="shared" si="172"/>
        <v>-1.6827368031366213E-5</v>
      </c>
      <c r="BK57" s="10">
        <f t="shared" si="172"/>
        <v>-4.4736057262153298E-5</v>
      </c>
      <c r="BL57" s="10">
        <f t="shared" si="172"/>
        <v>-6.1719822864108378E-5</v>
      </c>
      <c r="BM57" s="18">
        <f t="shared" si="172"/>
        <v>-2.9590613857284468E-5</v>
      </c>
      <c r="BN57" s="10">
        <f t="shared" si="172"/>
        <v>-5.7421762848119429E-5</v>
      </c>
      <c r="BO57" s="10">
        <f t="shared" ref="BO57:BS57" si="173">BO19/BO$4</f>
        <v>0</v>
      </c>
      <c r="BP57" s="10">
        <f t="shared" si="173"/>
        <v>0</v>
      </c>
      <c r="BQ57" s="10">
        <f t="shared" si="173"/>
        <v>0</v>
      </c>
      <c r="BR57" s="10">
        <f t="shared" si="173"/>
        <v>0</v>
      </c>
      <c r="BS57" s="10">
        <f t="shared" si="173"/>
        <v>0</v>
      </c>
    </row>
    <row r="58" spans="1:71" s="6" customFormat="1" x14ac:dyDescent="0.25">
      <c r="A58" s="1" t="s">
        <v>24</v>
      </c>
      <c r="B58" s="11">
        <f t="shared" si="126"/>
        <v>9.8016060462919219E-2</v>
      </c>
      <c r="C58" s="11">
        <f t="shared" si="169"/>
        <v>6.5113258098562957E-2</v>
      </c>
      <c r="D58" s="11">
        <f t="shared" si="169"/>
        <v>5.0994344097792375E-2</v>
      </c>
      <c r="E58" s="11">
        <f t="shared" si="169"/>
        <v>8.4023668639053251E-2</v>
      </c>
      <c r="F58" s="11">
        <f t="shared" si="169"/>
        <v>2.8643906563788183E-2</v>
      </c>
      <c r="G58" s="11">
        <f t="shared" si="169"/>
        <v>5.3181202862115647E-2</v>
      </c>
      <c r="H58" s="11">
        <f t="shared" si="169"/>
        <v>3.0895196506550218E-2</v>
      </c>
      <c r="I58" s="11">
        <f t="shared" si="169"/>
        <v>-3.269270942134949E-2</v>
      </c>
      <c r="J58" s="11">
        <f t="shared" si="169"/>
        <v>1.9547953573610263E-2</v>
      </c>
      <c r="K58" s="11">
        <f t="shared" si="169"/>
        <v>7.0779278086664899E-2</v>
      </c>
      <c r="L58" s="11">
        <f t="shared" si="169"/>
        <v>9.3227021817225975E-2</v>
      </c>
      <c r="M58" s="11">
        <f t="shared" si="169"/>
        <v>-0.12492245657568238</v>
      </c>
      <c r="N58" s="11">
        <f t="shared" si="169"/>
        <v>0.12948129714596782</v>
      </c>
      <c r="O58" s="11">
        <f t="shared" si="169"/>
        <v>0.12183284562129755</v>
      </c>
      <c r="P58" s="11">
        <f t="shared" si="169"/>
        <v>0.12783123612139155</v>
      </c>
      <c r="Q58" s="11">
        <f t="shared" si="169"/>
        <v>7.307209594198856E-2</v>
      </c>
      <c r="R58" s="11">
        <f t="shared" si="169"/>
        <v>0.13968513292737264</v>
      </c>
      <c r="S58" s="11">
        <f t="shared" si="169"/>
        <v>0.11225055432372505</v>
      </c>
      <c r="T58" s="11">
        <f t="shared" si="169"/>
        <v>0.11710299419971783</v>
      </c>
      <c r="U58" s="11">
        <f t="shared" si="169"/>
        <v>8.3536214242239809E-2</v>
      </c>
      <c r="V58" s="11">
        <f t="shared" si="169"/>
        <v>0.10267983074753173</v>
      </c>
      <c r="W58" s="11">
        <f t="shared" si="169"/>
        <v>4.5813744123236973E-2</v>
      </c>
      <c r="X58" s="11">
        <f t="shared" si="169"/>
        <v>6.7604493472320615E-2</v>
      </c>
      <c r="Y58" s="11">
        <f t="shared" si="169"/>
        <v>6.9425901201602136E-2</v>
      </c>
      <c r="Z58" s="11">
        <f t="shared" si="169"/>
        <v>0.12871203836123496</v>
      </c>
      <c r="AA58" s="11">
        <f t="shared" si="169"/>
        <v>0.10962836527271316</v>
      </c>
      <c r="AB58" s="11">
        <f t="shared" si="169"/>
        <v>0.11502782931354361</v>
      </c>
      <c r="AC58" s="11">
        <f t="shared" si="169"/>
        <v>0.15364545586316858</v>
      </c>
      <c r="AD58" s="11">
        <f t="shared" si="169"/>
        <v>0.11310618882920009</v>
      </c>
      <c r="AE58" s="11">
        <f t="shared" si="169"/>
        <v>0.11742823050466765</v>
      </c>
      <c r="AF58" s="11">
        <f t="shared" si="169"/>
        <v>0.13612111511271174</v>
      </c>
      <c r="AG58" s="11">
        <f t="shared" si="169"/>
        <v>0.14333915767909863</v>
      </c>
      <c r="AH58" s="11">
        <f t="shared" si="169"/>
        <v>0.1224940108435254</v>
      </c>
      <c r="AI58" s="11">
        <f t="shared" si="169"/>
        <v>0.16872618085229241</v>
      </c>
      <c r="AJ58" s="11">
        <f t="shared" si="169"/>
        <v>0.16621058893515764</v>
      </c>
      <c r="AK58" s="11">
        <f t="shared" si="169"/>
        <v>0.15676625659050966</v>
      </c>
      <c r="AL58" s="11">
        <f t="shared" si="169"/>
        <v>0.18077093486929552</v>
      </c>
      <c r="AM58" s="11">
        <f t="shared" si="169"/>
        <v>0.16064473605368806</v>
      </c>
      <c r="AN58" s="11">
        <f t="shared" si="169"/>
        <v>0.15298646467155097</v>
      </c>
      <c r="AO58" s="11">
        <f t="shared" si="169"/>
        <v>0.17212457600986741</v>
      </c>
      <c r="AP58" s="11">
        <f t="shared" si="169"/>
        <v>0.14057126815916907</v>
      </c>
      <c r="AQ58" s="11">
        <f t="shared" si="169"/>
        <v>0.13151065242319995</v>
      </c>
      <c r="AR58" s="11">
        <f t="shared" si="169"/>
        <v>0.13040027213969838</v>
      </c>
      <c r="AS58" s="11">
        <f t="shared" si="169"/>
        <v>0.12554225683374276</v>
      </c>
      <c r="AT58" s="19">
        <f t="shared" si="169"/>
        <v>0.14636807349985645</v>
      </c>
      <c r="AU58" s="11">
        <f t="shared" ref="AU58:AW58" si="174">AU20/AU$4</f>
        <v>0.13654645707723223</v>
      </c>
      <c r="AV58" s="11">
        <f t="shared" si="174"/>
        <v>0.1389164570772323</v>
      </c>
      <c r="AW58" s="11">
        <f t="shared" si="174"/>
        <v>0.14128645707723228</v>
      </c>
      <c r="BC58" s="11">
        <f t="shared" ref="BC58" si="175">BC20/BC$4</f>
        <v>7.5296479889565157E-2</v>
      </c>
      <c r="BD58" s="11">
        <f t="shared" ref="BD58:BN58" si="176">BD20/BD$4</f>
        <v>2.0525728520642498E-2</v>
      </c>
      <c r="BE58" s="11">
        <f t="shared" si="176"/>
        <v>9.8323874884518932E-3</v>
      </c>
      <c r="BF58" s="11">
        <f t="shared" si="176"/>
        <v>0.1123314206352107</v>
      </c>
      <c r="BG58" s="11">
        <f t="shared" si="176"/>
        <v>0.11325278810408922</v>
      </c>
      <c r="BH58" s="11">
        <f t="shared" si="176"/>
        <v>7.1811823320877641E-2</v>
      </c>
      <c r="BI58" s="11">
        <f t="shared" si="176"/>
        <v>0.12730768476192345</v>
      </c>
      <c r="BJ58" s="11">
        <f t="shared" si="176"/>
        <v>0.12839281807932421</v>
      </c>
      <c r="BK58" s="11">
        <f t="shared" si="176"/>
        <v>0.1541157172681181</v>
      </c>
      <c r="BL58" s="11">
        <f t="shared" si="176"/>
        <v>0.16652008208736441</v>
      </c>
      <c r="BM58" s="19">
        <f t="shared" si="176"/>
        <v>0.13144150675405761</v>
      </c>
      <c r="BN58" s="11">
        <f t="shared" si="176"/>
        <v>0.14065580079318435</v>
      </c>
      <c r="BO58" s="11">
        <f t="shared" ref="BO58:BS58" si="177">BO20/BO$4</f>
        <v>0</v>
      </c>
      <c r="BP58" s="11">
        <f t="shared" si="177"/>
        <v>0</v>
      </c>
      <c r="BQ58" s="11">
        <f t="shared" si="177"/>
        <v>0</v>
      </c>
      <c r="BR58" s="11">
        <f t="shared" si="177"/>
        <v>0</v>
      </c>
      <c r="BS58" s="11">
        <f t="shared" si="177"/>
        <v>0</v>
      </c>
    </row>
  </sheetData>
  <phoneticPr fontId="4" type="noConversion"/>
  <pageMargins left="0.7" right="0.7" top="0.75" bottom="0.75" header="0.3" footer="0.3"/>
  <ignoredErrors>
    <ignoredError sqref="A2:AT3 A5:AT5 A4 B17:AT17 A23:AT23 B19:AT19 A13:AT13 B12:AT12 A10:AT10 B8:AT8 B9:AT9 A11 A15:AT15 A14 A16 A20 A21 A22 A24:AC24 AE24:AT24 A1" numberStoredAsText="1"/>
  </ignoredError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T40"/>
  <sheetViews>
    <sheetView workbookViewId="0">
      <pane xSplit="1" ySplit="1" topLeftCell="AT8" activePane="bottomRight" state="frozen"/>
      <selection pane="topRight" activeCell="B1" sqref="B1"/>
      <selection pane="bottomLeft" activeCell="A2" sqref="A2"/>
      <selection pane="bottomRight" activeCell="E9" sqref="E9"/>
    </sheetView>
  </sheetViews>
  <sheetFormatPr defaultRowHeight="15" x14ac:dyDescent="0.25"/>
  <cols>
    <col min="1" max="1" width="30.85546875" style="3" customWidth="1"/>
    <col min="2" max="46" width="12.85546875" style="3" customWidth="1"/>
    <col min="47" max="16384" width="9.140625" style="3"/>
  </cols>
  <sheetData>
    <row r="1" spans="1:46" x14ac:dyDescent="0.25">
      <c r="A1" s="1" t="s">
        <v>0</v>
      </c>
      <c r="B1" s="2" t="s">
        <v>131</v>
      </c>
      <c r="C1" s="2" t="s">
        <v>132</v>
      </c>
      <c r="D1" s="2" t="s">
        <v>133</v>
      </c>
      <c r="E1" s="2" t="s">
        <v>1</v>
      </c>
      <c r="F1" s="2" t="s">
        <v>134</v>
      </c>
      <c r="G1" s="2" t="s">
        <v>135</v>
      </c>
      <c r="H1" s="2" t="s">
        <v>136</v>
      </c>
      <c r="I1" s="2" t="s">
        <v>2</v>
      </c>
      <c r="J1" s="2" t="s">
        <v>137</v>
      </c>
      <c r="K1" s="2" t="s">
        <v>138</v>
      </c>
      <c r="L1" s="2" t="s">
        <v>139</v>
      </c>
      <c r="M1" s="2" t="s">
        <v>3</v>
      </c>
      <c r="N1" s="2" t="s">
        <v>140</v>
      </c>
      <c r="O1" s="2" t="s">
        <v>141</v>
      </c>
      <c r="P1" s="2" t="s">
        <v>142</v>
      </c>
      <c r="Q1" s="2" t="s">
        <v>4</v>
      </c>
      <c r="R1" s="2" t="s">
        <v>143</v>
      </c>
      <c r="S1" s="2" t="s">
        <v>144</v>
      </c>
      <c r="T1" s="2" t="s">
        <v>145</v>
      </c>
      <c r="U1" s="2" t="s">
        <v>5</v>
      </c>
      <c r="V1" s="2" t="s">
        <v>146</v>
      </c>
      <c r="W1" s="2" t="s">
        <v>147</v>
      </c>
      <c r="X1" s="2" t="s">
        <v>148</v>
      </c>
      <c r="Y1" s="2" t="s">
        <v>6</v>
      </c>
      <c r="Z1" s="2" t="s">
        <v>149</v>
      </c>
      <c r="AA1" s="2" t="s">
        <v>150</v>
      </c>
      <c r="AB1" s="2" t="s">
        <v>151</v>
      </c>
      <c r="AC1" s="2" t="s">
        <v>7</v>
      </c>
      <c r="AD1" s="2" t="s">
        <v>152</v>
      </c>
      <c r="AE1" s="2" t="s">
        <v>153</v>
      </c>
      <c r="AF1" s="2" t="s">
        <v>154</v>
      </c>
      <c r="AG1" s="2" t="s">
        <v>8</v>
      </c>
      <c r="AH1" s="2" t="s">
        <v>155</v>
      </c>
      <c r="AI1" s="2" t="s">
        <v>156</v>
      </c>
      <c r="AJ1" s="2" t="s">
        <v>157</v>
      </c>
      <c r="AK1" s="2" t="s">
        <v>9</v>
      </c>
      <c r="AL1" s="2" t="s">
        <v>158</v>
      </c>
      <c r="AM1" s="2" t="s">
        <v>159</v>
      </c>
      <c r="AN1" s="2" t="s">
        <v>160</v>
      </c>
      <c r="AO1" s="2" t="s">
        <v>10</v>
      </c>
      <c r="AP1" s="2" t="s">
        <v>161</v>
      </c>
      <c r="AQ1" s="2" t="s">
        <v>162</v>
      </c>
      <c r="AR1" s="2" t="s">
        <v>163</v>
      </c>
      <c r="AS1" s="2" t="s">
        <v>11</v>
      </c>
      <c r="AT1" s="2" t="s">
        <v>164</v>
      </c>
    </row>
    <row r="2" spans="1:46" x14ac:dyDescent="0.25">
      <c r="A2" s="4" t="s">
        <v>29</v>
      </c>
      <c r="B2" s="5">
        <v>7563</v>
      </c>
      <c r="C2" s="5">
        <v>7821</v>
      </c>
      <c r="D2" s="5">
        <v>6046</v>
      </c>
      <c r="E2" s="5">
        <v>6460</v>
      </c>
      <c r="F2" s="5">
        <v>5886</v>
      </c>
      <c r="G2" s="5">
        <v>6764</v>
      </c>
      <c r="H2" s="5">
        <v>6113</v>
      </c>
      <c r="I2" s="5">
        <v>7168</v>
      </c>
      <c r="J2" s="5">
        <v>9472</v>
      </c>
      <c r="K2" s="5">
        <v>10232</v>
      </c>
      <c r="L2" s="5">
        <v>9591</v>
      </c>
      <c r="M2" s="5">
        <v>8261</v>
      </c>
      <c r="N2" s="5">
        <v>7888</v>
      </c>
      <c r="O2" s="5">
        <v>8654</v>
      </c>
      <c r="P2" s="5">
        <v>8007</v>
      </c>
      <c r="Q2" s="5">
        <v>7857</v>
      </c>
      <c r="R2" s="5">
        <v>7128</v>
      </c>
      <c r="S2" s="5">
        <v>7429</v>
      </c>
      <c r="T2" s="5">
        <v>7906</v>
      </c>
      <c r="U2" s="5">
        <v>8284</v>
      </c>
      <c r="V2" s="5">
        <v>7123</v>
      </c>
      <c r="W2" s="5">
        <v>8784</v>
      </c>
      <c r="X2" s="5">
        <v>9315</v>
      </c>
      <c r="Y2" s="5">
        <v>9352</v>
      </c>
      <c r="Z2" s="5">
        <v>11342</v>
      </c>
      <c r="AA2" s="5">
        <v>10831</v>
      </c>
      <c r="AB2" s="5">
        <v>9446</v>
      </c>
      <c r="AC2" s="5">
        <v>9254</v>
      </c>
      <c r="AD2" s="5">
        <v>6526</v>
      </c>
      <c r="AE2" s="5">
        <v>6014</v>
      </c>
      <c r="AF2" s="5">
        <v>6346</v>
      </c>
      <c r="AG2" s="5">
        <v>7004</v>
      </c>
      <c r="AH2" s="5">
        <v>6789</v>
      </c>
      <c r="AI2" s="5">
        <v>7387</v>
      </c>
      <c r="AJ2" s="5">
        <v>6545</v>
      </c>
      <c r="AK2" s="5">
        <v>6978</v>
      </c>
      <c r="AL2" s="5">
        <v>4959</v>
      </c>
      <c r="AM2" s="5">
        <v>4341</v>
      </c>
      <c r="AN2" s="5">
        <v>5638</v>
      </c>
      <c r="AO2" s="5">
        <v>6889</v>
      </c>
      <c r="AP2" s="5">
        <v>3562</v>
      </c>
      <c r="AQ2" s="5">
        <v>5442</v>
      </c>
      <c r="AR2" s="5">
        <v>7538</v>
      </c>
      <c r="AS2" s="5">
        <v>9980</v>
      </c>
      <c r="AT2" s="5">
        <v>4072</v>
      </c>
    </row>
    <row r="3" spans="1:46" x14ac:dyDescent="0.25">
      <c r="A3" s="4" t="s">
        <v>30</v>
      </c>
      <c r="B3" s="5">
        <v>7586</v>
      </c>
      <c r="C3" s="5">
        <v>7212</v>
      </c>
      <c r="D3" s="5">
        <v>6783</v>
      </c>
      <c r="E3" s="5">
        <v>6695</v>
      </c>
      <c r="F3" s="5">
        <v>6856</v>
      </c>
      <c r="G3" s="5">
        <v>6326</v>
      </c>
      <c r="H3" s="5">
        <v>5797</v>
      </c>
      <c r="I3" s="5">
        <v>5981</v>
      </c>
      <c r="J3" s="5">
        <v>6533</v>
      </c>
      <c r="K3" s="5">
        <v>6675</v>
      </c>
      <c r="L3" s="5">
        <v>6691</v>
      </c>
      <c r="M3" s="5">
        <v>7436</v>
      </c>
      <c r="N3" s="5">
        <v>7894</v>
      </c>
      <c r="O3" s="5">
        <v>7991</v>
      </c>
      <c r="P3" s="5">
        <v>7974</v>
      </c>
      <c r="Q3" s="5">
        <v>8802</v>
      </c>
      <c r="R3" s="5">
        <v>8961</v>
      </c>
      <c r="S3" s="5">
        <v>8996</v>
      </c>
      <c r="T3" s="5">
        <v>8275</v>
      </c>
      <c r="U3" s="5">
        <v>8568</v>
      </c>
      <c r="V3" s="5">
        <v>7834</v>
      </c>
      <c r="W3" s="5">
        <v>7134</v>
      </c>
      <c r="X3" s="5">
        <v>6969</v>
      </c>
      <c r="Y3" s="5">
        <v>7317</v>
      </c>
      <c r="Z3" s="5">
        <v>7955</v>
      </c>
      <c r="AA3" s="5">
        <v>7840</v>
      </c>
      <c r="AB3" s="5">
        <v>7647</v>
      </c>
      <c r="AC3" s="5">
        <v>8477</v>
      </c>
      <c r="AD3" s="5">
        <v>9135</v>
      </c>
      <c r="AE3" s="5">
        <v>8393</v>
      </c>
      <c r="AF3" s="5">
        <v>8158</v>
      </c>
      <c r="AG3" s="5">
        <v>8856</v>
      </c>
      <c r="AH3" s="5">
        <v>9230</v>
      </c>
      <c r="AI3" s="5">
        <v>9416</v>
      </c>
      <c r="AJ3" s="5">
        <v>9134</v>
      </c>
      <c r="AK3" s="5">
        <v>9310</v>
      </c>
      <c r="AL3" s="5">
        <v>9296</v>
      </c>
      <c r="AM3" s="5">
        <v>9421</v>
      </c>
      <c r="AN3" s="5">
        <v>9086</v>
      </c>
      <c r="AO3" s="5">
        <v>9282</v>
      </c>
      <c r="AP3" s="5">
        <v>9116</v>
      </c>
      <c r="AQ3" s="5">
        <v>9704</v>
      </c>
      <c r="AR3" s="5">
        <v>10146</v>
      </c>
      <c r="AS3" s="5">
        <v>10920</v>
      </c>
      <c r="AT3" s="5">
        <v>11447</v>
      </c>
    </row>
    <row r="4" spans="1:46" x14ac:dyDescent="0.25">
      <c r="A4" s="4" t="s">
        <v>31</v>
      </c>
      <c r="B4" s="5">
        <v>9037</v>
      </c>
      <c r="C4" s="5">
        <v>9213</v>
      </c>
      <c r="D4" s="5">
        <v>8862</v>
      </c>
      <c r="E4" s="5">
        <v>8991</v>
      </c>
      <c r="F4" s="5">
        <v>9310</v>
      </c>
      <c r="G4" s="5">
        <v>9201</v>
      </c>
      <c r="H4" s="5">
        <v>8719</v>
      </c>
      <c r="I4" s="5">
        <v>8522</v>
      </c>
      <c r="J4" s="5">
        <v>8684</v>
      </c>
      <c r="K4" s="5">
        <v>8920</v>
      </c>
      <c r="L4" s="5">
        <v>8984</v>
      </c>
      <c r="M4" s="5">
        <v>8757</v>
      </c>
      <c r="N4" s="5">
        <v>8772</v>
      </c>
      <c r="O4" s="5">
        <v>8906</v>
      </c>
      <c r="P4" s="5">
        <v>8824</v>
      </c>
      <c r="Q4" s="5">
        <v>8650</v>
      </c>
      <c r="R4" s="5">
        <v>8932</v>
      </c>
      <c r="S4" s="5">
        <v>9539</v>
      </c>
      <c r="T4" s="5">
        <v>9192</v>
      </c>
      <c r="U4" s="5">
        <v>9336</v>
      </c>
      <c r="V4" s="5">
        <v>9120</v>
      </c>
      <c r="W4" s="5">
        <v>8781</v>
      </c>
      <c r="X4" s="5">
        <v>8966</v>
      </c>
      <c r="Y4" s="5">
        <v>9463</v>
      </c>
      <c r="Z4" s="5">
        <v>9333</v>
      </c>
      <c r="AA4" s="5">
        <v>9523</v>
      </c>
      <c r="AB4" s="5">
        <v>8919</v>
      </c>
      <c r="AC4" s="5">
        <v>8898</v>
      </c>
      <c r="AD4" s="5">
        <v>9003</v>
      </c>
      <c r="AE4" s="5">
        <v>8922</v>
      </c>
      <c r="AF4" s="5">
        <v>8918</v>
      </c>
      <c r="AG4" s="5">
        <v>9013</v>
      </c>
      <c r="AH4" s="5">
        <v>9119</v>
      </c>
      <c r="AI4" s="5">
        <v>9288</v>
      </c>
      <c r="AJ4" s="5">
        <v>9608</v>
      </c>
      <c r="AK4" s="5">
        <v>9510</v>
      </c>
      <c r="AL4" s="5">
        <v>9446</v>
      </c>
      <c r="AM4" s="5">
        <v>9516</v>
      </c>
      <c r="AN4" s="5">
        <v>9816</v>
      </c>
      <c r="AO4" s="5">
        <v>9565</v>
      </c>
      <c r="AP4" s="5">
        <v>9655</v>
      </c>
      <c r="AQ4" s="5">
        <v>10147</v>
      </c>
      <c r="AR4" s="5">
        <v>10315</v>
      </c>
      <c r="AS4" s="5">
        <v>10649</v>
      </c>
      <c r="AT4" s="5">
        <v>10443</v>
      </c>
    </row>
    <row r="5" spans="1:46" x14ac:dyDescent="0.25">
      <c r="A5" s="4" t="s">
        <v>32</v>
      </c>
      <c r="B5" s="5">
        <v>1438</v>
      </c>
      <c r="C5" s="5">
        <v>1441</v>
      </c>
      <c r="D5" s="5">
        <v>1446</v>
      </c>
    </row>
    <row r="6" spans="1:46" x14ac:dyDescent="0.25">
      <c r="A6" s="4" t="s">
        <v>33</v>
      </c>
      <c r="B6" s="5">
        <v>768</v>
      </c>
      <c r="C6" s="5">
        <v>859</v>
      </c>
      <c r="D6" s="5">
        <v>993</v>
      </c>
      <c r="E6" s="5">
        <v>1662</v>
      </c>
      <c r="F6" s="5">
        <v>1847</v>
      </c>
      <c r="G6" s="5">
        <v>1857</v>
      </c>
      <c r="H6" s="5">
        <v>1892</v>
      </c>
      <c r="I6" s="5">
        <v>1682</v>
      </c>
      <c r="J6" s="5">
        <v>1777</v>
      </c>
      <c r="K6" s="5">
        <v>1776</v>
      </c>
      <c r="L6" s="5">
        <v>1707</v>
      </c>
      <c r="M6" s="5">
        <v>1772</v>
      </c>
      <c r="N6" s="5">
        <v>1856</v>
      </c>
      <c r="O6" s="5">
        <v>1835</v>
      </c>
      <c r="P6" s="5">
        <v>1835</v>
      </c>
      <c r="Q6" s="5">
        <v>1765</v>
      </c>
      <c r="R6" s="5">
        <v>1765</v>
      </c>
      <c r="S6" s="5">
        <v>1818</v>
      </c>
      <c r="T6" s="5">
        <v>1607</v>
      </c>
      <c r="U6" s="5">
        <v>1739</v>
      </c>
      <c r="V6" s="5">
        <v>1761</v>
      </c>
      <c r="W6" s="5">
        <v>1792</v>
      </c>
      <c r="X6" s="5">
        <v>1831</v>
      </c>
      <c r="Y6" s="5">
        <v>1930</v>
      </c>
      <c r="Z6" s="5">
        <v>1802</v>
      </c>
      <c r="AA6" s="5">
        <v>2080</v>
      </c>
      <c r="AB6" s="5">
        <v>2215</v>
      </c>
      <c r="AC6" s="5">
        <v>2788</v>
      </c>
      <c r="AD6" s="5">
        <v>2868</v>
      </c>
      <c r="AE6" s="5">
        <v>2772</v>
      </c>
      <c r="AF6" s="5">
        <v>2295</v>
      </c>
      <c r="AG6" s="5">
        <v>2642</v>
      </c>
      <c r="AH6" s="5">
        <v>2889</v>
      </c>
      <c r="AI6" s="5">
        <v>3163</v>
      </c>
      <c r="AJ6" s="5">
        <v>5138</v>
      </c>
      <c r="AK6" s="5">
        <v>4586</v>
      </c>
      <c r="AL6" s="5">
        <v>3010</v>
      </c>
      <c r="AM6" s="5">
        <v>2736</v>
      </c>
      <c r="AN6" s="5">
        <v>3094</v>
      </c>
      <c r="AO6" s="5">
        <v>3119</v>
      </c>
      <c r="AP6" s="5">
        <v>2824</v>
      </c>
      <c r="AQ6" s="5">
        <v>2867</v>
      </c>
      <c r="AR6" s="5">
        <v>2861</v>
      </c>
      <c r="AS6" s="5">
        <v>2801</v>
      </c>
      <c r="AT6" s="5">
        <v>2980</v>
      </c>
    </row>
    <row r="7" spans="1:46" x14ac:dyDescent="0.25">
      <c r="A7" s="4" t="s">
        <v>34</v>
      </c>
      <c r="B7" s="5">
        <v>12099</v>
      </c>
      <c r="C7" s="5">
        <v>11681</v>
      </c>
      <c r="D7" s="5">
        <v>11150</v>
      </c>
      <c r="E7" s="5">
        <v>9700</v>
      </c>
      <c r="F7" s="5">
        <v>9849</v>
      </c>
      <c r="G7" s="5">
        <v>9458</v>
      </c>
      <c r="H7" s="5">
        <v>9478</v>
      </c>
      <c r="I7" s="5">
        <v>8614</v>
      </c>
      <c r="J7" s="5">
        <v>9082</v>
      </c>
      <c r="K7" s="5">
        <v>9388</v>
      </c>
      <c r="L7" s="5">
        <v>10212</v>
      </c>
      <c r="M7" s="5">
        <v>10018</v>
      </c>
      <c r="N7" s="5">
        <v>10947</v>
      </c>
      <c r="O7" s="5">
        <v>11255</v>
      </c>
      <c r="P7" s="5">
        <v>11814</v>
      </c>
      <c r="Q7" s="5">
        <v>11529</v>
      </c>
      <c r="R7" s="5">
        <v>12340</v>
      </c>
      <c r="S7" s="5">
        <v>12007</v>
      </c>
      <c r="T7" s="5">
        <v>12180</v>
      </c>
      <c r="U7" s="5">
        <v>11266</v>
      </c>
      <c r="V7" s="5">
        <v>11748</v>
      </c>
      <c r="W7" s="5">
        <v>11371</v>
      </c>
      <c r="X7" s="5">
        <v>11453</v>
      </c>
      <c r="Y7" s="5">
        <v>11402</v>
      </c>
      <c r="Z7" s="5">
        <v>12149</v>
      </c>
      <c r="AA7" s="5">
        <v>12672</v>
      </c>
      <c r="AB7" s="5">
        <v>13666</v>
      </c>
      <c r="AC7" s="5">
        <v>14038</v>
      </c>
      <c r="AD7" s="5">
        <v>15038</v>
      </c>
      <c r="AE7" s="5">
        <v>15881</v>
      </c>
      <c r="AF7" s="5">
        <v>16860</v>
      </c>
      <c r="AG7" s="5">
        <v>16270</v>
      </c>
      <c r="AH7" s="5">
        <v>17633</v>
      </c>
      <c r="AI7" s="5">
        <v>17746</v>
      </c>
      <c r="AJ7" s="5">
        <v>17580</v>
      </c>
      <c r="AK7" s="5">
        <v>16565</v>
      </c>
      <c r="AL7" s="5">
        <v>16953</v>
      </c>
      <c r="AM7" s="5">
        <v>17082</v>
      </c>
      <c r="AN7" s="5">
        <v>17312</v>
      </c>
      <c r="AO7" s="5">
        <v>16827</v>
      </c>
      <c r="AP7" s="5">
        <v>17862</v>
      </c>
      <c r="AQ7" s="5">
        <v>18595</v>
      </c>
      <c r="AR7" s="5">
        <v>18958</v>
      </c>
      <c r="AS7" s="5">
        <v>18135</v>
      </c>
      <c r="AT7" s="5">
        <v>19626</v>
      </c>
    </row>
    <row r="8" spans="1:46" x14ac:dyDescent="0.25">
      <c r="A8" s="4" t="s">
        <v>35</v>
      </c>
      <c r="B8" s="5">
        <v>38491</v>
      </c>
      <c r="C8" s="5">
        <v>38227</v>
      </c>
      <c r="D8" s="5">
        <v>35280</v>
      </c>
      <c r="E8" s="5">
        <v>33508</v>
      </c>
      <c r="F8" s="5">
        <v>33748</v>
      </c>
      <c r="G8" s="5">
        <v>33606</v>
      </c>
      <c r="H8" s="5">
        <v>31999</v>
      </c>
      <c r="I8" s="5">
        <v>31967</v>
      </c>
      <c r="J8" s="5">
        <v>35548</v>
      </c>
      <c r="K8" s="5">
        <v>36991</v>
      </c>
      <c r="L8" s="5">
        <v>37185</v>
      </c>
      <c r="M8" s="5">
        <v>36244</v>
      </c>
      <c r="N8" s="5">
        <v>37357</v>
      </c>
      <c r="O8" s="5">
        <v>38641</v>
      </c>
      <c r="P8" s="5">
        <v>38454</v>
      </c>
      <c r="Q8" s="5">
        <v>38603</v>
      </c>
      <c r="R8" s="5">
        <v>39126</v>
      </c>
      <c r="S8" s="5">
        <v>39789</v>
      </c>
      <c r="T8" s="5">
        <v>39160</v>
      </c>
      <c r="U8" s="5">
        <v>39193</v>
      </c>
      <c r="V8" s="5">
        <v>37586</v>
      </c>
      <c r="W8" s="5">
        <v>37862</v>
      </c>
      <c r="X8" s="5">
        <v>38534</v>
      </c>
      <c r="Y8" s="5">
        <v>39464</v>
      </c>
      <c r="Z8" s="5">
        <v>42581</v>
      </c>
      <c r="AA8" s="5">
        <v>42946</v>
      </c>
      <c r="AB8" s="5">
        <v>41893</v>
      </c>
      <c r="AC8" s="5">
        <v>43455</v>
      </c>
      <c r="AD8" s="5">
        <v>42570</v>
      </c>
      <c r="AE8" s="5">
        <v>41982</v>
      </c>
      <c r="AF8" s="5">
        <v>42577</v>
      </c>
      <c r="AG8" s="5">
        <v>43785</v>
      </c>
      <c r="AH8" s="5">
        <v>45660</v>
      </c>
      <c r="AI8" s="5">
        <v>47000</v>
      </c>
      <c r="AJ8" s="5">
        <v>48005</v>
      </c>
      <c r="AK8" s="5">
        <v>46949</v>
      </c>
      <c r="AL8" s="5">
        <v>43664</v>
      </c>
      <c r="AM8" s="5">
        <v>43096</v>
      </c>
      <c r="AN8" s="5">
        <v>44946</v>
      </c>
      <c r="AO8" s="5">
        <v>45682</v>
      </c>
      <c r="AP8" s="5">
        <v>43019</v>
      </c>
      <c r="AQ8" s="5">
        <v>46755</v>
      </c>
      <c r="AR8" s="5">
        <v>49818</v>
      </c>
      <c r="AS8" s="5">
        <v>52485</v>
      </c>
      <c r="AT8" s="5">
        <v>48568</v>
      </c>
    </row>
    <row r="9" spans="1:46" x14ac:dyDescent="0.25">
      <c r="A9" s="4" t="s">
        <v>36</v>
      </c>
      <c r="B9" s="5">
        <v>16277</v>
      </c>
      <c r="C9" s="5">
        <v>16136</v>
      </c>
      <c r="D9" s="5">
        <v>15955</v>
      </c>
      <c r="E9" s="5">
        <v>16090</v>
      </c>
      <c r="F9" s="5">
        <v>15935</v>
      </c>
      <c r="G9" s="5">
        <v>15916</v>
      </c>
      <c r="H9" s="5">
        <v>15680</v>
      </c>
      <c r="I9" s="5">
        <v>15322</v>
      </c>
      <c r="J9" s="5">
        <v>14727</v>
      </c>
      <c r="K9" s="5">
        <v>14420</v>
      </c>
      <c r="L9" s="5">
        <v>14187</v>
      </c>
      <c r="M9" s="5">
        <v>14155</v>
      </c>
      <c r="N9" s="5">
        <v>13912</v>
      </c>
      <c r="O9" s="5">
        <v>13752</v>
      </c>
      <c r="P9" s="5">
        <v>13607</v>
      </c>
      <c r="Q9" s="5">
        <v>13574</v>
      </c>
      <c r="R9" s="5">
        <v>13259</v>
      </c>
      <c r="S9" s="5">
        <v>13172</v>
      </c>
      <c r="T9" s="5">
        <v>12842</v>
      </c>
      <c r="U9" s="5">
        <v>12904</v>
      </c>
      <c r="V9" s="5">
        <v>12488</v>
      </c>
      <c r="W9" s="5">
        <v>12357</v>
      </c>
      <c r="X9" s="5">
        <v>12232</v>
      </c>
      <c r="Y9" s="5">
        <v>12401</v>
      </c>
      <c r="Z9" s="5">
        <v>12132</v>
      </c>
      <c r="AA9" s="5">
        <v>12014</v>
      </c>
      <c r="AB9" s="5">
        <v>11904</v>
      </c>
      <c r="AC9" s="5">
        <v>12090</v>
      </c>
      <c r="AD9" s="5">
        <v>11932</v>
      </c>
      <c r="AE9" s="5">
        <v>11744</v>
      </c>
      <c r="AF9" s="5">
        <v>11643</v>
      </c>
      <c r="AG9" s="5">
        <v>12028</v>
      </c>
      <c r="AH9" s="5">
        <v>11973</v>
      </c>
      <c r="AI9" s="5">
        <v>12124</v>
      </c>
      <c r="AJ9" s="5">
        <v>12287</v>
      </c>
      <c r="AK9" s="5">
        <v>12680</v>
      </c>
      <c r="AL9" s="5">
        <v>12538</v>
      </c>
      <c r="AM9" s="5">
        <v>12582</v>
      </c>
      <c r="AN9" s="5">
        <v>12837</v>
      </c>
      <c r="AO9" s="5">
        <v>13361</v>
      </c>
      <c r="AP9" s="5">
        <v>13432</v>
      </c>
      <c r="AQ9" s="5">
        <v>13896</v>
      </c>
      <c r="AR9" s="5">
        <v>14310</v>
      </c>
      <c r="AS9" s="5">
        <v>15140</v>
      </c>
      <c r="AT9" s="5">
        <v>15249</v>
      </c>
    </row>
    <row r="10" spans="1:46" x14ac:dyDescent="0.25">
      <c r="A10" s="4" t="s">
        <v>37</v>
      </c>
      <c r="B10" s="5">
        <v>1252</v>
      </c>
      <c r="C10" s="5">
        <v>1290</v>
      </c>
      <c r="D10" s="5">
        <v>1266</v>
      </c>
      <c r="E10" s="5">
        <v>1170</v>
      </c>
      <c r="F10" s="5">
        <v>1159</v>
      </c>
      <c r="G10" s="5">
        <v>1180</v>
      </c>
      <c r="H10" s="5">
        <v>1102</v>
      </c>
      <c r="I10" s="5">
        <v>1029</v>
      </c>
      <c r="J10" s="5">
        <v>944</v>
      </c>
      <c r="K10" s="5">
        <v>940</v>
      </c>
      <c r="L10" s="5">
        <v>969</v>
      </c>
      <c r="M10" s="5">
        <v>990</v>
      </c>
      <c r="N10" s="5">
        <v>1004</v>
      </c>
      <c r="O10" s="5">
        <v>1084</v>
      </c>
      <c r="P10" s="5">
        <v>1129</v>
      </c>
      <c r="Q10" s="5">
        <v>1161</v>
      </c>
      <c r="R10" s="5">
        <v>1149</v>
      </c>
      <c r="S10" s="5">
        <v>1154</v>
      </c>
      <c r="T10" s="5">
        <v>1193</v>
      </c>
      <c r="U10" s="5">
        <v>1193</v>
      </c>
      <c r="V10" s="5">
        <v>1196</v>
      </c>
      <c r="W10" s="5">
        <v>1167</v>
      </c>
      <c r="X10" s="5">
        <v>1149</v>
      </c>
      <c r="Y10" s="5">
        <v>1185</v>
      </c>
      <c r="Z10" s="5">
        <v>1115</v>
      </c>
      <c r="AA10" s="5">
        <v>1206</v>
      </c>
      <c r="AB10" s="5">
        <v>1273</v>
      </c>
      <c r="AC10" s="5">
        <v>1204</v>
      </c>
      <c r="AD10" s="5">
        <v>1204</v>
      </c>
      <c r="AE10" s="5">
        <v>1197</v>
      </c>
      <c r="AF10" s="5">
        <v>1278</v>
      </c>
      <c r="AG10" s="5">
        <v>1265</v>
      </c>
      <c r="AH10" s="5">
        <v>1209</v>
      </c>
      <c r="AI10" s="5">
        <v>1161</v>
      </c>
      <c r="AJ10" s="5">
        <v>1110</v>
      </c>
      <c r="AK10" s="5">
        <v>1238</v>
      </c>
      <c r="AL10" s="5">
        <v>1200</v>
      </c>
      <c r="AM10" s="5">
        <v>1181</v>
      </c>
      <c r="AN10" s="5">
        <v>1346</v>
      </c>
      <c r="AO10" s="5">
        <v>1225</v>
      </c>
      <c r="AP10" s="5">
        <v>1261</v>
      </c>
      <c r="AQ10" s="5">
        <v>1607</v>
      </c>
      <c r="AR10" s="5">
        <v>1618</v>
      </c>
      <c r="AS10" s="5">
        <v>2142</v>
      </c>
      <c r="AT10" s="5">
        <v>2490</v>
      </c>
    </row>
    <row r="11" spans="1:46" x14ac:dyDescent="0.25">
      <c r="A11" s="4" t="s">
        <v>38</v>
      </c>
      <c r="B11" s="5">
        <v>13713</v>
      </c>
      <c r="C11" s="5">
        <v>13698</v>
      </c>
      <c r="D11" s="5">
        <v>13551</v>
      </c>
      <c r="E11" s="5">
        <v>13651</v>
      </c>
      <c r="F11" s="5">
        <v>13527</v>
      </c>
      <c r="G11" s="5">
        <v>13689</v>
      </c>
      <c r="H11" s="5">
        <v>13835</v>
      </c>
      <c r="I11" s="5">
        <v>13556</v>
      </c>
      <c r="J11" s="5">
        <v>13426</v>
      </c>
      <c r="K11" s="5">
        <v>13197</v>
      </c>
      <c r="L11" s="5">
        <v>13192</v>
      </c>
      <c r="M11" s="5">
        <v>13542</v>
      </c>
      <c r="N11" s="5">
        <v>13359</v>
      </c>
      <c r="O11" s="5">
        <v>13318</v>
      </c>
      <c r="P11" s="5">
        <v>13244</v>
      </c>
      <c r="Q11" s="5">
        <v>13286</v>
      </c>
      <c r="R11" s="5">
        <v>12674</v>
      </c>
      <c r="S11" s="5">
        <v>12461</v>
      </c>
      <c r="T11" s="5">
        <v>12412</v>
      </c>
      <c r="U11" s="5">
        <v>12651</v>
      </c>
      <c r="V11" s="5">
        <v>12021</v>
      </c>
      <c r="W11" s="5">
        <v>12560</v>
      </c>
      <c r="X11" s="5">
        <v>12209</v>
      </c>
      <c r="Y11" s="5">
        <v>12222</v>
      </c>
      <c r="Z11" s="5">
        <v>11966</v>
      </c>
      <c r="AA11" s="5">
        <v>12590</v>
      </c>
      <c r="AB11" s="5">
        <v>12605</v>
      </c>
      <c r="AC11" s="5">
        <v>12707</v>
      </c>
      <c r="AD11" s="5">
        <v>12665</v>
      </c>
      <c r="AE11" s="5">
        <v>12372</v>
      </c>
      <c r="AF11" s="5">
        <v>11859</v>
      </c>
      <c r="AG11" s="5">
        <v>12013</v>
      </c>
      <c r="AH11" s="5">
        <v>11845</v>
      </c>
      <c r="AI11" s="5">
        <v>12022</v>
      </c>
      <c r="AJ11" s="5">
        <v>11907</v>
      </c>
      <c r="AK11" s="5">
        <v>12664</v>
      </c>
      <c r="AL11" s="5">
        <v>12531</v>
      </c>
      <c r="AM11" s="5">
        <v>12797</v>
      </c>
      <c r="AN11" s="5">
        <v>13263</v>
      </c>
      <c r="AO11" s="5">
        <v>13242</v>
      </c>
      <c r="AP11" s="5">
        <v>13452</v>
      </c>
      <c r="AQ11" s="5">
        <v>13835</v>
      </c>
      <c r="AR11" s="5">
        <v>13985</v>
      </c>
      <c r="AS11" s="5">
        <v>14272</v>
      </c>
      <c r="AT11" s="5">
        <v>14341</v>
      </c>
    </row>
    <row r="12" spans="1:46" x14ac:dyDescent="0.25">
      <c r="A12" s="4" t="s">
        <v>39</v>
      </c>
      <c r="B12" s="5">
        <v>230</v>
      </c>
      <c r="C12" s="5">
        <v>229</v>
      </c>
      <c r="D12" s="5">
        <v>231</v>
      </c>
    </row>
    <row r="13" spans="1:46" x14ac:dyDescent="0.25">
      <c r="A13" s="4" t="s">
        <v>40</v>
      </c>
      <c r="B13" s="5">
        <v>1342</v>
      </c>
      <c r="C13" s="5">
        <v>1473</v>
      </c>
      <c r="D13" s="5">
        <v>1559</v>
      </c>
      <c r="E13" s="5">
        <v>2489</v>
      </c>
      <c r="F13" s="5">
        <v>2486</v>
      </c>
      <c r="G13" s="5">
        <v>2536</v>
      </c>
      <c r="H13" s="5">
        <v>2579</v>
      </c>
      <c r="I13" s="5">
        <v>2790</v>
      </c>
      <c r="J13" s="5">
        <v>2940</v>
      </c>
      <c r="K13" s="5">
        <v>2866</v>
      </c>
      <c r="L13" s="5">
        <v>2845</v>
      </c>
      <c r="M13" s="5">
        <v>1693</v>
      </c>
      <c r="N13" s="5">
        <v>1687</v>
      </c>
      <c r="O13" s="5">
        <v>1626</v>
      </c>
      <c r="P13" s="5">
        <v>1288</v>
      </c>
      <c r="Q13" s="5">
        <v>1439</v>
      </c>
      <c r="R13" s="5">
        <v>1378</v>
      </c>
      <c r="S13" s="5">
        <v>1473</v>
      </c>
      <c r="T13" s="5">
        <v>1372</v>
      </c>
      <c r="U13" s="5">
        <v>1411</v>
      </c>
      <c r="V13" s="5">
        <v>1426</v>
      </c>
      <c r="W13" s="5">
        <v>1459</v>
      </c>
      <c r="X13" s="5">
        <v>1440</v>
      </c>
      <c r="Y13" s="5">
        <v>1523</v>
      </c>
      <c r="Z13" s="5">
        <v>1391</v>
      </c>
      <c r="AA13" s="5">
        <v>1455</v>
      </c>
      <c r="AB13" s="5">
        <v>1744</v>
      </c>
      <c r="AC13" s="5">
        <v>1840</v>
      </c>
      <c r="AD13" s="5">
        <v>1973</v>
      </c>
      <c r="AE13" s="5">
        <v>2121</v>
      </c>
      <c r="AF13" s="5">
        <v>2218</v>
      </c>
      <c r="AG13" s="5">
        <v>2213</v>
      </c>
      <c r="AH13" s="5">
        <v>2405</v>
      </c>
      <c r="AI13" s="5">
        <v>2607</v>
      </c>
      <c r="AJ13" s="5">
        <v>2719</v>
      </c>
      <c r="AK13" s="5">
        <v>2816</v>
      </c>
      <c r="AL13" s="5">
        <v>2860</v>
      </c>
      <c r="AM13" s="5">
        <v>2920</v>
      </c>
      <c r="AN13" s="5">
        <v>3050</v>
      </c>
      <c r="AO13" s="5">
        <v>3312</v>
      </c>
      <c r="AP13" s="5">
        <v>3334</v>
      </c>
      <c r="AQ13" s="5">
        <v>3427</v>
      </c>
      <c r="AR13" s="5">
        <v>3000</v>
      </c>
      <c r="AS13" s="5">
        <v>2882</v>
      </c>
      <c r="AT13" s="5">
        <v>2419</v>
      </c>
    </row>
    <row r="14" spans="1:46" x14ac:dyDescent="0.25">
      <c r="A14" s="4" t="s">
        <v>41</v>
      </c>
      <c r="B14" s="5">
        <v>2890</v>
      </c>
      <c r="C14" s="5">
        <v>2863</v>
      </c>
      <c r="D14" s="5">
        <v>2841</v>
      </c>
      <c r="E14" s="5">
        <v>2821</v>
      </c>
      <c r="F14" s="5">
        <v>2741</v>
      </c>
      <c r="G14" s="5">
        <v>2652</v>
      </c>
      <c r="H14" s="5">
        <v>2453</v>
      </c>
      <c r="I14" s="5">
        <v>2349</v>
      </c>
      <c r="J14" s="5">
        <v>2287</v>
      </c>
      <c r="K14" s="5">
        <v>2232</v>
      </c>
      <c r="L14" s="5">
        <v>2175</v>
      </c>
      <c r="M14" s="5">
        <v>2111</v>
      </c>
      <c r="N14" s="5">
        <v>2163</v>
      </c>
      <c r="O14" s="5">
        <v>2039</v>
      </c>
      <c r="P14" s="5">
        <v>1976</v>
      </c>
      <c r="Q14" s="5">
        <v>1897</v>
      </c>
      <c r="R14" s="5">
        <v>1807</v>
      </c>
      <c r="S14" s="5">
        <v>1733</v>
      </c>
      <c r="T14" s="5">
        <v>1630</v>
      </c>
      <c r="U14" s="5">
        <v>1565</v>
      </c>
      <c r="V14" s="5">
        <v>1478</v>
      </c>
      <c r="W14" s="5">
        <v>1420</v>
      </c>
      <c r="X14" s="5">
        <v>1363</v>
      </c>
      <c r="Y14" s="5">
        <v>1308</v>
      </c>
      <c r="Z14" s="5">
        <v>1246</v>
      </c>
      <c r="AA14" s="5">
        <v>1176</v>
      </c>
      <c r="AB14" s="5">
        <v>1121</v>
      </c>
      <c r="AC14" s="5">
        <v>1042</v>
      </c>
      <c r="AD14" s="5">
        <v>967</v>
      </c>
      <c r="AE14" s="5">
        <v>889</v>
      </c>
      <c r="AF14" s="5">
        <v>806</v>
      </c>
      <c r="AG14" s="5">
        <v>758</v>
      </c>
      <c r="AH14" s="5">
        <v>694</v>
      </c>
      <c r="AI14" s="5">
        <v>630</v>
      </c>
      <c r="AJ14" s="5">
        <v>604</v>
      </c>
      <c r="AK14" s="5">
        <v>564</v>
      </c>
      <c r="AL14" s="5">
        <v>516</v>
      </c>
      <c r="AM14" s="5">
        <v>488</v>
      </c>
      <c r="AN14" s="5">
        <v>448</v>
      </c>
      <c r="AO14" s="5">
        <v>399</v>
      </c>
      <c r="AP14" s="5">
        <v>361</v>
      </c>
      <c r="AQ14" s="5">
        <v>321</v>
      </c>
      <c r="AR14" s="5">
        <v>281</v>
      </c>
      <c r="AS14" s="5">
        <v>241</v>
      </c>
      <c r="AT14" s="5">
        <v>419</v>
      </c>
    </row>
    <row r="15" spans="1:46" x14ac:dyDescent="0.25">
      <c r="A15" s="4" t="s">
        <v>42</v>
      </c>
      <c r="B15" s="5">
        <v>6493</v>
      </c>
      <c r="C15" s="5">
        <v>6550</v>
      </c>
      <c r="D15" s="5">
        <v>6546</v>
      </c>
      <c r="E15" s="5">
        <v>6615</v>
      </c>
      <c r="F15" s="5">
        <v>6710</v>
      </c>
      <c r="G15" s="5">
        <v>6677</v>
      </c>
      <c r="H15" s="5">
        <v>6725</v>
      </c>
      <c r="I15" s="5">
        <v>6020</v>
      </c>
      <c r="J15" s="5">
        <v>6051</v>
      </c>
      <c r="K15" s="5">
        <v>6142</v>
      </c>
      <c r="L15" s="5">
        <v>6196</v>
      </c>
      <c r="M15" s="5">
        <v>6200</v>
      </c>
      <c r="N15" s="5">
        <v>6376</v>
      </c>
      <c r="O15" s="5">
        <v>6249</v>
      </c>
      <c r="P15" s="5">
        <v>6233</v>
      </c>
      <c r="Q15" s="5">
        <v>6217</v>
      </c>
      <c r="R15" s="5">
        <v>6191</v>
      </c>
      <c r="S15" s="5">
        <v>6211</v>
      </c>
      <c r="T15" s="5">
        <v>6142</v>
      </c>
      <c r="U15" s="5">
        <v>6196</v>
      </c>
      <c r="V15" s="5">
        <v>6140</v>
      </c>
      <c r="W15" s="5">
        <v>6192</v>
      </c>
      <c r="X15" s="5">
        <v>6304</v>
      </c>
      <c r="Y15" s="5">
        <v>6394</v>
      </c>
      <c r="Z15" s="5">
        <v>6343</v>
      </c>
      <c r="AA15" s="5">
        <v>6372</v>
      </c>
      <c r="AB15" s="5">
        <v>6353</v>
      </c>
      <c r="AC15" s="5">
        <v>6324</v>
      </c>
      <c r="AD15" s="5">
        <v>6293</v>
      </c>
      <c r="AE15" s="5">
        <v>6195</v>
      </c>
      <c r="AF15" s="5">
        <v>6092</v>
      </c>
      <c r="AG15" s="5">
        <v>5288</v>
      </c>
      <c r="AH15" s="5">
        <v>5309</v>
      </c>
      <c r="AI15" s="5">
        <v>5293</v>
      </c>
      <c r="AJ15" s="5">
        <v>5268</v>
      </c>
      <c r="AK15" s="5">
        <v>5308</v>
      </c>
      <c r="AL15" s="5">
        <v>5277</v>
      </c>
      <c r="AM15" s="5">
        <v>5264</v>
      </c>
      <c r="AN15" s="5">
        <v>5317</v>
      </c>
      <c r="AO15" s="5">
        <v>5241</v>
      </c>
      <c r="AP15" s="5">
        <v>5270</v>
      </c>
      <c r="AQ15" s="5">
        <v>5331</v>
      </c>
      <c r="AR15" s="5">
        <v>5329</v>
      </c>
      <c r="AS15" s="5">
        <v>5321</v>
      </c>
      <c r="AT15" s="5">
        <v>5865</v>
      </c>
    </row>
    <row r="16" spans="1:46" x14ac:dyDescent="0.25">
      <c r="A16" s="4" t="s">
        <v>43</v>
      </c>
      <c r="B16" s="5">
        <v>1802</v>
      </c>
      <c r="C16" s="5">
        <v>1776</v>
      </c>
      <c r="D16" s="5">
        <v>1740</v>
      </c>
      <c r="E16" s="5">
        <v>1998</v>
      </c>
      <c r="F16" s="5">
        <v>2001</v>
      </c>
      <c r="G16" s="5">
        <v>2044</v>
      </c>
      <c r="H16" s="5">
        <v>2029</v>
      </c>
      <c r="I16" s="5">
        <v>1671</v>
      </c>
      <c r="J16" s="5">
        <v>1626</v>
      </c>
      <c r="K16" s="5">
        <v>1722</v>
      </c>
      <c r="L16" s="5">
        <v>1811</v>
      </c>
      <c r="M16" s="5">
        <v>2027</v>
      </c>
      <c r="N16" s="5">
        <v>2156</v>
      </c>
      <c r="O16" s="5">
        <v>2278</v>
      </c>
      <c r="P16" s="5">
        <v>2278</v>
      </c>
      <c r="Q16" s="5">
        <v>2332</v>
      </c>
      <c r="R16" s="5">
        <v>3142</v>
      </c>
      <c r="S16" s="5">
        <v>3194</v>
      </c>
      <c r="T16" s="5">
        <v>3242</v>
      </c>
      <c r="U16" s="5">
        <v>3340</v>
      </c>
      <c r="V16" s="5">
        <v>3559</v>
      </c>
      <c r="W16" s="5">
        <v>3549</v>
      </c>
      <c r="X16" s="5">
        <v>3510</v>
      </c>
      <c r="Y16" s="5">
        <v>3827</v>
      </c>
      <c r="Z16" s="5">
        <v>3955</v>
      </c>
      <c r="AA16" s="5">
        <v>3938</v>
      </c>
      <c r="AB16" s="5">
        <v>3891</v>
      </c>
      <c r="AC16" s="5">
        <v>4131</v>
      </c>
      <c r="AD16" s="5">
        <v>4672</v>
      </c>
      <c r="AE16" s="5">
        <v>4607</v>
      </c>
      <c r="AF16" s="5">
        <v>4434</v>
      </c>
      <c r="AG16" s="5">
        <v>4593</v>
      </c>
      <c r="AH16" s="5">
        <v>4554</v>
      </c>
      <c r="AI16" s="5">
        <v>4590</v>
      </c>
      <c r="AJ16" s="5">
        <v>4891</v>
      </c>
      <c r="AK16" s="5">
        <v>5257</v>
      </c>
      <c r="AL16" s="5">
        <v>5155</v>
      </c>
      <c r="AM16" s="5">
        <v>5008</v>
      </c>
      <c r="AN16" s="5">
        <v>5066</v>
      </c>
      <c r="AO16" s="5">
        <v>5302</v>
      </c>
      <c r="AP16" s="5">
        <v>4845</v>
      </c>
      <c r="AQ16" s="5">
        <v>5153</v>
      </c>
      <c r="AR16" s="5">
        <v>5381</v>
      </c>
      <c r="AS16" s="5">
        <v>6102</v>
      </c>
      <c r="AT16" s="5">
        <v>6199</v>
      </c>
    </row>
    <row r="17" spans="1:46" x14ac:dyDescent="0.25">
      <c r="A17" s="4" t="s">
        <v>44</v>
      </c>
      <c r="B17" s="5">
        <v>82490</v>
      </c>
      <c r="C17" s="5">
        <v>82242</v>
      </c>
      <c r="D17" s="5">
        <v>78969</v>
      </c>
      <c r="E17" s="5">
        <v>78342</v>
      </c>
      <c r="F17" s="5">
        <v>78307</v>
      </c>
      <c r="G17" s="5">
        <v>78300</v>
      </c>
      <c r="H17" s="5">
        <v>76402</v>
      </c>
      <c r="I17" s="5">
        <v>74704</v>
      </c>
      <c r="J17" s="5">
        <v>77549</v>
      </c>
      <c r="K17" s="5">
        <v>78510</v>
      </c>
      <c r="L17" s="5">
        <v>78560</v>
      </c>
      <c r="M17" s="5">
        <v>76962</v>
      </c>
      <c r="N17" s="5">
        <v>78014</v>
      </c>
      <c r="O17" s="5">
        <v>78987</v>
      </c>
      <c r="P17" s="5">
        <v>78209</v>
      </c>
      <c r="Q17" s="5">
        <v>78509</v>
      </c>
      <c r="R17" s="5">
        <v>78726</v>
      </c>
      <c r="S17" s="5">
        <v>79187</v>
      </c>
      <c r="T17" s="5">
        <v>77993</v>
      </c>
      <c r="U17" s="5">
        <v>78453</v>
      </c>
      <c r="V17" s="5">
        <v>75894</v>
      </c>
      <c r="W17" s="5">
        <v>76566</v>
      </c>
      <c r="X17" s="5">
        <v>76741</v>
      </c>
      <c r="Y17" s="5">
        <v>78324</v>
      </c>
      <c r="Z17" s="5">
        <v>80729</v>
      </c>
      <c r="AA17" s="5">
        <v>81697</v>
      </c>
      <c r="AB17" s="5">
        <v>80784</v>
      </c>
      <c r="AC17" s="5">
        <v>82793</v>
      </c>
      <c r="AD17" s="5">
        <v>82276</v>
      </c>
      <c r="AE17" s="5">
        <v>81107</v>
      </c>
      <c r="AF17" s="5">
        <v>80907</v>
      </c>
      <c r="AG17" s="5">
        <v>81943</v>
      </c>
      <c r="AH17" s="5">
        <v>83649</v>
      </c>
      <c r="AI17" s="5">
        <v>85427</v>
      </c>
      <c r="AJ17" s="5">
        <v>86791</v>
      </c>
      <c r="AK17" s="5">
        <v>87476</v>
      </c>
      <c r="AL17" s="5">
        <v>83741</v>
      </c>
      <c r="AM17" s="5">
        <v>83336</v>
      </c>
      <c r="AN17" s="5">
        <v>86273</v>
      </c>
      <c r="AO17" s="5">
        <v>87764</v>
      </c>
      <c r="AP17" s="5">
        <v>84974</v>
      </c>
      <c r="AQ17" s="5">
        <v>90325</v>
      </c>
      <c r="AR17" s="5">
        <v>93722</v>
      </c>
      <c r="AS17" s="5">
        <v>98585</v>
      </c>
      <c r="AT17" s="5">
        <v>95550</v>
      </c>
    </row>
    <row r="18" spans="1:46" x14ac:dyDescent="0.25">
      <c r="A18" s="4" t="s">
        <v>45</v>
      </c>
      <c r="B18" s="5">
        <v>8</v>
      </c>
      <c r="C18" s="5">
        <v>14</v>
      </c>
      <c r="D18" s="5">
        <v>12</v>
      </c>
      <c r="E18" s="5">
        <v>9</v>
      </c>
      <c r="F18" s="5">
        <v>13</v>
      </c>
      <c r="G18" s="5">
        <v>263</v>
      </c>
      <c r="H18" s="5">
        <v>263</v>
      </c>
      <c r="I18" s="5">
        <v>209</v>
      </c>
      <c r="J18" s="5">
        <v>436</v>
      </c>
      <c r="K18" s="5">
        <v>5</v>
      </c>
      <c r="L18" s="5">
        <v>11</v>
      </c>
      <c r="M18" s="5">
        <v>1</v>
      </c>
      <c r="N18" s="5">
        <v>7</v>
      </c>
      <c r="O18" s="5">
        <v>35</v>
      </c>
      <c r="P18" s="5">
        <v>59</v>
      </c>
      <c r="R18" s="5">
        <v>4</v>
      </c>
      <c r="U18" s="5">
        <v>5</v>
      </c>
      <c r="W18" s="5">
        <v>13</v>
      </c>
      <c r="Y18" s="5">
        <v>10</v>
      </c>
      <c r="Z18" s="5">
        <v>0</v>
      </c>
      <c r="AA18" s="5">
        <v>4</v>
      </c>
      <c r="AC18" s="5">
        <v>9</v>
      </c>
      <c r="AD18" s="5">
        <v>0</v>
      </c>
      <c r="AF18" s="5">
        <v>3</v>
      </c>
      <c r="AG18" s="5">
        <v>3</v>
      </c>
    </row>
    <row r="19" spans="1:46" x14ac:dyDescent="0.25">
      <c r="A19" s="4" t="s">
        <v>46</v>
      </c>
      <c r="B19" s="5">
        <v>5259</v>
      </c>
      <c r="C19" s="5">
        <v>6226</v>
      </c>
      <c r="D19" s="5">
        <v>6068</v>
      </c>
      <c r="E19" s="5">
        <v>6958</v>
      </c>
      <c r="F19" s="5">
        <v>7804</v>
      </c>
      <c r="G19" s="5">
        <v>7220</v>
      </c>
      <c r="H19" s="5">
        <v>6702</v>
      </c>
      <c r="I19" s="5">
        <v>7094</v>
      </c>
      <c r="J19" s="5">
        <v>7385</v>
      </c>
      <c r="K19" s="5">
        <v>6775</v>
      </c>
      <c r="L19" s="5">
        <v>5459</v>
      </c>
      <c r="M19" s="5">
        <v>4836</v>
      </c>
      <c r="N19" s="5">
        <v>5726</v>
      </c>
      <c r="O19" s="5">
        <v>6185</v>
      </c>
      <c r="P19" s="5">
        <v>4462</v>
      </c>
      <c r="Q19" s="5">
        <v>5723</v>
      </c>
      <c r="R19" s="5">
        <v>5586</v>
      </c>
      <c r="S19" s="5">
        <v>5266</v>
      </c>
      <c r="T19" s="5">
        <v>4268</v>
      </c>
      <c r="U19" s="5">
        <v>5161</v>
      </c>
      <c r="V19" s="5">
        <v>4789</v>
      </c>
      <c r="W19" s="5">
        <v>4301</v>
      </c>
      <c r="X19" s="5">
        <v>2660</v>
      </c>
      <c r="Y19" s="5">
        <v>2005</v>
      </c>
      <c r="Z19" s="5">
        <v>3625</v>
      </c>
      <c r="AA19" s="5">
        <v>3421</v>
      </c>
      <c r="AB19" s="5">
        <v>3247</v>
      </c>
      <c r="AC19" s="5">
        <v>5395</v>
      </c>
      <c r="AD19" s="5">
        <v>4501</v>
      </c>
      <c r="AE19" s="5">
        <v>5002</v>
      </c>
      <c r="AF19" s="5">
        <v>4199</v>
      </c>
      <c r="AG19" s="5">
        <v>5954</v>
      </c>
      <c r="AH19" s="5">
        <v>5841</v>
      </c>
      <c r="AI19" s="5">
        <v>5548</v>
      </c>
      <c r="AJ19" s="5">
        <v>4218</v>
      </c>
      <c r="AK19" s="5">
        <v>4643</v>
      </c>
      <c r="AL19" s="5">
        <v>3568</v>
      </c>
      <c r="AM19" s="5">
        <v>5298</v>
      </c>
      <c r="AN19" s="5">
        <v>3725</v>
      </c>
      <c r="AO19" s="5">
        <v>4393</v>
      </c>
      <c r="AP19" s="5">
        <v>3454</v>
      </c>
      <c r="AQ19" s="5">
        <v>4485</v>
      </c>
      <c r="AR19" s="5">
        <v>4509</v>
      </c>
      <c r="AS19" s="5">
        <v>5514</v>
      </c>
      <c r="AT19" s="5">
        <v>4729</v>
      </c>
    </row>
    <row r="20" spans="1:46" x14ac:dyDescent="0.25">
      <c r="A20" s="4" t="s">
        <v>47</v>
      </c>
      <c r="B20" s="5">
        <v>6328</v>
      </c>
      <c r="C20" s="5">
        <v>5862</v>
      </c>
      <c r="D20" s="5">
        <v>5206</v>
      </c>
      <c r="E20" s="5">
        <v>5023</v>
      </c>
      <c r="F20" s="5">
        <v>5101</v>
      </c>
      <c r="G20" s="5">
        <v>5104</v>
      </c>
      <c r="H20" s="5">
        <v>4713</v>
      </c>
      <c r="I20" s="5">
        <v>4614</v>
      </c>
      <c r="J20" s="5">
        <v>5302</v>
      </c>
      <c r="K20" s="5">
        <v>5778</v>
      </c>
      <c r="L20" s="5">
        <v>6113</v>
      </c>
      <c r="M20" s="5">
        <v>6487</v>
      </c>
      <c r="N20" s="5">
        <v>6938</v>
      </c>
      <c r="O20" s="5">
        <v>6831</v>
      </c>
      <c r="P20" s="5">
        <v>6788</v>
      </c>
      <c r="Q20" s="5">
        <v>7051</v>
      </c>
      <c r="R20" s="5">
        <v>7198</v>
      </c>
      <c r="S20" s="5">
        <v>7022</v>
      </c>
      <c r="T20" s="5">
        <v>6141</v>
      </c>
      <c r="U20" s="5">
        <v>5957</v>
      </c>
      <c r="V20" s="5">
        <v>5769</v>
      </c>
      <c r="W20" s="5">
        <v>5083</v>
      </c>
      <c r="X20" s="5">
        <v>5193</v>
      </c>
      <c r="Y20" s="5">
        <v>6128</v>
      </c>
      <c r="Z20" s="5">
        <v>6694</v>
      </c>
      <c r="AA20" s="5">
        <v>6921</v>
      </c>
      <c r="AB20" s="5">
        <v>7218</v>
      </c>
      <c r="AC20" s="5">
        <v>8154</v>
      </c>
      <c r="AD20" s="5">
        <v>8361</v>
      </c>
      <c r="AE20" s="5">
        <v>8092</v>
      </c>
      <c r="AF20" s="5">
        <v>8260</v>
      </c>
      <c r="AG20" s="5">
        <v>8689</v>
      </c>
      <c r="AH20" s="5">
        <v>8951</v>
      </c>
      <c r="AI20" s="5">
        <v>8443</v>
      </c>
      <c r="AJ20" s="5">
        <v>7827</v>
      </c>
      <c r="AK20" s="5">
        <v>7906</v>
      </c>
      <c r="AL20" s="5">
        <v>7778</v>
      </c>
      <c r="AM20" s="5">
        <v>7575</v>
      </c>
      <c r="AN20" s="5">
        <v>7705</v>
      </c>
      <c r="AO20" s="5">
        <v>7675</v>
      </c>
      <c r="AP20" s="5">
        <v>7792</v>
      </c>
      <c r="AQ20" s="5">
        <v>8563</v>
      </c>
      <c r="AR20" s="5">
        <v>8729</v>
      </c>
      <c r="AS20" s="5">
        <v>8968</v>
      </c>
      <c r="AT20" s="5">
        <v>9641</v>
      </c>
    </row>
    <row r="21" spans="1:46" x14ac:dyDescent="0.25">
      <c r="A21" s="4" t="s">
        <v>48</v>
      </c>
      <c r="B21" s="5">
        <v>3531</v>
      </c>
      <c r="C21" s="5">
        <v>3311</v>
      </c>
      <c r="D21" s="5">
        <v>3306</v>
      </c>
      <c r="E21" s="5">
        <v>3116</v>
      </c>
      <c r="F21" s="5">
        <v>3142</v>
      </c>
      <c r="G21" s="5">
        <v>3127</v>
      </c>
      <c r="H21" s="5">
        <v>3022</v>
      </c>
      <c r="I21" s="5">
        <v>3003</v>
      </c>
      <c r="J21" s="5">
        <v>3086</v>
      </c>
      <c r="K21" s="5">
        <v>3211</v>
      </c>
      <c r="L21" s="5">
        <v>3114</v>
      </c>
      <c r="M21" s="5">
        <v>3220</v>
      </c>
      <c r="N21" s="5">
        <v>3551</v>
      </c>
      <c r="O21" s="5">
        <v>3450</v>
      </c>
      <c r="P21" s="5">
        <v>3423</v>
      </c>
      <c r="Q21" s="5">
        <v>3573</v>
      </c>
      <c r="R21" s="5">
        <v>3746</v>
      </c>
      <c r="S21" s="5">
        <v>3789</v>
      </c>
      <c r="T21" s="5">
        <v>3727</v>
      </c>
      <c r="U21" s="5">
        <v>3750</v>
      </c>
      <c r="V21" s="5">
        <v>3776</v>
      </c>
      <c r="W21" s="5">
        <v>3547</v>
      </c>
      <c r="X21" s="5">
        <v>3510</v>
      </c>
      <c r="Y21" s="5">
        <v>3642</v>
      </c>
      <c r="Z21" s="5">
        <v>3574</v>
      </c>
      <c r="AA21" s="5">
        <v>3556</v>
      </c>
      <c r="AB21" s="5">
        <v>3579</v>
      </c>
      <c r="AC21" s="5">
        <v>3757</v>
      </c>
      <c r="AD21" s="5">
        <v>3846</v>
      </c>
      <c r="AE21" s="5">
        <v>3782</v>
      </c>
      <c r="AF21" s="5">
        <v>4013</v>
      </c>
      <c r="AG21" s="5">
        <v>4080</v>
      </c>
      <c r="AH21" s="5">
        <v>4121</v>
      </c>
      <c r="AI21" s="5">
        <v>4493</v>
      </c>
      <c r="AJ21" s="5">
        <v>4669</v>
      </c>
      <c r="AK21" s="5">
        <v>4958</v>
      </c>
      <c r="AL21" s="5">
        <v>4821</v>
      </c>
      <c r="AM21" s="5">
        <v>4947</v>
      </c>
      <c r="AN21" s="5">
        <v>4980</v>
      </c>
      <c r="AO21" s="5">
        <v>5243</v>
      </c>
      <c r="AP21" s="5">
        <v>4990</v>
      </c>
      <c r="AQ21" s="5">
        <v>5207</v>
      </c>
      <c r="AR21" s="5">
        <v>5187</v>
      </c>
      <c r="AS21" s="5">
        <v>5587</v>
      </c>
      <c r="AT21" s="5">
        <v>5454</v>
      </c>
    </row>
    <row r="22" spans="1:46" x14ac:dyDescent="0.25">
      <c r="A22" s="4" t="s">
        <v>49</v>
      </c>
      <c r="B22" s="5">
        <v>1358</v>
      </c>
      <c r="C22" s="5">
        <v>1597</v>
      </c>
      <c r="D22" s="5">
        <v>1678</v>
      </c>
      <c r="E22" s="5">
        <v>1994</v>
      </c>
      <c r="F22" s="5">
        <v>1158</v>
      </c>
      <c r="G22" s="5">
        <v>1265</v>
      </c>
      <c r="H22" s="5">
        <v>1286</v>
      </c>
      <c r="I22" s="5">
        <v>1296</v>
      </c>
      <c r="J22" s="5">
        <v>1666</v>
      </c>
      <c r="K22" s="5">
        <v>1986</v>
      </c>
      <c r="L22" s="5">
        <v>2333</v>
      </c>
      <c r="M22" s="5">
        <v>2559</v>
      </c>
      <c r="N22" s="5">
        <v>1474</v>
      </c>
      <c r="O22" s="5">
        <v>1789</v>
      </c>
      <c r="P22" s="5">
        <v>2132</v>
      </c>
      <c r="Q22" s="5">
        <v>2384</v>
      </c>
      <c r="R22" s="5">
        <v>1200</v>
      </c>
      <c r="S22" s="5">
        <v>1411</v>
      </c>
      <c r="T22" s="5">
        <v>1518</v>
      </c>
      <c r="U22" s="5">
        <v>1629</v>
      </c>
      <c r="V22" s="5">
        <v>878</v>
      </c>
      <c r="W22" s="5">
        <v>958</v>
      </c>
      <c r="X22" s="5">
        <v>1069</v>
      </c>
      <c r="Y22" s="5">
        <v>1096</v>
      </c>
      <c r="Z22" s="5">
        <v>1283</v>
      </c>
      <c r="AA22" s="5">
        <v>1759</v>
      </c>
      <c r="AB22" s="5">
        <v>2075</v>
      </c>
      <c r="AC22" s="5">
        <v>2242</v>
      </c>
      <c r="AD22" s="5">
        <v>1275</v>
      </c>
      <c r="AE22" s="5">
        <v>1772</v>
      </c>
      <c r="AF22" s="5">
        <v>2204</v>
      </c>
      <c r="AG22" s="5">
        <v>2313</v>
      </c>
      <c r="AH22" s="5">
        <v>1368</v>
      </c>
      <c r="AI22" s="5">
        <v>1755</v>
      </c>
      <c r="AJ22" s="5">
        <v>2300</v>
      </c>
      <c r="AK22" s="5">
        <v>2757</v>
      </c>
      <c r="AL22" s="5">
        <v>1291</v>
      </c>
      <c r="AM22" s="5">
        <v>1677</v>
      </c>
      <c r="AN22" s="5">
        <v>2078</v>
      </c>
      <c r="AO22" s="5">
        <v>2391</v>
      </c>
      <c r="AP22" s="5">
        <v>1259</v>
      </c>
      <c r="AQ22" s="5">
        <v>1618</v>
      </c>
      <c r="AR22" s="5">
        <v>2126</v>
      </c>
      <c r="AS22" s="5">
        <v>2554</v>
      </c>
      <c r="AT22" s="5">
        <v>1434</v>
      </c>
    </row>
    <row r="23" spans="1:46" x14ac:dyDescent="0.25">
      <c r="A23" s="4" t="s">
        <v>50</v>
      </c>
      <c r="B23" s="5">
        <v>1636</v>
      </c>
      <c r="C23" s="5">
        <v>1754</v>
      </c>
      <c r="D23" s="5">
        <v>1610</v>
      </c>
      <c r="E23" s="5">
        <v>1146</v>
      </c>
      <c r="F23" s="5">
        <v>1328</v>
      </c>
      <c r="G23" s="5">
        <v>1259</v>
      </c>
      <c r="H23" s="5">
        <v>1161</v>
      </c>
      <c r="I23" s="5">
        <v>1167</v>
      </c>
      <c r="J23" s="5">
        <v>1383</v>
      </c>
      <c r="K23" s="5">
        <v>1533</v>
      </c>
      <c r="L23" s="5">
        <v>1510</v>
      </c>
      <c r="M23" s="5">
        <v>1426</v>
      </c>
      <c r="N23" s="5">
        <v>1399</v>
      </c>
      <c r="O23" s="5">
        <v>1378</v>
      </c>
      <c r="P23" s="5">
        <v>1491</v>
      </c>
      <c r="Q23" s="5">
        <v>1243</v>
      </c>
      <c r="R23" s="5">
        <v>1354</v>
      </c>
      <c r="S23" s="5">
        <v>1263</v>
      </c>
      <c r="T23" s="5">
        <v>1309</v>
      </c>
      <c r="U23" s="5">
        <v>1187</v>
      </c>
      <c r="V23" s="5">
        <v>1295</v>
      </c>
      <c r="W23" s="5">
        <v>1227</v>
      </c>
      <c r="X23" s="5">
        <v>1209</v>
      </c>
      <c r="Y23" s="5">
        <v>1108</v>
      </c>
      <c r="Z23" s="5">
        <v>1168</v>
      </c>
      <c r="AA23" s="5">
        <v>1157</v>
      </c>
      <c r="AB23" s="5">
        <v>1155</v>
      </c>
      <c r="AC23" s="5">
        <v>1087</v>
      </c>
      <c r="AD23" s="5">
        <v>1388</v>
      </c>
      <c r="AE23" s="5">
        <v>1608</v>
      </c>
      <c r="AF23" s="5">
        <v>1831</v>
      </c>
      <c r="AG23" s="5">
        <v>1860</v>
      </c>
      <c r="AH23" s="5">
        <v>2202</v>
      </c>
      <c r="AI23" s="5">
        <v>2137</v>
      </c>
      <c r="AJ23" s="5">
        <v>2333</v>
      </c>
      <c r="AK23" s="5">
        <v>1929</v>
      </c>
      <c r="AL23" s="5">
        <v>2194</v>
      </c>
      <c r="AM23" s="5">
        <v>2324</v>
      </c>
      <c r="AN23" s="5">
        <v>2404</v>
      </c>
      <c r="AO23" s="5">
        <v>2322</v>
      </c>
      <c r="AP23" s="5">
        <v>2951</v>
      </c>
      <c r="AQ23" s="5">
        <v>3412</v>
      </c>
      <c r="AR23" s="5">
        <v>3391</v>
      </c>
      <c r="AS23" s="5">
        <v>3314</v>
      </c>
      <c r="AT23" s="5">
        <v>4382</v>
      </c>
    </row>
    <row r="24" spans="1:46" x14ac:dyDescent="0.25">
      <c r="A24" s="4" t="s">
        <v>51</v>
      </c>
      <c r="C24" s="5">
        <v>463</v>
      </c>
      <c r="E24" s="5">
        <v>448</v>
      </c>
      <c r="G24" s="5">
        <v>450</v>
      </c>
      <c r="I24" s="5">
        <v>452</v>
      </c>
      <c r="K24" s="5">
        <v>461</v>
      </c>
      <c r="M24" s="5">
        <v>466</v>
      </c>
      <c r="O24" s="5">
        <v>511</v>
      </c>
      <c r="Q24" s="5">
        <v>495</v>
      </c>
      <c r="S24" s="5">
        <v>579</v>
      </c>
      <c r="U24" s="5">
        <v>567</v>
      </c>
      <c r="W24" s="5">
        <v>558</v>
      </c>
      <c r="Y24" s="5">
        <v>562</v>
      </c>
      <c r="AA24" s="5">
        <v>608</v>
      </c>
      <c r="AC24" s="5">
        <v>595</v>
      </c>
      <c r="AE24" s="5">
        <v>633</v>
      </c>
      <c r="AG24" s="5">
        <v>620</v>
      </c>
      <c r="AI24" s="5">
        <v>663</v>
      </c>
      <c r="AK24" s="5">
        <v>649</v>
      </c>
      <c r="AM24" s="5">
        <v>684</v>
      </c>
      <c r="AO24" s="5">
        <v>674</v>
      </c>
      <c r="AQ24" s="5">
        <v>707</v>
      </c>
      <c r="AS24" s="5">
        <v>703</v>
      </c>
    </row>
    <row r="25" spans="1:46" x14ac:dyDescent="0.25">
      <c r="A25" s="4" t="s">
        <v>52</v>
      </c>
      <c r="B25" s="5">
        <v>1741</v>
      </c>
      <c r="C25" s="5">
        <v>1744</v>
      </c>
      <c r="D25" s="5">
        <v>1698</v>
      </c>
      <c r="E25" s="5">
        <v>1671</v>
      </c>
      <c r="F25" s="5">
        <v>1593</v>
      </c>
      <c r="G25" s="5">
        <v>1635</v>
      </c>
      <c r="H25" s="5">
        <v>1620</v>
      </c>
      <c r="I25" s="5">
        <v>1635</v>
      </c>
      <c r="J25" s="5">
        <v>1641</v>
      </c>
      <c r="K25" s="5">
        <v>1787</v>
      </c>
      <c r="L25" s="5">
        <v>1744</v>
      </c>
      <c r="M25" s="5">
        <v>1742</v>
      </c>
      <c r="N25" s="5">
        <v>1890</v>
      </c>
      <c r="O25" s="5">
        <v>1871</v>
      </c>
      <c r="P25" s="5">
        <v>1867</v>
      </c>
      <c r="Q25" s="5">
        <v>1919</v>
      </c>
      <c r="R25" s="5">
        <v>2348</v>
      </c>
      <c r="S25" s="5">
        <v>2157</v>
      </c>
      <c r="T25" s="5">
        <v>2188</v>
      </c>
      <c r="U25" s="5">
        <v>2155</v>
      </c>
      <c r="V25" s="5">
        <v>2074</v>
      </c>
      <c r="W25" s="5">
        <v>2143</v>
      </c>
      <c r="X25" s="5">
        <v>1978</v>
      </c>
      <c r="Y25" s="5">
        <v>2017</v>
      </c>
      <c r="Z25" s="5">
        <v>2035</v>
      </c>
      <c r="AA25" s="5">
        <v>2126</v>
      </c>
      <c r="AB25" s="5">
        <v>2319</v>
      </c>
      <c r="AC25" s="5">
        <v>2256</v>
      </c>
      <c r="AD25" s="5">
        <v>2355</v>
      </c>
      <c r="AE25" s="5">
        <v>2333</v>
      </c>
      <c r="AF25" s="5">
        <v>2878</v>
      </c>
      <c r="AG25" s="5">
        <v>2690</v>
      </c>
      <c r="AH25" s="5">
        <v>3035</v>
      </c>
      <c r="AI25" s="5">
        <v>3109</v>
      </c>
      <c r="AJ25" s="5">
        <v>3115</v>
      </c>
      <c r="AK25" s="5">
        <v>3123</v>
      </c>
      <c r="AL25" s="5">
        <v>3265</v>
      </c>
      <c r="AM25" s="5">
        <v>2882</v>
      </c>
      <c r="AN25" s="5">
        <v>2934</v>
      </c>
      <c r="AO25" s="5">
        <v>2909</v>
      </c>
      <c r="AP25" s="5">
        <v>2834</v>
      </c>
      <c r="AQ25" s="5">
        <v>2627</v>
      </c>
      <c r="AR25" s="5">
        <v>2760</v>
      </c>
      <c r="AS25" s="5">
        <v>2798</v>
      </c>
      <c r="AT25" s="5">
        <v>2567</v>
      </c>
    </row>
    <row r="26" spans="1:46" x14ac:dyDescent="0.25">
      <c r="A26" s="4" t="s">
        <v>53</v>
      </c>
      <c r="B26" s="5">
        <v>513</v>
      </c>
      <c r="C26" s="5">
        <v>12</v>
      </c>
      <c r="D26" s="5">
        <v>516</v>
      </c>
      <c r="E26" s="5">
        <v>517</v>
      </c>
      <c r="F26" s="5">
        <v>568</v>
      </c>
      <c r="G26" s="5">
        <v>1055</v>
      </c>
      <c r="H26" s="5">
        <v>553</v>
      </c>
      <c r="I26" s="5">
        <v>507</v>
      </c>
      <c r="J26" s="5">
        <v>505</v>
      </c>
      <c r="K26" s="5">
        <v>5</v>
      </c>
      <c r="L26" s="5">
        <v>5</v>
      </c>
      <c r="M26" s="5">
        <v>6</v>
      </c>
      <c r="N26" s="5">
        <v>8</v>
      </c>
      <c r="O26" s="5">
        <v>9</v>
      </c>
      <c r="P26" s="5">
        <v>10</v>
      </c>
      <c r="Q26" s="5">
        <v>10</v>
      </c>
      <c r="R26" s="5">
        <v>13</v>
      </c>
      <c r="S26" s="5">
        <v>13</v>
      </c>
      <c r="T26" s="5">
        <v>25</v>
      </c>
      <c r="U26" s="5">
        <v>16</v>
      </c>
      <c r="V26" s="5">
        <v>143</v>
      </c>
      <c r="W26" s="5">
        <v>1395</v>
      </c>
      <c r="X26" s="5">
        <v>1397</v>
      </c>
      <c r="Y26" s="5">
        <v>1420</v>
      </c>
      <c r="Z26" s="5">
        <v>1301</v>
      </c>
      <c r="AA26" s="5">
        <v>50</v>
      </c>
      <c r="AB26" s="5">
        <v>48</v>
      </c>
      <c r="AC26" s="5">
        <v>45</v>
      </c>
      <c r="AD26" s="5">
        <v>127</v>
      </c>
      <c r="AE26" s="5">
        <v>124</v>
      </c>
      <c r="AF26" s="5">
        <v>120</v>
      </c>
      <c r="AG26" s="5">
        <v>120</v>
      </c>
      <c r="AH26" s="5">
        <v>37</v>
      </c>
      <c r="AI26" s="5">
        <v>1043</v>
      </c>
      <c r="AJ26" s="5">
        <v>1043</v>
      </c>
      <c r="AK26" s="5">
        <v>1044</v>
      </c>
      <c r="AL26" s="5">
        <v>1045</v>
      </c>
      <c r="AM26" s="5">
        <v>45</v>
      </c>
      <c r="AN26" s="5">
        <v>46</v>
      </c>
      <c r="AO26" s="5">
        <v>46</v>
      </c>
      <c r="AP26" s="5">
        <v>29</v>
      </c>
      <c r="AQ26" s="5">
        <v>30</v>
      </c>
      <c r="AR26" s="5">
        <v>32</v>
      </c>
      <c r="AS26" s="5">
        <v>35</v>
      </c>
      <c r="AT26" s="5">
        <v>35</v>
      </c>
    </row>
    <row r="27" spans="1:46" x14ac:dyDescent="0.25">
      <c r="A27" s="4" t="s">
        <v>46</v>
      </c>
      <c r="B27" s="5">
        <v>6192</v>
      </c>
      <c r="C27" s="5">
        <v>4623</v>
      </c>
      <c r="D27" s="5">
        <v>5739</v>
      </c>
      <c r="E27" s="5">
        <v>5360</v>
      </c>
      <c r="F27" s="5">
        <v>5508</v>
      </c>
      <c r="G27" s="5">
        <v>5805</v>
      </c>
      <c r="H27" s="5">
        <v>5970</v>
      </c>
      <c r="I27" s="5">
        <v>6155</v>
      </c>
      <c r="J27" s="5">
        <v>6231</v>
      </c>
      <c r="K27" s="5">
        <v>6592</v>
      </c>
      <c r="L27" s="5">
        <v>5614</v>
      </c>
      <c r="M27" s="5">
        <v>6188</v>
      </c>
      <c r="N27" s="5">
        <v>6409</v>
      </c>
      <c r="O27" s="5">
        <v>6241</v>
      </c>
      <c r="P27" s="5">
        <v>5801</v>
      </c>
      <c r="Q27" s="5">
        <v>5820</v>
      </c>
      <c r="R27" s="5">
        <v>5939</v>
      </c>
      <c r="S27" s="5">
        <v>6235</v>
      </c>
      <c r="T27" s="5">
        <v>8025</v>
      </c>
      <c r="U27" s="5">
        <v>6194</v>
      </c>
      <c r="V27" s="5">
        <v>7792</v>
      </c>
      <c r="W27" s="5">
        <v>6006</v>
      </c>
      <c r="X27" s="5">
        <v>7962</v>
      </c>
      <c r="Y27" s="5">
        <v>7729</v>
      </c>
      <c r="Z27" s="5">
        <v>6898</v>
      </c>
      <c r="AA27" s="5">
        <v>7906</v>
      </c>
      <c r="AB27" s="5">
        <v>6335</v>
      </c>
      <c r="AC27" s="5">
        <v>6307</v>
      </c>
      <c r="AD27" s="5">
        <v>7679</v>
      </c>
      <c r="AE27" s="5">
        <v>5617</v>
      </c>
      <c r="AF27" s="5">
        <v>6694</v>
      </c>
      <c r="AG27" s="5">
        <v>5202</v>
      </c>
      <c r="AH27" s="5">
        <v>6287</v>
      </c>
      <c r="AI27" s="5">
        <v>8123</v>
      </c>
      <c r="AJ27" s="5">
        <v>7619</v>
      </c>
      <c r="AK27" s="5">
        <v>7719</v>
      </c>
      <c r="AL27" s="5">
        <v>8409</v>
      </c>
      <c r="AM27" s="5">
        <v>8132</v>
      </c>
      <c r="AN27" s="5">
        <v>8346</v>
      </c>
      <c r="AO27" s="5">
        <v>6619</v>
      </c>
      <c r="AP27" s="5">
        <v>9286</v>
      </c>
      <c r="AQ27" s="5">
        <v>8285</v>
      </c>
      <c r="AR27" s="5">
        <v>9257</v>
      </c>
      <c r="AS27" s="5">
        <v>7085</v>
      </c>
      <c r="AT27" s="5">
        <v>7660</v>
      </c>
    </row>
    <row r="28" spans="1:46" x14ac:dyDescent="0.25">
      <c r="A28" s="4" t="s">
        <v>54</v>
      </c>
      <c r="B28" s="5">
        <v>26566</v>
      </c>
      <c r="C28" s="5">
        <v>25606</v>
      </c>
      <c r="D28" s="5">
        <v>25833</v>
      </c>
      <c r="E28" s="5">
        <v>26242</v>
      </c>
      <c r="F28" s="5">
        <v>26215</v>
      </c>
      <c r="G28" s="5">
        <v>27183</v>
      </c>
      <c r="H28" s="5">
        <v>25290</v>
      </c>
      <c r="I28" s="5">
        <v>26132</v>
      </c>
      <c r="J28" s="5">
        <v>27635</v>
      </c>
      <c r="K28" s="5">
        <v>28133</v>
      </c>
      <c r="L28" s="5">
        <v>25903</v>
      </c>
      <c r="M28" s="5">
        <v>26931</v>
      </c>
      <c r="N28" s="5">
        <v>27402</v>
      </c>
      <c r="O28" s="5">
        <v>28300</v>
      </c>
      <c r="P28" s="5">
        <v>26033</v>
      </c>
      <c r="Q28" s="5">
        <v>28218</v>
      </c>
      <c r="R28" s="5">
        <v>27388</v>
      </c>
      <c r="S28" s="5">
        <v>27735</v>
      </c>
      <c r="T28" s="5">
        <v>27201</v>
      </c>
      <c r="U28" s="5">
        <v>26621</v>
      </c>
      <c r="V28" s="5">
        <v>26516</v>
      </c>
      <c r="W28" s="5">
        <v>25231</v>
      </c>
      <c r="X28" s="5">
        <v>24978</v>
      </c>
      <c r="Y28" s="5">
        <v>25717</v>
      </c>
      <c r="Z28" s="5">
        <v>26578</v>
      </c>
      <c r="AA28" s="5">
        <v>27508</v>
      </c>
      <c r="AB28" s="5">
        <v>25976</v>
      </c>
      <c r="AC28" s="5">
        <v>29847</v>
      </c>
      <c r="AD28" s="5">
        <v>29532</v>
      </c>
      <c r="AE28" s="5">
        <v>28963</v>
      </c>
      <c r="AF28" s="5">
        <v>30202</v>
      </c>
      <c r="AG28" s="5">
        <v>31531</v>
      </c>
      <c r="AH28" s="5">
        <v>31842</v>
      </c>
      <c r="AI28" s="5">
        <v>35314</v>
      </c>
      <c r="AJ28" s="5">
        <v>33124</v>
      </c>
      <c r="AK28" s="5">
        <v>34728</v>
      </c>
      <c r="AL28" s="5">
        <v>32371</v>
      </c>
      <c r="AM28" s="5">
        <v>33564</v>
      </c>
      <c r="AN28" s="5">
        <v>32218</v>
      </c>
      <c r="AO28" s="5">
        <v>32272</v>
      </c>
      <c r="AP28" s="5">
        <v>32595</v>
      </c>
      <c r="AQ28" s="5">
        <v>34934</v>
      </c>
      <c r="AR28" s="5">
        <v>35991</v>
      </c>
      <c r="AS28" s="5">
        <v>36558</v>
      </c>
      <c r="AT28" s="5">
        <v>35902</v>
      </c>
    </row>
    <row r="29" spans="1:46" x14ac:dyDescent="0.25">
      <c r="A29" s="4" t="s">
        <v>53</v>
      </c>
      <c r="B29" s="5">
        <v>9495</v>
      </c>
      <c r="C29" s="5">
        <v>9497</v>
      </c>
      <c r="D29" s="5">
        <v>8997</v>
      </c>
      <c r="E29" s="5">
        <v>8960</v>
      </c>
      <c r="F29" s="5">
        <v>8914</v>
      </c>
      <c r="G29" s="5">
        <v>8434</v>
      </c>
      <c r="H29" s="5">
        <v>8432</v>
      </c>
      <c r="I29" s="5">
        <v>8436</v>
      </c>
      <c r="J29" s="5">
        <v>8804</v>
      </c>
      <c r="K29" s="5">
        <v>8815</v>
      </c>
      <c r="L29" s="5">
        <v>8820</v>
      </c>
      <c r="M29" s="5">
        <v>7929</v>
      </c>
      <c r="N29" s="5">
        <v>7980</v>
      </c>
      <c r="O29" s="5">
        <v>7982</v>
      </c>
      <c r="P29" s="5">
        <v>7991</v>
      </c>
      <c r="Q29" s="5">
        <v>8005</v>
      </c>
      <c r="R29" s="5">
        <v>7650</v>
      </c>
      <c r="S29" s="5">
        <v>7657</v>
      </c>
      <c r="T29" s="5">
        <v>9134</v>
      </c>
      <c r="U29" s="5">
        <v>9141</v>
      </c>
      <c r="V29" s="5">
        <v>8998</v>
      </c>
      <c r="W29" s="5">
        <v>9729</v>
      </c>
      <c r="X29" s="5">
        <v>9742</v>
      </c>
      <c r="Y29" s="5">
        <v>9749</v>
      </c>
      <c r="Z29" s="5">
        <v>9751</v>
      </c>
      <c r="AA29" s="5">
        <v>9752</v>
      </c>
      <c r="AB29" s="5">
        <v>9759</v>
      </c>
      <c r="AC29" s="5">
        <v>9746</v>
      </c>
      <c r="AD29" s="5">
        <v>9636</v>
      </c>
      <c r="AE29" s="5">
        <v>9589</v>
      </c>
      <c r="AF29" s="5">
        <v>9479</v>
      </c>
      <c r="AG29" s="5">
        <v>9498</v>
      </c>
      <c r="AH29" s="5">
        <v>9558</v>
      </c>
      <c r="AI29" s="5">
        <v>8535</v>
      </c>
      <c r="AJ29" s="5">
        <v>8470</v>
      </c>
      <c r="AK29" s="5">
        <v>8579</v>
      </c>
      <c r="AL29" s="5">
        <v>8539</v>
      </c>
      <c r="AM29" s="5">
        <v>8537</v>
      </c>
      <c r="AN29" s="5">
        <v>8634</v>
      </c>
      <c r="AO29" s="5">
        <v>8564</v>
      </c>
      <c r="AP29" s="5">
        <v>8618</v>
      </c>
      <c r="AQ29" s="5">
        <v>10654</v>
      </c>
      <c r="AR29" s="5">
        <v>10669</v>
      </c>
      <c r="AS29" s="5">
        <v>10678</v>
      </c>
      <c r="AT29" s="5">
        <v>10671</v>
      </c>
    </row>
    <row r="30" spans="1:46" x14ac:dyDescent="0.25">
      <c r="A30" s="4" t="s">
        <v>46</v>
      </c>
      <c r="B30" s="5">
        <v>17308</v>
      </c>
      <c r="C30" s="5">
        <v>17948</v>
      </c>
      <c r="D30" s="5">
        <v>16211</v>
      </c>
      <c r="E30" s="5">
        <v>16209</v>
      </c>
      <c r="F30" s="5">
        <v>15556</v>
      </c>
      <c r="G30" s="5">
        <v>15546</v>
      </c>
      <c r="H30" s="5">
        <v>15190</v>
      </c>
      <c r="I30" s="5">
        <v>14382</v>
      </c>
      <c r="J30" s="5">
        <v>14921</v>
      </c>
      <c r="K30" s="5">
        <v>15000</v>
      </c>
      <c r="L30" s="5">
        <v>16015</v>
      </c>
      <c r="M30" s="5">
        <v>15918</v>
      </c>
      <c r="N30" s="5">
        <v>15185</v>
      </c>
      <c r="O30" s="5">
        <v>15717</v>
      </c>
      <c r="P30" s="5">
        <v>17450</v>
      </c>
      <c r="Q30" s="5">
        <v>16995</v>
      </c>
      <c r="R30" s="5">
        <v>16590</v>
      </c>
      <c r="S30" s="5">
        <v>17107</v>
      </c>
      <c r="T30" s="5">
        <v>16454</v>
      </c>
      <c r="U30" s="5">
        <v>17140</v>
      </c>
      <c r="V30" s="5">
        <v>15371</v>
      </c>
      <c r="W30" s="5">
        <v>17178</v>
      </c>
      <c r="X30" s="5">
        <v>16365</v>
      </c>
      <c r="Y30" s="5">
        <v>16250</v>
      </c>
      <c r="Z30" s="5">
        <v>16605</v>
      </c>
      <c r="AA30" s="5">
        <v>16452</v>
      </c>
      <c r="AB30" s="5">
        <v>17395</v>
      </c>
      <c r="AC30" s="5">
        <v>16287</v>
      </c>
      <c r="AD30" s="5">
        <v>15641</v>
      </c>
      <c r="AE30" s="5">
        <v>16630</v>
      </c>
      <c r="AF30" s="5">
        <v>16030</v>
      </c>
      <c r="AG30" s="5">
        <v>16216</v>
      </c>
      <c r="AH30" s="5">
        <v>15315</v>
      </c>
      <c r="AI30" s="5">
        <v>14450</v>
      </c>
      <c r="AJ30" s="5">
        <v>15789</v>
      </c>
      <c r="AK30" s="5">
        <v>15893</v>
      </c>
      <c r="AL30" s="5">
        <v>16292</v>
      </c>
      <c r="AM30" s="5">
        <v>15299</v>
      </c>
      <c r="AN30" s="5">
        <v>17150</v>
      </c>
      <c r="AO30" s="5">
        <v>18787</v>
      </c>
      <c r="AP30" s="5">
        <v>17201</v>
      </c>
      <c r="AQ30" s="5">
        <v>17294</v>
      </c>
      <c r="AR30" s="5">
        <v>17067</v>
      </c>
      <c r="AS30" s="5">
        <v>20018</v>
      </c>
      <c r="AT30" s="5">
        <v>19971</v>
      </c>
    </row>
    <row r="31" spans="1:46" x14ac:dyDescent="0.25">
      <c r="A31" s="4" t="s">
        <v>55</v>
      </c>
      <c r="B31" s="5">
        <v>8877</v>
      </c>
      <c r="C31" s="5">
        <v>8759</v>
      </c>
      <c r="D31" s="5">
        <v>8638</v>
      </c>
      <c r="E31" s="5">
        <v>8843</v>
      </c>
      <c r="F31" s="5">
        <v>8600</v>
      </c>
      <c r="G31" s="5">
        <v>8533</v>
      </c>
      <c r="H31" s="5">
        <v>8499</v>
      </c>
      <c r="I31" s="5">
        <v>9357</v>
      </c>
      <c r="J31" s="5">
        <v>9291</v>
      </c>
      <c r="K31" s="5">
        <v>9248</v>
      </c>
      <c r="L31" s="5">
        <v>8973</v>
      </c>
      <c r="M31" s="5">
        <v>8365</v>
      </c>
      <c r="N31" s="5">
        <v>8233</v>
      </c>
      <c r="O31" s="5">
        <v>8092</v>
      </c>
      <c r="P31" s="5">
        <v>7046</v>
      </c>
      <c r="Q31" s="5">
        <v>7455</v>
      </c>
      <c r="R31" s="5">
        <v>7441</v>
      </c>
      <c r="S31" s="5">
        <v>7448</v>
      </c>
      <c r="T31" s="5">
        <v>5900</v>
      </c>
      <c r="U31" s="5">
        <v>6599</v>
      </c>
      <c r="V31" s="5">
        <v>6333</v>
      </c>
      <c r="W31" s="5">
        <v>6285</v>
      </c>
      <c r="X31" s="5">
        <v>6254</v>
      </c>
      <c r="Y31" s="5">
        <v>6872</v>
      </c>
      <c r="Z31" s="5">
        <v>6698</v>
      </c>
      <c r="AA31" s="5">
        <v>6581</v>
      </c>
      <c r="AB31" s="5">
        <v>6395</v>
      </c>
      <c r="AC31" s="5">
        <v>5592</v>
      </c>
      <c r="AD31" s="5">
        <v>5363</v>
      </c>
      <c r="AE31" s="5">
        <v>5160</v>
      </c>
      <c r="AF31" s="5">
        <v>5038</v>
      </c>
      <c r="AG31" s="5">
        <v>4203</v>
      </c>
      <c r="AH31" s="5">
        <v>4069</v>
      </c>
      <c r="AI31" s="5">
        <v>4084</v>
      </c>
      <c r="AJ31" s="5">
        <v>4060</v>
      </c>
      <c r="AK31" s="5">
        <v>4098</v>
      </c>
      <c r="AL31" s="5">
        <v>4068</v>
      </c>
      <c r="AM31" s="5">
        <v>3993</v>
      </c>
      <c r="AN31" s="5">
        <v>4029</v>
      </c>
      <c r="AO31" s="5">
        <v>3757</v>
      </c>
      <c r="AP31" s="5">
        <v>3575</v>
      </c>
      <c r="AQ31" s="5">
        <v>3611</v>
      </c>
      <c r="AR31" s="5">
        <v>3664</v>
      </c>
      <c r="AS31" s="5">
        <v>3838</v>
      </c>
      <c r="AT31" s="5">
        <v>3659</v>
      </c>
    </row>
    <row r="32" spans="1:46" x14ac:dyDescent="0.25">
      <c r="A32" s="4" t="s">
        <v>56</v>
      </c>
      <c r="B32" s="5">
        <v>3206</v>
      </c>
      <c r="C32" s="5">
        <v>3271</v>
      </c>
      <c r="D32" s="5">
        <v>3322</v>
      </c>
      <c r="E32" s="5">
        <v>3203</v>
      </c>
      <c r="F32" s="5">
        <v>3269</v>
      </c>
      <c r="G32" s="5">
        <v>3301</v>
      </c>
      <c r="H32" s="5">
        <v>3276</v>
      </c>
      <c r="I32" s="5">
        <v>3184</v>
      </c>
      <c r="J32" s="5">
        <v>3238</v>
      </c>
      <c r="K32" s="5">
        <v>3235</v>
      </c>
      <c r="L32" s="5">
        <v>3152</v>
      </c>
      <c r="M32" s="5">
        <v>4053</v>
      </c>
      <c r="N32" s="5">
        <v>3942</v>
      </c>
      <c r="O32" s="5">
        <v>3954</v>
      </c>
      <c r="P32" s="5">
        <v>3799</v>
      </c>
      <c r="Q32" s="5">
        <v>3756</v>
      </c>
      <c r="R32" s="5">
        <v>4179</v>
      </c>
      <c r="S32" s="5">
        <v>4362</v>
      </c>
      <c r="T32" s="5">
        <v>4311</v>
      </c>
      <c r="U32" s="5">
        <v>4323</v>
      </c>
      <c r="V32" s="5">
        <v>4437</v>
      </c>
      <c r="W32" s="5">
        <v>4366</v>
      </c>
      <c r="X32" s="5">
        <v>4408</v>
      </c>
      <c r="Y32" s="5">
        <v>4358</v>
      </c>
      <c r="Z32" s="5">
        <v>4480</v>
      </c>
      <c r="AA32" s="5">
        <v>4524</v>
      </c>
      <c r="AB32" s="5">
        <v>4564</v>
      </c>
      <c r="AC32" s="5">
        <v>4805</v>
      </c>
      <c r="AD32" s="5">
        <v>5007</v>
      </c>
      <c r="AE32" s="5">
        <v>5006</v>
      </c>
      <c r="AF32" s="5">
        <v>4536</v>
      </c>
      <c r="AG32" s="5">
        <v>4604</v>
      </c>
      <c r="AH32" s="5">
        <v>4695</v>
      </c>
      <c r="AI32" s="5">
        <v>4788</v>
      </c>
      <c r="AJ32" s="5">
        <v>4841</v>
      </c>
      <c r="AK32" s="5">
        <v>4675</v>
      </c>
      <c r="AL32" s="5">
        <v>4826</v>
      </c>
      <c r="AM32" s="5">
        <v>4807</v>
      </c>
      <c r="AN32" s="5">
        <v>4839</v>
      </c>
      <c r="AO32" s="5">
        <v>4890</v>
      </c>
      <c r="AP32" s="5">
        <v>4915</v>
      </c>
      <c r="AQ32" s="5">
        <v>5169</v>
      </c>
      <c r="AR32" s="5">
        <v>5672</v>
      </c>
      <c r="AS32" s="5">
        <v>6175</v>
      </c>
      <c r="AT32" s="5">
        <v>6687</v>
      </c>
    </row>
    <row r="33" spans="1:46" x14ac:dyDescent="0.25">
      <c r="A33" s="4" t="s">
        <v>57</v>
      </c>
      <c r="B33" s="5">
        <v>65452</v>
      </c>
      <c r="C33" s="5">
        <v>65081</v>
      </c>
      <c r="D33" s="5">
        <v>63001</v>
      </c>
      <c r="E33" s="5">
        <v>63457</v>
      </c>
      <c r="F33" s="5">
        <v>62554</v>
      </c>
      <c r="G33" s="5">
        <v>62997</v>
      </c>
      <c r="H33" s="5">
        <v>60687</v>
      </c>
      <c r="I33" s="5">
        <v>61491</v>
      </c>
      <c r="J33" s="5">
        <v>63889</v>
      </c>
      <c r="K33" s="5">
        <v>64431</v>
      </c>
      <c r="L33" s="5">
        <v>62863</v>
      </c>
      <c r="M33" s="5">
        <v>63196</v>
      </c>
      <c r="N33" s="5">
        <v>62742</v>
      </c>
      <c r="O33" s="5">
        <v>64045</v>
      </c>
      <c r="P33" s="5">
        <v>62319</v>
      </c>
      <c r="Q33" s="5">
        <v>64429</v>
      </c>
      <c r="R33" s="5">
        <v>63248</v>
      </c>
      <c r="S33" s="5">
        <v>64309</v>
      </c>
      <c r="T33" s="5">
        <v>63000</v>
      </c>
      <c r="U33" s="5">
        <v>63824</v>
      </c>
      <c r="V33" s="5">
        <v>61655</v>
      </c>
      <c r="W33" s="5">
        <v>62789</v>
      </c>
      <c r="X33" s="5">
        <v>61747</v>
      </c>
      <c r="Y33" s="5">
        <v>62946</v>
      </c>
      <c r="Z33" s="5">
        <v>64112</v>
      </c>
      <c r="AA33" s="5">
        <v>64817</v>
      </c>
      <c r="AB33" s="5">
        <v>64089</v>
      </c>
      <c r="AC33" s="5">
        <v>66277</v>
      </c>
      <c r="AD33" s="5">
        <v>65179</v>
      </c>
      <c r="AE33" s="5">
        <v>65348</v>
      </c>
      <c r="AF33" s="5">
        <v>65285</v>
      </c>
      <c r="AG33" s="5">
        <v>66052</v>
      </c>
      <c r="AH33" s="5">
        <v>65479</v>
      </c>
      <c r="AI33" s="5">
        <v>67171</v>
      </c>
      <c r="AJ33" s="5">
        <v>66284</v>
      </c>
      <c r="AK33" s="5">
        <v>67973</v>
      </c>
      <c r="AL33" s="5">
        <v>66096</v>
      </c>
      <c r="AM33" s="5">
        <v>66200</v>
      </c>
      <c r="AN33" s="5">
        <v>66870</v>
      </c>
      <c r="AO33" s="5">
        <v>68270</v>
      </c>
      <c r="AP33" s="5">
        <v>66904</v>
      </c>
      <c r="AQ33" s="5">
        <v>71662</v>
      </c>
      <c r="AR33" s="5">
        <v>73063</v>
      </c>
      <c r="AS33" s="5">
        <v>77267</v>
      </c>
      <c r="AT33" s="5">
        <v>76890</v>
      </c>
    </row>
    <row r="34" spans="1:46" x14ac:dyDescent="0.25">
      <c r="A34" s="4" t="s">
        <v>58</v>
      </c>
      <c r="B34" s="5">
        <v>5101</v>
      </c>
      <c r="C34" s="5">
        <v>5142</v>
      </c>
      <c r="D34" s="5">
        <v>5190</v>
      </c>
      <c r="E34" s="5">
        <v>5238</v>
      </c>
      <c r="F34" s="5">
        <v>5247</v>
      </c>
      <c r="G34" s="5">
        <v>5277</v>
      </c>
      <c r="H34" s="5">
        <v>5266</v>
      </c>
      <c r="I34" s="5">
        <v>5277</v>
      </c>
      <c r="J34" s="5">
        <v>5222</v>
      </c>
      <c r="K34" s="5">
        <v>5316</v>
      </c>
      <c r="L34" s="5">
        <v>5460</v>
      </c>
      <c r="M34" s="5">
        <v>5593</v>
      </c>
      <c r="N34" s="5">
        <v>5640</v>
      </c>
      <c r="O34" s="5">
        <v>5746</v>
      </c>
      <c r="P34" s="5">
        <v>5715</v>
      </c>
      <c r="Q34" s="5">
        <v>5827</v>
      </c>
      <c r="R34" s="5">
        <v>5804</v>
      </c>
      <c r="S34" s="5">
        <v>5822</v>
      </c>
      <c r="T34" s="5">
        <v>5951</v>
      </c>
      <c r="U34" s="5">
        <v>5935</v>
      </c>
      <c r="V34" s="5">
        <v>6046</v>
      </c>
      <c r="W34" s="5">
        <v>6120</v>
      </c>
      <c r="X34" s="5">
        <v>6204</v>
      </c>
      <c r="Y34" s="5">
        <v>6230</v>
      </c>
      <c r="Z34" s="5">
        <v>6215</v>
      </c>
      <c r="AA34" s="5">
        <v>6293</v>
      </c>
      <c r="AB34" s="5">
        <v>6352</v>
      </c>
      <c r="AC34" s="5">
        <v>6398</v>
      </c>
      <c r="AD34" s="5">
        <v>6281</v>
      </c>
      <c r="AE34" s="5">
        <v>6464</v>
      </c>
      <c r="AF34" s="5">
        <v>6523</v>
      </c>
      <c r="AG34" s="5">
        <v>6560</v>
      </c>
      <c r="AH34" s="5">
        <v>6546</v>
      </c>
      <c r="AI34" s="5">
        <v>6478</v>
      </c>
      <c r="AJ34" s="5">
        <v>6698</v>
      </c>
      <c r="AK34" s="5">
        <v>6403</v>
      </c>
      <c r="AL34" s="5">
        <v>5663</v>
      </c>
      <c r="AM34" s="5">
        <v>5517</v>
      </c>
      <c r="AN34" s="5">
        <v>5584</v>
      </c>
      <c r="AO34" s="5">
        <v>6941</v>
      </c>
      <c r="AP34" s="5">
        <v>6043</v>
      </c>
      <c r="AQ34" s="5">
        <v>6143</v>
      </c>
      <c r="AR34" s="5">
        <v>6223</v>
      </c>
      <c r="AS34" s="5">
        <v>7181</v>
      </c>
      <c r="AT34" s="5">
        <v>5852</v>
      </c>
    </row>
    <row r="35" spans="1:46" x14ac:dyDescent="0.25">
      <c r="A35" s="4" t="s">
        <v>59</v>
      </c>
      <c r="B35" s="5">
        <v>-16036</v>
      </c>
      <c r="C35" s="5">
        <v>-16144</v>
      </c>
      <c r="D35" s="5">
        <v>-17642</v>
      </c>
      <c r="E35" s="5">
        <v>-17640</v>
      </c>
      <c r="F35" s="5">
        <v>-17595</v>
      </c>
      <c r="G35" s="5">
        <v>-17579</v>
      </c>
      <c r="H35" s="5">
        <v>-17544</v>
      </c>
      <c r="I35" s="5">
        <v>-17478</v>
      </c>
      <c r="J35" s="5">
        <v>-17391</v>
      </c>
      <c r="K35" s="5">
        <v>-17307</v>
      </c>
      <c r="L35" s="5">
        <v>-17130</v>
      </c>
      <c r="M35" s="5">
        <v>-17005</v>
      </c>
      <c r="N35" s="5">
        <v>-17347</v>
      </c>
      <c r="O35" s="5">
        <v>-18028</v>
      </c>
      <c r="P35" s="5">
        <v>-18681</v>
      </c>
      <c r="Q35" s="5">
        <v>-20531</v>
      </c>
      <c r="R35" s="5">
        <v>-21214</v>
      </c>
      <c r="S35" s="5">
        <v>-22467</v>
      </c>
      <c r="T35" s="5">
        <v>-23693</v>
      </c>
      <c r="U35" s="5">
        <v>-24217</v>
      </c>
      <c r="V35" s="5">
        <v>-25341</v>
      </c>
      <c r="W35" s="5">
        <v>-25412</v>
      </c>
      <c r="X35" s="5">
        <v>-25315</v>
      </c>
      <c r="Y35" s="5">
        <v>-25178</v>
      </c>
      <c r="Z35" s="5">
        <v>-25049</v>
      </c>
      <c r="AA35" s="5">
        <v>-25240</v>
      </c>
      <c r="AB35" s="5">
        <v>-26608</v>
      </c>
      <c r="AC35" s="5">
        <v>-27643</v>
      </c>
      <c r="AD35" s="5">
        <v>-28326</v>
      </c>
      <c r="AE35" s="5">
        <v>-29501</v>
      </c>
      <c r="AF35" s="5">
        <v>-30883</v>
      </c>
      <c r="AG35" s="5">
        <v>-31748</v>
      </c>
      <c r="AH35" s="5">
        <v>-32108</v>
      </c>
      <c r="AI35" s="5">
        <v>-33391</v>
      </c>
      <c r="AJ35" s="5">
        <v>-33865</v>
      </c>
      <c r="AK35" s="5">
        <v>-36339</v>
      </c>
      <c r="AL35" s="5">
        <v>-40039</v>
      </c>
      <c r="AM35" s="5">
        <v>-41612</v>
      </c>
      <c r="AN35" s="5">
        <v>-42390</v>
      </c>
      <c r="AO35" s="5">
        <v>-44331</v>
      </c>
      <c r="AP35" s="5">
        <v>-47127</v>
      </c>
      <c r="AQ35" s="5">
        <v>-47958</v>
      </c>
      <c r="AR35" s="5">
        <v>-48302</v>
      </c>
      <c r="AS35" s="5">
        <v>-49539</v>
      </c>
      <c r="AT35" s="5">
        <v>-53307</v>
      </c>
    </row>
    <row r="36" spans="1:46" x14ac:dyDescent="0.25">
      <c r="A36" s="4" t="s">
        <v>60</v>
      </c>
      <c r="B36" s="5">
        <v>34998</v>
      </c>
      <c r="C36" s="5">
        <v>34823</v>
      </c>
      <c r="D36" s="5">
        <v>35191</v>
      </c>
      <c r="E36" s="5">
        <v>29246</v>
      </c>
      <c r="F36" s="5">
        <v>29517</v>
      </c>
      <c r="G36" s="5">
        <v>29167</v>
      </c>
      <c r="H36" s="5">
        <v>29450</v>
      </c>
      <c r="I36" s="5">
        <v>27377</v>
      </c>
      <c r="J36" s="5">
        <v>27584</v>
      </c>
      <c r="K36" s="5">
        <v>27471</v>
      </c>
      <c r="L36" s="5">
        <v>28530</v>
      </c>
      <c r="M36" s="5">
        <v>26301</v>
      </c>
      <c r="N36" s="5">
        <v>27929</v>
      </c>
      <c r="O36" s="5">
        <v>28657</v>
      </c>
      <c r="P36" s="5">
        <v>30384</v>
      </c>
      <c r="Q36" s="5">
        <v>30427</v>
      </c>
      <c r="R36" s="5">
        <v>32435</v>
      </c>
      <c r="S36" s="5">
        <v>32981</v>
      </c>
      <c r="T36" s="5">
        <v>34477</v>
      </c>
      <c r="U36" s="5">
        <v>34437</v>
      </c>
      <c r="V36" s="5">
        <v>35504</v>
      </c>
      <c r="W36" s="5">
        <v>34841</v>
      </c>
      <c r="X36" s="5">
        <v>35508</v>
      </c>
      <c r="Y36" s="5">
        <v>35167</v>
      </c>
      <c r="Z36" s="5">
        <v>36697</v>
      </c>
      <c r="AA36" s="5">
        <v>36934</v>
      </c>
      <c r="AB36" s="5">
        <v>38361</v>
      </c>
      <c r="AC36" s="5">
        <v>39282</v>
      </c>
      <c r="AD36" s="5">
        <v>40820</v>
      </c>
      <c r="AE36" s="5">
        <v>41263</v>
      </c>
      <c r="AF36" s="5">
        <v>43304</v>
      </c>
      <c r="AG36" s="5">
        <v>43514</v>
      </c>
      <c r="AH36" s="5">
        <v>45457</v>
      </c>
      <c r="AI36" s="5">
        <v>47094</v>
      </c>
      <c r="AJ36" s="5">
        <v>49888</v>
      </c>
      <c r="AK36" s="5">
        <v>51250</v>
      </c>
      <c r="AL36" s="5">
        <v>54108</v>
      </c>
      <c r="AM36" s="5">
        <v>55455</v>
      </c>
      <c r="AN36" s="5">
        <v>57920</v>
      </c>
      <c r="AO36" s="5">
        <v>59352</v>
      </c>
      <c r="AP36" s="5">
        <v>61356</v>
      </c>
      <c r="AQ36" s="5">
        <v>62160</v>
      </c>
      <c r="AR36" s="5">
        <v>64460</v>
      </c>
      <c r="AS36" s="5">
        <v>65448</v>
      </c>
      <c r="AT36" s="5">
        <v>67997</v>
      </c>
    </row>
    <row r="37" spans="1:46" x14ac:dyDescent="0.25">
      <c r="A37" s="4" t="s">
        <v>61</v>
      </c>
      <c r="B37" s="5">
        <v>-7101</v>
      </c>
      <c r="C37" s="5">
        <v>-6729</v>
      </c>
      <c r="D37" s="5">
        <v>-6843</v>
      </c>
      <c r="E37" s="5">
        <v>-2035</v>
      </c>
      <c r="F37" s="5">
        <v>-1493</v>
      </c>
      <c r="G37" s="5">
        <v>-1633</v>
      </c>
      <c r="H37" s="5">
        <v>-1527</v>
      </c>
      <c r="I37" s="5">
        <v>-2039</v>
      </c>
      <c r="J37" s="5">
        <v>-1827</v>
      </c>
      <c r="K37" s="5">
        <v>-1471</v>
      </c>
      <c r="L37" s="5">
        <v>-1233</v>
      </c>
      <c r="M37" s="5">
        <v>-1192</v>
      </c>
      <c r="N37" s="5">
        <v>-1016</v>
      </c>
      <c r="O37" s="5">
        <v>-1496</v>
      </c>
      <c r="P37" s="5">
        <v>-1568</v>
      </c>
      <c r="Q37" s="5">
        <v>-1684</v>
      </c>
      <c r="R37" s="5">
        <v>-1588</v>
      </c>
      <c r="S37" s="5">
        <v>-1499</v>
      </c>
      <c r="T37" s="5">
        <v>-1783</v>
      </c>
      <c r="U37" s="5">
        <v>-1567</v>
      </c>
      <c r="V37" s="5">
        <v>-2012</v>
      </c>
      <c r="W37" s="5">
        <v>-1815</v>
      </c>
      <c r="X37" s="5">
        <v>-1448</v>
      </c>
      <c r="Y37" s="5">
        <v>-888</v>
      </c>
      <c r="Z37" s="5">
        <v>-1290</v>
      </c>
      <c r="AA37" s="5">
        <v>-1154</v>
      </c>
      <c r="AB37" s="5">
        <v>-1440</v>
      </c>
      <c r="AC37" s="5">
        <v>-1553</v>
      </c>
      <c r="AD37" s="5">
        <v>-1710</v>
      </c>
      <c r="AE37" s="5">
        <v>-2499</v>
      </c>
      <c r="AF37" s="5">
        <v>-3353</v>
      </c>
      <c r="AG37" s="5">
        <v>-2457</v>
      </c>
      <c r="AH37" s="5">
        <v>-1746</v>
      </c>
      <c r="AI37" s="5">
        <v>-1946</v>
      </c>
      <c r="AJ37" s="5">
        <v>-2232</v>
      </c>
      <c r="AK37" s="5">
        <v>-1820</v>
      </c>
      <c r="AL37" s="5">
        <v>-2093</v>
      </c>
      <c r="AM37" s="5">
        <v>-2230</v>
      </c>
      <c r="AN37" s="5">
        <v>-1717</v>
      </c>
      <c r="AO37" s="5">
        <v>-2471</v>
      </c>
      <c r="AP37" s="5">
        <v>-2205</v>
      </c>
      <c r="AQ37" s="5">
        <v>-1684</v>
      </c>
      <c r="AR37" s="5">
        <v>-1723</v>
      </c>
      <c r="AS37" s="5">
        <v>-1772</v>
      </c>
      <c r="AT37" s="5">
        <v>-1881</v>
      </c>
    </row>
    <row r="38" spans="1:46" x14ac:dyDescent="0.25">
      <c r="A38" s="4" t="s">
        <v>62</v>
      </c>
      <c r="B38" s="5">
        <v>76</v>
      </c>
      <c r="C38" s="5">
        <v>69</v>
      </c>
      <c r="D38" s="5">
        <v>72</v>
      </c>
      <c r="E38" s="5">
        <v>76</v>
      </c>
      <c r="F38" s="5">
        <v>77</v>
      </c>
      <c r="G38" s="5">
        <v>71</v>
      </c>
      <c r="H38" s="5">
        <v>70</v>
      </c>
      <c r="I38" s="5">
        <v>76</v>
      </c>
      <c r="J38" s="5">
        <v>72</v>
      </c>
      <c r="K38" s="5">
        <v>70</v>
      </c>
      <c r="L38" s="5">
        <v>70</v>
      </c>
      <c r="M38" s="5">
        <v>69</v>
      </c>
      <c r="N38" s="5">
        <v>66</v>
      </c>
      <c r="O38" s="5">
        <v>63</v>
      </c>
      <c r="P38" s="5">
        <v>40</v>
      </c>
      <c r="Q38" s="5">
        <v>41</v>
      </c>
      <c r="R38" s="5">
        <v>41</v>
      </c>
      <c r="S38" s="5">
        <v>41</v>
      </c>
      <c r="T38" s="5">
        <v>41</v>
      </c>
      <c r="U38" s="5">
        <v>41</v>
      </c>
      <c r="V38" s="5">
        <v>42</v>
      </c>
      <c r="W38" s="5">
        <v>43</v>
      </c>
      <c r="X38" s="5">
        <v>45</v>
      </c>
      <c r="Y38" s="5">
        <v>47</v>
      </c>
      <c r="Z38" s="5">
        <v>44</v>
      </c>
      <c r="AA38" s="5">
        <v>47</v>
      </c>
      <c r="AB38" s="5">
        <v>30</v>
      </c>
      <c r="AC38" s="5">
        <v>32</v>
      </c>
      <c r="AD38" s="5">
        <v>32</v>
      </c>
      <c r="AE38" s="5">
        <v>32</v>
      </c>
      <c r="AF38" s="5">
        <v>31</v>
      </c>
      <c r="AG38" s="5">
        <v>22</v>
      </c>
      <c r="AH38" s="5">
        <v>21</v>
      </c>
      <c r="AI38" s="5">
        <v>21</v>
      </c>
      <c r="AJ38" s="5">
        <v>18</v>
      </c>
      <c r="AK38" s="5">
        <v>9</v>
      </c>
      <c r="AL38" s="5">
        <v>6</v>
      </c>
      <c r="AM38" s="5">
        <v>6</v>
      </c>
      <c r="AN38" s="5">
        <v>6</v>
      </c>
      <c r="AO38" s="5">
        <v>3</v>
      </c>
      <c r="AP38" s="5">
        <v>3</v>
      </c>
      <c r="AQ38" s="5">
        <v>2</v>
      </c>
      <c r="AR38" s="5">
        <v>1</v>
      </c>
      <c r="AT38" s="5">
        <v>-1</v>
      </c>
    </row>
    <row r="39" spans="1:46" x14ac:dyDescent="0.25">
      <c r="A39" s="4" t="s">
        <v>63</v>
      </c>
      <c r="B39" s="5">
        <v>17038</v>
      </c>
      <c r="C39" s="5">
        <v>17161</v>
      </c>
      <c r="D39" s="5">
        <v>15968</v>
      </c>
      <c r="E39" s="5">
        <v>14885</v>
      </c>
      <c r="F39" s="5">
        <v>15753</v>
      </c>
      <c r="G39" s="5">
        <v>15303</v>
      </c>
      <c r="H39" s="5">
        <v>15715</v>
      </c>
      <c r="I39" s="5">
        <v>13213</v>
      </c>
      <c r="J39" s="5">
        <v>13660</v>
      </c>
      <c r="K39" s="5">
        <v>14079</v>
      </c>
      <c r="L39" s="5">
        <v>15697</v>
      </c>
      <c r="M39" s="5">
        <v>13766</v>
      </c>
      <c r="N39" s="5">
        <v>15272</v>
      </c>
      <c r="O39" s="5">
        <v>14942</v>
      </c>
      <c r="P39" s="5">
        <v>15890</v>
      </c>
      <c r="Q39" s="5">
        <v>14080</v>
      </c>
      <c r="R39" s="5">
        <v>15478</v>
      </c>
      <c r="S39" s="5">
        <v>14878</v>
      </c>
      <c r="T39" s="5">
        <v>14993</v>
      </c>
      <c r="U39" s="5">
        <v>14629</v>
      </c>
      <c r="V39" s="5">
        <v>14239</v>
      </c>
      <c r="W39" s="5">
        <v>13777</v>
      </c>
      <c r="X39" s="5">
        <v>14994</v>
      </c>
      <c r="Y39" s="5">
        <v>15378</v>
      </c>
      <c r="Z39" s="5">
        <v>16617</v>
      </c>
      <c r="AA39" s="5">
        <v>16880</v>
      </c>
      <c r="AB39" s="5">
        <v>16695</v>
      </c>
      <c r="AC39" s="5">
        <v>16516</v>
      </c>
      <c r="AD39" s="5">
        <v>17097</v>
      </c>
      <c r="AE39" s="5">
        <v>15759</v>
      </c>
      <c r="AF39" s="5">
        <v>15622</v>
      </c>
      <c r="AG39" s="5">
        <v>15891</v>
      </c>
      <c r="AH39" s="5">
        <v>18170</v>
      </c>
      <c r="AI39" s="5">
        <v>18256</v>
      </c>
      <c r="AJ39" s="5">
        <v>20507</v>
      </c>
      <c r="AK39" s="5">
        <v>19503</v>
      </c>
      <c r="AL39" s="5">
        <v>17645</v>
      </c>
      <c r="AM39" s="5">
        <v>17136</v>
      </c>
      <c r="AN39" s="5">
        <v>19403</v>
      </c>
      <c r="AO39" s="5">
        <v>19494</v>
      </c>
      <c r="AP39" s="5">
        <v>18070</v>
      </c>
      <c r="AQ39" s="5">
        <v>18663</v>
      </c>
      <c r="AR39" s="5">
        <v>20659</v>
      </c>
      <c r="AS39" s="5">
        <v>21318</v>
      </c>
      <c r="AT39" s="5">
        <v>18660</v>
      </c>
    </row>
    <row r="40" spans="1:46" x14ac:dyDescent="0.25">
      <c r="A40" s="4" t="s">
        <v>64</v>
      </c>
      <c r="C40" s="5">
        <v>82242</v>
      </c>
      <c r="D40" s="5">
        <v>78969</v>
      </c>
      <c r="E40" s="5">
        <v>78342</v>
      </c>
      <c r="F40" s="5">
        <v>78307</v>
      </c>
      <c r="G40" s="5">
        <v>78300</v>
      </c>
      <c r="H40" s="5">
        <v>76402</v>
      </c>
      <c r="I40" s="5">
        <v>74704</v>
      </c>
      <c r="J40" s="5">
        <v>77549</v>
      </c>
      <c r="K40" s="5">
        <v>78510</v>
      </c>
      <c r="L40" s="5">
        <v>78560</v>
      </c>
      <c r="M40" s="5">
        <v>76962</v>
      </c>
      <c r="N40" s="5">
        <v>78014</v>
      </c>
      <c r="O40" s="5">
        <v>78987</v>
      </c>
      <c r="P40" s="5">
        <v>78209</v>
      </c>
      <c r="Q40" s="5">
        <v>78509</v>
      </c>
      <c r="R40" s="5">
        <v>78726</v>
      </c>
      <c r="S40" s="5">
        <v>79187</v>
      </c>
      <c r="T40" s="5">
        <v>77993</v>
      </c>
      <c r="U40" s="5">
        <v>78453</v>
      </c>
      <c r="V40" s="5">
        <v>75894</v>
      </c>
      <c r="W40" s="5">
        <v>76566</v>
      </c>
      <c r="X40" s="5">
        <v>76741</v>
      </c>
      <c r="Y40" s="5">
        <v>78324</v>
      </c>
      <c r="Z40" s="5">
        <v>80729</v>
      </c>
      <c r="AA40" s="5">
        <v>81697</v>
      </c>
      <c r="AB40" s="5">
        <v>80784</v>
      </c>
      <c r="AC40" s="5">
        <v>82793</v>
      </c>
      <c r="AD40" s="5">
        <v>82276</v>
      </c>
      <c r="AE40" s="5">
        <v>81107</v>
      </c>
      <c r="AF40" s="5">
        <v>80907</v>
      </c>
      <c r="AG40" s="5">
        <v>81943</v>
      </c>
      <c r="AH40" s="5">
        <v>83649</v>
      </c>
      <c r="AI40" s="5">
        <v>85427</v>
      </c>
      <c r="AJ40" s="5">
        <v>86791</v>
      </c>
      <c r="AK40" s="5">
        <v>87476</v>
      </c>
      <c r="AL40" s="5">
        <v>83741</v>
      </c>
      <c r="AM40" s="5">
        <v>83336</v>
      </c>
      <c r="AN40" s="5">
        <v>86273</v>
      </c>
      <c r="AO40" s="5">
        <v>87764</v>
      </c>
      <c r="AP40" s="5">
        <v>84974</v>
      </c>
      <c r="AQ40" s="5">
        <v>90325</v>
      </c>
      <c r="AR40" s="5">
        <v>93722</v>
      </c>
      <c r="AS40" s="5">
        <v>98585</v>
      </c>
      <c r="AT40" s="5">
        <v>95550</v>
      </c>
    </row>
  </sheetData>
  <pageMargins left="0.7" right="0.7" top="0.75" bottom="0.75" header="0.3" footer="0.3"/>
  <ignoredErrors>
    <ignoredError sqref="A1:AT40" numberStoredAsText="1"/>
  </ignoredError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T45"/>
  <sheetViews>
    <sheetView workbookViewId="0">
      <selection activeCell="A5" sqref="A5"/>
    </sheetView>
  </sheetViews>
  <sheetFormatPr defaultRowHeight="15" x14ac:dyDescent="0.25"/>
  <cols>
    <col min="1" max="1" width="101.7109375" style="3" customWidth="1"/>
    <col min="2" max="30" width="11.85546875" style="3" customWidth="1"/>
    <col min="31" max="31" width="12.85546875" style="3" customWidth="1"/>
    <col min="32" max="46" width="11.85546875" style="3" customWidth="1"/>
    <col min="47" max="16384" width="9.140625" style="3"/>
  </cols>
  <sheetData>
    <row r="1" spans="1:46" x14ac:dyDescent="0.25">
      <c r="A1" s="1" t="s">
        <v>0</v>
      </c>
      <c r="B1" s="2" t="s">
        <v>131</v>
      </c>
      <c r="C1" s="2" t="s">
        <v>132</v>
      </c>
      <c r="D1" s="2" t="s">
        <v>133</v>
      </c>
      <c r="E1" s="2" t="s">
        <v>1</v>
      </c>
      <c r="F1" s="2" t="s">
        <v>134</v>
      </c>
      <c r="G1" s="2" t="s">
        <v>135</v>
      </c>
      <c r="H1" s="2" t="s">
        <v>136</v>
      </c>
      <c r="I1" s="2" t="s">
        <v>2</v>
      </c>
      <c r="J1" s="2" t="s">
        <v>137</v>
      </c>
      <c r="K1" s="2" t="s">
        <v>138</v>
      </c>
      <c r="L1" s="2" t="s">
        <v>139</v>
      </c>
      <c r="M1" s="2" t="s">
        <v>3</v>
      </c>
      <c r="N1" s="2" t="s">
        <v>140</v>
      </c>
      <c r="O1" s="2" t="s">
        <v>141</v>
      </c>
      <c r="P1" s="2" t="s">
        <v>142</v>
      </c>
      <c r="Q1" s="2" t="s">
        <v>4</v>
      </c>
      <c r="R1" s="2" t="s">
        <v>143</v>
      </c>
      <c r="S1" s="2" t="s">
        <v>144</v>
      </c>
      <c r="T1" s="2" t="s">
        <v>145</v>
      </c>
      <c r="U1" s="2" t="s">
        <v>5</v>
      </c>
      <c r="V1" s="2" t="s">
        <v>146</v>
      </c>
      <c r="W1" s="2" t="s">
        <v>147</v>
      </c>
      <c r="X1" s="2" t="s">
        <v>148</v>
      </c>
      <c r="Y1" s="2" t="s">
        <v>6</v>
      </c>
      <c r="Z1" s="2" t="s">
        <v>149</v>
      </c>
      <c r="AA1" s="2" t="s">
        <v>150</v>
      </c>
      <c r="AB1" s="2" t="s">
        <v>151</v>
      </c>
      <c r="AC1" s="2" t="s">
        <v>7</v>
      </c>
      <c r="AD1" s="2" t="s">
        <v>152</v>
      </c>
      <c r="AE1" s="2" t="s">
        <v>153</v>
      </c>
      <c r="AF1" s="2" t="s">
        <v>154</v>
      </c>
      <c r="AG1" s="2" t="s">
        <v>8</v>
      </c>
      <c r="AH1" s="2" t="s">
        <v>155</v>
      </c>
      <c r="AI1" s="2" t="s">
        <v>156</v>
      </c>
      <c r="AJ1" s="2" t="s">
        <v>157</v>
      </c>
      <c r="AK1" s="2" t="s">
        <v>9</v>
      </c>
      <c r="AL1" s="2" t="s">
        <v>158</v>
      </c>
      <c r="AM1" s="2" t="s">
        <v>159</v>
      </c>
      <c r="AN1" s="2" t="s">
        <v>160</v>
      </c>
      <c r="AO1" s="2" t="s">
        <v>10</v>
      </c>
      <c r="AP1" s="2" t="s">
        <v>161</v>
      </c>
      <c r="AQ1" s="2" t="s">
        <v>162</v>
      </c>
      <c r="AR1" s="2" t="s">
        <v>163</v>
      </c>
      <c r="AS1" s="2" t="s">
        <v>11</v>
      </c>
      <c r="AT1" s="2" t="s">
        <v>164</v>
      </c>
    </row>
    <row r="2" spans="1:46" x14ac:dyDescent="0.25">
      <c r="A2" s="4" t="s">
        <v>23</v>
      </c>
      <c r="B2" s="5">
        <v>1248</v>
      </c>
      <c r="C2" s="5">
        <v>803</v>
      </c>
      <c r="D2" s="5">
        <v>562</v>
      </c>
      <c r="E2" s="5">
        <v>-90</v>
      </c>
      <c r="F2" s="5">
        <v>272</v>
      </c>
      <c r="G2" s="5">
        <v>553</v>
      </c>
      <c r="H2" s="5">
        <v>283</v>
      </c>
      <c r="I2" s="5">
        <v>-1167</v>
      </c>
      <c r="J2" s="5">
        <v>194</v>
      </c>
      <c r="K2" s="5">
        <v>803</v>
      </c>
      <c r="L2" s="5">
        <v>1061</v>
      </c>
      <c r="M2" s="5">
        <v>-1299</v>
      </c>
      <c r="N2" s="5">
        <v>1667</v>
      </c>
      <c r="O2" s="5">
        <v>1705</v>
      </c>
      <c r="P2" s="5">
        <v>1727</v>
      </c>
      <c r="Q2" s="5">
        <v>1049</v>
      </c>
      <c r="R2" s="5">
        <v>1884</v>
      </c>
      <c r="S2" s="5">
        <v>1619</v>
      </c>
      <c r="T2" s="5">
        <v>1494</v>
      </c>
      <c r="U2" s="5">
        <v>1097</v>
      </c>
      <c r="V2" s="5">
        <v>1093</v>
      </c>
      <c r="W2" s="5">
        <v>459</v>
      </c>
      <c r="X2" s="5">
        <v>671</v>
      </c>
      <c r="Y2" s="5">
        <v>780</v>
      </c>
      <c r="Z2" s="5">
        <v>1531</v>
      </c>
      <c r="AA2" s="5">
        <v>1414</v>
      </c>
      <c r="AB2" s="5">
        <v>1428</v>
      </c>
      <c r="AC2" s="5">
        <v>2120</v>
      </c>
      <c r="AD2" s="5">
        <v>1537</v>
      </c>
      <c r="AE2" s="5">
        <v>1673</v>
      </c>
      <c r="AF2" s="5">
        <v>2040</v>
      </c>
      <c r="AG2" s="5">
        <v>1454</v>
      </c>
      <c r="AH2" s="5">
        <v>1942</v>
      </c>
      <c r="AI2" s="5">
        <v>2924</v>
      </c>
      <c r="AJ2" s="5">
        <v>2793</v>
      </c>
      <c r="AK2" s="5">
        <v>2673</v>
      </c>
      <c r="AL2" s="5">
        <v>2854</v>
      </c>
      <c r="AM2" s="5">
        <v>2681</v>
      </c>
      <c r="AN2" s="5">
        <v>2463</v>
      </c>
      <c r="AO2" s="5">
        <v>2790</v>
      </c>
      <c r="AP2" s="5">
        <v>2003</v>
      </c>
      <c r="AQ2" s="5">
        <v>2179</v>
      </c>
      <c r="AR2" s="5">
        <v>2299</v>
      </c>
      <c r="AS2" s="5">
        <v>2401</v>
      </c>
      <c r="AT2" s="5">
        <v>2548</v>
      </c>
    </row>
    <row r="3" spans="1:46" x14ac:dyDescent="0.25">
      <c r="A3" s="4" t="s">
        <v>65</v>
      </c>
      <c r="B3" s="5">
        <v>753</v>
      </c>
      <c r="C3" s="5">
        <v>761</v>
      </c>
      <c r="D3" s="5">
        <v>758</v>
      </c>
      <c r="E3" s="5">
        <v>774</v>
      </c>
      <c r="F3" s="5">
        <v>740</v>
      </c>
      <c r="G3" s="5">
        <v>754</v>
      </c>
      <c r="H3" s="5">
        <v>761</v>
      </c>
      <c r="I3" s="5">
        <v>779</v>
      </c>
      <c r="J3" s="5">
        <v>710</v>
      </c>
      <c r="K3" s="5">
        <v>720</v>
      </c>
      <c r="L3" s="5">
        <v>723</v>
      </c>
      <c r="M3" s="5">
        <v>724</v>
      </c>
      <c r="N3" s="5">
        <v>681</v>
      </c>
      <c r="O3" s="5">
        <v>686</v>
      </c>
      <c r="P3" s="5">
        <v>698</v>
      </c>
      <c r="Q3" s="5">
        <v>701</v>
      </c>
      <c r="R3" s="5">
        <v>641</v>
      </c>
      <c r="S3" s="5">
        <v>647</v>
      </c>
      <c r="T3" s="5">
        <v>645</v>
      </c>
      <c r="U3" s="5">
        <v>644</v>
      </c>
      <c r="V3" s="5">
        <v>614</v>
      </c>
      <c r="W3" s="5">
        <v>608</v>
      </c>
      <c r="X3" s="5">
        <v>593</v>
      </c>
      <c r="Y3" s="5">
        <v>617</v>
      </c>
      <c r="Z3" s="5">
        <v>586</v>
      </c>
      <c r="AA3" s="5">
        <v>587</v>
      </c>
      <c r="AB3" s="5">
        <v>593</v>
      </c>
      <c r="AC3" s="5">
        <v>586</v>
      </c>
      <c r="AD3" s="5">
        <v>557</v>
      </c>
      <c r="AE3" s="5">
        <v>553</v>
      </c>
      <c r="AF3" s="5">
        <v>551</v>
      </c>
      <c r="AG3" s="5">
        <v>558</v>
      </c>
      <c r="AH3" s="5">
        <v>532</v>
      </c>
      <c r="AI3" s="5">
        <v>542</v>
      </c>
      <c r="AJ3" s="5">
        <v>525</v>
      </c>
      <c r="AK3" s="5">
        <v>545</v>
      </c>
      <c r="AL3" s="5">
        <v>524</v>
      </c>
      <c r="AM3" s="5">
        <v>531</v>
      </c>
      <c r="AN3" s="5">
        <v>543</v>
      </c>
      <c r="AO3" s="5">
        <v>555</v>
      </c>
      <c r="AP3" s="5">
        <v>540</v>
      </c>
      <c r="AQ3" s="5">
        <v>554</v>
      </c>
      <c r="AR3" s="5">
        <v>570</v>
      </c>
      <c r="AS3" s="5">
        <v>598</v>
      </c>
      <c r="AT3" s="5">
        <v>595</v>
      </c>
    </row>
    <row r="4" spans="1:46" x14ac:dyDescent="0.25">
      <c r="A4" s="4" t="s">
        <v>66</v>
      </c>
      <c r="S4" s="5">
        <v>-32</v>
      </c>
      <c r="T4" s="5">
        <v>32</v>
      </c>
      <c r="U4" s="5">
        <v>468</v>
      </c>
      <c r="V4" s="5">
        <v>-254</v>
      </c>
      <c r="W4" s="5">
        <v>122</v>
      </c>
      <c r="X4" s="5">
        <v>77</v>
      </c>
      <c r="Y4" s="5">
        <v>438</v>
      </c>
    </row>
    <row r="5" spans="1:46" x14ac:dyDescent="0.25">
      <c r="A5" s="4" t="s">
        <v>67</v>
      </c>
      <c r="R5" s="5">
        <v>-11</v>
      </c>
      <c r="S5" s="5">
        <v>-23</v>
      </c>
      <c r="T5" s="5">
        <v>21</v>
      </c>
      <c r="U5" s="5">
        <v>41</v>
      </c>
      <c r="V5" s="5">
        <v>20</v>
      </c>
      <c r="W5" s="5">
        <v>-54</v>
      </c>
      <c r="X5" s="5">
        <v>-6</v>
      </c>
      <c r="Y5" s="5">
        <v>-36</v>
      </c>
      <c r="Z5" s="5">
        <v>109</v>
      </c>
      <c r="AA5" s="5">
        <v>-41</v>
      </c>
      <c r="AB5" s="5">
        <v>-389</v>
      </c>
      <c r="AC5" s="5">
        <v>-62</v>
      </c>
      <c r="AD5" s="5">
        <v>-99</v>
      </c>
      <c r="AE5" s="5">
        <v>-184</v>
      </c>
      <c r="AF5" s="5">
        <v>-66</v>
      </c>
      <c r="AG5" s="5">
        <v>-28</v>
      </c>
      <c r="AH5" s="5">
        <v>-191</v>
      </c>
      <c r="AI5" s="5">
        <v>-164</v>
      </c>
      <c r="AJ5" s="5">
        <v>-93</v>
      </c>
      <c r="AK5" s="5">
        <v>-144</v>
      </c>
      <c r="AL5" s="5">
        <v>-54</v>
      </c>
      <c r="AM5" s="5">
        <v>-79</v>
      </c>
      <c r="AN5" s="5">
        <v>-196</v>
      </c>
      <c r="AO5" s="5">
        <v>-292</v>
      </c>
      <c r="AP5" s="5">
        <v>-38</v>
      </c>
      <c r="AQ5" s="5">
        <v>-92</v>
      </c>
      <c r="AR5" s="5">
        <v>410</v>
      </c>
      <c r="AS5" s="5">
        <v>165</v>
      </c>
      <c r="AT5" s="5">
        <v>534</v>
      </c>
    </row>
    <row r="6" spans="1:46" x14ac:dyDescent="0.25">
      <c r="A6" s="4" t="s">
        <v>68</v>
      </c>
      <c r="AH6" s="5">
        <v>572</v>
      </c>
      <c r="AI6" s="5">
        <v>0</v>
      </c>
      <c r="AJ6" s="5">
        <v>0</v>
      </c>
      <c r="AK6" s="5">
        <v>0</v>
      </c>
      <c r="AL6" s="5">
        <v>-64</v>
      </c>
      <c r="AM6" s="5">
        <v>228</v>
      </c>
      <c r="AN6" s="5">
        <v>0</v>
      </c>
      <c r="AO6" s="5">
        <v>-57</v>
      </c>
      <c r="AR6" s="5">
        <v>509</v>
      </c>
      <c r="AS6" s="5">
        <v>-479</v>
      </c>
    </row>
    <row r="7" spans="1:46" x14ac:dyDescent="0.25">
      <c r="A7" s="4" t="s">
        <v>69</v>
      </c>
      <c r="B7" s="5">
        <v>-88</v>
      </c>
      <c r="C7" s="5">
        <v>230</v>
      </c>
      <c r="D7" s="5">
        <v>181</v>
      </c>
      <c r="E7" s="5">
        <v>130</v>
      </c>
      <c r="F7" s="5">
        <v>269</v>
      </c>
      <c r="G7" s="5">
        <v>99</v>
      </c>
      <c r="H7" s="5">
        <v>272</v>
      </c>
      <c r="I7" s="5">
        <v>219</v>
      </c>
      <c r="J7" s="5">
        <v>302</v>
      </c>
      <c r="K7" s="5">
        <v>188</v>
      </c>
      <c r="L7" s="5">
        <v>106</v>
      </c>
      <c r="M7" s="5">
        <v>154</v>
      </c>
      <c r="N7" s="5">
        <v>148</v>
      </c>
      <c r="O7" s="5">
        <v>298</v>
      </c>
      <c r="P7" s="5">
        <v>184</v>
      </c>
      <c r="Q7" s="5">
        <v>376</v>
      </c>
      <c r="R7" s="5">
        <v>88</v>
      </c>
      <c r="S7" s="5">
        <v>352</v>
      </c>
      <c r="T7" s="5">
        <v>187</v>
      </c>
      <c r="U7" s="5">
        <v>48</v>
      </c>
      <c r="V7" s="5">
        <v>534</v>
      </c>
      <c r="W7" s="5">
        <v>140</v>
      </c>
      <c r="X7" s="5">
        <v>245</v>
      </c>
      <c r="Y7" s="5">
        <v>81</v>
      </c>
      <c r="Z7" s="5">
        <v>-104</v>
      </c>
      <c r="AA7" s="5">
        <v>84</v>
      </c>
      <c r="AB7" s="5">
        <v>122</v>
      </c>
      <c r="AC7" s="5">
        <v>114</v>
      </c>
      <c r="AD7" s="5">
        <v>-52</v>
      </c>
      <c r="AE7" s="5">
        <v>101</v>
      </c>
      <c r="AF7" s="5">
        <v>83</v>
      </c>
      <c r="AG7" s="5">
        <v>569</v>
      </c>
      <c r="AH7" s="5">
        <v>117</v>
      </c>
      <c r="AI7" s="5">
        <v>-11</v>
      </c>
      <c r="AJ7" s="5">
        <v>99</v>
      </c>
      <c r="AK7" s="5">
        <v>170</v>
      </c>
      <c r="AL7" s="5">
        <v>-5</v>
      </c>
      <c r="AM7" s="5">
        <v>110</v>
      </c>
      <c r="AN7" s="5">
        <v>116</v>
      </c>
      <c r="AO7" s="5">
        <v>594</v>
      </c>
      <c r="AP7" s="5">
        <v>78</v>
      </c>
      <c r="AQ7" s="5">
        <v>320</v>
      </c>
      <c r="AR7" s="5">
        <v>-1186</v>
      </c>
      <c r="AS7" s="5">
        <v>1530</v>
      </c>
      <c r="AT7" s="5">
        <v>68</v>
      </c>
    </row>
    <row r="8" spans="1:46" x14ac:dyDescent="0.25">
      <c r="A8" s="4" t="s">
        <v>30</v>
      </c>
      <c r="B8" s="5">
        <v>6</v>
      </c>
      <c r="C8" s="5">
        <v>377</v>
      </c>
      <c r="D8" s="5">
        <v>231</v>
      </c>
      <c r="E8" s="5">
        <v>150</v>
      </c>
      <c r="F8" s="5">
        <v>14</v>
      </c>
      <c r="G8" s="5">
        <v>559</v>
      </c>
      <c r="H8" s="5">
        <v>555</v>
      </c>
      <c r="I8" s="5">
        <v>-299</v>
      </c>
      <c r="J8" s="5">
        <v>-353</v>
      </c>
      <c r="K8" s="5">
        <v>-89</v>
      </c>
      <c r="L8" s="5">
        <v>-13</v>
      </c>
      <c r="M8" s="5">
        <v>-696</v>
      </c>
      <c r="N8" s="5">
        <v>-326</v>
      </c>
      <c r="O8" s="5">
        <v>-377</v>
      </c>
      <c r="P8" s="5">
        <v>-22</v>
      </c>
      <c r="Q8" s="5">
        <v>-894</v>
      </c>
      <c r="R8" s="5">
        <v>-150</v>
      </c>
      <c r="S8" s="5">
        <v>-16</v>
      </c>
      <c r="T8" s="5">
        <v>593</v>
      </c>
      <c r="U8" s="5">
        <v>-256</v>
      </c>
      <c r="V8" s="5">
        <v>500</v>
      </c>
      <c r="W8" s="5">
        <v>676</v>
      </c>
      <c r="X8" s="5">
        <v>297</v>
      </c>
      <c r="Y8" s="5">
        <v>-31</v>
      </c>
      <c r="Z8" s="5">
        <v>-543</v>
      </c>
      <c r="AA8" s="5">
        <v>200</v>
      </c>
      <c r="AB8" s="5">
        <v>17</v>
      </c>
      <c r="AC8" s="5">
        <v>-933</v>
      </c>
      <c r="AD8" s="5">
        <v>-372</v>
      </c>
      <c r="AE8" s="5">
        <v>655</v>
      </c>
      <c r="AF8" s="5">
        <v>82</v>
      </c>
      <c r="AG8" s="5">
        <v>-585</v>
      </c>
      <c r="AH8" s="5">
        <v>-329</v>
      </c>
      <c r="AI8" s="5">
        <v>-136</v>
      </c>
      <c r="AJ8" s="5">
        <v>146</v>
      </c>
      <c r="AK8" s="5">
        <v>-118</v>
      </c>
      <c r="AL8" s="5">
        <v>-81</v>
      </c>
      <c r="AM8" s="5">
        <v>-164</v>
      </c>
      <c r="AN8" s="5">
        <v>215</v>
      </c>
      <c r="AO8" s="5">
        <v>621</v>
      </c>
      <c r="AP8" s="5">
        <v>155</v>
      </c>
      <c r="AQ8" s="5">
        <v>-474</v>
      </c>
      <c r="AR8" s="5">
        <v>-1696</v>
      </c>
      <c r="AS8" s="5">
        <v>-123</v>
      </c>
      <c r="AT8" s="5">
        <v>-801</v>
      </c>
    </row>
    <row r="9" spans="1:46" x14ac:dyDescent="0.25">
      <c r="A9" s="4" t="s">
        <v>34</v>
      </c>
      <c r="B9" s="5">
        <v>-89</v>
      </c>
      <c r="C9" s="5">
        <v>421</v>
      </c>
      <c r="D9" s="5">
        <v>508</v>
      </c>
      <c r="E9" s="5">
        <v>1434</v>
      </c>
      <c r="F9" s="5">
        <v>-74</v>
      </c>
      <c r="G9" s="5">
        <v>379</v>
      </c>
      <c r="H9" s="5">
        <v>26</v>
      </c>
      <c r="I9" s="5">
        <v>778</v>
      </c>
      <c r="J9" s="5">
        <v>-444</v>
      </c>
      <c r="K9" s="5">
        <v>-244</v>
      </c>
      <c r="L9" s="5">
        <v>-801</v>
      </c>
      <c r="M9" s="5">
        <v>194</v>
      </c>
      <c r="N9" s="5">
        <v>-803</v>
      </c>
      <c r="O9" s="5">
        <v>-405</v>
      </c>
      <c r="P9" s="5">
        <v>-614</v>
      </c>
      <c r="Q9" s="5">
        <v>243</v>
      </c>
      <c r="R9" s="5">
        <v>-813</v>
      </c>
      <c r="S9" s="5">
        <v>326</v>
      </c>
      <c r="T9" s="5">
        <v>-189</v>
      </c>
      <c r="U9" s="5">
        <v>950</v>
      </c>
      <c r="V9" s="5">
        <v>-541</v>
      </c>
      <c r="W9" s="5">
        <v>396</v>
      </c>
      <c r="X9" s="5">
        <v>6</v>
      </c>
      <c r="Y9" s="5">
        <v>105</v>
      </c>
      <c r="Z9" s="5">
        <v>-657</v>
      </c>
      <c r="AA9" s="5">
        <v>-522</v>
      </c>
      <c r="AB9" s="5">
        <v>-1016</v>
      </c>
      <c r="AC9" s="5">
        <v>-391</v>
      </c>
      <c r="AD9" s="5">
        <v>-1032</v>
      </c>
      <c r="AE9" s="5">
        <v>-971</v>
      </c>
      <c r="AF9" s="5">
        <v>-1085</v>
      </c>
      <c r="AG9" s="5">
        <v>499</v>
      </c>
      <c r="AH9" s="5">
        <v>-1403</v>
      </c>
      <c r="AI9" s="5">
        <v>-157</v>
      </c>
      <c r="AJ9" s="5">
        <v>136</v>
      </c>
      <c r="AK9" s="5">
        <v>1060</v>
      </c>
      <c r="AL9" s="5">
        <v>-439</v>
      </c>
      <c r="AM9" s="5">
        <v>-204</v>
      </c>
      <c r="AN9" s="5">
        <v>-138</v>
      </c>
      <c r="AO9" s="5">
        <v>-318</v>
      </c>
      <c r="AP9" s="5">
        <v>-990</v>
      </c>
      <c r="AQ9" s="5">
        <v>-649</v>
      </c>
      <c r="AR9" s="5">
        <v>2725</v>
      </c>
      <c r="AS9" s="5">
        <v>-2563</v>
      </c>
      <c r="AT9" s="5">
        <v>-1501</v>
      </c>
    </row>
    <row r="10" spans="1:46" x14ac:dyDescent="0.25">
      <c r="A10" s="4" t="s">
        <v>47</v>
      </c>
      <c r="B10" s="5">
        <v>228</v>
      </c>
      <c r="C10" s="5">
        <v>-554</v>
      </c>
      <c r="D10" s="5">
        <v>-567</v>
      </c>
      <c r="E10" s="5">
        <v>-272</v>
      </c>
      <c r="F10" s="5">
        <v>211</v>
      </c>
      <c r="G10" s="5">
        <v>-3</v>
      </c>
      <c r="H10" s="5">
        <v>-371</v>
      </c>
      <c r="I10" s="5">
        <v>-37</v>
      </c>
      <c r="J10" s="5">
        <v>732</v>
      </c>
      <c r="K10" s="5">
        <v>381</v>
      </c>
      <c r="L10" s="5">
        <v>258</v>
      </c>
      <c r="M10" s="5">
        <v>107</v>
      </c>
      <c r="N10" s="5">
        <v>486</v>
      </c>
      <c r="O10" s="5">
        <v>59</v>
      </c>
      <c r="P10" s="5">
        <v>-49</v>
      </c>
      <c r="Q10" s="5">
        <v>213</v>
      </c>
      <c r="R10" s="5">
        <v>355</v>
      </c>
      <c r="S10" s="5">
        <v>-221</v>
      </c>
      <c r="T10" s="5">
        <v>-803</v>
      </c>
      <c r="U10" s="5">
        <v>-356</v>
      </c>
      <c r="V10" s="5">
        <v>90</v>
      </c>
      <c r="W10" s="5">
        <v>-745</v>
      </c>
      <c r="X10" s="5">
        <v>59</v>
      </c>
      <c r="Y10" s="5">
        <v>694</v>
      </c>
      <c r="Z10" s="5">
        <v>733</v>
      </c>
      <c r="AA10" s="5">
        <v>160</v>
      </c>
      <c r="AB10" s="5">
        <v>339</v>
      </c>
      <c r="AC10" s="5">
        <v>809</v>
      </c>
      <c r="AD10" s="5">
        <v>452</v>
      </c>
      <c r="AE10" s="5">
        <v>-25</v>
      </c>
      <c r="AF10" s="5">
        <v>359</v>
      </c>
      <c r="AG10" s="5">
        <v>12</v>
      </c>
      <c r="AH10" s="5">
        <v>477</v>
      </c>
      <c r="AI10" s="5">
        <v>-443</v>
      </c>
      <c r="AJ10" s="5">
        <v>-566</v>
      </c>
      <c r="AK10" s="5">
        <v>-222</v>
      </c>
      <c r="AL10" s="5">
        <v>203</v>
      </c>
      <c r="AM10" s="5">
        <v>-224</v>
      </c>
      <c r="AN10" s="5">
        <v>-75</v>
      </c>
      <c r="AO10" s="5">
        <v>-291</v>
      </c>
      <c r="AP10" s="5">
        <v>401</v>
      </c>
      <c r="AQ10" s="5">
        <v>572</v>
      </c>
      <c r="AR10" s="5">
        <v>-922</v>
      </c>
      <c r="AS10" s="5">
        <v>1128</v>
      </c>
      <c r="AT10" s="5">
        <v>938</v>
      </c>
    </row>
    <row r="11" spans="1:46" x14ac:dyDescent="0.25">
      <c r="A11" s="4" t="s">
        <v>48</v>
      </c>
      <c r="B11" s="5">
        <v>35</v>
      </c>
      <c r="C11" s="5">
        <v>-106</v>
      </c>
      <c r="D11" s="5">
        <v>46</v>
      </c>
      <c r="E11" s="5">
        <v>-174</v>
      </c>
      <c r="F11" s="5">
        <v>33</v>
      </c>
      <c r="G11" s="5">
        <v>-32</v>
      </c>
      <c r="H11" s="5">
        <v>-154</v>
      </c>
      <c r="I11" s="5">
        <v>-48</v>
      </c>
      <c r="J11" s="5">
        <v>132</v>
      </c>
      <c r="K11" s="5">
        <v>119</v>
      </c>
      <c r="L11" s="5">
        <v>-130</v>
      </c>
      <c r="M11" s="5">
        <v>54</v>
      </c>
      <c r="N11" s="5">
        <v>66</v>
      </c>
      <c r="O11" s="5">
        <v>-97</v>
      </c>
      <c r="P11" s="5">
        <v>-1</v>
      </c>
      <c r="Q11" s="5">
        <v>133</v>
      </c>
      <c r="R11" s="5">
        <v>135</v>
      </c>
      <c r="S11" s="5">
        <v>16</v>
      </c>
      <c r="T11" s="5">
        <v>-37</v>
      </c>
      <c r="U11" s="5">
        <v>58</v>
      </c>
      <c r="V11" s="5">
        <v>-97</v>
      </c>
      <c r="W11" s="5">
        <v>-156</v>
      </c>
      <c r="X11" s="5">
        <v>-33</v>
      </c>
      <c r="Y11" s="5">
        <v>-80</v>
      </c>
      <c r="Z11" s="5">
        <v>84</v>
      </c>
      <c r="AA11" s="5">
        <v>-62</v>
      </c>
      <c r="AB11" s="5">
        <v>24</v>
      </c>
      <c r="AC11" s="5">
        <v>150</v>
      </c>
      <c r="AD11" s="5">
        <v>-74</v>
      </c>
      <c r="AE11" s="5">
        <v>-6</v>
      </c>
      <c r="AF11" s="5">
        <v>150</v>
      </c>
      <c r="AG11" s="5">
        <v>247</v>
      </c>
      <c r="AH11" s="5">
        <v>38</v>
      </c>
      <c r="AI11" s="5">
        <v>343</v>
      </c>
      <c r="AJ11" s="5">
        <v>207</v>
      </c>
      <c r="AK11" s="5">
        <v>208</v>
      </c>
      <c r="AL11" s="5">
        <v>-38</v>
      </c>
      <c r="AM11" s="5">
        <v>107</v>
      </c>
      <c r="AN11" s="5">
        <v>-60</v>
      </c>
      <c r="AO11" s="5">
        <v>862</v>
      </c>
      <c r="AP11" s="5">
        <v>-198</v>
      </c>
      <c r="AQ11" s="5">
        <v>186</v>
      </c>
      <c r="AR11" s="5">
        <v>-284</v>
      </c>
      <c r="AS11" s="5">
        <v>734</v>
      </c>
      <c r="AT11" s="5">
        <v>-202</v>
      </c>
    </row>
    <row r="12" spans="1:46" x14ac:dyDescent="0.25">
      <c r="A12" s="4" t="s">
        <v>49</v>
      </c>
      <c r="B12" s="5">
        <v>-1027</v>
      </c>
      <c r="C12" s="5">
        <v>226</v>
      </c>
      <c r="D12" s="5">
        <v>97</v>
      </c>
      <c r="E12" s="5">
        <v>315</v>
      </c>
      <c r="F12" s="5">
        <v>-852</v>
      </c>
      <c r="G12" s="5">
        <v>109</v>
      </c>
      <c r="H12" s="5">
        <v>16</v>
      </c>
      <c r="I12" s="5">
        <v>19</v>
      </c>
      <c r="J12" s="5">
        <v>360</v>
      </c>
      <c r="K12" s="5">
        <v>281</v>
      </c>
      <c r="L12" s="5">
        <v>321</v>
      </c>
      <c r="M12" s="5">
        <v>225</v>
      </c>
      <c r="N12" s="5">
        <v>-1110</v>
      </c>
      <c r="O12" s="5">
        <v>342</v>
      </c>
      <c r="P12" s="5">
        <v>350</v>
      </c>
      <c r="Q12" s="5">
        <v>256</v>
      </c>
      <c r="R12" s="5">
        <v>-1185</v>
      </c>
      <c r="S12" s="5">
        <v>206</v>
      </c>
      <c r="T12" s="5">
        <v>121</v>
      </c>
      <c r="U12" s="5">
        <v>101</v>
      </c>
      <c r="V12" s="5">
        <v>-722</v>
      </c>
      <c r="W12" s="5">
        <v>74</v>
      </c>
      <c r="X12" s="5">
        <v>101</v>
      </c>
      <c r="Y12" s="5">
        <v>3</v>
      </c>
      <c r="Z12" s="5">
        <v>191</v>
      </c>
      <c r="AA12" s="5">
        <v>427</v>
      </c>
      <c r="AB12" s="5">
        <v>316</v>
      </c>
      <c r="AC12" s="5">
        <v>173</v>
      </c>
      <c r="AD12" s="5">
        <v>-965</v>
      </c>
      <c r="AE12" s="5">
        <v>520</v>
      </c>
      <c r="AF12" s="5">
        <v>460</v>
      </c>
      <c r="AG12" s="5">
        <v>-661</v>
      </c>
      <c r="AH12" s="5">
        <v>-950</v>
      </c>
      <c r="AI12" s="5">
        <v>388</v>
      </c>
      <c r="AJ12" s="5">
        <v>1078</v>
      </c>
      <c r="AK12" s="5">
        <v>10</v>
      </c>
      <c r="AL12" s="5">
        <v>-1454</v>
      </c>
      <c r="AM12" s="5">
        <v>398</v>
      </c>
      <c r="AN12" s="5">
        <v>385</v>
      </c>
      <c r="AO12" s="5">
        <v>-839</v>
      </c>
      <c r="AP12" s="5">
        <v>-1144</v>
      </c>
      <c r="AQ12" s="5">
        <v>339</v>
      </c>
      <c r="AR12" s="5">
        <v>2454</v>
      </c>
      <c r="AS12" s="5">
        <v>-1462</v>
      </c>
      <c r="AT12" s="5">
        <v>-1123</v>
      </c>
    </row>
    <row r="13" spans="1:46" x14ac:dyDescent="0.25">
      <c r="A13" s="4" t="s">
        <v>50</v>
      </c>
      <c r="B13" s="5">
        <v>25</v>
      </c>
      <c r="C13" s="5">
        <v>73</v>
      </c>
      <c r="D13" s="5">
        <v>-134</v>
      </c>
      <c r="E13" s="5">
        <v>-465</v>
      </c>
      <c r="F13" s="5">
        <v>174</v>
      </c>
      <c r="G13" s="5">
        <v>-81</v>
      </c>
      <c r="H13" s="5">
        <v>-117</v>
      </c>
      <c r="I13" s="5">
        <v>-13</v>
      </c>
      <c r="J13" s="5">
        <v>234</v>
      </c>
      <c r="K13" s="5">
        <v>140</v>
      </c>
      <c r="L13" s="5">
        <v>-16</v>
      </c>
      <c r="M13" s="5">
        <v>-366</v>
      </c>
      <c r="N13" s="5">
        <v>-46</v>
      </c>
      <c r="O13" s="5">
        <v>-8</v>
      </c>
      <c r="P13" s="5">
        <v>113</v>
      </c>
      <c r="Q13" s="5">
        <v>-242</v>
      </c>
      <c r="R13" s="5">
        <v>105</v>
      </c>
      <c r="S13" s="5">
        <v>-91</v>
      </c>
      <c r="T13" s="5">
        <v>155</v>
      </c>
      <c r="U13" s="5">
        <v>-179</v>
      </c>
      <c r="V13" s="5">
        <v>116</v>
      </c>
      <c r="W13" s="5">
        <v>-118</v>
      </c>
      <c r="X13" s="5">
        <v>15</v>
      </c>
      <c r="Y13" s="5">
        <v>-139</v>
      </c>
      <c r="Z13" s="5">
        <v>58</v>
      </c>
      <c r="AA13" s="5">
        <v>-9</v>
      </c>
      <c r="AB13" s="5">
        <v>-10</v>
      </c>
      <c r="AC13" s="5">
        <v>-5</v>
      </c>
      <c r="AD13" s="5">
        <v>311</v>
      </c>
      <c r="AE13" s="5">
        <v>203</v>
      </c>
      <c r="AF13" s="5">
        <v>237</v>
      </c>
      <c r="AG13" s="5">
        <v>711</v>
      </c>
      <c r="AH13" s="5">
        <v>365</v>
      </c>
      <c r="AI13" s="5">
        <v>-81</v>
      </c>
      <c r="AJ13" s="5">
        <v>-156</v>
      </c>
      <c r="AK13" s="5">
        <v>-436</v>
      </c>
      <c r="AL13" s="5">
        <v>279</v>
      </c>
      <c r="AM13" s="5">
        <v>62</v>
      </c>
      <c r="AN13" s="5">
        <v>135</v>
      </c>
      <c r="AO13" s="5">
        <v>250</v>
      </c>
      <c r="AP13" s="5">
        <v>713</v>
      </c>
      <c r="AQ13" s="5">
        <v>563</v>
      </c>
      <c r="AR13" s="5">
        <v>-1414</v>
      </c>
      <c r="AS13" s="5">
        <v>2071</v>
      </c>
      <c r="AT13" s="5">
        <v>1328</v>
      </c>
    </row>
    <row r="14" spans="1:46" x14ac:dyDescent="0.25">
      <c r="A14" s="4" t="s">
        <v>70</v>
      </c>
      <c r="B14" s="5">
        <v>365</v>
      </c>
      <c r="C14" s="5">
        <v>-150</v>
      </c>
      <c r="D14" s="5">
        <v>-119</v>
      </c>
      <c r="E14" s="5">
        <v>47</v>
      </c>
      <c r="F14" s="5">
        <v>-145</v>
      </c>
      <c r="G14" s="5">
        <v>18</v>
      </c>
      <c r="H14" s="5">
        <v>-14</v>
      </c>
      <c r="I14" s="5">
        <v>365</v>
      </c>
      <c r="J14" s="5">
        <v>-261</v>
      </c>
      <c r="K14" s="5">
        <v>-19</v>
      </c>
      <c r="L14" s="5">
        <v>143</v>
      </c>
      <c r="M14" s="5">
        <v>-55</v>
      </c>
      <c r="N14" s="5">
        <v>165</v>
      </c>
      <c r="O14" s="5">
        <v>9</v>
      </c>
      <c r="P14" s="5">
        <v>220</v>
      </c>
      <c r="Q14" s="5">
        <v>-353</v>
      </c>
      <c r="R14" s="5">
        <v>-7</v>
      </c>
      <c r="S14" s="5">
        <v>-113</v>
      </c>
      <c r="T14" s="5">
        <v>139</v>
      </c>
      <c r="U14" s="5">
        <v>-112</v>
      </c>
      <c r="V14" s="5">
        <v>-50</v>
      </c>
      <c r="W14" s="5">
        <v>43</v>
      </c>
      <c r="X14" s="5">
        <v>-8</v>
      </c>
      <c r="Y14" s="5">
        <v>-186</v>
      </c>
      <c r="Z14" s="5">
        <v>56</v>
      </c>
      <c r="AA14" s="5">
        <v>-103</v>
      </c>
      <c r="AB14" s="5">
        <v>185</v>
      </c>
      <c r="AC14" s="5">
        <v>-235</v>
      </c>
      <c r="AD14" s="5">
        <v>99</v>
      </c>
      <c r="AE14" s="5">
        <v>-13</v>
      </c>
      <c r="AF14" s="5">
        <v>-86</v>
      </c>
      <c r="AG14" s="5">
        <v>-210</v>
      </c>
      <c r="AH14" s="5">
        <v>107</v>
      </c>
      <c r="AI14" s="5">
        <v>-26</v>
      </c>
      <c r="AJ14" s="5">
        <v>257</v>
      </c>
      <c r="AK14" s="5">
        <v>-223</v>
      </c>
      <c r="AL14" s="5">
        <v>60</v>
      </c>
      <c r="AM14" s="5">
        <v>-40</v>
      </c>
      <c r="AN14" s="5">
        <v>100</v>
      </c>
      <c r="AO14" s="5">
        <v>-60</v>
      </c>
      <c r="AP14" s="5">
        <v>69</v>
      </c>
      <c r="AQ14" s="5">
        <v>-159</v>
      </c>
      <c r="AR14" s="5">
        <v>-265</v>
      </c>
      <c r="AS14" s="5">
        <v>179</v>
      </c>
      <c r="AT14" s="5">
        <v>-184</v>
      </c>
    </row>
    <row r="15" spans="1:46" x14ac:dyDescent="0.25">
      <c r="A15" s="4" t="s">
        <v>71</v>
      </c>
      <c r="B15" s="5">
        <v>-186</v>
      </c>
      <c r="C15" s="5">
        <v>7</v>
      </c>
      <c r="D15" s="5">
        <v>-57</v>
      </c>
      <c r="E15" s="5">
        <v>114</v>
      </c>
      <c r="F15" s="5">
        <v>-152</v>
      </c>
      <c r="G15" s="5">
        <v>-41</v>
      </c>
      <c r="H15" s="5">
        <v>-94</v>
      </c>
      <c r="I15" s="5">
        <v>-77</v>
      </c>
      <c r="J15" s="5">
        <v>-64</v>
      </c>
      <c r="K15" s="5">
        <v>102</v>
      </c>
      <c r="L15" s="5">
        <v>-411</v>
      </c>
      <c r="M15" s="5">
        <v>-15</v>
      </c>
      <c r="N15" s="5">
        <v>7</v>
      </c>
      <c r="O15" s="5">
        <v>-64</v>
      </c>
      <c r="P15" s="5">
        <v>-1214</v>
      </c>
      <c r="Q15" s="5">
        <v>-114</v>
      </c>
      <c r="R15" s="5">
        <v>79</v>
      </c>
      <c r="S15" s="5">
        <v>-114</v>
      </c>
      <c r="T15" s="5">
        <v>-1557</v>
      </c>
      <c r="U15" s="5">
        <v>-70</v>
      </c>
      <c r="V15" s="5">
        <v>-173</v>
      </c>
      <c r="W15" s="5">
        <v>-56</v>
      </c>
      <c r="X15" s="5">
        <v>-283</v>
      </c>
      <c r="Y15" s="5">
        <v>-174</v>
      </c>
      <c r="Z15" s="5">
        <v>-116</v>
      </c>
      <c r="AA15" s="5">
        <v>-17</v>
      </c>
      <c r="AB15" s="5">
        <v>131</v>
      </c>
      <c r="AC15" s="5">
        <v>-81</v>
      </c>
      <c r="AD15" s="5">
        <v>-49</v>
      </c>
      <c r="AE15" s="5">
        <v>-273</v>
      </c>
      <c r="AF15" s="5">
        <v>-301</v>
      </c>
      <c r="AG15" s="5">
        <v>-131</v>
      </c>
      <c r="AH15" s="5">
        <v>296</v>
      </c>
      <c r="AI15" s="5">
        <v>70</v>
      </c>
      <c r="AJ15" s="5">
        <v>-28</v>
      </c>
      <c r="AK15" s="5">
        <v>101</v>
      </c>
      <c r="AL15" s="5">
        <v>267</v>
      </c>
      <c r="AM15" s="5">
        <v>-385</v>
      </c>
      <c r="AN15" s="5">
        <v>118</v>
      </c>
      <c r="AO15" s="5">
        <v>-104</v>
      </c>
      <c r="AP15" s="5">
        <v>-300</v>
      </c>
      <c r="AQ15" s="5">
        <v>-237</v>
      </c>
      <c r="AR15" s="5">
        <v>537</v>
      </c>
      <c r="AS15" s="5">
        <v>-294</v>
      </c>
      <c r="AT15" s="5">
        <v>-330</v>
      </c>
    </row>
    <row r="16" spans="1:46" x14ac:dyDescent="0.25">
      <c r="A16" s="4" t="s">
        <v>72</v>
      </c>
      <c r="B16" s="5">
        <v>1270</v>
      </c>
      <c r="C16" s="5">
        <v>2088</v>
      </c>
      <c r="D16" s="5">
        <v>1506</v>
      </c>
      <c r="E16" s="5">
        <v>1835</v>
      </c>
      <c r="F16" s="5">
        <v>490</v>
      </c>
      <c r="G16" s="5">
        <v>2314</v>
      </c>
      <c r="H16" s="5">
        <v>1171</v>
      </c>
      <c r="I16" s="5">
        <v>1664</v>
      </c>
      <c r="J16" s="5">
        <v>1542</v>
      </c>
      <c r="K16" s="5">
        <v>2382</v>
      </c>
      <c r="L16" s="5">
        <v>1241</v>
      </c>
      <c r="M16" s="5">
        <v>541</v>
      </c>
      <c r="N16" s="5">
        <v>935</v>
      </c>
      <c r="O16" s="5">
        <v>2148</v>
      </c>
      <c r="P16" s="5">
        <v>1392</v>
      </c>
      <c r="Q16" s="5">
        <v>2083</v>
      </c>
      <c r="R16" s="5">
        <v>1121</v>
      </c>
      <c r="S16" s="5">
        <v>2588</v>
      </c>
      <c r="T16" s="5">
        <v>769</v>
      </c>
      <c r="U16" s="5">
        <v>2434</v>
      </c>
      <c r="V16" s="5">
        <v>1130</v>
      </c>
      <c r="W16" s="5">
        <v>1391</v>
      </c>
      <c r="X16" s="5">
        <v>1734</v>
      </c>
      <c r="Y16" s="5">
        <v>2072</v>
      </c>
      <c r="Z16" s="5">
        <v>1928</v>
      </c>
      <c r="AA16" s="5">
        <v>2118</v>
      </c>
      <c r="AB16" s="5">
        <v>1740</v>
      </c>
      <c r="AC16" s="5">
        <v>1412</v>
      </c>
      <c r="AD16" s="5">
        <v>313</v>
      </c>
      <c r="AE16" s="5">
        <v>2233</v>
      </c>
      <c r="AF16" s="5">
        <v>2481</v>
      </c>
      <c r="AG16" s="5">
        <v>2739</v>
      </c>
      <c r="AH16" s="5">
        <v>1573</v>
      </c>
      <c r="AI16" s="5">
        <v>3249</v>
      </c>
      <c r="AJ16" s="5">
        <v>4060</v>
      </c>
      <c r="AK16" s="5">
        <v>4003</v>
      </c>
      <c r="AL16" s="5">
        <v>2052</v>
      </c>
      <c r="AM16" s="5">
        <v>3021</v>
      </c>
      <c r="AN16" s="5">
        <v>3569</v>
      </c>
      <c r="AO16" s="5">
        <v>3393</v>
      </c>
      <c r="AP16" s="5">
        <v>1289</v>
      </c>
      <c r="AQ16" s="5">
        <v>3122</v>
      </c>
      <c r="AR16" s="5">
        <v>3737</v>
      </c>
      <c r="AS16" s="5">
        <v>3591</v>
      </c>
      <c r="AT16" s="5">
        <v>1870</v>
      </c>
    </row>
    <row r="17" spans="1:46" x14ac:dyDescent="0.25">
      <c r="A17" s="4" t="s">
        <v>73</v>
      </c>
      <c r="B17" s="5">
        <v>-437</v>
      </c>
      <c r="C17" s="5">
        <v>-219</v>
      </c>
      <c r="D17" s="5">
        <v>-290</v>
      </c>
      <c r="E17" s="5">
        <v>-442</v>
      </c>
      <c r="F17" s="5">
        <v>-357</v>
      </c>
      <c r="G17" s="5">
        <v>-223</v>
      </c>
      <c r="H17" s="5">
        <v>-227</v>
      </c>
      <c r="I17" s="5">
        <v>-302</v>
      </c>
      <c r="J17" s="5">
        <v>-204</v>
      </c>
      <c r="K17" s="5">
        <v>-167</v>
      </c>
      <c r="L17" s="5">
        <v>-195</v>
      </c>
      <c r="M17" s="5">
        <v>-332</v>
      </c>
      <c r="N17" s="5">
        <v>-412</v>
      </c>
      <c r="O17" s="5">
        <v>-233</v>
      </c>
      <c r="P17" s="5">
        <v>-276</v>
      </c>
      <c r="Q17" s="5">
        <v>-355</v>
      </c>
      <c r="R17" s="5">
        <v>-278</v>
      </c>
      <c r="S17" s="5">
        <v>-201</v>
      </c>
      <c r="T17" s="5">
        <v>-244</v>
      </c>
      <c r="U17" s="5">
        <v>-333</v>
      </c>
      <c r="V17" s="5">
        <v>-305</v>
      </c>
      <c r="W17" s="5">
        <v>-167</v>
      </c>
      <c r="X17" s="5">
        <v>-214</v>
      </c>
      <c r="Y17" s="5">
        <v>-292</v>
      </c>
      <c r="Z17" s="5">
        <v>-252</v>
      </c>
      <c r="AA17" s="5">
        <v>-167</v>
      </c>
      <c r="AB17" s="5">
        <v>-254</v>
      </c>
      <c r="AC17" s="5">
        <v>-420</v>
      </c>
      <c r="AD17" s="5">
        <v>-346</v>
      </c>
      <c r="AE17" s="5">
        <v>-240</v>
      </c>
      <c r="AF17" s="5">
        <v>-282</v>
      </c>
      <c r="AG17" s="5">
        <v>-428</v>
      </c>
      <c r="AH17" s="5">
        <v>-422</v>
      </c>
      <c r="AI17" s="5">
        <v>-261</v>
      </c>
      <c r="AJ17" s="5">
        <v>-378</v>
      </c>
      <c r="AK17" s="5">
        <v>-536</v>
      </c>
      <c r="AL17" s="5">
        <v>-500</v>
      </c>
      <c r="AM17" s="5">
        <v>-341</v>
      </c>
      <c r="AN17" s="5">
        <v>-444</v>
      </c>
      <c r="AO17" s="5">
        <v>-703</v>
      </c>
      <c r="AP17" s="5">
        <v>-710</v>
      </c>
      <c r="AQ17" s="5">
        <v>-555</v>
      </c>
      <c r="AR17" s="5">
        <v>-658</v>
      </c>
      <c r="AS17" s="5">
        <v>-898</v>
      </c>
      <c r="AT17" s="5">
        <v>-728</v>
      </c>
    </row>
    <row r="18" spans="1:46" x14ac:dyDescent="0.25">
      <c r="A18" s="4" t="s">
        <v>74</v>
      </c>
      <c r="B18" s="5">
        <v>-389</v>
      </c>
      <c r="C18" s="5">
        <v>-426</v>
      </c>
      <c r="D18" s="5">
        <v>-436</v>
      </c>
      <c r="E18" s="5">
        <v>-622</v>
      </c>
      <c r="F18" s="5">
        <v>-383</v>
      </c>
      <c r="G18" s="5">
        <v>-642</v>
      </c>
      <c r="H18" s="5">
        <v>-368</v>
      </c>
      <c r="I18" s="5">
        <v>-426</v>
      </c>
      <c r="J18" s="5">
        <v>-305</v>
      </c>
      <c r="K18" s="5">
        <v>-448</v>
      </c>
      <c r="L18" s="5">
        <v>-318</v>
      </c>
      <c r="M18" s="5">
        <v>-367</v>
      </c>
      <c r="N18" s="5">
        <v>-345</v>
      </c>
      <c r="O18" s="5">
        <v>-538</v>
      </c>
      <c r="P18" s="5">
        <v>-325</v>
      </c>
      <c r="Q18" s="5">
        <v>-432</v>
      </c>
      <c r="R18" s="5">
        <v>-269</v>
      </c>
      <c r="S18" s="5">
        <v>-477</v>
      </c>
      <c r="T18" s="5">
        <v>-387</v>
      </c>
      <c r="U18" s="5">
        <v>-480</v>
      </c>
      <c r="V18" s="5">
        <v>-243</v>
      </c>
      <c r="W18" s="5">
        <v>-283</v>
      </c>
      <c r="X18" s="5">
        <v>-279</v>
      </c>
      <c r="Y18" s="5">
        <v>-332</v>
      </c>
      <c r="Z18" s="5">
        <v>-252</v>
      </c>
      <c r="AA18" s="5">
        <v>-429</v>
      </c>
      <c r="AB18" s="5">
        <v>-333</v>
      </c>
      <c r="AC18" s="5">
        <v>-365</v>
      </c>
      <c r="AD18" s="5">
        <v>-333</v>
      </c>
      <c r="AE18" s="5">
        <v>-355</v>
      </c>
      <c r="AF18" s="5">
        <v>-335</v>
      </c>
      <c r="AG18" s="5">
        <v>-280</v>
      </c>
      <c r="AH18" s="5">
        <v>-328</v>
      </c>
      <c r="AI18" s="5">
        <v>-446</v>
      </c>
      <c r="AJ18" s="5">
        <v>-403</v>
      </c>
      <c r="AK18" s="5">
        <v>-318</v>
      </c>
      <c r="AL18" s="5">
        <v>-236</v>
      </c>
      <c r="AM18" s="5">
        <v>-378</v>
      </c>
      <c r="AN18" s="5">
        <v>-279</v>
      </c>
      <c r="AO18" s="5">
        <v>-334</v>
      </c>
      <c r="AP18" s="5">
        <v>-208</v>
      </c>
      <c r="AQ18" s="5">
        <v>-400</v>
      </c>
      <c r="AR18" s="5">
        <v>-413</v>
      </c>
      <c r="AS18" s="5">
        <v>-444</v>
      </c>
      <c r="AT18" s="5">
        <v>-323</v>
      </c>
    </row>
    <row r="19" spans="1:46" x14ac:dyDescent="0.25">
      <c r="A19" s="4" t="s">
        <v>75</v>
      </c>
      <c r="B19" s="5">
        <v>167</v>
      </c>
      <c r="C19" s="5">
        <v>200</v>
      </c>
      <c r="D19" s="5">
        <v>106</v>
      </c>
      <c r="E19" s="5">
        <v>287</v>
      </c>
      <c r="F19" s="5">
        <v>173</v>
      </c>
      <c r="G19" s="5">
        <v>210</v>
      </c>
      <c r="H19" s="5">
        <v>189</v>
      </c>
      <c r="I19" s="5">
        <v>327</v>
      </c>
      <c r="J19" s="5">
        <v>234</v>
      </c>
      <c r="K19" s="5">
        <v>329</v>
      </c>
      <c r="L19" s="5">
        <v>301</v>
      </c>
      <c r="M19" s="5">
        <v>300</v>
      </c>
      <c r="N19" s="5">
        <v>258</v>
      </c>
      <c r="O19" s="5">
        <v>281</v>
      </c>
      <c r="P19" s="5">
        <v>193</v>
      </c>
      <c r="Q19" s="5">
        <v>204</v>
      </c>
      <c r="R19" s="5">
        <v>209</v>
      </c>
      <c r="S19" s="5">
        <v>213</v>
      </c>
      <c r="T19" s="5">
        <v>390</v>
      </c>
      <c r="U19" s="5">
        <v>341</v>
      </c>
      <c r="V19" s="5">
        <v>216</v>
      </c>
      <c r="W19" s="5">
        <v>166</v>
      </c>
      <c r="X19" s="5">
        <v>168</v>
      </c>
      <c r="Y19" s="5">
        <v>222</v>
      </c>
      <c r="Z19" s="5">
        <v>309</v>
      </c>
      <c r="AA19" s="5">
        <v>327</v>
      </c>
      <c r="AB19" s="5">
        <v>241</v>
      </c>
      <c r="AC19" s="5">
        <v>388</v>
      </c>
      <c r="AD19" s="5">
        <v>269</v>
      </c>
      <c r="AE19" s="5">
        <v>199</v>
      </c>
      <c r="AF19" s="5">
        <v>198</v>
      </c>
      <c r="AG19" s="5">
        <v>164</v>
      </c>
      <c r="AH19" s="5">
        <v>184</v>
      </c>
      <c r="AI19" s="5">
        <v>184</v>
      </c>
      <c r="AJ19" s="5">
        <v>195</v>
      </c>
      <c r="AK19" s="5">
        <v>218</v>
      </c>
      <c r="AL19" s="5">
        <v>155</v>
      </c>
      <c r="AM19" s="5">
        <v>187</v>
      </c>
      <c r="AN19" s="5">
        <v>199</v>
      </c>
      <c r="AO19" s="5">
        <v>181</v>
      </c>
      <c r="AP19" s="5">
        <v>149</v>
      </c>
      <c r="AQ19" s="5">
        <v>216</v>
      </c>
      <c r="AR19" s="5">
        <v>179</v>
      </c>
      <c r="AS19" s="5">
        <v>164</v>
      </c>
      <c r="AT19" s="5">
        <v>191</v>
      </c>
    </row>
    <row r="20" spans="1:46" x14ac:dyDescent="0.25">
      <c r="A20" s="4" t="s">
        <v>76</v>
      </c>
      <c r="B20" s="5">
        <v>-2122</v>
      </c>
      <c r="C20" s="5">
        <v>-2455</v>
      </c>
      <c r="D20" s="5">
        <v>-2522</v>
      </c>
      <c r="E20" s="5">
        <v>-2830</v>
      </c>
      <c r="F20" s="5">
        <v>-2014</v>
      </c>
      <c r="G20" s="5">
        <v>-2629</v>
      </c>
      <c r="H20" s="5">
        <v>-2268</v>
      </c>
      <c r="I20" s="5">
        <v>-2428</v>
      </c>
      <c r="J20" s="5">
        <v>-2122</v>
      </c>
      <c r="K20" s="5">
        <v>-3142</v>
      </c>
      <c r="L20" s="5">
        <v>-2982</v>
      </c>
      <c r="M20" s="5">
        <v>-3707</v>
      </c>
      <c r="N20" s="5">
        <v>-2621</v>
      </c>
      <c r="O20" s="5">
        <v>-3522</v>
      </c>
      <c r="P20" s="5">
        <v>-2949</v>
      </c>
      <c r="Q20" s="5">
        <v>-3091</v>
      </c>
      <c r="R20" s="5">
        <v>-2615</v>
      </c>
      <c r="S20" s="5">
        <v>-3566</v>
      </c>
      <c r="T20" s="5">
        <v>-3272</v>
      </c>
      <c r="U20" s="5">
        <v>-3324</v>
      </c>
      <c r="V20" s="5">
        <v>-2953</v>
      </c>
      <c r="W20" s="5">
        <v>-3759</v>
      </c>
      <c r="X20" s="5">
        <v>-2566</v>
      </c>
      <c r="Y20" s="5">
        <v>-3107</v>
      </c>
      <c r="Z20" s="5">
        <v>-2629</v>
      </c>
      <c r="AA20" s="5">
        <v>-3574</v>
      </c>
      <c r="AB20" s="5">
        <v>-3400</v>
      </c>
      <c r="AC20" s="5">
        <v>-3399</v>
      </c>
      <c r="AD20" s="5">
        <v>-2988</v>
      </c>
      <c r="AE20" s="5">
        <v>-3717</v>
      </c>
      <c r="AF20" s="5">
        <v>-3209</v>
      </c>
      <c r="AG20" s="5">
        <v>-3325</v>
      </c>
      <c r="AH20" s="5">
        <v>-3020</v>
      </c>
      <c r="AI20" s="5">
        <v>-3953</v>
      </c>
      <c r="AJ20" s="5">
        <v>-4109</v>
      </c>
      <c r="AK20" s="5">
        <v>-4079</v>
      </c>
      <c r="AL20" s="5">
        <v>-3256</v>
      </c>
      <c r="AM20" s="5">
        <v>-4190</v>
      </c>
      <c r="AN20" s="5">
        <v>-4011</v>
      </c>
      <c r="AO20" s="5">
        <v>-3952</v>
      </c>
      <c r="AP20" s="5">
        <v>-3209</v>
      </c>
      <c r="AQ20" s="5">
        <v>-3855</v>
      </c>
      <c r="AR20" s="5">
        <v>-3900</v>
      </c>
      <c r="AS20" s="5">
        <v>-4365</v>
      </c>
      <c r="AT20" s="5">
        <v>-3890</v>
      </c>
    </row>
    <row r="21" spans="1:46" x14ac:dyDescent="0.25">
      <c r="A21" s="4" t="s">
        <v>77</v>
      </c>
      <c r="B21" s="5">
        <v>2241</v>
      </c>
      <c r="C21" s="5">
        <v>2236</v>
      </c>
      <c r="D21" s="5">
        <v>2372</v>
      </c>
      <c r="E21" s="5">
        <v>2398</v>
      </c>
      <c r="F21" s="5">
        <v>2047</v>
      </c>
      <c r="G21" s="5">
        <v>2419</v>
      </c>
      <c r="H21" s="5">
        <v>2502</v>
      </c>
      <c r="I21" s="5">
        <v>2401</v>
      </c>
      <c r="J21" s="5">
        <v>2272</v>
      </c>
      <c r="K21" s="5">
        <v>3236</v>
      </c>
      <c r="L21" s="5">
        <v>3024</v>
      </c>
      <c r="M21" s="5">
        <v>3486</v>
      </c>
      <c r="N21" s="5">
        <v>2671</v>
      </c>
      <c r="O21" s="5">
        <v>2734</v>
      </c>
      <c r="P21" s="5">
        <v>2627</v>
      </c>
      <c r="Q21" s="5">
        <v>2869</v>
      </c>
      <c r="R21" s="5">
        <v>2818</v>
      </c>
      <c r="S21" s="5">
        <v>3084</v>
      </c>
      <c r="T21" s="5">
        <v>3242</v>
      </c>
      <c r="U21" s="5">
        <v>3039</v>
      </c>
      <c r="V21" s="5">
        <v>3153</v>
      </c>
      <c r="W21" s="5">
        <v>3648</v>
      </c>
      <c r="X21" s="5">
        <v>2855</v>
      </c>
      <c r="Y21" s="5">
        <v>2990</v>
      </c>
      <c r="Z21" s="5">
        <v>2770</v>
      </c>
      <c r="AA21" s="5">
        <v>2810</v>
      </c>
      <c r="AB21" s="5">
        <v>3641</v>
      </c>
      <c r="AC21" s="5">
        <v>3209</v>
      </c>
      <c r="AD21" s="5">
        <v>2966</v>
      </c>
      <c r="AE21" s="5">
        <v>3553</v>
      </c>
      <c r="AF21" s="5">
        <v>3219</v>
      </c>
      <c r="AG21" s="5">
        <v>3439</v>
      </c>
      <c r="AH21" s="5">
        <v>3169</v>
      </c>
      <c r="AI21" s="5">
        <v>3590</v>
      </c>
      <c r="AJ21" s="5">
        <v>3632</v>
      </c>
      <c r="AK21" s="5">
        <v>3643</v>
      </c>
      <c r="AL21" s="5">
        <v>3140</v>
      </c>
      <c r="AM21" s="5">
        <v>3603</v>
      </c>
      <c r="AN21" s="5">
        <v>3491</v>
      </c>
      <c r="AO21" s="5">
        <v>3374</v>
      </c>
      <c r="AP21" s="5">
        <v>3049</v>
      </c>
      <c r="AQ21" s="5">
        <v>3350</v>
      </c>
      <c r="AR21" s="5">
        <v>3491</v>
      </c>
      <c r="AS21" s="5">
        <v>3625</v>
      </c>
      <c r="AT21" s="5">
        <v>3876</v>
      </c>
    </row>
    <row r="22" spans="1:46" x14ac:dyDescent="0.25">
      <c r="A22" s="4" t="s">
        <v>78</v>
      </c>
      <c r="B22" s="5">
        <v>43</v>
      </c>
      <c r="C22" s="5">
        <v>31</v>
      </c>
      <c r="D22" s="5">
        <v>27</v>
      </c>
      <c r="E22" s="5">
        <v>35</v>
      </c>
      <c r="F22" s="5">
        <v>10</v>
      </c>
      <c r="G22" s="5">
        <v>32</v>
      </c>
      <c r="H22" s="5">
        <v>13</v>
      </c>
      <c r="I22" s="5">
        <v>72</v>
      </c>
      <c r="J22" s="5">
        <v>17</v>
      </c>
      <c r="K22" s="5">
        <v>66</v>
      </c>
      <c r="L22" s="5">
        <v>15</v>
      </c>
      <c r="M22" s="5">
        <v>29</v>
      </c>
      <c r="N22" s="5">
        <v>69</v>
      </c>
      <c r="O22" s="5">
        <v>55</v>
      </c>
      <c r="P22" s="5">
        <v>292</v>
      </c>
      <c r="Q22" s="5">
        <v>61</v>
      </c>
      <c r="R22" s="5">
        <v>44</v>
      </c>
      <c r="S22" s="5">
        <v>75</v>
      </c>
      <c r="T22" s="5">
        <v>64</v>
      </c>
      <c r="U22" s="5">
        <v>52</v>
      </c>
      <c r="V22" s="5">
        <v>31</v>
      </c>
      <c r="W22" s="5">
        <v>0</v>
      </c>
      <c r="X22" s="5">
        <v>6</v>
      </c>
      <c r="Y22" s="5">
        <v>5</v>
      </c>
      <c r="Z22" s="5">
        <v>5</v>
      </c>
      <c r="AA22" s="5">
        <v>22</v>
      </c>
      <c r="AB22" s="5">
        <v>17</v>
      </c>
      <c r="AC22" s="5">
        <v>7</v>
      </c>
      <c r="AD22" s="5">
        <v>9</v>
      </c>
      <c r="AE22" s="5">
        <v>12</v>
      </c>
      <c r="AF22" s="5">
        <v>29</v>
      </c>
      <c r="AG22" s="5">
        <v>7</v>
      </c>
      <c r="AH22" s="5">
        <v>24</v>
      </c>
      <c r="AI22" s="5">
        <v>5</v>
      </c>
      <c r="AJ22" s="5">
        <v>11</v>
      </c>
      <c r="AK22" s="5">
        <v>23</v>
      </c>
      <c r="AL22" s="5">
        <v>13</v>
      </c>
      <c r="AM22" s="5">
        <v>24</v>
      </c>
      <c r="AN22" s="5">
        <v>32</v>
      </c>
      <c r="AO22" s="5">
        <v>14</v>
      </c>
      <c r="AP22" s="5">
        <v>7</v>
      </c>
      <c r="AQ22" s="5">
        <v>11</v>
      </c>
      <c r="AR22" s="5">
        <v>8</v>
      </c>
      <c r="AS22" s="5">
        <v>45</v>
      </c>
      <c r="AT22" s="5">
        <v>13</v>
      </c>
    </row>
    <row r="23" spans="1:46" x14ac:dyDescent="0.25">
      <c r="A23" s="4" t="s">
        <v>79</v>
      </c>
      <c r="B23" s="5">
        <v>-29</v>
      </c>
      <c r="C23" s="5">
        <v>-34</v>
      </c>
      <c r="D23" s="5">
        <v>-77</v>
      </c>
      <c r="E23" s="5">
        <v>-260</v>
      </c>
      <c r="F23" s="5">
        <v>-12</v>
      </c>
      <c r="G23" s="5">
        <v>-26</v>
      </c>
      <c r="H23" s="5">
        <v>-34</v>
      </c>
      <c r="I23" s="5">
        <v>-119</v>
      </c>
      <c r="J23" s="5">
        <v>-18</v>
      </c>
      <c r="K23" s="5">
        <v>-3</v>
      </c>
      <c r="L23" s="5">
        <v>-26</v>
      </c>
      <c r="M23" s="5">
        <v>-12</v>
      </c>
      <c r="N23" s="5">
        <v>-340</v>
      </c>
      <c r="O23" s="5">
        <v>-8</v>
      </c>
      <c r="P23" s="5">
        <v>-9</v>
      </c>
      <c r="Q23" s="5">
        <v>-35</v>
      </c>
      <c r="R23" s="5">
        <v>-2</v>
      </c>
      <c r="S23" s="5">
        <v>-1</v>
      </c>
      <c r="T23" s="5">
        <v>-3</v>
      </c>
      <c r="U23" s="5">
        <v>-41</v>
      </c>
      <c r="V23" s="5">
        <v>-35</v>
      </c>
      <c r="W23" s="5">
        <v>-14</v>
      </c>
      <c r="X23" s="5">
        <v>-44</v>
      </c>
      <c r="Y23" s="5">
        <v>-18</v>
      </c>
      <c r="Z23" s="5">
        <v>-386</v>
      </c>
      <c r="AA23" s="5">
        <v>-12</v>
      </c>
      <c r="AB23" s="5">
        <v>-51</v>
      </c>
      <c r="AC23" s="5">
        <v>-41</v>
      </c>
      <c r="AD23" s="5">
        <v>-8</v>
      </c>
      <c r="AE23" s="5">
        <v>-28</v>
      </c>
      <c r="AF23" s="5">
        <v>-8</v>
      </c>
      <c r="AG23" s="5">
        <v>-44</v>
      </c>
      <c r="AH23" s="5">
        <v>-5</v>
      </c>
      <c r="AI23" s="5">
        <v>-15</v>
      </c>
      <c r="AJ23" s="5">
        <v>-47</v>
      </c>
      <c r="AK23" s="5">
        <v>-8</v>
      </c>
      <c r="AM23" s="5">
        <v>-32</v>
      </c>
      <c r="AN23" s="5">
        <v>0</v>
      </c>
      <c r="AO23" s="5">
        <v>-2</v>
      </c>
      <c r="AP23" s="5">
        <v>-2</v>
      </c>
      <c r="AQ23" s="5">
        <v>-19</v>
      </c>
      <c r="AR23" s="5">
        <v>-5</v>
      </c>
      <c r="AS23" s="5">
        <v>-21</v>
      </c>
      <c r="AT23" s="5">
        <v>-788</v>
      </c>
    </row>
    <row r="24" spans="1:46" x14ac:dyDescent="0.25">
      <c r="A24" s="4" t="s">
        <v>80</v>
      </c>
      <c r="B24" s="5">
        <v>167</v>
      </c>
      <c r="C24" s="5">
        <v>1</v>
      </c>
      <c r="D24" s="5">
        <v>6</v>
      </c>
      <c r="E24" s="5">
        <v>4</v>
      </c>
      <c r="K24" s="5">
        <v>91</v>
      </c>
      <c r="L24" s="5">
        <v>2</v>
      </c>
      <c r="M24" s="5">
        <v>7</v>
      </c>
      <c r="N24" s="5">
        <v>12</v>
      </c>
      <c r="O24" s="5">
        <v>0</v>
      </c>
      <c r="P24" s="5">
        <v>2</v>
      </c>
      <c r="Q24" s="5">
        <v>2</v>
      </c>
      <c r="T24" s="5">
        <v>3</v>
      </c>
      <c r="U24" s="5">
        <v>38</v>
      </c>
      <c r="W24" s="5">
        <v>13</v>
      </c>
      <c r="X24" s="5">
        <v>0</v>
      </c>
      <c r="Y24" s="5">
        <v>12</v>
      </c>
      <c r="Z24" s="5">
        <v>28</v>
      </c>
      <c r="AA24" s="5">
        <v>0</v>
      </c>
      <c r="AB24" s="5">
        <v>-5</v>
      </c>
      <c r="AC24" s="5">
        <v>13</v>
      </c>
      <c r="AE24" s="5">
        <v>1</v>
      </c>
      <c r="AF24" s="5">
        <v>0</v>
      </c>
      <c r="AG24" s="5">
        <v>0</v>
      </c>
      <c r="AH24" s="5">
        <v>-14</v>
      </c>
      <c r="AI24" s="5">
        <v>0</v>
      </c>
      <c r="AJ24" s="5">
        <v>0</v>
      </c>
      <c r="AK24" s="5">
        <v>15</v>
      </c>
      <c r="AL24" s="5">
        <v>42</v>
      </c>
      <c r="AM24" s="5">
        <v>-103</v>
      </c>
      <c r="AN24" s="5">
        <v>-6</v>
      </c>
      <c r="AO24" s="5">
        <v>6</v>
      </c>
      <c r="AP24" s="5">
        <v>12</v>
      </c>
      <c r="AQ24" s="5">
        <v>0</v>
      </c>
      <c r="AR24" s="5">
        <v>0</v>
      </c>
      <c r="AS24" s="5">
        <v>10</v>
      </c>
    </row>
    <row r="25" spans="1:46" x14ac:dyDescent="0.25">
      <c r="A25" s="4" t="s">
        <v>81</v>
      </c>
      <c r="B25" s="5">
        <v>83</v>
      </c>
      <c r="C25" s="5">
        <v>45</v>
      </c>
      <c r="D25" s="5">
        <v>110</v>
      </c>
      <c r="E25" s="5">
        <v>113</v>
      </c>
      <c r="F25" s="5">
        <v>49</v>
      </c>
      <c r="G25" s="5">
        <v>146</v>
      </c>
      <c r="H25" s="5">
        <v>109</v>
      </c>
      <c r="I25" s="5">
        <v>390</v>
      </c>
      <c r="J25" s="5">
        <v>89</v>
      </c>
      <c r="K25" s="5">
        <v>98</v>
      </c>
      <c r="L25" s="5">
        <v>244</v>
      </c>
      <c r="M25" s="5">
        <v>501</v>
      </c>
      <c r="N25" s="5">
        <v>89</v>
      </c>
      <c r="O25" s="5">
        <v>79</v>
      </c>
      <c r="P25" s="5">
        <v>195</v>
      </c>
      <c r="Q25" s="5">
        <v>79</v>
      </c>
      <c r="R25" s="5">
        <v>57</v>
      </c>
      <c r="S25" s="5">
        <v>113</v>
      </c>
      <c r="T25" s="5">
        <v>111</v>
      </c>
      <c r="U25" s="5">
        <v>248</v>
      </c>
      <c r="V25" s="5">
        <v>68</v>
      </c>
      <c r="W25" s="5">
        <v>83</v>
      </c>
      <c r="X25" s="5">
        <v>88</v>
      </c>
      <c r="Y25" s="5">
        <v>106</v>
      </c>
      <c r="Z25" s="5">
        <v>126</v>
      </c>
      <c r="AA25" s="5">
        <v>150</v>
      </c>
      <c r="AB25" s="5">
        <v>148</v>
      </c>
      <c r="AC25" s="5">
        <v>-424</v>
      </c>
      <c r="AD25" s="5">
        <v>571</v>
      </c>
      <c r="AE25" s="5">
        <v>633</v>
      </c>
      <c r="AF25" s="5">
        <v>876</v>
      </c>
      <c r="AG25" s="5">
        <v>303</v>
      </c>
      <c r="AH25" s="5">
        <v>239</v>
      </c>
      <c r="AI25" s="5">
        <v>224</v>
      </c>
      <c r="AJ25" s="5">
        <v>284</v>
      </c>
      <c r="AK25" s="5">
        <v>1144</v>
      </c>
      <c r="AL25" s="5">
        <v>1867</v>
      </c>
      <c r="AM25" s="5">
        <v>707</v>
      </c>
      <c r="AN25" s="5">
        <v>267</v>
      </c>
      <c r="AO25" s="5">
        <v>314</v>
      </c>
      <c r="AP25" s="5">
        <v>923</v>
      </c>
      <c r="AQ25" s="5">
        <v>405</v>
      </c>
      <c r="AR25" s="5">
        <v>617</v>
      </c>
      <c r="AS25" s="5">
        <v>549</v>
      </c>
      <c r="AT25" s="5">
        <v>361</v>
      </c>
    </row>
    <row r="26" spans="1:46" x14ac:dyDescent="0.25">
      <c r="A26" s="4" t="s">
        <v>82</v>
      </c>
      <c r="B26" s="5">
        <v>-70</v>
      </c>
      <c r="C26" s="5">
        <v>-49</v>
      </c>
      <c r="D26" s="5">
        <v>-177</v>
      </c>
      <c r="E26" s="5">
        <v>-189</v>
      </c>
      <c r="F26" s="5">
        <v>-62</v>
      </c>
      <c r="G26" s="5">
        <v>-181</v>
      </c>
      <c r="H26" s="5">
        <v>-96</v>
      </c>
      <c r="I26" s="5">
        <v>-52</v>
      </c>
      <c r="J26" s="5">
        <v>-65</v>
      </c>
      <c r="K26" s="5">
        <v>-142</v>
      </c>
      <c r="L26" s="5">
        <v>-387</v>
      </c>
      <c r="M26" s="5">
        <v>-454</v>
      </c>
      <c r="N26" s="5">
        <v>-197</v>
      </c>
      <c r="O26" s="5">
        <v>-121</v>
      </c>
      <c r="P26" s="5">
        <v>-99</v>
      </c>
      <c r="Q26" s="5">
        <v>-89</v>
      </c>
      <c r="R26" s="5">
        <v>-107</v>
      </c>
      <c r="S26" s="5">
        <v>-136</v>
      </c>
      <c r="T26" s="5">
        <v>-182</v>
      </c>
      <c r="U26" s="5">
        <v>-127</v>
      </c>
      <c r="V26" s="5">
        <v>-180</v>
      </c>
      <c r="W26" s="5">
        <v>-189</v>
      </c>
      <c r="X26" s="5">
        <v>-143</v>
      </c>
      <c r="Y26" s="5">
        <v>-126</v>
      </c>
      <c r="Z26" s="5">
        <v>-148</v>
      </c>
      <c r="AA26" s="5">
        <v>-352</v>
      </c>
      <c r="AB26" s="5">
        <v>-434</v>
      </c>
      <c r="AC26" s="5">
        <v>-832</v>
      </c>
      <c r="AD26" s="5">
        <v>-1438</v>
      </c>
      <c r="AE26" s="5">
        <v>-680</v>
      </c>
      <c r="AF26" s="5">
        <v>-281</v>
      </c>
      <c r="AG26" s="5">
        <v>-678</v>
      </c>
      <c r="AH26" s="5">
        <v>-536</v>
      </c>
      <c r="AI26" s="5">
        <v>-542</v>
      </c>
      <c r="AJ26" s="5">
        <v>-2611</v>
      </c>
      <c r="AK26" s="5">
        <v>-716</v>
      </c>
      <c r="AL26" s="5">
        <v>-275</v>
      </c>
      <c r="AM26" s="5">
        <v>-248</v>
      </c>
      <c r="AN26" s="5">
        <v>-369</v>
      </c>
      <c r="AO26" s="5">
        <v>-603</v>
      </c>
      <c r="AP26" s="5">
        <v>-177</v>
      </c>
      <c r="AQ26" s="5">
        <v>-441</v>
      </c>
      <c r="AR26" s="5">
        <v>-673</v>
      </c>
      <c r="AS26" s="5">
        <v>-639</v>
      </c>
      <c r="AT26" s="5">
        <v>-467</v>
      </c>
    </row>
    <row r="27" spans="1:46" x14ac:dyDescent="0.25">
      <c r="A27" s="4" t="s">
        <v>83</v>
      </c>
      <c r="B27" s="5">
        <v>-38</v>
      </c>
      <c r="C27" s="5">
        <v>-37</v>
      </c>
      <c r="D27" s="5">
        <v>-1</v>
      </c>
      <c r="E27" s="5">
        <v>-38</v>
      </c>
      <c r="F27" s="5">
        <v>-23</v>
      </c>
      <c r="G27" s="5">
        <v>9</v>
      </c>
      <c r="H27" s="5">
        <v>14</v>
      </c>
      <c r="I27" s="5">
        <v>-20</v>
      </c>
      <c r="J27" s="5">
        <v>9</v>
      </c>
      <c r="K27" s="5">
        <v>16</v>
      </c>
      <c r="L27" s="5">
        <v>48</v>
      </c>
      <c r="M27" s="5">
        <v>16</v>
      </c>
      <c r="N27" s="5">
        <v>16</v>
      </c>
      <c r="O27" s="5">
        <v>5</v>
      </c>
      <c r="P27" s="5">
        <v>3</v>
      </c>
      <c r="Q27" s="5">
        <v>-11</v>
      </c>
      <c r="R27" s="5">
        <v>-38</v>
      </c>
      <c r="S27" s="5">
        <v>-2</v>
      </c>
      <c r="T27" s="5">
        <v>3</v>
      </c>
      <c r="U27" s="5">
        <v>13</v>
      </c>
      <c r="V27" s="5">
        <v>35</v>
      </c>
      <c r="W27" s="5">
        <v>-28</v>
      </c>
      <c r="X27" s="5">
        <v>-87</v>
      </c>
      <c r="Y27" s="5">
        <v>14</v>
      </c>
      <c r="Z27" s="5">
        <v>-48</v>
      </c>
      <c r="AA27" s="5">
        <v>-15</v>
      </c>
      <c r="AB27" s="5">
        <v>55</v>
      </c>
      <c r="AC27" s="5">
        <v>87</v>
      </c>
      <c r="AD27" s="5">
        <v>-15</v>
      </c>
      <c r="AE27" s="5">
        <v>47</v>
      </c>
      <c r="AF27" s="5">
        <v>-17</v>
      </c>
      <c r="AG27" s="5">
        <v>-1</v>
      </c>
      <c r="AH27" s="5">
        <v>26</v>
      </c>
      <c r="AI27" s="5">
        <v>15</v>
      </c>
      <c r="AJ27" s="5">
        <v>-9</v>
      </c>
      <c r="AK27" s="5">
        <v>65</v>
      </c>
      <c r="AL27" s="5">
        <v>8</v>
      </c>
      <c r="AM27" s="5">
        <v>49</v>
      </c>
      <c r="AN27" s="5">
        <v>80</v>
      </c>
      <c r="AO27" s="5">
        <v>56</v>
      </c>
      <c r="AP27" s="5">
        <v>-9</v>
      </c>
      <c r="AQ27" s="5">
        <v>-44</v>
      </c>
      <c r="AR27" s="5">
        <v>34</v>
      </c>
      <c r="AS27" s="5">
        <v>94</v>
      </c>
      <c r="AT27" s="5">
        <v>-20</v>
      </c>
    </row>
    <row r="28" spans="1:46" x14ac:dyDescent="0.25">
      <c r="A28" s="4" t="s">
        <v>84</v>
      </c>
      <c r="B28" s="5">
        <v>-384</v>
      </c>
      <c r="C28" s="5">
        <v>-707</v>
      </c>
      <c r="D28" s="5">
        <v>-882</v>
      </c>
      <c r="E28" s="5">
        <v>-1544</v>
      </c>
      <c r="F28" s="5">
        <v>-572</v>
      </c>
      <c r="G28" s="5">
        <v>-885</v>
      </c>
      <c r="H28" s="5">
        <v>-161</v>
      </c>
      <c r="I28" s="5">
        <v>-162</v>
      </c>
      <c r="J28" s="5">
        <v>-93</v>
      </c>
      <c r="K28" s="5">
        <v>-66</v>
      </c>
      <c r="L28" s="5">
        <v>-274</v>
      </c>
      <c r="M28" s="5">
        <v>-533</v>
      </c>
      <c r="N28" s="5">
        <v>-800</v>
      </c>
      <c r="O28" s="5">
        <v>-1268</v>
      </c>
      <c r="P28" s="5">
        <v>-346</v>
      </c>
      <c r="Q28" s="5">
        <v>-798</v>
      </c>
      <c r="R28" s="5">
        <v>-181</v>
      </c>
      <c r="S28" s="5">
        <v>-898</v>
      </c>
      <c r="T28" s="5">
        <v>-275</v>
      </c>
      <c r="U28" s="5">
        <v>-574</v>
      </c>
      <c r="V28" s="5">
        <v>-213</v>
      </c>
      <c r="W28" s="5">
        <v>-530</v>
      </c>
      <c r="X28" s="5">
        <v>-216</v>
      </c>
      <c r="Y28" s="5">
        <v>-526</v>
      </c>
      <c r="Z28" s="5">
        <v>-477</v>
      </c>
      <c r="AA28" s="5">
        <v>-1240</v>
      </c>
      <c r="AB28" s="5">
        <v>-375</v>
      </c>
      <c r="AC28" s="5">
        <v>-992</v>
      </c>
      <c r="AD28" s="5">
        <v>-1313</v>
      </c>
      <c r="AE28" s="5">
        <v>-575</v>
      </c>
      <c r="AF28" s="5">
        <v>190</v>
      </c>
      <c r="AG28" s="5">
        <v>-843</v>
      </c>
      <c r="AH28" s="5">
        <v>-683</v>
      </c>
      <c r="AI28" s="5">
        <v>-1199</v>
      </c>
      <c r="AJ28" s="5">
        <v>-3435</v>
      </c>
      <c r="AK28" s="5">
        <v>-554</v>
      </c>
      <c r="AL28" s="5">
        <v>958</v>
      </c>
      <c r="AM28" s="5">
        <v>-722</v>
      </c>
      <c r="AN28" s="5">
        <v>-1040</v>
      </c>
      <c r="AO28" s="5">
        <v>-1649</v>
      </c>
      <c r="AP28" s="5">
        <v>-175</v>
      </c>
      <c r="AQ28" s="5">
        <v>-1332</v>
      </c>
      <c r="AR28" s="5">
        <v>-1320</v>
      </c>
      <c r="AS28" s="5">
        <v>-1880</v>
      </c>
      <c r="AT28" s="5">
        <v>-1775</v>
      </c>
    </row>
    <row r="29" spans="1:46" x14ac:dyDescent="0.25">
      <c r="A29" s="4" t="s">
        <v>85</v>
      </c>
      <c r="B29" s="5">
        <v>-424</v>
      </c>
      <c r="C29" s="5">
        <v>-422</v>
      </c>
      <c r="D29" s="5">
        <v>-463</v>
      </c>
      <c r="E29" s="5">
        <v>-448</v>
      </c>
      <c r="F29" s="5">
        <v>-448</v>
      </c>
      <c r="G29" s="5">
        <v>-450</v>
      </c>
      <c r="H29" s="5">
        <v>-450</v>
      </c>
      <c r="I29" s="5">
        <v>-451</v>
      </c>
      <c r="J29" s="5">
        <v>-452</v>
      </c>
      <c r="K29" s="5">
        <v>-454</v>
      </c>
      <c r="L29" s="5">
        <v>-461</v>
      </c>
      <c r="M29" s="5">
        <v>-464</v>
      </c>
      <c r="N29" s="5">
        <v>-467</v>
      </c>
      <c r="O29" s="5">
        <v>-466</v>
      </c>
      <c r="P29" s="5">
        <v>-511</v>
      </c>
      <c r="Q29" s="5">
        <v>-507</v>
      </c>
      <c r="R29" s="5">
        <v>-494</v>
      </c>
      <c r="S29" s="5">
        <v>-492</v>
      </c>
      <c r="T29" s="5">
        <v>-578</v>
      </c>
      <c r="U29" s="5">
        <v>-568</v>
      </c>
      <c r="V29" s="5">
        <v>-567</v>
      </c>
      <c r="W29" s="5">
        <v>-558</v>
      </c>
      <c r="X29" s="5">
        <v>-558</v>
      </c>
      <c r="Y29" s="5">
        <v>-560</v>
      </c>
      <c r="Z29" s="5">
        <v>-562</v>
      </c>
      <c r="AA29" s="5">
        <v>-564</v>
      </c>
      <c r="AB29" s="5">
        <v>-607</v>
      </c>
      <c r="AC29" s="5">
        <v>-599</v>
      </c>
      <c r="AD29" s="5">
        <v>-595</v>
      </c>
      <c r="AE29" s="5">
        <v>-592</v>
      </c>
      <c r="AF29" s="5">
        <v>-633</v>
      </c>
      <c r="AG29" s="5">
        <v>-620</v>
      </c>
      <c r="AH29" s="5">
        <v>-620</v>
      </c>
      <c r="AI29" s="5">
        <v>-618</v>
      </c>
      <c r="AJ29" s="5">
        <v>-663</v>
      </c>
      <c r="AK29" s="5">
        <v>-662</v>
      </c>
      <c r="AL29" s="5">
        <v>-648</v>
      </c>
      <c r="AM29" s="5">
        <v>-635</v>
      </c>
      <c r="AN29" s="5">
        <v>-683</v>
      </c>
      <c r="AO29" s="5">
        <v>-680</v>
      </c>
      <c r="AP29" s="5">
        <v>-674</v>
      </c>
      <c r="AQ29" s="5">
        <v>-662</v>
      </c>
      <c r="AR29" s="5">
        <v>-707</v>
      </c>
      <c r="AS29" s="5">
        <v>-706</v>
      </c>
      <c r="AT29" s="5">
        <v>-703</v>
      </c>
    </row>
    <row r="30" spans="1:46" x14ac:dyDescent="0.25">
      <c r="A30" s="4" t="s">
        <v>86</v>
      </c>
      <c r="B30" s="5">
        <v>-7</v>
      </c>
      <c r="C30" s="5">
        <v>0</v>
      </c>
      <c r="D30" s="5">
        <v>0</v>
      </c>
      <c r="F30" s="5">
        <v>-1</v>
      </c>
      <c r="G30" s="5">
        <v>1</v>
      </c>
      <c r="H30" s="5">
        <v>-8</v>
      </c>
    </row>
    <row r="31" spans="1:46" x14ac:dyDescent="0.25">
      <c r="A31" s="4" t="s">
        <v>87</v>
      </c>
      <c r="B31" s="5">
        <v>32</v>
      </c>
      <c r="C31" s="5">
        <v>1</v>
      </c>
      <c r="D31" s="5">
        <v>1</v>
      </c>
      <c r="E31" s="5">
        <v>-1</v>
      </c>
      <c r="F31" s="5">
        <v>-45</v>
      </c>
      <c r="G31" s="5">
        <v>-2</v>
      </c>
      <c r="H31" s="5">
        <v>-7</v>
      </c>
      <c r="I31" s="5">
        <v>31</v>
      </c>
      <c r="J31" s="5">
        <v>-19</v>
      </c>
      <c r="K31" s="5">
        <v>102</v>
      </c>
      <c r="L31" s="5">
        <v>270</v>
      </c>
      <c r="M31" s="5">
        <v>213</v>
      </c>
      <c r="N31" s="5">
        <v>149</v>
      </c>
      <c r="O31" s="5">
        <v>107</v>
      </c>
      <c r="P31" s="5">
        <v>36</v>
      </c>
      <c r="Q31" s="5">
        <v>21</v>
      </c>
      <c r="R31" s="5">
        <v>-5</v>
      </c>
      <c r="S31" s="5">
        <v>44</v>
      </c>
      <c r="T31" s="5">
        <v>20</v>
      </c>
      <c r="U31" s="5">
        <v>179</v>
      </c>
      <c r="V31" s="5">
        <v>-23</v>
      </c>
      <c r="W31" s="5">
        <v>13</v>
      </c>
      <c r="X31" s="5">
        <v>120</v>
      </c>
      <c r="Y31" s="5">
        <v>119</v>
      </c>
      <c r="Z31" s="5">
        <v>65</v>
      </c>
      <c r="AA31" s="5">
        <v>58</v>
      </c>
      <c r="AB31" s="5">
        <v>-1</v>
      </c>
      <c r="AC31" s="5">
        <v>13</v>
      </c>
      <c r="AD31" s="5">
        <v>-28</v>
      </c>
      <c r="AE31" s="5">
        <v>32</v>
      </c>
      <c r="AF31" s="5">
        <v>-2</v>
      </c>
      <c r="AG31" s="5">
        <v>49</v>
      </c>
      <c r="AH31" s="5">
        <v>-25</v>
      </c>
      <c r="AI31" s="5">
        <v>3</v>
      </c>
      <c r="AJ31" s="5">
        <v>58</v>
      </c>
      <c r="AK31" s="5">
        <v>-24</v>
      </c>
      <c r="AL31" s="5">
        <v>-8</v>
      </c>
      <c r="AM31" s="5">
        <v>16</v>
      </c>
      <c r="AN31" s="5">
        <v>7</v>
      </c>
      <c r="AO31" s="5">
        <v>5</v>
      </c>
      <c r="AP31" s="5">
        <v>-64</v>
      </c>
      <c r="AQ31" s="5">
        <v>5</v>
      </c>
      <c r="AR31" s="5">
        <v>20</v>
      </c>
      <c r="AS31" s="5">
        <v>23</v>
      </c>
      <c r="AT31" s="5">
        <v>-97</v>
      </c>
    </row>
    <row r="32" spans="1:46" x14ac:dyDescent="0.25">
      <c r="A32" s="4" t="s">
        <v>88</v>
      </c>
      <c r="B32" s="5">
        <v>-400</v>
      </c>
      <c r="C32" s="5">
        <v>-125</v>
      </c>
      <c r="D32" s="5">
        <v>-1500</v>
      </c>
      <c r="E32" s="5">
        <v>0</v>
      </c>
      <c r="N32" s="5">
        <v>-500</v>
      </c>
      <c r="O32" s="5">
        <v>-750</v>
      </c>
      <c r="P32" s="5">
        <v>-750</v>
      </c>
      <c r="Q32" s="5">
        <v>-1798</v>
      </c>
      <c r="R32" s="5">
        <v>-751</v>
      </c>
      <c r="S32" s="5">
        <v>-1354</v>
      </c>
      <c r="T32" s="5">
        <v>-1178</v>
      </c>
      <c r="U32" s="5">
        <v>-764</v>
      </c>
      <c r="V32" s="5">
        <v>-1043</v>
      </c>
      <c r="W32" s="5">
        <v>-87</v>
      </c>
      <c r="X32" s="5">
        <v>0</v>
      </c>
      <c r="Y32" s="5">
        <v>0</v>
      </c>
      <c r="AA32" s="5">
        <v>-251</v>
      </c>
      <c r="AB32" s="5">
        <v>-1371</v>
      </c>
      <c r="AC32" s="5">
        <v>-1046</v>
      </c>
      <c r="AD32" s="5">
        <v>-820</v>
      </c>
      <c r="AE32" s="5">
        <v>-1104</v>
      </c>
      <c r="AF32" s="5">
        <v>-1385</v>
      </c>
      <c r="AG32" s="5">
        <v>-921</v>
      </c>
      <c r="AH32" s="5">
        <v>-400</v>
      </c>
      <c r="AI32" s="5">
        <v>-1429</v>
      </c>
      <c r="AJ32" s="5">
        <v>-380</v>
      </c>
      <c r="AK32" s="5">
        <v>-2766</v>
      </c>
      <c r="AL32" s="5">
        <v>-4455</v>
      </c>
      <c r="AM32" s="5">
        <v>-1820</v>
      </c>
      <c r="AN32" s="5">
        <v>-782</v>
      </c>
      <c r="AO32" s="5">
        <v>-640</v>
      </c>
      <c r="AP32" s="5">
        <v>-3660</v>
      </c>
      <c r="AQ32" s="5">
        <v>-828</v>
      </c>
      <c r="AR32" s="5">
        <v>-362</v>
      </c>
      <c r="AS32" s="5">
        <v>-340</v>
      </c>
      <c r="AT32" s="5">
        <v>-5028</v>
      </c>
    </row>
    <row r="33" spans="1:46" x14ac:dyDescent="0.25">
      <c r="A33" s="4" t="s">
        <v>89</v>
      </c>
      <c r="B33" s="5">
        <v>17</v>
      </c>
      <c r="C33" s="5">
        <v>1</v>
      </c>
      <c r="D33" s="5">
        <v>2</v>
      </c>
    </row>
    <row r="34" spans="1:46" x14ac:dyDescent="0.25">
      <c r="A34" s="4" t="s">
        <v>90</v>
      </c>
      <c r="AN34" s="5">
        <v>0</v>
      </c>
      <c r="AO34" s="5">
        <v>-40</v>
      </c>
      <c r="AR34" s="5">
        <v>0</v>
      </c>
      <c r="AS34" s="5">
        <v>0</v>
      </c>
    </row>
    <row r="35" spans="1:46" x14ac:dyDescent="0.25">
      <c r="A35" s="4" t="s">
        <v>53</v>
      </c>
      <c r="B35" s="5">
        <v>2</v>
      </c>
      <c r="C35" s="5">
        <v>1</v>
      </c>
      <c r="D35" s="5">
        <v>0</v>
      </c>
      <c r="E35" s="5">
        <v>0</v>
      </c>
      <c r="F35" s="5">
        <v>1</v>
      </c>
      <c r="G35" s="5">
        <v>0</v>
      </c>
      <c r="H35" s="5">
        <v>5</v>
      </c>
      <c r="I35" s="5">
        <v>0</v>
      </c>
      <c r="J35" s="5">
        <v>360</v>
      </c>
      <c r="K35" s="5">
        <v>1</v>
      </c>
      <c r="L35" s="5">
        <v>-3945</v>
      </c>
      <c r="M35" s="5">
        <v>-1</v>
      </c>
      <c r="P35" s="5">
        <v>47</v>
      </c>
      <c r="Q35" s="5">
        <v>10</v>
      </c>
      <c r="T35" s="5">
        <v>1479</v>
      </c>
      <c r="U35" s="5">
        <v>0</v>
      </c>
      <c r="V35" s="5">
        <v>15</v>
      </c>
      <c r="W35" s="5">
        <v>1976</v>
      </c>
      <c r="X35" s="5">
        <v>0</v>
      </c>
      <c r="Y35" s="5">
        <v>0</v>
      </c>
      <c r="Z35" s="5">
        <v>494</v>
      </c>
      <c r="AA35" s="5">
        <v>0</v>
      </c>
      <c r="AB35" s="5">
        <v>0</v>
      </c>
      <c r="AC35" s="5">
        <v>0</v>
      </c>
      <c r="AD35" s="5">
        <v>2131</v>
      </c>
      <c r="AN35" s="5">
        <v>7579</v>
      </c>
      <c r="AO35" s="5">
        <v>-7579</v>
      </c>
      <c r="AR35" s="5">
        <v>0</v>
      </c>
      <c r="AS35" s="5">
        <v>0</v>
      </c>
    </row>
    <row r="36" spans="1:46" x14ac:dyDescent="0.25">
      <c r="A36" s="4" t="s">
        <v>46</v>
      </c>
      <c r="B36" s="5">
        <v>1527</v>
      </c>
      <c r="C36" s="5">
        <v>2161</v>
      </c>
      <c r="D36" s="5">
        <v>391</v>
      </c>
      <c r="E36" s="5">
        <v>1050</v>
      </c>
      <c r="F36" s="5">
        <v>1210</v>
      </c>
      <c r="G36" s="5">
        <v>1630</v>
      </c>
      <c r="H36" s="5">
        <v>1584</v>
      </c>
      <c r="I36" s="5">
        <v>685</v>
      </c>
      <c r="J36" s="5">
        <v>2355</v>
      </c>
      <c r="K36" s="5">
        <v>2152</v>
      </c>
      <c r="L36" s="5">
        <v>2465</v>
      </c>
      <c r="M36" s="5">
        <v>1730</v>
      </c>
      <c r="N36" s="5">
        <v>1541</v>
      </c>
      <c r="O36" s="5">
        <v>2766</v>
      </c>
      <c r="P36" s="5">
        <v>2719</v>
      </c>
      <c r="Q36" s="5">
        <v>1824</v>
      </c>
      <c r="R36" s="5">
        <v>2665</v>
      </c>
      <c r="S36" s="5">
        <v>2675</v>
      </c>
      <c r="T36" s="5">
        <v>2008</v>
      </c>
      <c r="U36" s="5">
        <v>1014</v>
      </c>
      <c r="V36" s="5">
        <v>2126</v>
      </c>
      <c r="W36" s="5">
        <v>2042</v>
      </c>
      <c r="X36" s="5">
        <v>3259</v>
      </c>
      <c r="Y36" s="5">
        <v>1013</v>
      </c>
      <c r="Z36" s="5">
        <v>1779</v>
      </c>
      <c r="AA36" s="5">
        <v>2633</v>
      </c>
      <c r="AB36" s="5">
        <v>2025</v>
      </c>
      <c r="AC36" s="5">
        <v>58</v>
      </c>
      <c r="AD36" s="5">
        <v>6</v>
      </c>
      <c r="AE36" s="5">
        <v>4009</v>
      </c>
      <c r="AF36" s="5">
        <v>1555</v>
      </c>
      <c r="AG36" s="5">
        <v>1104</v>
      </c>
      <c r="AH36" s="5">
        <v>1517</v>
      </c>
      <c r="AI36" s="5">
        <v>1782</v>
      </c>
      <c r="AJ36" s="5">
        <v>3061</v>
      </c>
      <c r="AK36" s="5">
        <v>1897</v>
      </c>
      <c r="AL36" s="5">
        <v>2731</v>
      </c>
      <c r="AM36" s="5">
        <v>1420</v>
      </c>
      <c r="AN36" s="5">
        <v>-4151</v>
      </c>
      <c r="AO36" s="5">
        <v>10283</v>
      </c>
      <c r="AP36" s="5">
        <v>2633</v>
      </c>
      <c r="AQ36" s="5">
        <v>1098</v>
      </c>
      <c r="AR36" s="5">
        <v>2747</v>
      </c>
      <c r="AS36" s="5">
        <v>2651</v>
      </c>
      <c r="AT36" s="5">
        <v>3908</v>
      </c>
    </row>
    <row r="37" spans="1:46" x14ac:dyDescent="0.25">
      <c r="A37" s="4" t="s">
        <v>53</v>
      </c>
      <c r="B37" s="5">
        <v>-6</v>
      </c>
      <c r="C37" s="5">
        <v>-503</v>
      </c>
      <c r="D37" s="5">
        <v>-4</v>
      </c>
      <c r="E37" s="5">
        <v>-4</v>
      </c>
      <c r="F37" s="5">
        <v>-3</v>
      </c>
      <c r="G37" s="5">
        <v>-4</v>
      </c>
      <c r="H37" s="5">
        <v>-518</v>
      </c>
      <c r="I37" s="5">
        <v>-8</v>
      </c>
      <c r="J37" s="5">
        <v>-4</v>
      </c>
      <c r="K37" s="5">
        <v>-501</v>
      </c>
      <c r="L37" s="5">
        <v>-1</v>
      </c>
      <c r="M37" s="5">
        <v>-959</v>
      </c>
      <c r="N37" s="5">
        <v>-1</v>
      </c>
      <c r="O37" s="5">
        <v>-2</v>
      </c>
      <c r="P37" s="5">
        <v>-3</v>
      </c>
      <c r="Q37" s="5">
        <v>-1</v>
      </c>
      <c r="R37" s="5">
        <v>-2</v>
      </c>
      <c r="S37" s="5">
        <v>-2</v>
      </c>
      <c r="T37" s="5">
        <v>-4</v>
      </c>
      <c r="U37" s="5">
        <v>-4</v>
      </c>
      <c r="V37" s="5">
        <v>-6</v>
      </c>
      <c r="W37" s="5">
        <v>-6</v>
      </c>
      <c r="X37" s="5">
        <v>-6</v>
      </c>
      <c r="Y37" s="5">
        <v>-8</v>
      </c>
      <c r="Z37" s="5">
        <v>-644</v>
      </c>
      <c r="AA37" s="5">
        <v>-1258</v>
      </c>
      <c r="AB37" s="5">
        <v>-8</v>
      </c>
      <c r="AC37" s="5">
        <v>-9</v>
      </c>
      <c r="AD37" s="5">
        <v>-1381</v>
      </c>
      <c r="AE37" s="5">
        <v>1368</v>
      </c>
      <c r="AF37" s="5">
        <v>-7</v>
      </c>
      <c r="AG37" s="5">
        <v>-5</v>
      </c>
      <c r="AH37" s="5">
        <v>-90</v>
      </c>
      <c r="AI37" s="5">
        <v>-5</v>
      </c>
      <c r="AJ37" s="5">
        <v>-4</v>
      </c>
      <c r="AK37" s="5">
        <v>-7</v>
      </c>
      <c r="AL37" s="5">
        <v>-6</v>
      </c>
      <c r="AM37" s="5">
        <v>-1008</v>
      </c>
      <c r="AN37" s="5">
        <v>-7</v>
      </c>
      <c r="AO37" s="5">
        <v>-11</v>
      </c>
      <c r="AP37" s="5">
        <v>-27</v>
      </c>
      <c r="AQ37" s="5">
        <v>-8</v>
      </c>
      <c r="AR37" s="5">
        <v>-8</v>
      </c>
      <c r="AS37" s="5">
        <v>-8</v>
      </c>
      <c r="AT37" s="5">
        <v>-10</v>
      </c>
    </row>
    <row r="38" spans="1:46" x14ac:dyDescent="0.25">
      <c r="A38" s="4" t="s">
        <v>46</v>
      </c>
      <c r="B38" s="5">
        <v>-2313</v>
      </c>
      <c r="C38" s="5">
        <v>-3267</v>
      </c>
      <c r="D38" s="5">
        <v>-679</v>
      </c>
      <c r="E38" s="5">
        <v>-1516</v>
      </c>
      <c r="F38" s="5">
        <v>-1703</v>
      </c>
      <c r="G38" s="5">
        <v>-1621</v>
      </c>
      <c r="H38" s="5">
        <v>-1753</v>
      </c>
      <c r="I38" s="5">
        <v>-958</v>
      </c>
      <c r="J38" s="5">
        <v>-1974</v>
      </c>
      <c r="K38" s="5">
        <v>-1749</v>
      </c>
      <c r="L38" s="5">
        <v>-1995</v>
      </c>
      <c r="M38" s="5">
        <v>-1205</v>
      </c>
      <c r="N38" s="5">
        <v>-2408</v>
      </c>
      <c r="O38" s="5">
        <v>-2025</v>
      </c>
      <c r="P38" s="5">
        <v>-1203</v>
      </c>
      <c r="Q38" s="5">
        <v>-2186</v>
      </c>
      <c r="R38" s="5">
        <v>-2565</v>
      </c>
      <c r="S38" s="5">
        <v>-2332</v>
      </c>
      <c r="T38" s="5">
        <v>-1157</v>
      </c>
      <c r="U38" s="5">
        <v>-2231</v>
      </c>
      <c r="V38" s="5">
        <v>-2460</v>
      </c>
      <c r="W38" s="5">
        <v>-2157</v>
      </c>
      <c r="X38" s="5">
        <v>-2154</v>
      </c>
      <c r="Y38" s="5">
        <v>-1440</v>
      </c>
      <c r="Z38" s="5">
        <v>-2243</v>
      </c>
      <c r="AA38" s="5">
        <v>-1821</v>
      </c>
      <c r="AB38" s="5">
        <v>-2646</v>
      </c>
      <c r="AC38" s="5">
        <v>-1167</v>
      </c>
      <c r="AD38" s="5">
        <v>-1016</v>
      </c>
      <c r="AE38" s="5">
        <v>-3217</v>
      </c>
      <c r="AF38" s="5">
        <v>-1036</v>
      </c>
      <c r="AG38" s="5">
        <v>-2434</v>
      </c>
      <c r="AH38" s="5">
        <v>-1385</v>
      </c>
      <c r="AI38" s="5">
        <v>-823</v>
      </c>
      <c r="AJ38" s="5">
        <v>-2152</v>
      </c>
      <c r="AK38" s="5">
        <v>-1852</v>
      </c>
      <c r="AL38" s="5">
        <v>-1564</v>
      </c>
      <c r="AM38" s="5">
        <v>-2639</v>
      </c>
      <c r="AN38" s="5">
        <v>-1638</v>
      </c>
      <c r="AO38" s="5">
        <v>-2443</v>
      </c>
      <c r="AP38" s="5">
        <v>-1770</v>
      </c>
      <c r="AQ38" s="5">
        <v>-2363</v>
      </c>
      <c r="AR38" s="5">
        <v>-2029</v>
      </c>
      <c r="AS38" s="5">
        <v>-1868</v>
      </c>
      <c r="AT38" s="5">
        <v>-3212</v>
      </c>
    </row>
    <row r="39" spans="1:46" x14ac:dyDescent="0.25">
      <c r="A39" s="4" t="s">
        <v>91</v>
      </c>
      <c r="B39" s="5">
        <v>950</v>
      </c>
      <c r="C39" s="5">
        <v>1022</v>
      </c>
      <c r="D39" s="5">
        <v>-50</v>
      </c>
      <c r="E39" s="5">
        <v>1100</v>
      </c>
      <c r="F39" s="5">
        <v>486</v>
      </c>
      <c r="G39" s="5">
        <v>-95</v>
      </c>
      <c r="H39" s="5">
        <v>-502</v>
      </c>
      <c r="I39" s="5">
        <v>251</v>
      </c>
      <c r="J39" s="5">
        <v>618</v>
      </c>
      <c r="K39" s="5">
        <v>-1123</v>
      </c>
      <c r="L39" s="5">
        <v>-1898</v>
      </c>
      <c r="M39" s="5">
        <v>-655</v>
      </c>
      <c r="N39" s="5">
        <v>1151</v>
      </c>
      <c r="O39" s="5">
        <v>336</v>
      </c>
      <c r="P39" s="5">
        <v>-1952</v>
      </c>
      <c r="Q39" s="5">
        <v>1227</v>
      </c>
      <c r="R39" s="5">
        <v>-522</v>
      </c>
      <c r="S39" s="5">
        <v>86</v>
      </c>
      <c r="T39" s="5">
        <v>-570</v>
      </c>
      <c r="U39" s="5">
        <v>868</v>
      </c>
      <c r="V39" s="5">
        <v>-40</v>
      </c>
      <c r="W39" s="5">
        <v>-437</v>
      </c>
      <c r="X39" s="5">
        <v>-1661</v>
      </c>
      <c r="Y39" s="5">
        <v>-666</v>
      </c>
      <c r="Z39" s="5">
        <v>1659</v>
      </c>
      <c r="AA39" s="5">
        <v>-199</v>
      </c>
      <c r="AB39" s="5">
        <v>-136</v>
      </c>
      <c r="AC39" s="5">
        <v>2164</v>
      </c>
      <c r="AD39" s="5">
        <v>-1715</v>
      </c>
      <c r="AE39" s="5">
        <v>1162</v>
      </c>
      <c r="AF39" s="5">
        <v>-758</v>
      </c>
      <c r="AG39" s="5">
        <v>1713</v>
      </c>
      <c r="AH39" s="5">
        <v>-103</v>
      </c>
      <c r="AI39" s="5">
        <v>-303</v>
      </c>
      <c r="AJ39" s="5">
        <v>-1320</v>
      </c>
      <c r="AK39" s="5">
        <v>381</v>
      </c>
      <c r="AL39" s="5">
        <v>-1050</v>
      </c>
      <c r="AM39" s="5">
        <v>1737</v>
      </c>
      <c r="AN39" s="5">
        <v>-1535</v>
      </c>
      <c r="AO39" s="5">
        <v>680</v>
      </c>
      <c r="AP39" s="5">
        <v>-934</v>
      </c>
      <c r="AQ39" s="5">
        <v>1006</v>
      </c>
      <c r="AR39" s="5">
        <v>34</v>
      </c>
      <c r="AS39" s="5">
        <v>1000</v>
      </c>
      <c r="AT39" s="5">
        <v>-808</v>
      </c>
    </row>
    <row r="40" spans="1:46" x14ac:dyDescent="0.25">
      <c r="A40" s="4" t="s">
        <v>92</v>
      </c>
      <c r="J40" s="5">
        <v>-6</v>
      </c>
      <c r="K40" s="5">
        <v>0</v>
      </c>
      <c r="L40" s="5">
        <v>-1</v>
      </c>
      <c r="M40" s="5">
        <v>-2</v>
      </c>
      <c r="N40" s="5">
        <v>-3</v>
      </c>
      <c r="O40" s="5">
        <v>-1</v>
      </c>
      <c r="P40" s="5">
        <v>-28</v>
      </c>
      <c r="Q40" s="5">
        <v>-22</v>
      </c>
      <c r="R40" s="5">
        <v>-1</v>
      </c>
      <c r="S40" s="5">
        <v>-1</v>
      </c>
      <c r="T40" s="5">
        <v>0</v>
      </c>
      <c r="U40" s="5">
        <v>-1</v>
      </c>
      <c r="V40" s="5">
        <v>-1</v>
      </c>
      <c r="W40" s="5">
        <v>0</v>
      </c>
      <c r="X40" s="5">
        <v>0</v>
      </c>
      <c r="Y40" s="5">
        <v>0</v>
      </c>
      <c r="Z40" s="5">
        <v>-2</v>
      </c>
      <c r="AA40" s="5">
        <v>0</v>
      </c>
      <c r="AB40" s="5">
        <v>-2</v>
      </c>
      <c r="AC40" s="5">
        <v>0</v>
      </c>
      <c r="AG40" s="5">
        <v>-9</v>
      </c>
    </row>
    <row r="41" spans="1:46" x14ac:dyDescent="0.25">
      <c r="A41" s="4" t="s">
        <v>93</v>
      </c>
      <c r="B41" s="5">
        <v>-622</v>
      </c>
      <c r="C41" s="5">
        <v>-1131</v>
      </c>
      <c r="D41" s="5">
        <v>-2302</v>
      </c>
      <c r="E41" s="5">
        <v>161</v>
      </c>
      <c r="F41" s="5">
        <v>-503</v>
      </c>
      <c r="G41" s="5">
        <v>-541</v>
      </c>
      <c r="H41" s="5">
        <v>-1649</v>
      </c>
      <c r="I41" s="5">
        <v>-450</v>
      </c>
      <c r="J41" s="5">
        <v>878</v>
      </c>
      <c r="K41" s="5">
        <v>-1572</v>
      </c>
      <c r="L41" s="5">
        <v>-1620</v>
      </c>
      <c r="M41" s="5">
        <v>-1343</v>
      </c>
      <c r="N41" s="5">
        <v>-538</v>
      </c>
      <c r="O41" s="5">
        <v>-35</v>
      </c>
      <c r="P41" s="5">
        <v>-1645</v>
      </c>
      <c r="Q41" s="5">
        <v>-1432</v>
      </c>
      <c r="R41" s="5">
        <v>-1675</v>
      </c>
      <c r="S41" s="5">
        <v>-1376</v>
      </c>
      <c r="T41" s="5">
        <v>20</v>
      </c>
      <c r="U41" s="5">
        <v>-1507</v>
      </c>
      <c r="V41" s="5">
        <v>-1999</v>
      </c>
      <c r="W41" s="5">
        <v>786</v>
      </c>
      <c r="X41" s="5">
        <v>-1000</v>
      </c>
      <c r="Y41" s="5">
        <v>-1542</v>
      </c>
      <c r="Z41" s="5">
        <v>546</v>
      </c>
      <c r="AA41" s="5">
        <v>-1402</v>
      </c>
      <c r="AB41" s="5">
        <v>-2746</v>
      </c>
      <c r="AC41" s="5">
        <v>-586</v>
      </c>
      <c r="AD41" s="5">
        <v>-16</v>
      </c>
      <c r="AE41" s="5">
        <v>-3875</v>
      </c>
      <c r="AF41" s="5">
        <v>-2267</v>
      </c>
      <c r="AG41" s="5">
        <v>-1123</v>
      </c>
      <c r="AH41" s="5">
        <v>-1106</v>
      </c>
      <c r="AI41" s="5">
        <v>-1393</v>
      </c>
      <c r="AJ41" s="5">
        <v>-1400</v>
      </c>
      <c r="AK41" s="5">
        <v>-3033</v>
      </c>
      <c r="AL41" s="5">
        <v>-5000</v>
      </c>
      <c r="AM41" s="5">
        <v>-2929</v>
      </c>
      <c r="AN41" s="5">
        <v>-1210</v>
      </c>
      <c r="AO41" s="5">
        <v>-426</v>
      </c>
      <c r="AP41" s="5">
        <v>-4496</v>
      </c>
      <c r="AQ41" s="5">
        <v>151</v>
      </c>
      <c r="AR41" s="5">
        <v>-305</v>
      </c>
      <c r="AS41" s="5">
        <v>751</v>
      </c>
      <c r="AT41" s="5">
        <v>-5950</v>
      </c>
    </row>
    <row r="42" spans="1:46" x14ac:dyDescent="0.25">
      <c r="A42" s="4" t="s">
        <v>94</v>
      </c>
      <c r="B42" s="5">
        <v>-42</v>
      </c>
      <c r="C42" s="5">
        <v>8</v>
      </c>
      <c r="D42" s="5">
        <v>-97</v>
      </c>
      <c r="E42" s="5">
        <v>-38</v>
      </c>
      <c r="F42" s="5">
        <v>11</v>
      </c>
      <c r="G42" s="5">
        <v>-10</v>
      </c>
      <c r="H42" s="5">
        <v>-12</v>
      </c>
      <c r="I42" s="5">
        <v>-17</v>
      </c>
      <c r="J42" s="5">
        <v>9</v>
      </c>
      <c r="K42" s="5">
        <v>4</v>
      </c>
      <c r="L42" s="5">
        <v>27</v>
      </c>
      <c r="M42" s="5">
        <v>-2</v>
      </c>
      <c r="N42" s="5">
        <v>10</v>
      </c>
      <c r="O42" s="5">
        <v>-78</v>
      </c>
      <c r="P42" s="5">
        <v>-49</v>
      </c>
      <c r="Q42" s="5">
        <v>-9</v>
      </c>
      <c r="R42" s="5">
        <v>3</v>
      </c>
      <c r="S42" s="5">
        <v>-13</v>
      </c>
      <c r="T42" s="5">
        <v>-37</v>
      </c>
      <c r="U42" s="5">
        <v>3</v>
      </c>
      <c r="V42" s="5">
        <v>-80</v>
      </c>
      <c r="W42" s="5">
        <v>14</v>
      </c>
      <c r="X42" s="5">
        <v>10</v>
      </c>
      <c r="Y42" s="5">
        <v>43</v>
      </c>
      <c r="Z42" s="5">
        <v>-12</v>
      </c>
      <c r="AA42" s="5">
        <v>15</v>
      </c>
      <c r="AB42" s="5">
        <v>-12</v>
      </c>
      <c r="AC42" s="5">
        <v>-20</v>
      </c>
      <c r="AD42" s="5">
        <v>-2731</v>
      </c>
      <c r="AE42" s="5">
        <v>2724</v>
      </c>
      <c r="AF42" s="5">
        <v>-72</v>
      </c>
      <c r="AG42" s="5">
        <v>-115</v>
      </c>
      <c r="AH42" s="5">
        <v>-1</v>
      </c>
      <c r="AI42" s="5">
        <v>-59</v>
      </c>
      <c r="AJ42" s="5">
        <v>-59</v>
      </c>
      <c r="AK42" s="5">
        <v>9</v>
      </c>
      <c r="AL42" s="5">
        <v>-30</v>
      </c>
      <c r="AM42" s="5">
        <v>13</v>
      </c>
      <c r="AN42" s="5">
        <v>-22</v>
      </c>
      <c r="AO42" s="5">
        <v>-67</v>
      </c>
      <c r="AP42" s="5">
        <v>54</v>
      </c>
      <c r="AQ42" s="5">
        <v>-61</v>
      </c>
      <c r="AR42" s="5">
        <v>-16</v>
      </c>
      <c r="AS42" s="5">
        <v>-20</v>
      </c>
      <c r="AT42" s="5">
        <v>-55</v>
      </c>
    </row>
    <row r="43" spans="1:46" x14ac:dyDescent="0.25">
      <c r="A43" s="4" t="s">
        <v>95</v>
      </c>
      <c r="B43" s="5">
        <v>222</v>
      </c>
      <c r="C43" s="5">
        <v>258</v>
      </c>
      <c r="D43" s="5">
        <v>-1775</v>
      </c>
      <c r="E43" s="5">
        <v>414</v>
      </c>
      <c r="F43" s="5">
        <v>-574</v>
      </c>
      <c r="G43" s="5">
        <v>878</v>
      </c>
      <c r="H43" s="5">
        <v>-651</v>
      </c>
      <c r="I43" s="5">
        <v>1035</v>
      </c>
      <c r="J43" s="5">
        <v>2336</v>
      </c>
      <c r="K43" s="5">
        <v>748</v>
      </c>
      <c r="L43" s="5">
        <v>-626</v>
      </c>
      <c r="M43" s="5">
        <v>-1337</v>
      </c>
      <c r="N43" s="5">
        <v>-393</v>
      </c>
      <c r="O43" s="5">
        <v>767</v>
      </c>
      <c r="P43" s="5">
        <v>-648</v>
      </c>
      <c r="Q43" s="5">
        <v>-156</v>
      </c>
      <c r="R43" s="5">
        <v>-732</v>
      </c>
      <c r="S43" s="5">
        <v>301</v>
      </c>
      <c r="T43" s="5">
        <v>477</v>
      </c>
      <c r="U43" s="5">
        <v>356</v>
      </c>
      <c r="V43" s="5">
        <v>-1162</v>
      </c>
      <c r="W43" s="5">
        <v>1661</v>
      </c>
      <c r="X43" s="5">
        <v>528</v>
      </c>
      <c r="Y43" s="5">
        <v>47</v>
      </c>
      <c r="Z43" s="5">
        <v>1985</v>
      </c>
      <c r="AA43" s="5">
        <v>-509</v>
      </c>
      <c r="AB43" s="5">
        <v>-1393</v>
      </c>
      <c r="AC43" s="5">
        <v>-186</v>
      </c>
      <c r="AD43" s="5">
        <v>9263</v>
      </c>
      <c r="AE43" s="5">
        <v>-12503</v>
      </c>
      <c r="AF43" s="5">
        <v>332</v>
      </c>
      <c r="AG43" s="5">
        <v>658</v>
      </c>
      <c r="AH43" s="5">
        <v>-217</v>
      </c>
      <c r="AI43" s="5">
        <v>598</v>
      </c>
      <c r="AJ43" s="5">
        <v>-834</v>
      </c>
      <c r="AK43" s="5">
        <v>425</v>
      </c>
      <c r="AL43" s="5">
        <v>-2020</v>
      </c>
      <c r="AM43" s="5">
        <v>-617</v>
      </c>
      <c r="AN43" s="5">
        <v>1297</v>
      </c>
      <c r="AO43" s="5">
        <v>1251</v>
      </c>
      <c r="AP43" s="5">
        <v>-3328</v>
      </c>
      <c r="AQ43" s="5">
        <v>1880</v>
      </c>
      <c r="AR43" s="5">
        <v>2096</v>
      </c>
      <c r="AS43" s="5">
        <v>2442</v>
      </c>
      <c r="AT43" s="5">
        <v>-5910</v>
      </c>
    </row>
    <row r="44" spans="1:46" x14ac:dyDescent="0.25">
      <c r="A44" s="4" t="s">
        <v>96</v>
      </c>
      <c r="B44" s="5">
        <v>7341</v>
      </c>
      <c r="C44" s="5">
        <v>7341</v>
      </c>
      <c r="D44" s="5">
        <v>6460</v>
      </c>
      <c r="E44" s="5">
        <v>6046</v>
      </c>
      <c r="F44" s="5">
        <v>6460</v>
      </c>
      <c r="G44" s="5">
        <v>6460</v>
      </c>
      <c r="H44" s="5">
        <v>7199</v>
      </c>
      <c r="I44" s="5">
        <v>6113</v>
      </c>
      <c r="J44" s="5">
        <v>7199</v>
      </c>
      <c r="K44" s="5">
        <v>7199</v>
      </c>
      <c r="L44" s="5">
        <v>8320</v>
      </c>
      <c r="M44" s="5">
        <v>9657</v>
      </c>
      <c r="N44" s="5">
        <v>8320</v>
      </c>
      <c r="O44" s="5">
        <v>8320</v>
      </c>
      <c r="P44" s="5">
        <v>7890</v>
      </c>
      <c r="Q44" s="5">
        <v>8046</v>
      </c>
      <c r="R44" s="5">
        <v>7890</v>
      </c>
      <c r="S44" s="5">
        <v>7890</v>
      </c>
      <c r="T44" s="5">
        <v>8292</v>
      </c>
      <c r="U44" s="5">
        <v>7936</v>
      </c>
      <c r="V44" s="5">
        <v>8292</v>
      </c>
      <c r="W44" s="5">
        <v>8292</v>
      </c>
      <c r="X44" s="5">
        <v>9366</v>
      </c>
      <c r="Y44" s="5">
        <v>9319</v>
      </c>
      <c r="Z44" s="5">
        <v>9366</v>
      </c>
      <c r="AA44" s="5">
        <v>9366</v>
      </c>
      <c r="AB44" s="5">
        <v>9263</v>
      </c>
      <c r="AC44" s="5">
        <v>9449</v>
      </c>
      <c r="AD44" s="5">
        <v>6532</v>
      </c>
      <c r="AE44" s="5">
        <v>9263</v>
      </c>
      <c r="AF44" s="5">
        <v>7013</v>
      </c>
      <c r="AG44" s="5">
        <v>6355</v>
      </c>
      <c r="AH44" s="5">
        <v>7013</v>
      </c>
      <c r="AI44" s="5">
        <v>7013</v>
      </c>
      <c r="AJ44" s="5">
        <v>6985</v>
      </c>
      <c r="AK44" s="5">
        <v>6560</v>
      </c>
      <c r="AL44" s="5">
        <v>6985</v>
      </c>
      <c r="AM44" s="5">
        <v>6985</v>
      </c>
      <c r="AN44" s="5">
        <v>6896</v>
      </c>
      <c r="AO44" s="5">
        <v>5645</v>
      </c>
      <c r="AP44" s="5">
        <v>6896</v>
      </c>
      <c r="AQ44" s="5">
        <v>6896</v>
      </c>
      <c r="AR44" s="5">
        <v>5448</v>
      </c>
      <c r="AS44" s="5">
        <v>7544</v>
      </c>
      <c r="AT44" s="5">
        <v>9986</v>
      </c>
    </row>
    <row r="45" spans="1:46" x14ac:dyDescent="0.25">
      <c r="A45" s="4" t="s">
        <v>97</v>
      </c>
      <c r="B45" s="5">
        <v>7563</v>
      </c>
      <c r="C45" s="5">
        <v>7821</v>
      </c>
      <c r="D45" s="5">
        <v>6046</v>
      </c>
      <c r="E45" s="5">
        <v>6511</v>
      </c>
      <c r="F45" s="5">
        <v>5886</v>
      </c>
      <c r="G45" s="5">
        <v>6764</v>
      </c>
      <c r="H45" s="5">
        <v>6113</v>
      </c>
      <c r="I45" s="5">
        <v>7199</v>
      </c>
      <c r="J45" s="5">
        <v>9535</v>
      </c>
      <c r="K45" s="5">
        <v>10283</v>
      </c>
      <c r="L45" s="5">
        <v>9657</v>
      </c>
      <c r="M45" s="5">
        <v>8320</v>
      </c>
      <c r="N45" s="5">
        <v>7927</v>
      </c>
      <c r="O45" s="5">
        <v>8694</v>
      </c>
      <c r="P45" s="5">
        <v>8046</v>
      </c>
      <c r="Q45" s="5">
        <v>7890</v>
      </c>
      <c r="R45" s="5">
        <v>7158</v>
      </c>
      <c r="S45" s="5">
        <v>7459</v>
      </c>
      <c r="T45" s="5">
        <v>7936</v>
      </c>
      <c r="U45" s="5">
        <v>8292</v>
      </c>
      <c r="V45" s="5">
        <v>7130</v>
      </c>
      <c r="W45" s="5">
        <v>8791</v>
      </c>
      <c r="X45" s="5">
        <v>9319</v>
      </c>
      <c r="Y45" s="5">
        <v>9366</v>
      </c>
      <c r="Z45" s="5">
        <v>11351</v>
      </c>
      <c r="AA45" s="5">
        <v>10842</v>
      </c>
      <c r="AB45" s="5">
        <v>9449</v>
      </c>
      <c r="AC45" s="5">
        <v>9263</v>
      </c>
      <c r="AE45" s="5">
        <v>6023</v>
      </c>
      <c r="AF45" s="5">
        <v>6355</v>
      </c>
      <c r="AG45" s="5">
        <v>7013</v>
      </c>
      <c r="AH45" s="5">
        <v>6796</v>
      </c>
      <c r="AI45" s="5">
        <v>7394</v>
      </c>
      <c r="AJ45" s="5">
        <v>6560</v>
      </c>
      <c r="AK45" s="5">
        <v>6985</v>
      </c>
      <c r="AL45" s="5">
        <v>4965</v>
      </c>
      <c r="AM45" s="5">
        <v>4348</v>
      </c>
      <c r="AN45" s="5">
        <v>5645</v>
      </c>
      <c r="AO45" s="5">
        <v>6896</v>
      </c>
      <c r="AP45" s="5">
        <v>3568</v>
      </c>
      <c r="AQ45" s="5">
        <v>5448</v>
      </c>
      <c r="AR45" s="5">
        <v>7544</v>
      </c>
      <c r="AS45" s="5">
        <v>9986</v>
      </c>
      <c r="AT45" s="5">
        <v>4076</v>
      </c>
    </row>
  </sheetData>
  <pageMargins left="0.7" right="0.7" top="0.75" bottom="0.75" header="0.3" footer="0.3"/>
  <ignoredErrors>
    <ignoredError sqref="A1:AT45" numberStoredAsText="1"/>
  </ignoredError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U35"/>
  <sheetViews>
    <sheetView topLeftCell="A9" workbookViewId="0">
      <selection activeCell="E35" sqref="E35"/>
    </sheetView>
  </sheetViews>
  <sheetFormatPr defaultRowHeight="15" x14ac:dyDescent="0.25"/>
  <cols>
    <col min="1" max="1" width="30.85546875" style="3" customWidth="1"/>
    <col min="2" max="11" width="11.85546875" style="3" customWidth="1"/>
    <col min="12" max="19" width="12.85546875" style="3" customWidth="1"/>
    <col min="20" max="20" width="11.85546875" style="3" customWidth="1"/>
    <col min="21" max="21" width="12.85546875" style="3" customWidth="1"/>
    <col min="22" max="23" width="11.85546875" style="3" customWidth="1"/>
    <col min="24" max="47" width="12.85546875" style="3" customWidth="1"/>
    <col min="48" max="16384" width="9.140625" style="3"/>
  </cols>
  <sheetData>
    <row r="1" spans="1:47" x14ac:dyDescent="0.25">
      <c r="A1" s="1" t="s">
        <v>0</v>
      </c>
      <c r="B1" s="2" t="s">
        <v>131</v>
      </c>
      <c r="C1" s="2" t="s">
        <v>132</v>
      </c>
      <c r="D1" s="2" t="s">
        <v>133</v>
      </c>
      <c r="E1" s="2" t="s">
        <v>1</v>
      </c>
      <c r="F1" s="2" t="s">
        <v>134</v>
      </c>
      <c r="G1" s="2" t="s">
        <v>135</v>
      </c>
      <c r="H1" s="2" t="s">
        <v>136</v>
      </c>
      <c r="I1" s="2" t="s">
        <v>2</v>
      </c>
      <c r="J1" s="2" t="s">
        <v>137</v>
      </c>
      <c r="K1" s="2" t="s">
        <v>138</v>
      </c>
      <c r="L1" s="2" t="s">
        <v>139</v>
      </c>
      <c r="M1" s="2" t="s">
        <v>3</v>
      </c>
      <c r="N1" s="2" t="s">
        <v>140</v>
      </c>
      <c r="O1" s="2" t="s">
        <v>141</v>
      </c>
      <c r="P1" s="2" t="s">
        <v>142</v>
      </c>
      <c r="Q1" s="2" t="s">
        <v>4</v>
      </c>
      <c r="R1" s="2" t="s">
        <v>143</v>
      </c>
      <c r="S1" s="2" t="s">
        <v>144</v>
      </c>
      <c r="T1" s="2" t="s">
        <v>145</v>
      </c>
      <c r="U1" s="2" t="s">
        <v>5</v>
      </c>
      <c r="V1" s="2" t="s">
        <v>146</v>
      </c>
      <c r="W1" s="2" t="s">
        <v>147</v>
      </c>
      <c r="X1" s="2" t="s">
        <v>148</v>
      </c>
      <c r="Y1" s="2" t="s">
        <v>6</v>
      </c>
      <c r="Z1" s="2" t="s">
        <v>149</v>
      </c>
      <c r="AA1" s="2" t="s">
        <v>150</v>
      </c>
      <c r="AB1" s="2" t="s">
        <v>151</v>
      </c>
      <c r="AC1" s="2" t="s">
        <v>7</v>
      </c>
      <c r="AD1" s="2" t="s">
        <v>152</v>
      </c>
      <c r="AE1" s="2" t="s">
        <v>153</v>
      </c>
      <c r="AF1" s="2" t="s">
        <v>154</v>
      </c>
      <c r="AG1" s="2" t="s">
        <v>8</v>
      </c>
      <c r="AH1" s="2" t="s">
        <v>155</v>
      </c>
      <c r="AI1" s="2" t="s">
        <v>156</v>
      </c>
      <c r="AJ1" s="2" t="s">
        <v>157</v>
      </c>
      <c r="AK1" s="2" t="s">
        <v>9</v>
      </c>
      <c r="AL1" s="2" t="s">
        <v>158</v>
      </c>
      <c r="AM1" s="2" t="s">
        <v>159</v>
      </c>
      <c r="AN1" s="2" t="s">
        <v>160</v>
      </c>
      <c r="AO1" s="2" t="s">
        <v>10</v>
      </c>
      <c r="AP1" s="2" t="s">
        <v>161</v>
      </c>
      <c r="AQ1" s="2" t="s">
        <v>162</v>
      </c>
      <c r="AR1" s="2" t="s">
        <v>163</v>
      </c>
      <c r="AS1" s="2" t="s">
        <v>11</v>
      </c>
      <c r="AT1" s="2" t="s">
        <v>164</v>
      </c>
      <c r="AU1" s="2" t="s">
        <v>12</v>
      </c>
    </row>
    <row r="2" spans="1:47" x14ac:dyDescent="0.25">
      <c r="A2" s="4" t="s">
        <v>98</v>
      </c>
      <c r="B2" s="5">
        <v>48309.602350000001</v>
      </c>
      <c r="C2" s="5">
        <v>51115.292297</v>
      </c>
      <c r="D2" s="5">
        <v>38054.799729999999</v>
      </c>
      <c r="E2" s="5">
        <v>39574.595644000001</v>
      </c>
      <c r="F2" s="5">
        <v>44689.313819000003</v>
      </c>
      <c r="G2" s="5">
        <v>44290.565832</v>
      </c>
      <c r="H2" s="5">
        <v>51936.893369999998</v>
      </c>
      <c r="I2" s="5">
        <v>54382.422910000001</v>
      </c>
      <c r="J2" s="5">
        <v>54644.016969999997</v>
      </c>
      <c r="K2" s="5">
        <v>63505.936227999999</v>
      </c>
      <c r="L2" s="5">
        <v>74194.167010999998</v>
      </c>
      <c r="M2" s="5">
        <v>94173.869151999999</v>
      </c>
      <c r="N2" s="5">
        <v>88128.068287999995</v>
      </c>
      <c r="O2" s="5">
        <v>80632.125390000001</v>
      </c>
      <c r="P2" s="5">
        <v>89985.372359999994</v>
      </c>
      <c r="Q2" s="5">
        <v>73134.215718000007</v>
      </c>
      <c r="R2" s="5">
        <v>77472.135746</v>
      </c>
      <c r="S2" s="5">
        <v>76675.280841</v>
      </c>
      <c r="T2" s="5">
        <v>69806.280862</v>
      </c>
      <c r="U2" s="5">
        <v>81236.199844999996</v>
      </c>
      <c r="V2" s="5">
        <v>62888.053103999999</v>
      </c>
      <c r="W2" s="5">
        <v>68500.581737999993</v>
      </c>
      <c r="X2" s="5">
        <v>81026.972909000004</v>
      </c>
      <c r="Y2" s="5">
        <v>99256.206231000004</v>
      </c>
      <c r="Z2" s="5">
        <v>127009.929701</v>
      </c>
      <c r="AA2" s="5">
        <v>119146.215363</v>
      </c>
      <c r="AB2" s="5">
        <v>103844.55895200001</v>
      </c>
      <c r="AC2" s="5">
        <v>110789.365418</v>
      </c>
      <c r="AD2" s="5">
        <v>118841.761138</v>
      </c>
      <c r="AE2" s="5">
        <v>94369.038402999999</v>
      </c>
      <c r="AF2" s="5">
        <v>84798.728724999994</v>
      </c>
      <c r="AG2" s="5">
        <v>123684.82776</v>
      </c>
      <c r="AH2" s="5">
        <v>117925.84275900001</v>
      </c>
      <c r="AI2" s="5">
        <v>123640.942624</v>
      </c>
      <c r="AJ2" s="5">
        <v>138980.13483900001</v>
      </c>
      <c r="AK2" s="5">
        <v>147650.877125</v>
      </c>
      <c r="AL2" s="5">
        <v>179284.27607600001</v>
      </c>
      <c r="AM2" s="5">
        <v>161519.56244000001</v>
      </c>
      <c r="AN2" s="5">
        <v>188833.709107</v>
      </c>
      <c r="AO2" s="5">
        <v>173592.277026</v>
      </c>
      <c r="AP2" s="5">
        <v>155349.58168199999</v>
      </c>
      <c r="AQ2" s="5">
        <v>181868.20269800001</v>
      </c>
      <c r="AR2" s="5">
        <v>223296.46423099999</v>
      </c>
      <c r="AS2" s="5">
        <v>266549.15388300002</v>
      </c>
      <c r="AT2" s="5">
        <v>326342.90743999998</v>
      </c>
      <c r="AU2" s="5">
        <v>370334.37801099999</v>
      </c>
    </row>
    <row r="3" spans="1:47" x14ac:dyDescent="0.25">
      <c r="A3" s="4" t="s">
        <v>165</v>
      </c>
      <c r="F3" s="5">
        <v>-7.4940000000000007E-2</v>
      </c>
      <c r="G3" s="5">
        <v>-0.13352</v>
      </c>
      <c r="H3" s="5">
        <v>0.36479</v>
      </c>
      <c r="I3" s="5">
        <v>0.37418000000000001</v>
      </c>
      <c r="J3" s="5">
        <v>0.22275</v>
      </c>
      <c r="K3" s="5">
        <v>0.43385000000000001</v>
      </c>
      <c r="L3" s="5">
        <v>0.42853999999999998</v>
      </c>
      <c r="M3" s="5">
        <v>0.73170000000000002</v>
      </c>
      <c r="N3" s="5">
        <v>0.61277000000000004</v>
      </c>
      <c r="O3" s="5">
        <v>0.26967999999999998</v>
      </c>
      <c r="P3" s="5">
        <v>0.21284</v>
      </c>
      <c r="Q3" s="5">
        <v>-0.22341</v>
      </c>
      <c r="R3" s="5">
        <v>-0.12091</v>
      </c>
      <c r="S3" s="5">
        <v>-4.9070000000000003E-2</v>
      </c>
      <c r="T3" s="5">
        <v>-0.22425</v>
      </c>
      <c r="U3" s="5">
        <v>0.11078</v>
      </c>
      <c r="V3" s="5">
        <v>-0.18825</v>
      </c>
      <c r="W3" s="5">
        <v>-0.10661</v>
      </c>
      <c r="X3" s="5">
        <v>0.16073999999999999</v>
      </c>
      <c r="Y3" s="5">
        <v>0.22181999999999999</v>
      </c>
      <c r="Z3" s="5">
        <v>1.01962</v>
      </c>
      <c r="AA3" s="5">
        <v>0.73934999999999995</v>
      </c>
      <c r="AB3" s="5">
        <v>0.28160000000000002</v>
      </c>
      <c r="AC3" s="5">
        <v>0.1162</v>
      </c>
      <c r="AD3" s="5">
        <v>-6.4310000000000006E-2</v>
      </c>
      <c r="AE3" s="5">
        <v>-0.20796000000000001</v>
      </c>
      <c r="AF3" s="5">
        <v>-0.18340999999999999</v>
      </c>
      <c r="AG3" s="5">
        <v>0.1164</v>
      </c>
      <c r="AH3" s="5">
        <v>-7.7099999999999998E-3</v>
      </c>
      <c r="AI3" s="5">
        <v>0.31019000000000002</v>
      </c>
      <c r="AJ3" s="5">
        <v>0.63893999999999995</v>
      </c>
      <c r="AK3" s="5">
        <v>0.19377</v>
      </c>
      <c r="AL3" s="5">
        <v>0.52031000000000005</v>
      </c>
      <c r="AM3" s="5">
        <v>0.30636000000000002</v>
      </c>
      <c r="AN3" s="5">
        <v>0.35870999999999997</v>
      </c>
      <c r="AO3" s="5">
        <v>0.17569000000000001</v>
      </c>
      <c r="AP3" s="5">
        <v>-0.13350000000000001</v>
      </c>
      <c r="AQ3" s="5">
        <v>0.12598000000000001</v>
      </c>
      <c r="AR3" s="5">
        <v>0.1825</v>
      </c>
      <c r="AS3" s="5">
        <v>0.53549000000000002</v>
      </c>
      <c r="AT3" s="5">
        <v>1.1007</v>
      </c>
      <c r="AU3" s="5">
        <v>0.81596279760293589</v>
      </c>
    </row>
    <row r="4" spans="1:47" x14ac:dyDescent="0.25">
      <c r="A4" s="4" t="s">
        <v>99</v>
      </c>
      <c r="B4" s="5">
        <v>79597.602350000001</v>
      </c>
      <c r="C4" s="5">
        <v>81683.292297000007</v>
      </c>
      <c r="D4" s="5">
        <v>69623.799729999999</v>
      </c>
      <c r="E4" s="5">
        <v>71203.595644000001</v>
      </c>
      <c r="F4" s="5">
        <v>77243.313819000003</v>
      </c>
      <c r="G4" s="5">
        <v>75920.565831999993</v>
      </c>
      <c r="H4" s="5">
        <v>83003.893370000005</v>
      </c>
      <c r="I4" s="5">
        <v>84073.422909999994</v>
      </c>
      <c r="J4" s="5">
        <v>83526.016969999997</v>
      </c>
      <c r="K4" s="5">
        <v>90535.936228000006</v>
      </c>
      <c r="L4" s="5">
        <v>100597.167011</v>
      </c>
      <c r="M4" s="5">
        <v>120859.869152</v>
      </c>
      <c r="N4" s="5">
        <v>115621.06828799999</v>
      </c>
      <c r="O4" s="5">
        <v>108210.12539</v>
      </c>
      <c r="P4" s="5">
        <v>117791.37235999999</v>
      </c>
      <c r="Q4" s="5">
        <v>101871.21571800001</v>
      </c>
      <c r="R4" s="5">
        <v>106167.135746</v>
      </c>
      <c r="S4" s="5">
        <v>105565.280841</v>
      </c>
      <c r="T4" s="5">
        <v>99847.280862</v>
      </c>
      <c r="U4" s="5">
        <v>110650.199845</v>
      </c>
      <c r="V4" s="5">
        <v>92900.053104000006</v>
      </c>
      <c r="W4" s="5">
        <v>98381.581737999993</v>
      </c>
      <c r="X4" s="5">
        <v>109882.972909</v>
      </c>
      <c r="Y4" s="5">
        <v>127114.206231</v>
      </c>
      <c r="Z4" s="5">
        <v>153891.92970099999</v>
      </c>
      <c r="AA4" s="5">
        <v>145947.215363</v>
      </c>
      <c r="AB4" s="5">
        <v>131212.55895199999</v>
      </c>
      <c r="AC4" s="5">
        <v>139356.365418</v>
      </c>
      <c r="AD4" s="5">
        <v>149931.761138</v>
      </c>
      <c r="AE4" s="5">
        <v>125349.038403</v>
      </c>
      <c r="AF4" s="5">
        <v>115008.72872499999</v>
      </c>
      <c r="AG4" s="5">
        <v>153695.82775999999</v>
      </c>
      <c r="AH4" s="5">
        <v>148195.84275899999</v>
      </c>
      <c r="AI4" s="5">
        <v>153973.94262399999</v>
      </c>
      <c r="AJ4" s="5">
        <v>169592.13483900001</v>
      </c>
      <c r="AK4" s="5">
        <v>178559.877125</v>
      </c>
      <c r="AL4" s="5">
        <v>212184.27607600001</v>
      </c>
      <c r="AM4" s="5">
        <v>194495.56244000001</v>
      </c>
      <c r="AN4" s="5">
        <v>221102.709107</v>
      </c>
      <c r="AO4" s="5">
        <v>205115.277026</v>
      </c>
      <c r="AP4" s="5">
        <v>190378.58168199999</v>
      </c>
      <c r="AQ4" s="5">
        <v>217176.20269800001</v>
      </c>
      <c r="AR4" s="5">
        <v>257293.46423099999</v>
      </c>
      <c r="AS4" s="5">
        <v>299899.15388300002</v>
      </c>
      <c r="AT4" s="5">
        <v>365335.90743999998</v>
      </c>
      <c r="AU4" s="5">
        <v>411599.72563499998</v>
      </c>
    </row>
    <row r="5" spans="1:47" x14ac:dyDescent="0.25">
      <c r="A5" s="4" t="s">
        <v>100</v>
      </c>
      <c r="B5" s="5">
        <v>80.03</v>
      </c>
      <c r="C5" s="5">
        <v>84.82</v>
      </c>
      <c r="D5" s="5">
        <v>65.36</v>
      </c>
      <c r="E5" s="5">
        <v>67.959999999999994</v>
      </c>
      <c r="F5" s="5">
        <v>76.540000000000006</v>
      </c>
      <c r="G5" s="5">
        <v>75.81</v>
      </c>
      <c r="H5" s="5">
        <v>88.77</v>
      </c>
      <c r="I5" s="5">
        <v>92.74</v>
      </c>
      <c r="J5" s="5">
        <v>92.76</v>
      </c>
      <c r="K5" s="5">
        <v>107.46</v>
      </c>
      <c r="L5" s="5">
        <v>124.71</v>
      </c>
      <c r="M5" s="5">
        <v>157.58000000000001</v>
      </c>
      <c r="N5" s="5">
        <v>147.38</v>
      </c>
      <c r="O5" s="5">
        <v>135.66999999999999</v>
      </c>
      <c r="P5" s="5">
        <v>152.49</v>
      </c>
      <c r="Q5" s="5">
        <v>127.07</v>
      </c>
      <c r="R5" s="5">
        <v>135.49</v>
      </c>
      <c r="S5" s="5">
        <v>136.29</v>
      </c>
      <c r="T5" s="5">
        <v>126.31</v>
      </c>
      <c r="U5" s="5">
        <v>147.68</v>
      </c>
      <c r="V5" s="5">
        <v>116.04</v>
      </c>
      <c r="W5" s="5">
        <v>126.5</v>
      </c>
      <c r="X5" s="5">
        <v>149.15</v>
      </c>
      <c r="Y5" s="5">
        <v>182.02</v>
      </c>
      <c r="Z5" s="5">
        <v>231.87</v>
      </c>
      <c r="AA5" s="5">
        <v>217.63</v>
      </c>
      <c r="AB5" s="5">
        <v>191.97</v>
      </c>
      <c r="AC5" s="5">
        <v>206.74</v>
      </c>
      <c r="AD5" s="5">
        <v>222.82</v>
      </c>
      <c r="AE5" s="5">
        <v>178.76</v>
      </c>
      <c r="AF5" s="5">
        <v>164.08</v>
      </c>
      <c r="AG5" s="5">
        <v>239.56</v>
      </c>
      <c r="AH5" s="5">
        <v>228.84</v>
      </c>
      <c r="AI5" s="5">
        <v>246.05</v>
      </c>
      <c r="AJ5" s="5">
        <v>273</v>
      </c>
      <c r="AK5" s="5">
        <v>295.67</v>
      </c>
      <c r="AL5" s="5">
        <v>366.43</v>
      </c>
      <c r="AM5" s="5">
        <v>333.1</v>
      </c>
      <c r="AN5" s="5">
        <v>391.12</v>
      </c>
      <c r="AO5" s="5">
        <v>362.76</v>
      </c>
      <c r="AP5" s="5">
        <v>329.8</v>
      </c>
      <c r="AQ5" s="5">
        <v>388.21</v>
      </c>
      <c r="AR5" s="5">
        <v>477.15</v>
      </c>
      <c r="AS5" s="5">
        <v>572.87</v>
      </c>
      <c r="AT5" s="5">
        <v>708.46</v>
      </c>
      <c r="AU5" s="5">
        <v>804.04</v>
      </c>
    </row>
    <row r="6" spans="1:47" x14ac:dyDescent="0.25">
      <c r="A6" s="4" t="s">
        <v>101</v>
      </c>
      <c r="E6" s="5">
        <v>16.258400000000002</v>
      </c>
      <c r="F6" s="5">
        <v>30.015699999999999</v>
      </c>
      <c r="G6" s="5">
        <v>34.935499999999998</v>
      </c>
      <c r="H6" s="5">
        <v>51.912300000000002</v>
      </c>
      <c r="K6" s="5">
        <v>716.4</v>
      </c>
      <c r="L6" s="5">
        <v>86.604200000000006</v>
      </c>
      <c r="M6" s="5">
        <v>125.063</v>
      </c>
      <c r="N6" s="5">
        <v>40.048900000000003</v>
      </c>
      <c r="O6" s="5">
        <v>26.343699999999998</v>
      </c>
      <c r="P6" s="5">
        <v>24.359400000000001</v>
      </c>
      <c r="Q6" s="5">
        <v>12.385</v>
      </c>
      <c r="R6" s="5">
        <v>12.6272</v>
      </c>
      <c r="S6" s="5">
        <v>12.6899</v>
      </c>
      <c r="T6" s="5">
        <v>12.0067</v>
      </c>
      <c r="U6" s="5">
        <v>13.750500000000001</v>
      </c>
      <c r="V6" s="5">
        <v>12.292400000000001</v>
      </c>
      <c r="W6" s="5">
        <v>16.979900000000001</v>
      </c>
      <c r="X6" s="5">
        <v>24.817</v>
      </c>
      <c r="Y6" s="5">
        <v>33.337000000000003</v>
      </c>
      <c r="Z6" s="5">
        <v>37.099200000000003</v>
      </c>
      <c r="AA6" s="5">
        <v>27.306100000000001</v>
      </c>
      <c r="AB6" s="5">
        <v>20.531600000000001</v>
      </c>
      <c r="AC6" s="5">
        <v>17.475899999999999</v>
      </c>
      <c r="AD6" s="5">
        <v>18.677299999999999</v>
      </c>
      <c r="AE6" s="5">
        <v>14.300800000000001</v>
      </c>
      <c r="AF6" s="5">
        <v>11.915800000000001</v>
      </c>
      <c r="AG6" s="5">
        <v>18.952500000000001</v>
      </c>
      <c r="AH6" s="5">
        <v>16.913499999999999</v>
      </c>
      <c r="AI6" s="5">
        <v>15.3111</v>
      </c>
      <c r="AJ6" s="5">
        <v>15.4674</v>
      </c>
      <c r="AK6" s="5">
        <v>14.6953</v>
      </c>
      <c r="AL6" s="5">
        <v>16.543099999999999</v>
      </c>
      <c r="AM6" s="5">
        <v>15.1685</v>
      </c>
      <c r="AN6" s="5">
        <v>18.1326</v>
      </c>
      <c r="AO6" s="5">
        <v>16.451699999999999</v>
      </c>
      <c r="AP6" s="5">
        <v>16.072099999999999</v>
      </c>
      <c r="AQ6" s="5">
        <v>19.746200000000002</v>
      </c>
      <c r="AR6" s="5">
        <v>24.494399999999999</v>
      </c>
      <c r="AS6" s="5">
        <v>30.4556</v>
      </c>
      <c r="AT6" s="5">
        <v>35.264299999999999</v>
      </c>
      <c r="AU6" s="5">
        <v>38.975402687152119</v>
      </c>
    </row>
    <row r="7" spans="1:47" x14ac:dyDescent="0.25">
      <c r="A7" s="4" t="s">
        <v>102</v>
      </c>
      <c r="E7" s="5">
        <v>0.84181600000000001</v>
      </c>
      <c r="F7" s="5">
        <v>1.0209999999999999</v>
      </c>
      <c r="G7" s="5">
        <v>1.0597099999999999</v>
      </c>
      <c r="H7" s="5">
        <v>1.2986500000000001</v>
      </c>
      <c r="I7" s="5">
        <v>1.41117</v>
      </c>
      <c r="J7" s="5">
        <v>1.4048</v>
      </c>
      <c r="K7" s="5">
        <v>1.59215</v>
      </c>
      <c r="L7" s="5">
        <v>1.7606599999999999</v>
      </c>
      <c r="M7" s="5">
        <v>2.0714899999999998</v>
      </c>
      <c r="N7" s="5">
        <v>1.81711</v>
      </c>
      <c r="O7" s="5">
        <v>1.5754900000000001</v>
      </c>
      <c r="P7" s="5">
        <v>1.6890400000000001</v>
      </c>
      <c r="Q7" s="5">
        <v>1.33647</v>
      </c>
      <c r="R7" s="5">
        <v>1.40021</v>
      </c>
      <c r="S7" s="5">
        <v>1.37534</v>
      </c>
      <c r="T7" s="5">
        <v>1.26925</v>
      </c>
      <c r="U7" s="5">
        <v>1.50997</v>
      </c>
      <c r="V7" s="5">
        <v>1.2338499999999999</v>
      </c>
      <c r="W7" s="5">
        <v>1.4720500000000001</v>
      </c>
      <c r="X7" s="5">
        <v>1.85599</v>
      </c>
      <c r="Y7" s="5">
        <v>2.37751</v>
      </c>
      <c r="Z7" s="5">
        <v>2.9537200000000001</v>
      </c>
      <c r="AA7" s="5">
        <v>2.5962299999999998</v>
      </c>
      <c r="AB7" s="5">
        <v>2.1451899999999999</v>
      </c>
      <c r="AC7" s="5">
        <v>2.1735799999999998</v>
      </c>
      <c r="AD7" s="5">
        <v>2.2562199999999999</v>
      </c>
      <c r="AE7" s="5">
        <v>1.74657</v>
      </c>
      <c r="AF7" s="5">
        <v>1.4974700000000001</v>
      </c>
      <c r="AG7" s="5">
        <v>2.0812900000000001</v>
      </c>
      <c r="AH7" s="5">
        <v>1.9112800000000001</v>
      </c>
      <c r="AI7" s="5">
        <v>1.90889</v>
      </c>
      <c r="AJ7" s="5">
        <v>2.0872000000000002</v>
      </c>
      <c r="AK7" s="5">
        <v>2.2017699999999998</v>
      </c>
      <c r="AL7" s="5">
        <v>2.6760000000000002</v>
      </c>
      <c r="AM7" s="5">
        <v>2.4337</v>
      </c>
      <c r="AN7" s="5">
        <v>2.8757600000000001</v>
      </c>
      <c r="AO7" s="5">
        <v>2.6785199999999998</v>
      </c>
      <c r="AP7" s="5">
        <v>2.4557699999999998</v>
      </c>
      <c r="AQ7" s="5">
        <v>2.8804400000000001</v>
      </c>
      <c r="AR7" s="5">
        <v>3.4528099999999999</v>
      </c>
      <c r="AS7" s="5">
        <v>3.9436800000000001</v>
      </c>
      <c r="AT7" s="5">
        <v>4.6122899999999998</v>
      </c>
      <c r="AU7" s="5">
        <v>5.2554600000000002</v>
      </c>
    </row>
    <row r="8" spans="1:47" x14ac:dyDescent="0.25">
      <c r="A8" s="4" t="s">
        <v>103</v>
      </c>
      <c r="B8" s="5">
        <v>2.8481100000000001</v>
      </c>
      <c r="C8" s="5">
        <v>2.9906000000000001</v>
      </c>
      <c r="D8" s="5">
        <v>2.3939900000000001</v>
      </c>
      <c r="E8" s="5">
        <v>2.6723300000000001</v>
      </c>
      <c r="F8" s="5">
        <v>2.8508100000000001</v>
      </c>
      <c r="G8" s="5">
        <v>2.9077299999999999</v>
      </c>
      <c r="H8" s="5">
        <v>3.3197100000000002</v>
      </c>
      <c r="I8" s="5">
        <v>4.13964</v>
      </c>
      <c r="J8" s="5">
        <v>4.02149</v>
      </c>
      <c r="K8" s="5">
        <v>4.53322</v>
      </c>
      <c r="L8" s="5">
        <v>4.7478199999999999</v>
      </c>
      <c r="M8" s="5">
        <v>6.8755100000000002</v>
      </c>
      <c r="N8" s="5">
        <v>5.7956099999999999</v>
      </c>
      <c r="O8" s="5">
        <v>5.4191900000000004</v>
      </c>
      <c r="P8" s="5">
        <v>5.6773100000000003</v>
      </c>
      <c r="Q8" s="5">
        <v>5.2093600000000002</v>
      </c>
      <c r="R8" s="5">
        <v>5.0186000000000002</v>
      </c>
      <c r="S8" s="5">
        <v>5.16784</v>
      </c>
      <c r="T8" s="5">
        <v>4.6686899999999998</v>
      </c>
      <c r="U8" s="5">
        <v>5.5686999999999998</v>
      </c>
      <c r="V8" s="5">
        <v>4.4296699999999998</v>
      </c>
      <c r="W8" s="5">
        <v>4.98766</v>
      </c>
      <c r="X8" s="5">
        <v>5.4202300000000001</v>
      </c>
      <c r="Y8" s="5">
        <v>6.4742199999999999</v>
      </c>
      <c r="Z8" s="5">
        <v>7.6636699999999998</v>
      </c>
      <c r="AA8" s="5">
        <v>7.0781299999999998</v>
      </c>
      <c r="AB8" s="5">
        <v>6.2313000000000001</v>
      </c>
      <c r="AC8" s="5">
        <v>6.7210200000000002</v>
      </c>
      <c r="AD8" s="5">
        <v>6.9640599999999999</v>
      </c>
      <c r="AE8" s="5">
        <v>6.0004499999999998</v>
      </c>
      <c r="AF8" s="5">
        <v>5.4389500000000002</v>
      </c>
      <c r="AG8" s="5">
        <v>7.7941200000000004</v>
      </c>
      <c r="AH8" s="5">
        <v>6.4976500000000001</v>
      </c>
      <c r="AI8" s="5">
        <v>6.7804200000000003</v>
      </c>
      <c r="AJ8" s="5">
        <v>6.7831599999999996</v>
      </c>
      <c r="AK8" s="5">
        <v>7.5741699999999996</v>
      </c>
      <c r="AL8" s="5">
        <v>10.164099999999999</v>
      </c>
      <c r="AM8" s="5">
        <v>9.4290500000000002</v>
      </c>
      <c r="AN8" s="5">
        <v>9.7352000000000007</v>
      </c>
      <c r="AO8" s="5">
        <v>8.9062800000000006</v>
      </c>
      <c r="AP8" s="5">
        <v>8.5985300000000002</v>
      </c>
      <c r="AQ8" s="5">
        <v>9.7459000000000007</v>
      </c>
      <c r="AR8" s="5">
        <v>10.809200000000001</v>
      </c>
      <c r="AS8" s="5">
        <v>12.503500000000001</v>
      </c>
      <c r="AT8" s="5">
        <v>17.488</v>
      </c>
      <c r="AU8" s="5">
        <v>19.320789999999999</v>
      </c>
    </row>
    <row r="9" spans="1:47" x14ac:dyDescent="0.25">
      <c r="A9" s="4" t="s">
        <v>104</v>
      </c>
      <c r="B9" s="5">
        <v>6.47</v>
      </c>
      <c r="C9" s="5">
        <v>6.7460000000000004</v>
      </c>
      <c r="D9" s="5">
        <v>5.9729999999999999</v>
      </c>
      <c r="E9" s="5">
        <v>7.3650000000000002</v>
      </c>
      <c r="F9" s="5">
        <v>7.226</v>
      </c>
      <c r="G9" s="5">
        <v>7.5590000000000002</v>
      </c>
      <c r="H9" s="5">
        <v>8.093</v>
      </c>
      <c r="I9" s="5">
        <v>11.394</v>
      </c>
      <c r="J9" s="5">
        <v>10.481</v>
      </c>
      <c r="K9" s="5">
        <v>11.353999999999999</v>
      </c>
      <c r="L9" s="5">
        <v>10.314</v>
      </c>
      <c r="M9" s="5">
        <v>17.449000000000002</v>
      </c>
      <c r="N9" s="5">
        <v>13.44</v>
      </c>
      <c r="O9" s="5">
        <v>12.436999999999999</v>
      </c>
      <c r="P9" s="5">
        <v>11.962</v>
      </c>
      <c r="Q9" s="5">
        <v>12.602</v>
      </c>
      <c r="R9" s="5">
        <v>10.542</v>
      </c>
      <c r="S9" s="5">
        <v>11.331</v>
      </c>
      <c r="T9" s="5">
        <v>9.8729999999999993</v>
      </c>
      <c r="U9" s="5">
        <v>12.029</v>
      </c>
      <c r="V9" s="5">
        <v>9.7200000000000006</v>
      </c>
      <c r="W9" s="5">
        <v>11.250999999999999</v>
      </c>
      <c r="X9" s="5">
        <v>11.191000000000001</v>
      </c>
      <c r="Y9" s="5">
        <v>13.111000000000001</v>
      </c>
      <c r="Z9" s="5">
        <v>14.231</v>
      </c>
      <c r="AA9" s="5">
        <v>12.941000000000001</v>
      </c>
      <c r="AB9" s="5">
        <v>11.438000000000001</v>
      </c>
      <c r="AC9" s="5">
        <v>12.303000000000001</v>
      </c>
      <c r="AD9" s="5">
        <v>12.233000000000001</v>
      </c>
      <c r="AE9" s="5">
        <v>11.047000000000001</v>
      </c>
      <c r="AF9" s="5">
        <v>9.9580000000000002</v>
      </c>
      <c r="AG9" s="5">
        <v>12.704000000000001</v>
      </c>
      <c r="AH9" s="5">
        <v>9.7859999999999996</v>
      </c>
      <c r="AI9" s="5">
        <v>10.292</v>
      </c>
      <c r="AJ9" s="5">
        <v>9.5739999999999998</v>
      </c>
      <c r="AK9" s="5">
        <v>11.005000000000001</v>
      </c>
      <c r="AL9" s="5">
        <v>15.371</v>
      </c>
      <c r="AM9" s="5">
        <v>14.331</v>
      </c>
      <c r="AN9" s="5">
        <v>13.964</v>
      </c>
      <c r="AO9" s="5">
        <v>12.638999999999999</v>
      </c>
      <c r="AP9" s="5">
        <v>12.653</v>
      </c>
      <c r="AQ9" s="5">
        <v>14.07</v>
      </c>
      <c r="AR9" s="5">
        <v>14.928000000000001</v>
      </c>
      <c r="AS9" s="5">
        <v>17.052</v>
      </c>
      <c r="AT9" s="5">
        <v>26.661999999999999</v>
      </c>
      <c r="AU9" s="5">
        <v>30.484999999999999</v>
      </c>
    </row>
    <row r="10" spans="1:47" x14ac:dyDescent="0.25">
      <c r="A10" s="4" t="s">
        <v>105</v>
      </c>
      <c r="E10" s="5">
        <v>11.510899999999999</v>
      </c>
      <c r="F10" s="5">
        <v>16.286200000000001</v>
      </c>
      <c r="G10" s="5">
        <v>16.105699999999999</v>
      </c>
      <c r="H10" s="5">
        <v>20.3994</v>
      </c>
      <c r="I10" s="5">
        <v>20.059899999999999</v>
      </c>
      <c r="J10" s="5">
        <v>13.6815</v>
      </c>
      <c r="K10" s="5">
        <v>14.7277</v>
      </c>
      <c r="L10" s="5">
        <v>16.6206</v>
      </c>
      <c r="M10" s="5">
        <v>27.944800000000001</v>
      </c>
      <c r="N10" s="5">
        <v>35.040999999999997</v>
      </c>
      <c r="O10" s="5">
        <v>37.944499999999998</v>
      </c>
      <c r="P10" s="5">
        <v>41.126800000000003</v>
      </c>
      <c r="Q10" s="5">
        <v>20.0808</v>
      </c>
      <c r="R10" s="5">
        <v>19.1858</v>
      </c>
      <c r="S10" s="5">
        <v>16.7743</v>
      </c>
      <c r="T10" s="5">
        <v>17.816800000000001</v>
      </c>
      <c r="U10" s="5">
        <v>19.145900000000001</v>
      </c>
      <c r="V10" s="5">
        <v>14.793699999999999</v>
      </c>
      <c r="W10" s="5">
        <v>20.871600000000001</v>
      </c>
      <c r="X10" s="5">
        <v>18.478200000000001</v>
      </c>
      <c r="Y10" s="5">
        <v>23.565100000000001</v>
      </c>
      <c r="Z10" s="5">
        <v>25.130600000000001</v>
      </c>
      <c r="AA10" s="5">
        <v>21.143999999999998</v>
      </c>
      <c r="AB10" s="5">
        <v>18.7209</v>
      </c>
      <c r="AC10" s="5">
        <v>23.442499999999999</v>
      </c>
      <c r="AD10" s="5">
        <v>40.477400000000003</v>
      </c>
      <c r="AE10" s="5">
        <v>30.920400000000001</v>
      </c>
      <c r="AF10" s="5">
        <v>22.5349</v>
      </c>
      <c r="AG10" s="5">
        <v>23.9375</v>
      </c>
      <c r="AH10" s="5">
        <v>18.5535</v>
      </c>
      <c r="AI10" s="5">
        <v>17.0304</v>
      </c>
      <c r="AJ10" s="5">
        <v>16.020800000000001</v>
      </c>
      <c r="AK10" s="5">
        <v>15.077199999999999</v>
      </c>
      <c r="AL10" s="5">
        <v>17.4299</v>
      </c>
      <c r="AM10" s="5">
        <v>16.077999999999999</v>
      </c>
      <c r="AN10" s="5">
        <v>19.643599999999999</v>
      </c>
      <c r="AO10" s="5">
        <v>19.681699999999999</v>
      </c>
      <c r="AP10" s="5">
        <v>19.726900000000001</v>
      </c>
      <c r="AQ10" s="5">
        <v>23.497199999999999</v>
      </c>
      <c r="AR10" s="5">
        <v>29.5366</v>
      </c>
      <c r="AS10" s="5">
        <v>35.764000000000003</v>
      </c>
      <c r="AT10" s="5">
        <v>41.304000000000002</v>
      </c>
      <c r="AU10" s="5">
        <v>47.063630000000003</v>
      </c>
    </row>
    <row r="11" spans="1:47" x14ac:dyDescent="0.25">
      <c r="A11" s="4" t="s">
        <v>106</v>
      </c>
      <c r="E11" s="5">
        <v>5.90754</v>
      </c>
      <c r="F11" s="5">
        <v>7.5501500000000004</v>
      </c>
      <c r="G11" s="5">
        <v>7.2075800000000001</v>
      </c>
      <c r="H11" s="5">
        <v>8.9392200000000006</v>
      </c>
      <c r="I11" s="5">
        <v>9.6439800000000009</v>
      </c>
      <c r="J11" s="5">
        <v>8.1667900000000007</v>
      </c>
      <c r="K11" s="5">
        <v>9.3957599999999992</v>
      </c>
      <c r="L11" s="5">
        <v>10.864599999999999</v>
      </c>
      <c r="M11" s="5">
        <v>16.5044</v>
      </c>
      <c r="N11" s="5">
        <v>17.2834</v>
      </c>
      <c r="O11" s="5">
        <v>16.573899999999998</v>
      </c>
      <c r="P11" s="5">
        <v>17.939699999999998</v>
      </c>
      <c r="Q11" s="5">
        <v>11.151899999999999</v>
      </c>
      <c r="R11" s="5">
        <v>11.4876</v>
      </c>
      <c r="S11" s="5">
        <v>10.6731</v>
      </c>
      <c r="T11" s="5">
        <v>10.6396</v>
      </c>
      <c r="U11" s="5">
        <v>11.7529</v>
      </c>
      <c r="V11" s="5">
        <v>9.0865600000000004</v>
      </c>
      <c r="W11" s="5">
        <v>11.9673</v>
      </c>
      <c r="X11" s="5">
        <v>12.1135</v>
      </c>
      <c r="Y11" s="5">
        <v>15.6877</v>
      </c>
      <c r="Z11" s="5">
        <v>17.826000000000001</v>
      </c>
      <c r="AA11" s="5">
        <v>15.173999999999999</v>
      </c>
      <c r="AB11" s="5">
        <v>13.2151</v>
      </c>
      <c r="AC11" s="5">
        <v>15.3917</v>
      </c>
      <c r="AD11" s="5">
        <v>21.2864</v>
      </c>
      <c r="AE11" s="5">
        <v>16.561800000000002</v>
      </c>
      <c r="AF11" s="5">
        <v>13.169499999999999</v>
      </c>
      <c r="AG11" s="5">
        <v>15.926500000000001</v>
      </c>
      <c r="AH11" s="5">
        <v>13.065099999999999</v>
      </c>
      <c r="AI11" s="5">
        <v>12.3124</v>
      </c>
      <c r="AJ11" s="5">
        <v>11.9594</v>
      </c>
      <c r="AK11" s="5">
        <v>11.459099999999999</v>
      </c>
      <c r="AL11" s="5">
        <v>13.4155</v>
      </c>
      <c r="AM11" s="5">
        <v>12.2959</v>
      </c>
      <c r="AN11" s="5">
        <v>14.9335</v>
      </c>
      <c r="AO11" s="5">
        <v>14.423999999999999</v>
      </c>
      <c r="AP11" s="5">
        <v>13.7819</v>
      </c>
      <c r="AQ11" s="5">
        <v>15.991199999999999</v>
      </c>
      <c r="AR11" s="5">
        <v>19.348099999999999</v>
      </c>
      <c r="AS11" s="5">
        <v>22.706299999999999</v>
      </c>
      <c r="AT11" s="5">
        <v>26.488900000000001</v>
      </c>
      <c r="AU11" s="5">
        <v>30.18261</v>
      </c>
    </row>
    <row r="12" spans="1:47" x14ac:dyDescent="0.25">
      <c r="A12" s="4" t="s">
        <v>107</v>
      </c>
      <c r="E12" s="5">
        <v>1.5146200000000001</v>
      </c>
      <c r="F12" s="5">
        <v>1.76475</v>
      </c>
      <c r="G12" s="5">
        <v>1.8165</v>
      </c>
      <c r="H12" s="5">
        <v>2.0754600000000001</v>
      </c>
      <c r="I12" s="5">
        <v>2.1816300000000002</v>
      </c>
      <c r="J12" s="5">
        <v>2.1473100000000001</v>
      </c>
      <c r="K12" s="5">
        <v>2.2698100000000001</v>
      </c>
      <c r="L12" s="5">
        <v>2.3872100000000001</v>
      </c>
      <c r="M12" s="5">
        <v>2.65848</v>
      </c>
      <c r="N12" s="5">
        <v>2.3839899999999998</v>
      </c>
      <c r="O12" s="5">
        <v>2.11435</v>
      </c>
      <c r="P12" s="5">
        <v>2.2109700000000001</v>
      </c>
      <c r="Q12" s="5">
        <v>1.86161</v>
      </c>
      <c r="R12" s="5">
        <v>1.91883</v>
      </c>
      <c r="S12" s="5">
        <v>1.8935500000000001</v>
      </c>
      <c r="T12" s="5">
        <v>1.8154699999999999</v>
      </c>
      <c r="U12" s="5">
        <v>2.0567000000000002</v>
      </c>
      <c r="V12" s="5">
        <v>1.8226800000000001</v>
      </c>
      <c r="W12" s="5">
        <v>2.1141899999999998</v>
      </c>
      <c r="X12" s="5">
        <v>2.5169600000000001</v>
      </c>
      <c r="Y12" s="5">
        <v>3.0448</v>
      </c>
      <c r="Z12" s="5">
        <v>3.5788799999999998</v>
      </c>
      <c r="AA12" s="5">
        <v>3.1802299999999999</v>
      </c>
      <c r="AB12" s="5">
        <v>2.7105600000000001</v>
      </c>
      <c r="AC12" s="5">
        <v>2.7340300000000002</v>
      </c>
      <c r="AD12" s="5">
        <v>2.84646</v>
      </c>
      <c r="AE12" s="5">
        <v>2.31995</v>
      </c>
      <c r="AF12" s="5">
        <v>2.0309499999999998</v>
      </c>
      <c r="AG12" s="5">
        <v>2.5863</v>
      </c>
      <c r="AH12" s="5">
        <v>2.4018799999999998</v>
      </c>
      <c r="AI12" s="5">
        <v>2.3772000000000002</v>
      </c>
      <c r="AJ12" s="5">
        <v>2.5469300000000001</v>
      </c>
      <c r="AK12" s="5">
        <v>2.66269</v>
      </c>
      <c r="AL12" s="5">
        <v>3.1670699999999998</v>
      </c>
      <c r="AM12" s="5">
        <v>2.9305599999999998</v>
      </c>
      <c r="AN12" s="5">
        <v>3.3671799999999998</v>
      </c>
      <c r="AO12" s="5">
        <v>3.16492</v>
      </c>
      <c r="AP12" s="5">
        <v>3.0095100000000001</v>
      </c>
      <c r="AQ12" s="5">
        <v>3.4396499999999999</v>
      </c>
      <c r="AR12" s="5">
        <v>3.9784999999999999</v>
      </c>
      <c r="AS12" s="5">
        <v>4.4371</v>
      </c>
      <c r="AT12" s="5">
        <v>5.1633899999999997</v>
      </c>
      <c r="AU12" s="5">
        <v>5.8172499999999996</v>
      </c>
    </row>
    <row r="13" spans="1:47" x14ac:dyDescent="0.25">
      <c r="A13" s="4" t="s">
        <v>108</v>
      </c>
      <c r="E13" s="5">
        <v>10.4236</v>
      </c>
      <c r="F13" s="5">
        <v>13.620799999999999</v>
      </c>
      <c r="G13" s="5">
        <v>14.8398</v>
      </c>
      <c r="H13" s="5">
        <v>17.754799999999999</v>
      </c>
      <c r="I13" s="5">
        <v>20.0366</v>
      </c>
      <c r="J13" s="5">
        <v>24.653500000000001</v>
      </c>
      <c r="K13" s="5">
        <v>24.1236</v>
      </c>
      <c r="L13" s="5">
        <v>21.209599999999998</v>
      </c>
      <c r="M13" s="5">
        <v>16.4727</v>
      </c>
      <c r="N13" s="5">
        <v>12.7956</v>
      </c>
      <c r="O13" s="5">
        <v>10.837300000000001</v>
      </c>
      <c r="P13" s="5">
        <v>11.1271</v>
      </c>
      <c r="Q13" s="5">
        <v>9.2116100000000003</v>
      </c>
      <c r="R13" s="5">
        <v>9.5491200000000003</v>
      </c>
      <c r="S13" s="5">
        <v>9.4890100000000004</v>
      </c>
      <c r="T13" s="5">
        <v>9.1126500000000004</v>
      </c>
      <c r="U13" s="5">
        <v>10.1822</v>
      </c>
      <c r="V13" s="5">
        <v>9.2557600000000004</v>
      </c>
      <c r="W13" s="5">
        <v>11.4811</v>
      </c>
      <c r="X13" s="5">
        <v>14.686299999999999</v>
      </c>
      <c r="Y13" s="5">
        <v>18.1982</v>
      </c>
      <c r="Z13" s="5">
        <v>20.889399999999998</v>
      </c>
      <c r="AA13" s="5">
        <v>17.476600000000001</v>
      </c>
      <c r="AB13" s="5">
        <v>14.5307</v>
      </c>
      <c r="AC13" s="5">
        <v>15.0982</v>
      </c>
      <c r="AD13" s="5">
        <v>16.222899999999999</v>
      </c>
      <c r="AE13" s="5">
        <v>13.387700000000001</v>
      </c>
      <c r="AF13" s="5">
        <v>11.407299999999999</v>
      </c>
      <c r="AG13" s="5">
        <v>15.1828</v>
      </c>
      <c r="AH13" s="5">
        <v>13.504300000000001</v>
      </c>
      <c r="AI13" s="5">
        <v>12.1517</v>
      </c>
      <c r="AJ13" s="5">
        <v>12.4071</v>
      </c>
      <c r="AK13" s="5">
        <v>11.817299999999999</v>
      </c>
      <c r="AL13" s="5">
        <v>13.353300000000001</v>
      </c>
      <c r="AM13" s="5">
        <v>12.3812</v>
      </c>
      <c r="AN13" s="5">
        <v>14.334</v>
      </c>
      <c r="AO13" s="5">
        <v>13.472300000000001</v>
      </c>
      <c r="AP13" s="5">
        <v>13.3123</v>
      </c>
      <c r="AQ13" s="5">
        <v>15.85</v>
      </c>
      <c r="AR13" s="5">
        <v>18.871500000000001</v>
      </c>
      <c r="AS13" s="5">
        <v>22.358799999999999</v>
      </c>
      <c r="AT13" s="5">
        <v>26.143999999999998</v>
      </c>
      <c r="AU13" s="5">
        <v>29.45468</v>
      </c>
    </row>
    <row r="14" spans="1:47" x14ac:dyDescent="0.25">
      <c r="A14" s="4" t="s">
        <v>109</v>
      </c>
      <c r="E14" s="5">
        <v>18.812000000000001</v>
      </c>
      <c r="F14" s="5">
        <v>29.280999999999999</v>
      </c>
      <c r="G14" s="5">
        <v>36.325600000000001</v>
      </c>
      <c r="H14" s="5">
        <v>50.427599999999998</v>
      </c>
      <c r="I14" s="5">
        <v>72.3523</v>
      </c>
      <c r="J14" s="5">
        <v>217.51599999999999</v>
      </c>
      <c r="K14" s="5">
        <v>115.627</v>
      </c>
      <c r="L14" s="5">
        <v>55.547899999999998</v>
      </c>
      <c r="M14" s="5">
        <v>27.098600000000001</v>
      </c>
      <c r="N14" s="5">
        <v>18.684699999999999</v>
      </c>
      <c r="O14" s="5">
        <v>15.09</v>
      </c>
      <c r="P14" s="5">
        <v>15.1073</v>
      </c>
      <c r="Q14" s="5">
        <v>12.284000000000001</v>
      </c>
      <c r="R14" s="5">
        <v>12.651</v>
      </c>
      <c r="S14" s="5">
        <v>12.5107</v>
      </c>
      <c r="T14" s="5">
        <v>11.996499999999999</v>
      </c>
      <c r="U14" s="5">
        <v>13.3474</v>
      </c>
      <c r="V14" s="5">
        <v>12.408200000000001</v>
      </c>
      <c r="W14" s="5">
        <v>16.239899999999999</v>
      </c>
      <c r="X14" s="5">
        <v>21.876000000000001</v>
      </c>
      <c r="Y14" s="5">
        <v>27.918800000000001</v>
      </c>
      <c r="Z14" s="5">
        <v>31.0078</v>
      </c>
      <c r="AA14" s="5">
        <v>24.454999999999998</v>
      </c>
      <c r="AB14" s="5">
        <v>19.740100000000002</v>
      </c>
      <c r="AC14" s="5">
        <v>20.261199999999999</v>
      </c>
      <c r="AD14" s="5">
        <v>21.669599999999999</v>
      </c>
      <c r="AE14" s="5">
        <v>17.7197</v>
      </c>
      <c r="AF14" s="5">
        <v>14.678800000000001</v>
      </c>
      <c r="AG14" s="5">
        <v>19.4453</v>
      </c>
      <c r="AH14" s="5">
        <v>16.878799999999998</v>
      </c>
      <c r="AI14" s="5">
        <v>14.680999999999999</v>
      </c>
      <c r="AJ14" s="5">
        <v>14.7318</v>
      </c>
      <c r="AK14" s="5">
        <v>13.7714</v>
      </c>
      <c r="AL14" s="5">
        <v>15.427099999999999</v>
      </c>
      <c r="AM14" s="5">
        <v>14.318</v>
      </c>
      <c r="AN14" s="5">
        <v>16.646799999999999</v>
      </c>
      <c r="AO14" s="5">
        <v>15.6912</v>
      </c>
      <c r="AP14" s="5">
        <v>15.692299999999999</v>
      </c>
      <c r="AQ14" s="5">
        <v>18.868500000000001</v>
      </c>
      <c r="AR14" s="5">
        <v>22.539899999999999</v>
      </c>
      <c r="AS14" s="5">
        <v>26.894400000000001</v>
      </c>
      <c r="AT14" s="5">
        <v>31.340499999999999</v>
      </c>
      <c r="AU14" s="5">
        <v>35.309229999999999</v>
      </c>
    </row>
    <row r="15" spans="1:47" x14ac:dyDescent="0.25">
      <c r="A15" s="4" t="s">
        <v>110</v>
      </c>
      <c r="E15" s="5">
        <v>20.710799999999999</v>
      </c>
      <c r="F15" s="5">
        <v>28.149899999999999</v>
      </c>
      <c r="G15" s="5">
        <v>27.607500000000002</v>
      </c>
      <c r="H15" s="5">
        <v>32.601700000000001</v>
      </c>
      <c r="I15" s="5">
        <v>31.012</v>
      </c>
      <c r="J15" s="5">
        <v>20.9129</v>
      </c>
      <c r="K15" s="5">
        <v>20.996300000000002</v>
      </c>
      <c r="L15" s="5">
        <v>22.5352</v>
      </c>
      <c r="M15" s="5">
        <v>35.863500000000002</v>
      </c>
      <c r="N15" s="5">
        <v>45.9726</v>
      </c>
      <c r="O15" s="5">
        <v>50.922400000000003</v>
      </c>
      <c r="P15" s="5">
        <v>53.8352</v>
      </c>
      <c r="Q15" s="5">
        <v>27.9712</v>
      </c>
      <c r="R15" s="5">
        <v>26.292000000000002</v>
      </c>
      <c r="S15" s="5">
        <v>23.0946</v>
      </c>
      <c r="T15" s="5">
        <v>25.484200000000001</v>
      </c>
      <c r="U15" s="5">
        <v>26.078299999999999</v>
      </c>
      <c r="V15" s="5">
        <v>21.8537</v>
      </c>
      <c r="W15" s="5">
        <v>29.976099999999999</v>
      </c>
      <c r="X15" s="5">
        <v>25.058800000000002</v>
      </c>
      <c r="Y15" s="5">
        <v>30.179099999999998</v>
      </c>
      <c r="Z15" s="5">
        <v>30.4495</v>
      </c>
      <c r="AA15" s="5">
        <v>25.900099999999998</v>
      </c>
      <c r="AB15" s="5">
        <v>23.654699999999998</v>
      </c>
      <c r="AC15" s="5">
        <v>29.487200000000001</v>
      </c>
      <c r="AD15" s="5">
        <v>51.066699999999997</v>
      </c>
      <c r="AE15" s="5">
        <v>41.071100000000001</v>
      </c>
      <c r="AF15" s="5">
        <v>30.562999999999999</v>
      </c>
      <c r="AG15" s="5">
        <v>29.745699999999999</v>
      </c>
      <c r="AH15" s="5">
        <v>23.315899999999999</v>
      </c>
      <c r="AI15" s="5">
        <v>21.208500000000001</v>
      </c>
      <c r="AJ15" s="5">
        <v>19.549499999999998</v>
      </c>
      <c r="AK15" s="5">
        <v>18.2334</v>
      </c>
      <c r="AL15" s="5">
        <v>20.628499999999999</v>
      </c>
      <c r="AM15" s="5">
        <v>19.360499999999998</v>
      </c>
      <c r="AN15" s="5">
        <v>23.000399999999999</v>
      </c>
      <c r="AO15" s="5">
        <v>23.255700000000001</v>
      </c>
      <c r="AP15" s="5">
        <v>24.1751</v>
      </c>
      <c r="AQ15" s="5">
        <v>28.058900000000001</v>
      </c>
      <c r="AR15" s="5">
        <v>34.033499999999997</v>
      </c>
      <c r="AS15" s="5">
        <v>40.238700000000001</v>
      </c>
      <c r="AT15" s="5">
        <v>46.239199999999997</v>
      </c>
      <c r="AU15" s="5">
        <v>52.094639999999998</v>
      </c>
    </row>
    <row r="16" spans="1:47" x14ac:dyDescent="0.25">
      <c r="A16" s="4" t="s">
        <v>111</v>
      </c>
      <c r="B16" s="5">
        <v>1.88226</v>
      </c>
      <c r="C16" s="5">
        <v>1.96288</v>
      </c>
      <c r="D16" s="5">
        <v>1.9594199999999999</v>
      </c>
      <c r="E16" s="5">
        <v>2.1589499999999999</v>
      </c>
      <c r="F16" s="5">
        <v>2.0495800000000002</v>
      </c>
      <c r="G16" s="5">
        <v>2.056</v>
      </c>
      <c r="H16" s="5">
        <v>1.9463600000000001</v>
      </c>
      <c r="I16" s="5">
        <v>2.2796500000000002</v>
      </c>
      <c r="J16" s="5">
        <v>2.3093699999999999</v>
      </c>
      <c r="K16" s="5">
        <v>2.1730900000000002</v>
      </c>
      <c r="L16" s="5">
        <v>1.93062</v>
      </c>
      <c r="M16" s="5">
        <v>2.0836800000000002</v>
      </c>
      <c r="N16" s="5">
        <v>1.89222</v>
      </c>
      <c r="O16" s="5">
        <v>2.0023399999999998</v>
      </c>
      <c r="P16" s="5">
        <v>1.8855900000000001</v>
      </c>
      <c r="Q16" s="5">
        <v>2.1820300000000001</v>
      </c>
      <c r="R16" s="5">
        <v>1.9272499999999999</v>
      </c>
      <c r="S16" s="5">
        <v>2.0184199999999999</v>
      </c>
      <c r="T16" s="5">
        <v>1.99133</v>
      </c>
      <c r="U16" s="5">
        <v>2.1496300000000002</v>
      </c>
      <c r="V16" s="5">
        <v>2.0477599999999998</v>
      </c>
      <c r="W16" s="5">
        <v>2.2661699999999998</v>
      </c>
      <c r="X16" s="5">
        <v>1.9185700000000001</v>
      </c>
      <c r="Y16" s="5">
        <v>1.82169</v>
      </c>
      <c r="Z16" s="5">
        <v>1.8042400000000001</v>
      </c>
      <c r="AA16" s="5">
        <v>1.7552700000000001</v>
      </c>
      <c r="AB16" s="5">
        <v>1.8209599999999999</v>
      </c>
      <c r="AC16" s="5">
        <v>1.90343</v>
      </c>
      <c r="AD16" s="5">
        <v>1.7417100000000001</v>
      </c>
      <c r="AE16" s="5">
        <v>1.98115</v>
      </c>
      <c r="AF16" s="5">
        <v>1.9018699999999999</v>
      </c>
      <c r="AG16" s="5">
        <v>1.9930099999999999</v>
      </c>
      <c r="AH16" s="5">
        <v>1.6903699999999999</v>
      </c>
      <c r="AI16" s="5">
        <v>1.56294</v>
      </c>
      <c r="AJ16" s="5">
        <v>1.3886499999999999</v>
      </c>
      <c r="AK16" s="5">
        <v>1.49285</v>
      </c>
      <c r="AL16" s="5">
        <v>1.6094599999999999</v>
      </c>
      <c r="AM16" s="5">
        <v>1.7001599999999999</v>
      </c>
      <c r="AN16" s="5">
        <v>1.52085</v>
      </c>
      <c r="AO16" s="5">
        <v>1.6284000000000001</v>
      </c>
      <c r="AP16" s="5">
        <v>1.61998</v>
      </c>
      <c r="AQ16" s="5">
        <v>1.7378199999999999</v>
      </c>
      <c r="AR16" s="5">
        <v>1.5608200000000001</v>
      </c>
      <c r="AS16" s="5">
        <v>1.6985600000000001</v>
      </c>
      <c r="AT16" s="5">
        <v>1.8955500000000001</v>
      </c>
      <c r="AU16" s="5">
        <v>1.8955500000000001</v>
      </c>
    </row>
    <row r="17" spans="1:47" x14ac:dyDescent="0.25">
      <c r="A17" s="4" t="s">
        <v>112</v>
      </c>
      <c r="B17" s="5">
        <v>15.794</v>
      </c>
      <c r="C17" s="5">
        <v>18.3</v>
      </c>
      <c r="D17" s="5">
        <v>22.306999999999999</v>
      </c>
      <c r="E17" s="5">
        <v>57.594999999999999</v>
      </c>
      <c r="F17" s="5">
        <v>31.088000000000001</v>
      </c>
      <c r="G17" s="5">
        <v>24.901</v>
      </c>
      <c r="H17" s="5">
        <v>29.879000000000001</v>
      </c>
      <c r="J17" s="5">
        <v>35.121000000000002</v>
      </c>
      <c r="K17" s="5">
        <v>19.533999999999999</v>
      </c>
      <c r="L17" s="5">
        <v>16.094999999999999</v>
      </c>
      <c r="M17" s="5">
        <v>16.521999999999998</v>
      </c>
      <c r="N17" s="5">
        <v>12.662000000000001</v>
      </c>
      <c r="O17" s="5">
        <v>12.678000000000001</v>
      </c>
      <c r="P17" s="5">
        <v>12.627000000000001</v>
      </c>
      <c r="Q17" s="5">
        <v>14.146000000000001</v>
      </c>
      <c r="R17" s="5">
        <v>12.564</v>
      </c>
      <c r="S17" s="5">
        <v>12.685</v>
      </c>
      <c r="T17" s="5">
        <v>14.224</v>
      </c>
      <c r="U17" s="5">
        <v>15.099</v>
      </c>
      <c r="V17" s="5">
        <v>18.381</v>
      </c>
      <c r="W17" s="5">
        <v>27.745999999999999</v>
      </c>
      <c r="X17" s="5">
        <v>24.161000000000001</v>
      </c>
      <c r="Y17" s="5">
        <v>18.609000000000002</v>
      </c>
      <c r="Z17" s="5">
        <v>15.907999999999999</v>
      </c>
      <c r="AA17" s="5">
        <v>15.819000000000001</v>
      </c>
      <c r="AB17" s="5">
        <v>16.297999999999998</v>
      </c>
      <c r="AC17" s="5">
        <v>17.2</v>
      </c>
      <c r="AD17" s="5">
        <v>15.582000000000001</v>
      </c>
      <c r="AE17" s="5">
        <v>14.803000000000001</v>
      </c>
      <c r="AF17" s="5">
        <v>12.273</v>
      </c>
      <c r="AG17" s="5">
        <v>16.529</v>
      </c>
      <c r="AH17" s="5">
        <v>11.351000000000001</v>
      </c>
      <c r="AI17" s="5">
        <v>8.9890000000000008</v>
      </c>
      <c r="AJ17" s="5">
        <v>9.3450000000000006</v>
      </c>
      <c r="AK17" s="5">
        <v>10.295999999999999</v>
      </c>
      <c r="AL17" s="5">
        <v>9.3629999999999995</v>
      </c>
      <c r="AM17" s="5">
        <v>9.298</v>
      </c>
      <c r="AN17" s="5">
        <v>10.271000000000001</v>
      </c>
      <c r="AO17" s="5">
        <v>11.04</v>
      </c>
      <c r="AP17" s="5">
        <v>12.372</v>
      </c>
      <c r="AQ17" s="5">
        <v>11.936</v>
      </c>
      <c r="AR17" s="5">
        <v>11.467000000000001</v>
      </c>
      <c r="AS17" s="5">
        <v>13.3</v>
      </c>
      <c r="AT17" s="5">
        <v>11.702999999999999</v>
      </c>
      <c r="AU17" s="5">
        <v>3.0819999999999999</v>
      </c>
    </row>
    <row r="18" spans="1:47" x14ac:dyDescent="0.25">
      <c r="A18" s="4" t="s">
        <v>113</v>
      </c>
      <c r="B18" s="5">
        <v>87.331000000000003</v>
      </c>
      <c r="C18" s="5">
        <v>26.556000000000001</v>
      </c>
      <c r="D18" s="5">
        <v>48.131999999999998</v>
      </c>
      <c r="E18" s="5">
        <v>49.304000000000002</v>
      </c>
      <c r="G18" s="5">
        <v>26.448</v>
      </c>
      <c r="H18" s="5">
        <v>64.427000000000007</v>
      </c>
      <c r="I18" s="5">
        <v>39.298000000000002</v>
      </c>
      <c r="J18" s="5">
        <v>37.058999999999997</v>
      </c>
      <c r="K18" s="5">
        <v>21.047999999999998</v>
      </c>
      <c r="L18" s="5">
        <v>49.345999999999997</v>
      </c>
      <c r="N18" s="5">
        <v>198.399</v>
      </c>
      <c r="O18" s="5">
        <v>26.266999999999999</v>
      </c>
      <c r="P18" s="5">
        <v>45.225000000000001</v>
      </c>
      <c r="Q18" s="5">
        <v>28.204000000000001</v>
      </c>
      <c r="R18" s="5">
        <v>62.338000000000001</v>
      </c>
      <c r="S18" s="5">
        <v>18.994</v>
      </c>
      <c r="T18" s="5">
        <v>274.68099999999998</v>
      </c>
      <c r="U18" s="5">
        <v>23.231000000000002</v>
      </c>
      <c r="V18" s="5">
        <v>63.734000000000002</v>
      </c>
      <c r="W18" s="5">
        <v>41.043999999999997</v>
      </c>
      <c r="X18" s="5">
        <v>30.722000000000001</v>
      </c>
      <c r="Y18" s="5">
        <v>25.664999999999999</v>
      </c>
      <c r="Z18" s="5">
        <v>26.812000000000001</v>
      </c>
      <c r="AA18" s="5">
        <v>24.693999999999999</v>
      </c>
      <c r="AB18" s="5">
        <v>31.902999999999999</v>
      </c>
      <c r="AC18" s="5">
        <v>60.27</v>
      </c>
      <c r="AE18" s="5">
        <v>22.565000000000001</v>
      </c>
      <c r="AF18" s="5">
        <v>19.594999999999999</v>
      </c>
      <c r="AG18" s="5">
        <v>18.213999999999999</v>
      </c>
      <c r="AH18" s="5">
        <v>45.003999999999998</v>
      </c>
      <c r="AI18" s="5">
        <v>14.83</v>
      </c>
      <c r="AJ18" s="5">
        <v>11.326000000000001</v>
      </c>
      <c r="AK18" s="5">
        <v>12.029</v>
      </c>
      <c r="AL18" s="5">
        <v>28.763999999999999</v>
      </c>
      <c r="AM18" s="5">
        <v>16.207999999999998</v>
      </c>
      <c r="AN18" s="5">
        <v>13.317</v>
      </c>
      <c r="AO18" s="5">
        <v>16.303000000000001</v>
      </c>
      <c r="AP18" s="5">
        <v>104.011</v>
      </c>
      <c r="AQ18" s="5">
        <v>18.803999999999998</v>
      </c>
      <c r="AR18" s="5">
        <v>15.579000000000001</v>
      </c>
      <c r="AS18" s="5">
        <v>19.265999999999998</v>
      </c>
      <c r="AT18" s="5">
        <v>52.584000000000003</v>
      </c>
      <c r="AU18" s="5">
        <v>5.4509999999999996</v>
      </c>
    </row>
    <row r="19" spans="1:47" x14ac:dyDescent="0.25">
      <c r="A19" s="4" t="s">
        <v>114</v>
      </c>
      <c r="B19" s="5">
        <v>1.84</v>
      </c>
      <c r="C19" s="5">
        <v>1.784</v>
      </c>
      <c r="D19" s="5">
        <v>1.9810000000000001</v>
      </c>
      <c r="E19" s="5">
        <v>2.1309999999999998</v>
      </c>
      <c r="F19" s="5">
        <v>2.0720000000000001</v>
      </c>
      <c r="G19" s="5">
        <v>2.0720000000000001</v>
      </c>
      <c r="H19" s="5">
        <v>1.9810000000000001</v>
      </c>
      <c r="I19" s="5">
        <v>2.254</v>
      </c>
      <c r="J19" s="5">
        <v>2.12</v>
      </c>
      <c r="K19" s="5">
        <v>1.9239999999999999</v>
      </c>
      <c r="L19" s="5">
        <v>1.6850000000000001</v>
      </c>
      <c r="M19" s="5">
        <v>1.9430000000000001</v>
      </c>
      <c r="N19" s="5">
        <v>1.804</v>
      </c>
      <c r="O19" s="5">
        <v>1.849</v>
      </c>
      <c r="P19" s="5">
        <v>1.752</v>
      </c>
      <c r="Q19" s="5">
        <v>2.044</v>
      </c>
      <c r="R19" s="5">
        <v>1.8560000000000001</v>
      </c>
      <c r="S19" s="5">
        <v>1.944</v>
      </c>
      <c r="T19" s="5">
        <v>2.0059999999999998</v>
      </c>
      <c r="U19" s="5">
        <v>2.0139999999999998</v>
      </c>
      <c r="V19" s="5">
        <v>2.1110000000000002</v>
      </c>
      <c r="W19" s="5">
        <v>2.173</v>
      </c>
      <c r="X19" s="5">
        <v>1.927</v>
      </c>
      <c r="Y19" s="5">
        <v>1.8140000000000001</v>
      </c>
      <c r="Z19" s="5">
        <v>1.619</v>
      </c>
      <c r="AA19" s="5">
        <v>1.589</v>
      </c>
      <c r="AB19" s="5">
        <v>1.64</v>
      </c>
      <c r="AC19" s="5">
        <v>1.7310000000000001</v>
      </c>
      <c r="AD19" s="5">
        <v>1.82</v>
      </c>
      <c r="AE19" s="5">
        <v>1.968</v>
      </c>
      <c r="AF19" s="5">
        <v>1.9359999999999999</v>
      </c>
      <c r="AG19" s="5">
        <v>1.89</v>
      </c>
      <c r="AH19" s="5">
        <v>1.667</v>
      </c>
      <c r="AI19" s="5">
        <v>1.6619999999999999</v>
      </c>
      <c r="AJ19" s="5">
        <v>1.4930000000000001</v>
      </c>
      <c r="AK19" s="5">
        <v>1.585</v>
      </c>
      <c r="AL19" s="5">
        <v>1.865</v>
      </c>
      <c r="AM19" s="5">
        <v>1.925</v>
      </c>
      <c r="AN19" s="5">
        <v>1.663</v>
      </c>
      <c r="AO19" s="5">
        <v>1.617</v>
      </c>
      <c r="AP19" s="5">
        <v>1.9390000000000001</v>
      </c>
      <c r="AQ19" s="5">
        <v>1.8919999999999999</v>
      </c>
      <c r="AR19" s="5">
        <v>1.6459999999999999</v>
      </c>
      <c r="AS19" s="5">
        <v>1.5640000000000001</v>
      </c>
      <c r="AT19" s="5">
        <v>2.09</v>
      </c>
      <c r="AU19" s="5">
        <v>2.09</v>
      </c>
    </row>
    <row r="20" spans="1:47" x14ac:dyDescent="0.25">
      <c r="A20" s="4" t="s">
        <v>115</v>
      </c>
      <c r="B20" s="5">
        <v>12.714</v>
      </c>
      <c r="C20" s="5">
        <v>14.565</v>
      </c>
      <c r="D20" s="5">
        <v>18.715</v>
      </c>
      <c r="E20" s="5">
        <v>47.808</v>
      </c>
      <c r="F20" s="5">
        <v>26.318000000000001</v>
      </c>
      <c r="G20" s="5">
        <v>20.506</v>
      </c>
      <c r="H20" s="5">
        <v>24.957000000000001</v>
      </c>
      <c r="I20" s="5">
        <v>-61.314999999999998</v>
      </c>
      <c r="J20" s="5">
        <v>26.431000000000001</v>
      </c>
      <c r="K20" s="5">
        <v>14.16</v>
      </c>
      <c r="L20" s="5">
        <v>11.798</v>
      </c>
      <c r="M20" s="5">
        <v>12.609</v>
      </c>
      <c r="N20" s="5">
        <v>9.8339999999999996</v>
      </c>
      <c r="O20" s="5">
        <v>9.6440000000000001</v>
      </c>
      <c r="P20" s="5">
        <v>9.8010000000000002</v>
      </c>
      <c r="Q20" s="5">
        <v>11.105</v>
      </c>
      <c r="R20" s="5">
        <v>10.061</v>
      </c>
      <c r="S20" s="5">
        <v>10.087</v>
      </c>
      <c r="T20" s="5">
        <v>11.257</v>
      </c>
      <c r="U20" s="5">
        <v>11.776999999999999</v>
      </c>
      <c r="V20" s="5">
        <v>14.851000000000001</v>
      </c>
      <c r="W20" s="5">
        <v>21.434999999999999</v>
      </c>
      <c r="X20" s="5">
        <v>18.257999999999999</v>
      </c>
      <c r="Y20" s="5">
        <v>13.926</v>
      </c>
      <c r="Z20" s="5">
        <v>11.183</v>
      </c>
      <c r="AA20" s="5">
        <v>11.26</v>
      </c>
      <c r="AB20" s="5">
        <v>12.113</v>
      </c>
      <c r="AC20" s="5">
        <v>12.988</v>
      </c>
      <c r="AD20" s="5">
        <v>12.875999999999999</v>
      </c>
      <c r="AE20" s="5">
        <v>12.394</v>
      </c>
      <c r="AF20" s="5">
        <v>10.141</v>
      </c>
      <c r="AG20" s="5">
        <v>13.4</v>
      </c>
      <c r="AH20" s="5">
        <v>9.27</v>
      </c>
      <c r="AI20" s="5">
        <v>7.2270000000000003</v>
      </c>
      <c r="AJ20" s="5">
        <v>7.6989999999999998</v>
      </c>
      <c r="AK20" s="5">
        <v>8.3989999999999991</v>
      </c>
      <c r="AL20" s="5">
        <v>8.1359999999999992</v>
      </c>
      <c r="AM20" s="5">
        <v>8.2159999999999993</v>
      </c>
      <c r="AN20" s="5">
        <v>8.7430000000000003</v>
      </c>
      <c r="AO20" s="5">
        <v>9.06</v>
      </c>
      <c r="AP20" s="5">
        <v>11.23</v>
      </c>
      <c r="AQ20" s="5">
        <v>10.342000000000001</v>
      </c>
      <c r="AR20" s="5">
        <v>9.3859999999999992</v>
      </c>
      <c r="AS20" s="5">
        <v>10.236000000000001</v>
      </c>
      <c r="AT20" s="5">
        <v>10.596</v>
      </c>
      <c r="AU20" s="5">
        <v>2.79</v>
      </c>
    </row>
    <row r="21" spans="1:47" x14ac:dyDescent="0.25">
      <c r="A21" s="4" t="s">
        <v>116</v>
      </c>
      <c r="B21" s="5">
        <v>70.296999999999997</v>
      </c>
      <c r="C21" s="5">
        <v>21.135999999999999</v>
      </c>
      <c r="D21" s="5">
        <v>40.381</v>
      </c>
      <c r="E21" s="5">
        <v>40.924999999999997</v>
      </c>
      <c r="F21" s="5">
        <v>-129.90799999999999</v>
      </c>
      <c r="G21" s="5">
        <v>21.78</v>
      </c>
      <c r="H21" s="5">
        <v>53.814</v>
      </c>
      <c r="I21" s="5">
        <v>31.64</v>
      </c>
      <c r="J21" s="5">
        <v>27.89</v>
      </c>
      <c r="K21" s="5">
        <v>15.257</v>
      </c>
      <c r="L21" s="5">
        <v>36.171999999999997</v>
      </c>
      <c r="M21" s="5">
        <v>-168.46199999999999</v>
      </c>
      <c r="N21" s="5">
        <v>154.084</v>
      </c>
      <c r="O21" s="5">
        <v>19.981999999999999</v>
      </c>
      <c r="P21" s="5">
        <v>35.101999999999997</v>
      </c>
      <c r="Q21" s="5">
        <v>22.141999999999999</v>
      </c>
      <c r="R21" s="5">
        <v>49.92</v>
      </c>
      <c r="S21" s="5">
        <v>15.103999999999999</v>
      </c>
      <c r="T21" s="5">
        <v>217.39099999999999</v>
      </c>
      <c r="U21" s="5">
        <v>18.12</v>
      </c>
      <c r="V21" s="5">
        <v>51.494999999999997</v>
      </c>
      <c r="W21" s="5">
        <v>31.709</v>
      </c>
      <c r="X21" s="5">
        <v>23.216000000000001</v>
      </c>
      <c r="Y21" s="5">
        <v>19.206</v>
      </c>
      <c r="Z21" s="5">
        <v>18.847000000000001</v>
      </c>
      <c r="AA21" s="5">
        <v>17.577999999999999</v>
      </c>
      <c r="AB21" s="5">
        <v>23.71</v>
      </c>
      <c r="AC21" s="5">
        <v>45.51</v>
      </c>
      <c r="AD21" s="5">
        <v>-84.858000000000004</v>
      </c>
      <c r="AE21" s="5">
        <v>18.893999999999998</v>
      </c>
      <c r="AF21" s="5">
        <v>16.190000000000001</v>
      </c>
      <c r="AG21" s="5">
        <v>14.766</v>
      </c>
      <c r="AH21" s="5">
        <v>36.755000000000003</v>
      </c>
      <c r="AI21" s="5">
        <v>11.923999999999999</v>
      </c>
      <c r="AJ21" s="5">
        <v>9.33</v>
      </c>
      <c r="AK21" s="5">
        <v>9.8130000000000006</v>
      </c>
      <c r="AL21" s="5">
        <v>24.995000000000001</v>
      </c>
      <c r="AM21" s="5">
        <v>14.321999999999999</v>
      </c>
      <c r="AN21" s="5">
        <v>11.336</v>
      </c>
      <c r="AO21" s="5">
        <v>13.379</v>
      </c>
      <c r="AP21" s="5">
        <v>94.41</v>
      </c>
      <c r="AQ21" s="5">
        <v>16.292999999999999</v>
      </c>
      <c r="AR21" s="5">
        <v>12.752000000000001</v>
      </c>
      <c r="AS21" s="5">
        <v>14.829000000000001</v>
      </c>
      <c r="AT21" s="5">
        <v>47.612000000000002</v>
      </c>
      <c r="AU21" s="5">
        <v>4.9349999999999996</v>
      </c>
    </row>
    <row r="22" spans="1:47" x14ac:dyDescent="0.25">
      <c r="A22" s="4" t="s">
        <v>117</v>
      </c>
      <c r="B22" s="5">
        <v>0.15398200000000001</v>
      </c>
      <c r="C22" s="5">
        <v>0.14976500000000001</v>
      </c>
      <c r="D22" s="5">
        <v>0.13881399999999999</v>
      </c>
      <c r="E22" s="5">
        <v>0.140793</v>
      </c>
      <c r="F22" s="5">
        <v>0.117676</v>
      </c>
      <c r="G22" s="5">
        <v>0.12883900000000001</v>
      </c>
      <c r="H22" s="5">
        <v>0.117911</v>
      </c>
      <c r="I22" s="5">
        <v>0.125113</v>
      </c>
      <c r="J22" s="5">
        <v>0.12603900000000001</v>
      </c>
      <c r="K22" s="5">
        <v>0.14451900000000001</v>
      </c>
      <c r="L22" s="5">
        <v>0.14730099999999999</v>
      </c>
      <c r="M22" s="5">
        <v>0.17005799999999999</v>
      </c>
      <c r="N22" s="5">
        <v>0.165322</v>
      </c>
      <c r="O22" s="5">
        <v>0.177921</v>
      </c>
      <c r="P22" s="5">
        <v>0.17235600000000001</v>
      </c>
      <c r="Q22" s="5">
        <v>0.18449699999999999</v>
      </c>
      <c r="R22" s="5">
        <v>0.17182600000000001</v>
      </c>
      <c r="S22" s="5">
        <v>0.18248300000000001</v>
      </c>
      <c r="T22" s="5">
        <v>0.163353</v>
      </c>
      <c r="U22" s="5">
        <v>0.16747999999999999</v>
      </c>
      <c r="V22" s="5">
        <v>0.13756299999999999</v>
      </c>
      <c r="W22" s="5">
        <v>0.12837000000000001</v>
      </c>
      <c r="X22" s="5">
        <v>0.127716</v>
      </c>
      <c r="Y22" s="5">
        <v>0.14332500000000001</v>
      </c>
      <c r="Z22" s="5">
        <v>0.15179100000000001</v>
      </c>
      <c r="AA22" s="5">
        <v>0.162881</v>
      </c>
      <c r="AB22" s="5">
        <v>0.15739700000000001</v>
      </c>
      <c r="AC22" s="5">
        <v>0.17127899999999999</v>
      </c>
      <c r="AD22" s="5">
        <v>0.16673099999999999</v>
      </c>
      <c r="AE22" s="5">
        <v>0.17502000000000001</v>
      </c>
      <c r="AF22" s="5">
        <v>0.18546499999999999</v>
      </c>
      <c r="AG22" s="5">
        <v>0.20149800000000001</v>
      </c>
      <c r="AH22" s="5">
        <v>0.191195</v>
      </c>
      <c r="AI22" s="5">
        <v>0.207982</v>
      </c>
      <c r="AJ22" s="5">
        <v>0.20047899999999999</v>
      </c>
      <c r="AK22" s="5">
        <v>0.201512</v>
      </c>
      <c r="AL22" s="5">
        <v>0.18876899999999999</v>
      </c>
      <c r="AM22" s="5">
        <v>0.19778000000000001</v>
      </c>
      <c r="AN22" s="5">
        <v>0.18612799999999999</v>
      </c>
      <c r="AO22" s="5">
        <v>0.18506</v>
      </c>
      <c r="AP22" s="5">
        <v>0.16891200000000001</v>
      </c>
      <c r="AQ22" s="5">
        <v>0.19081999999999999</v>
      </c>
      <c r="AR22" s="5">
        <v>0.19598299999999999</v>
      </c>
      <c r="AS22" s="5">
        <v>0.205346</v>
      </c>
      <c r="AT22" s="5">
        <v>0.192938</v>
      </c>
      <c r="AU22" s="5">
        <v>0.192938</v>
      </c>
    </row>
    <row r="23" spans="1:47" x14ac:dyDescent="0.25">
      <c r="A23" s="4" t="s">
        <v>118</v>
      </c>
      <c r="B23" s="5">
        <v>0.72402699999999998</v>
      </c>
      <c r="C23" s="5">
        <v>0.74257300000000004</v>
      </c>
      <c r="D23" s="5">
        <v>0.706009</v>
      </c>
      <c r="E23" s="5">
        <v>0.82340199999999997</v>
      </c>
      <c r="F23" s="5">
        <v>0.62165099999999995</v>
      </c>
      <c r="G23" s="5">
        <v>0.70192500000000002</v>
      </c>
      <c r="H23" s="5">
        <v>0.63282899999999997</v>
      </c>
      <c r="I23" s="5">
        <v>0.79458300000000004</v>
      </c>
      <c r="J23" s="5">
        <v>0.71850400000000003</v>
      </c>
      <c r="K23" s="5">
        <v>0.82945999999999998</v>
      </c>
      <c r="L23" s="5">
        <v>0.77988800000000003</v>
      </c>
      <c r="M23" s="5">
        <v>0.96232300000000004</v>
      </c>
      <c r="N23" s="5">
        <v>0.85536000000000001</v>
      </c>
      <c r="O23" s="5">
        <v>0.912852</v>
      </c>
      <c r="P23" s="5">
        <v>0.819214</v>
      </c>
      <c r="Q23" s="5">
        <v>0.92699699999999996</v>
      </c>
      <c r="R23" s="5">
        <v>0.77322100000000005</v>
      </c>
      <c r="S23" s="5">
        <v>0.85469899999999999</v>
      </c>
      <c r="T23" s="5">
        <v>0.71426199999999995</v>
      </c>
      <c r="U23" s="5">
        <v>0.79991199999999996</v>
      </c>
      <c r="V23" s="5">
        <v>0.60328800000000005</v>
      </c>
      <c r="W23" s="5">
        <v>0.60852099999999998</v>
      </c>
      <c r="X23" s="5">
        <v>0.58553699999999997</v>
      </c>
      <c r="Y23" s="5">
        <v>0.68678300000000003</v>
      </c>
      <c r="Z23" s="5">
        <v>0.67054400000000003</v>
      </c>
      <c r="AA23" s="5">
        <v>0.73875999999999997</v>
      </c>
      <c r="AB23" s="5">
        <v>0.68609399999999998</v>
      </c>
      <c r="AC23" s="5">
        <v>0.78639899999999996</v>
      </c>
      <c r="AD23" s="5">
        <v>0.70320400000000005</v>
      </c>
      <c r="AE23" s="5">
        <v>0.69870100000000002</v>
      </c>
      <c r="AF23" s="5">
        <v>0.66841399999999995</v>
      </c>
      <c r="AG23" s="5">
        <v>0.76639800000000002</v>
      </c>
      <c r="AH23" s="5">
        <v>0.61846900000000005</v>
      </c>
      <c r="AI23" s="5">
        <v>0.65810199999999996</v>
      </c>
      <c r="AJ23" s="5">
        <v>0.61457600000000001</v>
      </c>
      <c r="AK23" s="5">
        <v>0.670991</v>
      </c>
      <c r="AL23" s="5">
        <v>0.55872299999999997</v>
      </c>
      <c r="AM23" s="5">
        <v>0.58286400000000005</v>
      </c>
      <c r="AN23" s="5">
        <v>0.57698000000000005</v>
      </c>
      <c r="AO23" s="5">
        <v>0.61817200000000005</v>
      </c>
      <c r="AP23" s="5">
        <v>0.51500800000000002</v>
      </c>
      <c r="AQ23" s="5">
        <v>0.60582400000000003</v>
      </c>
      <c r="AR23" s="5">
        <v>0.64367200000000002</v>
      </c>
      <c r="AS23" s="5">
        <v>0.76122599999999996</v>
      </c>
      <c r="AT23" s="5">
        <v>0.60318000000000005</v>
      </c>
      <c r="AU23" s="5">
        <v>2.4942700000000002</v>
      </c>
    </row>
    <row r="24" spans="1:47" x14ac:dyDescent="0.25">
      <c r="A24" s="4" t="s">
        <v>119</v>
      </c>
      <c r="B24" s="5">
        <v>0.910412</v>
      </c>
      <c r="C24" s="5">
        <v>0.94688700000000003</v>
      </c>
      <c r="D24" s="5">
        <v>0.83966200000000002</v>
      </c>
      <c r="E24" s="5">
        <v>0.84391400000000005</v>
      </c>
      <c r="F24" s="5">
        <v>0.841198</v>
      </c>
      <c r="G24" s="5">
        <v>0.82003499999999996</v>
      </c>
      <c r="H24" s="5">
        <v>0.81569800000000003</v>
      </c>
      <c r="I24" s="5">
        <v>0.82928999999999997</v>
      </c>
      <c r="J24" s="5">
        <v>0.89339599999999997</v>
      </c>
      <c r="K24" s="5">
        <v>0.91803199999999996</v>
      </c>
      <c r="L24" s="5">
        <v>0.97540800000000005</v>
      </c>
      <c r="M24" s="5">
        <v>0.90802400000000005</v>
      </c>
      <c r="N24" s="5">
        <v>0.89606600000000003</v>
      </c>
      <c r="O24" s="5">
        <v>0.90286200000000005</v>
      </c>
      <c r="P24" s="5">
        <v>0.95282900000000004</v>
      </c>
      <c r="Q24" s="5">
        <v>0.89690999999999999</v>
      </c>
      <c r="R24" s="5">
        <v>0.91357500000000003</v>
      </c>
      <c r="S24" s="5">
        <v>0.93614600000000003</v>
      </c>
      <c r="T24" s="5">
        <v>0.93279699999999999</v>
      </c>
      <c r="U24" s="5">
        <v>0.98373500000000003</v>
      </c>
      <c r="V24" s="5">
        <v>0.90801799999999999</v>
      </c>
      <c r="W24" s="5">
        <v>0.97891499999999998</v>
      </c>
      <c r="X24" s="5">
        <v>1.0108900000000001</v>
      </c>
      <c r="Y24" s="5">
        <v>1.01614</v>
      </c>
      <c r="Z24" s="5">
        <v>1.07721</v>
      </c>
      <c r="AA24" s="5">
        <v>1.02494</v>
      </c>
      <c r="AB24" s="5">
        <v>1.00139</v>
      </c>
      <c r="AC24" s="5">
        <v>0.89218299999999995</v>
      </c>
      <c r="AD24" s="5">
        <v>0.83516199999999996</v>
      </c>
      <c r="AE24" s="5">
        <v>0.80547599999999997</v>
      </c>
      <c r="AF24" s="5">
        <v>0.77551199999999998</v>
      </c>
      <c r="AG24" s="5">
        <v>0.78884299999999996</v>
      </c>
      <c r="AH24" s="5">
        <v>0.78946000000000005</v>
      </c>
      <c r="AI24" s="5">
        <v>0.73882899999999996</v>
      </c>
      <c r="AJ24" s="5">
        <v>0.76340399999999997</v>
      </c>
      <c r="AK24" s="5">
        <v>0.74285900000000005</v>
      </c>
      <c r="AL24" s="5">
        <v>0.73216800000000004</v>
      </c>
      <c r="AM24" s="5">
        <v>0.69354099999999996</v>
      </c>
      <c r="AN24" s="5">
        <v>0.76168599999999997</v>
      </c>
      <c r="AO24" s="5">
        <v>0.79747100000000004</v>
      </c>
      <c r="AP24" s="5">
        <v>0.68516600000000005</v>
      </c>
      <c r="AQ24" s="5">
        <v>0.72402200000000005</v>
      </c>
      <c r="AR24" s="5">
        <v>0.77794399999999997</v>
      </c>
      <c r="AS24" s="5">
        <v>0.862985</v>
      </c>
      <c r="AT24" s="5">
        <v>0.72313499999999997</v>
      </c>
      <c r="AU24" s="5">
        <v>0.72313499999999997</v>
      </c>
    </row>
    <row r="25" spans="1:47" x14ac:dyDescent="0.25">
      <c r="A25" s="4" t="s">
        <v>120</v>
      </c>
      <c r="B25" s="5">
        <v>1.4488799999999999</v>
      </c>
      <c r="C25" s="5">
        <v>1.4928900000000001</v>
      </c>
      <c r="D25" s="5">
        <v>1.3656999999999999</v>
      </c>
      <c r="E25" s="5">
        <v>1.27688</v>
      </c>
      <c r="F25" s="5">
        <v>1.28735</v>
      </c>
      <c r="G25" s="5">
        <v>1.2362899999999999</v>
      </c>
      <c r="H25" s="5">
        <v>1.26528</v>
      </c>
      <c r="I25" s="5">
        <v>1.22329</v>
      </c>
      <c r="J25" s="5">
        <v>1.28634</v>
      </c>
      <c r="K25" s="5">
        <v>1.3148599999999999</v>
      </c>
      <c r="L25" s="5">
        <v>1.4355500000000001</v>
      </c>
      <c r="M25" s="5">
        <v>1.34581</v>
      </c>
      <c r="N25" s="5">
        <v>1.3632899999999999</v>
      </c>
      <c r="O25" s="5">
        <v>1.36541</v>
      </c>
      <c r="P25" s="5">
        <v>1.4771300000000001</v>
      </c>
      <c r="Q25" s="5">
        <v>1.3680300000000001</v>
      </c>
      <c r="R25" s="5">
        <v>1.42858</v>
      </c>
      <c r="S25" s="5">
        <v>1.4346099999999999</v>
      </c>
      <c r="T25" s="5">
        <v>1.4396500000000001</v>
      </c>
      <c r="U25" s="5">
        <v>1.4722599999999999</v>
      </c>
      <c r="V25" s="5">
        <v>1.4174800000000001</v>
      </c>
      <c r="W25" s="5">
        <v>1.50061</v>
      </c>
      <c r="X25" s="5">
        <v>1.5427200000000001</v>
      </c>
      <c r="Y25" s="5">
        <v>1.5345500000000001</v>
      </c>
      <c r="Z25" s="5">
        <v>1.6021099999999999</v>
      </c>
      <c r="AA25" s="5">
        <v>1.5612200000000001</v>
      </c>
      <c r="AB25" s="5">
        <v>1.61276</v>
      </c>
      <c r="AC25" s="5">
        <v>1.4559299999999999</v>
      </c>
      <c r="AD25" s="5">
        <v>1.4414899999999999</v>
      </c>
      <c r="AE25" s="5">
        <v>1.4495</v>
      </c>
      <c r="AF25" s="5">
        <v>1.40974</v>
      </c>
      <c r="AG25" s="5">
        <v>1.38863</v>
      </c>
      <c r="AH25" s="5">
        <v>1.4339599999999999</v>
      </c>
      <c r="AI25" s="5">
        <v>1.3309200000000001</v>
      </c>
      <c r="AJ25" s="5">
        <v>1.4492499999999999</v>
      </c>
      <c r="AK25" s="5">
        <v>1.3519099999999999</v>
      </c>
      <c r="AL25" s="5">
        <v>1.3488599999999999</v>
      </c>
      <c r="AM25" s="5">
        <v>1.28399</v>
      </c>
      <c r="AN25" s="5">
        <v>1.39506</v>
      </c>
      <c r="AO25" s="5">
        <v>1.41553</v>
      </c>
      <c r="AP25" s="5">
        <v>1.3198000000000001</v>
      </c>
      <c r="AQ25" s="5">
        <v>1.3383799999999999</v>
      </c>
      <c r="AR25" s="5">
        <v>1.38418</v>
      </c>
      <c r="AS25" s="5">
        <v>1.4356599999999999</v>
      </c>
      <c r="AT25" s="5">
        <v>1.3527899999999999</v>
      </c>
      <c r="AU25" s="5">
        <v>1.3527899999999999</v>
      </c>
    </row>
    <row r="26" spans="1:47" x14ac:dyDescent="0.25">
      <c r="A26" s="4" t="s">
        <v>121</v>
      </c>
      <c r="B26" s="5">
        <v>7.3130600000000004E-2</v>
      </c>
      <c r="C26" s="5">
        <v>4.6675599999999998E-2</v>
      </c>
      <c r="D26" s="5">
        <v>3.5383299999999999E-2</v>
      </c>
      <c r="E26" s="5">
        <v>-5.5088999999999997E-3</v>
      </c>
      <c r="F26" s="5">
        <v>1.66509E-2</v>
      </c>
      <c r="G26" s="5">
        <v>3.4191699999999998E-2</v>
      </c>
      <c r="H26" s="5">
        <v>1.8117000000000001E-2</v>
      </c>
      <c r="I26" s="5">
        <v>-8.3137600000000006E-2</v>
      </c>
      <c r="J26" s="5">
        <v>1.3531400000000001E-2</v>
      </c>
      <c r="K26" s="5">
        <v>5.4318999999999999E-2</v>
      </c>
      <c r="L26" s="5">
        <v>6.7044400000000004E-2</v>
      </c>
      <c r="M26" s="5">
        <v>-9.6890199999999996E-2</v>
      </c>
      <c r="N26" s="5">
        <v>0.11489000000000001</v>
      </c>
      <c r="O26" s="5">
        <v>0.116881</v>
      </c>
      <c r="P26" s="5">
        <v>0.108906</v>
      </c>
      <c r="Q26" s="5">
        <v>7.51275E-2</v>
      </c>
      <c r="R26" s="5">
        <v>0.122081</v>
      </c>
      <c r="S26" s="5">
        <v>0.108182</v>
      </c>
      <c r="T26" s="5">
        <v>9.6298900000000007E-2</v>
      </c>
      <c r="U26" s="5">
        <v>7.5864699999999993E-2</v>
      </c>
      <c r="V26" s="5">
        <v>7.32241E-2</v>
      </c>
      <c r="W26" s="5">
        <v>3.1477900000000003E-2</v>
      </c>
      <c r="X26" s="5">
        <v>4.50862E-2</v>
      </c>
      <c r="Y26" s="5">
        <v>5.1588000000000002E-2</v>
      </c>
      <c r="Z26" s="5">
        <v>9.8651799999999998E-2</v>
      </c>
      <c r="AA26" s="5">
        <v>9.13331E-2</v>
      </c>
      <c r="AB26" s="5">
        <v>8.8800500000000004E-2</v>
      </c>
      <c r="AC26" s="5">
        <v>0.13375600000000001</v>
      </c>
      <c r="AD26" s="5">
        <v>9.0763499999999997E-2</v>
      </c>
      <c r="AE26" s="5">
        <v>0.10227</v>
      </c>
      <c r="AF26" s="5">
        <v>0.125692</v>
      </c>
      <c r="AG26" s="5">
        <v>8.9795399999999997E-2</v>
      </c>
      <c r="AH26" s="5">
        <v>0.109224</v>
      </c>
      <c r="AI26" s="5">
        <v>0.170513</v>
      </c>
      <c r="AJ26" s="5">
        <v>0.153948</v>
      </c>
      <c r="AK26" s="5">
        <v>0.150421</v>
      </c>
      <c r="AL26" s="5">
        <v>0.15881600000000001</v>
      </c>
      <c r="AM26" s="5">
        <v>0.15054200000000001</v>
      </c>
      <c r="AN26" s="5">
        <v>0.12307700000000001</v>
      </c>
      <c r="AO26" s="5">
        <v>0.14257500000000001</v>
      </c>
      <c r="AP26" s="5">
        <v>0.111774</v>
      </c>
      <c r="AQ26" s="5">
        <v>0.12134399999999999</v>
      </c>
      <c r="AR26" s="5">
        <v>0.114373</v>
      </c>
      <c r="AS26" s="5">
        <v>0.113398</v>
      </c>
      <c r="AT26" s="5">
        <v>0.13836100000000001</v>
      </c>
      <c r="AU26" s="5">
        <v>0.13836100000000001</v>
      </c>
    </row>
    <row r="27" spans="1:47" x14ac:dyDescent="0.25">
      <c r="A27" s="4" t="s">
        <v>122</v>
      </c>
      <c r="B27" s="5">
        <v>1.45492E-2</v>
      </c>
      <c r="C27" s="5">
        <v>1.1428499999999999E-2</v>
      </c>
      <c r="D27" s="5">
        <v>8.4522399999999998E-3</v>
      </c>
      <c r="E27" s="5">
        <v>-5.6820500000000001E-4</v>
      </c>
      <c r="F27" s="5">
        <v>4.5956699999999996E-3</v>
      </c>
      <c r="G27" s="5">
        <v>7.3444499999999998E-3</v>
      </c>
      <c r="H27" s="5">
        <v>4.6396800000000002E-3</v>
      </c>
      <c r="I27" s="5">
        <v>-1.42896E-2</v>
      </c>
      <c r="J27" s="5">
        <v>3.3577300000000002E-3</v>
      </c>
      <c r="K27" s="5">
        <v>1.03975E-2</v>
      </c>
      <c r="L27" s="5">
        <v>1.34655E-2</v>
      </c>
      <c r="M27" s="5">
        <v>-2.1516899999999999E-2</v>
      </c>
      <c r="N27" s="5">
        <v>2.11072E-2</v>
      </c>
      <c r="O27" s="5">
        <v>2.1349699999999999E-2</v>
      </c>
      <c r="P27" s="5">
        <v>2.19431E-2</v>
      </c>
      <c r="Q27" s="5">
        <v>1.8535099999999999E-2</v>
      </c>
      <c r="R27" s="5">
        <v>2.33475E-2</v>
      </c>
      <c r="S27" s="5">
        <v>2.0722999999999998E-2</v>
      </c>
      <c r="T27" s="5">
        <v>1.9181900000000002E-2</v>
      </c>
      <c r="U27" s="5">
        <v>1.8806300000000001E-2</v>
      </c>
      <c r="V27" s="5">
        <v>1.3059299999999999E-2</v>
      </c>
      <c r="W27" s="5">
        <v>6.6966300000000003E-3</v>
      </c>
      <c r="X27" s="5">
        <v>9.9727800000000005E-3</v>
      </c>
      <c r="Y27" s="5">
        <v>1.44803E-2</v>
      </c>
      <c r="Z27" s="5">
        <v>1.7654199999999998E-2</v>
      </c>
      <c r="AA27" s="5">
        <v>1.6925699999999998E-2</v>
      </c>
      <c r="AB27" s="5">
        <v>1.67467E-2</v>
      </c>
      <c r="AC27" s="5">
        <v>1.6649299999999999E-2</v>
      </c>
      <c r="AD27" s="5">
        <v>1.7420100000000001E-2</v>
      </c>
      <c r="AE27" s="5">
        <v>1.90163E-2</v>
      </c>
      <c r="AF27" s="5">
        <v>2.3815800000000002E-2</v>
      </c>
      <c r="AG27" s="5">
        <v>1.4138400000000001E-2</v>
      </c>
      <c r="AH27" s="5">
        <v>2.40702E-2</v>
      </c>
      <c r="AI27" s="5">
        <v>3.4827700000000003E-2</v>
      </c>
      <c r="AJ27" s="5">
        <v>3.2543999999999997E-2</v>
      </c>
      <c r="AK27" s="5">
        <v>3.0312700000000001E-2</v>
      </c>
      <c r="AL27" s="5">
        <v>3.3855499999999997E-2</v>
      </c>
      <c r="AM27" s="5">
        <v>3.1408499999999999E-2</v>
      </c>
      <c r="AN27" s="5">
        <v>2.8831499999999999E-2</v>
      </c>
      <c r="AO27" s="5">
        <v>2.8607E-2</v>
      </c>
      <c r="AP27" s="5">
        <v>2.3744100000000001E-2</v>
      </c>
      <c r="AQ27" s="5">
        <v>2.5387099999999999E-2</v>
      </c>
      <c r="AR27" s="5">
        <v>2.4845699999999998E-2</v>
      </c>
      <c r="AS27" s="5">
        <v>2.1831300000000001E-2</v>
      </c>
      <c r="AT27" s="5">
        <v>2.70467E-2</v>
      </c>
      <c r="AU27" s="5">
        <v>2.70467E-2</v>
      </c>
    </row>
    <row r="28" spans="1:47" x14ac:dyDescent="0.25">
      <c r="A28" s="4" t="s">
        <v>123</v>
      </c>
      <c r="B28" s="5">
        <v>2.487E-2</v>
      </c>
      <c r="C28" s="5">
        <v>1.9599999999999999E-2</v>
      </c>
      <c r="D28" s="5">
        <v>1.4030000000000001E-2</v>
      </c>
      <c r="E28" s="5">
        <v>-9.5E-4</v>
      </c>
      <c r="F28" s="5">
        <v>7.8100000000000001E-3</v>
      </c>
      <c r="G28" s="5">
        <v>1.24E-2</v>
      </c>
      <c r="H28" s="5">
        <v>7.7000000000000002E-3</v>
      </c>
      <c r="I28" s="5">
        <v>-2.4420000000000001E-2</v>
      </c>
      <c r="J28" s="5">
        <v>6.1399999999999996E-3</v>
      </c>
      <c r="K28" s="5">
        <v>1.9519999999999999E-2</v>
      </c>
      <c r="L28" s="5">
        <v>2.512E-2</v>
      </c>
      <c r="M28" s="5">
        <v>-3.9600000000000003E-2</v>
      </c>
      <c r="N28" s="5">
        <v>3.952E-2</v>
      </c>
      <c r="O28" s="5">
        <v>3.9489999999999997E-2</v>
      </c>
      <c r="P28" s="5">
        <v>3.9949999999999999E-2</v>
      </c>
      <c r="Q28" s="5">
        <v>3.3340000000000002E-2</v>
      </c>
      <c r="R28" s="5">
        <v>4.2110000000000002E-2</v>
      </c>
      <c r="S28" s="5">
        <v>3.7310000000000003E-2</v>
      </c>
      <c r="T28" s="5">
        <v>3.3770000000000001E-2</v>
      </c>
      <c r="U28" s="5">
        <v>3.3169999999999998E-2</v>
      </c>
      <c r="V28" s="5">
        <v>2.2890000000000001E-2</v>
      </c>
      <c r="W28" s="5">
        <v>1.188E-2</v>
      </c>
      <c r="X28" s="5">
        <v>1.7649999999999999E-2</v>
      </c>
      <c r="Y28" s="5">
        <v>2.6100000000000002E-2</v>
      </c>
      <c r="Z28" s="5">
        <v>3.1910000000000001E-2</v>
      </c>
      <c r="AA28" s="5">
        <v>3.0759999999999999E-2</v>
      </c>
      <c r="AB28" s="5">
        <v>3.0089999999999999E-2</v>
      </c>
      <c r="AC28" s="5">
        <v>3.0110000000000001E-2</v>
      </c>
      <c r="AD28" s="5">
        <v>3.0470000000000001E-2</v>
      </c>
      <c r="AE28" s="5">
        <v>3.2640000000000002E-2</v>
      </c>
      <c r="AF28" s="5">
        <v>4.163E-2</v>
      </c>
      <c r="AG28" s="5">
        <v>2.5399999999999999E-2</v>
      </c>
      <c r="AH28" s="5">
        <v>4.2349999999999999E-2</v>
      </c>
      <c r="AI28" s="5">
        <v>5.9799999999999999E-2</v>
      </c>
      <c r="AJ28" s="5">
        <v>5.4760000000000003E-2</v>
      </c>
      <c r="AK28" s="5">
        <v>5.0590000000000003E-2</v>
      </c>
      <c r="AL28" s="5">
        <v>5.6140000000000002E-2</v>
      </c>
      <c r="AM28" s="5">
        <v>5.2670000000000002E-2</v>
      </c>
      <c r="AN28" s="5">
        <v>4.9029999999999997E-2</v>
      </c>
      <c r="AO28" s="5">
        <v>4.8820000000000002E-2</v>
      </c>
      <c r="AP28" s="5">
        <v>3.848E-2</v>
      </c>
      <c r="AQ28" s="5">
        <v>4.1180000000000001E-2</v>
      </c>
      <c r="AR28" s="5">
        <v>4.1169999999999998E-2</v>
      </c>
      <c r="AS28" s="5">
        <v>3.721E-2</v>
      </c>
      <c r="AT28" s="5">
        <v>4.3470000000000002E-2</v>
      </c>
      <c r="AU28" s="5">
        <v>4.3470000000000002E-2</v>
      </c>
    </row>
    <row r="29" spans="1:47" x14ac:dyDescent="0.25">
      <c r="A29" s="4" t="s">
        <v>124</v>
      </c>
      <c r="B29" s="5">
        <v>3.0434200000000002E-2</v>
      </c>
      <c r="C29" s="5">
        <v>2.35363E-2</v>
      </c>
      <c r="D29" s="5">
        <v>1.7408199999999999E-2</v>
      </c>
      <c r="E29" s="5">
        <v>-2.1881000000000001E-3</v>
      </c>
      <c r="F29" s="5">
        <v>9.1467900000000001E-3</v>
      </c>
      <c r="G29" s="5">
        <v>1.4570400000000001E-2</v>
      </c>
      <c r="H29" s="5">
        <v>9.2279900000000002E-3</v>
      </c>
      <c r="I29" s="5">
        <v>-2.50715E-2</v>
      </c>
      <c r="J29" s="5">
        <v>7.4505400000000003E-3</v>
      </c>
      <c r="K29" s="5">
        <v>2.3331399999999999E-2</v>
      </c>
      <c r="L29" s="5">
        <v>2.90838E-2</v>
      </c>
      <c r="M29" s="5">
        <v>2.8132999999999998E-2</v>
      </c>
      <c r="N29" s="5">
        <v>4.1939400000000002E-2</v>
      </c>
      <c r="O29" s="5">
        <v>4.2883699999999997E-2</v>
      </c>
      <c r="P29" s="5">
        <v>4.0731400000000001E-2</v>
      </c>
      <c r="Q29" s="5">
        <v>3.7539099999999999E-2</v>
      </c>
      <c r="R29" s="5">
        <v>4.3295699999999999E-2</v>
      </c>
      <c r="S29" s="5">
        <v>4.3333099999999999E-2</v>
      </c>
      <c r="T29" s="5">
        <v>3.92355E-2</v>
      </c>
      <c r="U29" s="5">
        <v>3.6230800000000001E-2</v>
      </c>
      <c r="V29" s="5">
        <v>2.78804E-2</v>
      </c>
      <c r="W29" s="5">
        <v>1.5254800000000001E-2</v>
      </c>
      <c r="X29" s="5">
        <v>1.9209199999999999E-2</v>
      </c>
      <c r="Y29" s="5">
        <v>2.64269E-2</v>
      </c>
      <c r="Z29" s="5">
        <v>3.5043299999999999E-2</v>
      </c>
      <c r="AA29" s="5">
        <v>3.3907E-2</v>
      </c>
      <c r="AB29" s="5">
        <v>3.1227999999999999E-2</v>
      </c>
      <c r="AC29" s="5">
        <v>3.0524900000000001E-2</v>
      </c>
      <c r="AD29" s="5">
        <v>3.4707000000000002E-2</v>
      </c>
      <c r="AE29" s="5">
        <v>3.6564399999999997E-2</v>
      </c>
      <c r="AF29" s="5">
        <v>4.5965899999999997E-2</v>
      </c>
      <c r="AG29" s="5">
        <v>3.25084E-2</v>
      </c>
      <c r="AH29" s="5">
        <v>5.2242400000000001E-2</v>
      </c>
      <c r="AI29" s="5">
        <v>7.1427900000000003E-2</v>
      </c>
      <c r="AJ29" s="5">
        <v>6.6090499999999996E-2</v>
      </c>
      <c r="AK29" s="5">
        <v>6.0760000000000002E-2</v>
      </c>
      <c r="AL29" s="5">
        <v>6.8212900000000007E-2</v>
      </c>
      <c r="AM29" s="5">
        <v>6.9720199999999996E-2</v>
      </c>
      <c r="AN29" s="5">
        <v>5.84282E-2</v>
      </c>
      <c r="AO29" s="5">
        <v>5.4028100000000003E-2</v>
      </c>
      <c r="AP29" s="5">
        <v>4.9716099999999999E-2</v>
      </c>
      <c r="AQ29" s="5">
        <v>5.4391799999999997E-2</v>
      </c>
      <c r="AR29" s="5">
        <v>5.4604300000000001E-2</v>
      </c>
      <c r="AS29" s="5">
        <v>4.5269299999999998E-2</v>
      </c>
      <c r="AT29" s="5">
        <v>5.5076E-2</v>
      </c>
      <c r="AU29" s="5">
        <v>5.5076E-2</v>
      </c>
    </row>
    <row r="30" spans="1:47" x14ac:dyDescent="0.25">
      <c r="A30" s="4" t="s">
        <v>125</v>
      </c>
      <c r="E30" s="5">
        <v>6.15068E-2</v>
      </c>
      <c r="F30" s="5">
        <v>3.3315900000000002E-2</v>
      </c>
      <c r="G30" s="5">
        <v>2.8624199999999999E-2</v>
      </c>
      <c r="H30" s="5">
        <v>1.9263300000000001E-2</v>
      </c>
      <c r="K30" s="5">
        <v>1.39587E-3</v>
      </c>
      <c r="L30" s="5">
        <v>1.1546799999999999E-2</v>
      </c>
      <c r="M30" s="5">
        <v>7.99594E-3</v>
      </c>
      <c r="N30" s="5">
        <v>2.4969499999999999E-2</v>
      </c>
      <c r="O30" s="5">
        <v>3.7959800000000002E-2</v>
      </c>
      <c r="P30" s="5">
        <v>4.1051900000000002E-2</v>
      </c>
      <c r="Q30" s="5">
        <v>8.0742900000000006E-2</v>
      </c>
      <c r="R30" s="5">
        <v>7.9194000000000001E-2</v>
      </c>
      <c r="S30" s="5">
        <v>7.88026E-2</v>
      </c>
      <c r="T30" s="5">
        <v>8.3287200000000006E-2</v>
      </c>
      <c r="U30" s="5">
        <v>7.2724800000000006E-2</v>
      </c>
      <c r="V30" s="5">
        <v>8.1351300000000001E-2</v>
      </c>
      <c r="W30" s="5">
        <v>5.8893300000000003E-2</v>
      </c>
      <c r="X30" s="5">
        <v>4.0294999999999997E-2</v>
      </c>
      <c r="Y30" s="5">
        <v>2.9996700000000001E-2</v>
      </c>
      <c r="Z30" s="5">
        <v>2.6954800000000001E-2</v>
      </c>
      <c r="AA30" s="5">
        <v>3.6621800000000003E-2</v>
      </c>
      <c r="AB30" s="5">
        <v>4.8705499999999999E-2</v>
      </c>
      <c r="AC30" s="5">
        <v>5.7221599999999997E-2</v>
      </c>
      <c r="AD30" s="5">
        <v>5.3540999999999998E-2</v>
      </c>
      <c r="AE30" s="5">
        <v>6.9926199999999994E-2</v>
      </c>
      <c r="AF30" s="5">
        <v>8.3922499999999997E-2</v>
      </c>
      <c r="AG30" s="5">
        <v>5.2763400000000002E-2</v>
      </c>
      <c r="AH30" s="5">
        <v>5.9124299999999998E-2</v>
      </c>
      <c r="AI30" s="5">
        <v>6.5311900000000006E-2</v>
      </c>
      <c r="AJ30" s="5">
        <v>6.4652000000000001E-2</v>
      </c>
      <c r="AK30" s="5">
        <v>6.8048800000000007E-2</v>
      </c>
      <c r="AL30" s="5">
        <v>6.0448099999999998E-2</v>
      </c>
      <c r="AM30" s="5">
        <v>6.5926100000000001E-2</v>
      </c>
      <c r="AN30" s="5">
        <v>5.5149299999999998E-2</v>
      </c>
      <c r="AO30" s="5">
        <v>6.0783999999999998E-2</v>
      </c>
      <c r="AP30" s="5">
        <v>6.2219499999999997E-2</v>
      </c>
      <c r="AQ30" s="5">
        <v>5.0642699999999999E-2</v>
      </c>
      <c r="AR30" s="5">
        <v>4.0825699999999999E-2</v>
      </c>
      <c r="AS30" s="5">
        <v>3.2834700000000001E-2</v>
      </c>
      <c r="AT30" s="5">
        <v>2.8357299999999998E-2</v>
      </c>
      <c r="AU30" s="5">
        <v>2.5359699999999999E-2</v>
      </c>
    </row>
    <row r="31" spans="1:47" x14ac:dyDescent="0.25">
      <c r="A31" s="4" t="s">
        <v>126</v>
      </c>
      <c r="B31" s="5">
        <v>0</v>
      </c>
      <c r="C31" s="5">
        <v>0</v>
      </c>
      <c r="D31" s="5">
        <v>0</v>
      </c>
      <c r="E31" s="5">
        <v>8.6873900000000004E-2</v>
      </c>
      <c r="F31" s="5">
        <v>6.1401699999999997E-2</v>
      </c>
      <c r="G31" s="5">
        <v>6.2089999999999999E-2</v>
      </c>
      <c r="H31" s="5">
        <v>4.9021000000000002E-2</v>
      </c>
      <c r="I31" s="5">
        <v>4.9850699999999998E-2</v>
      </c>
      <c r="J31" s="5">
        <v>7.3091299999999998E-2</v>
      </c>
      <c r="K31" s="5">
        <v>6.7899200000000007E-2</v>
      </c>
      <c r="L31" s="5">
        <v>6.0166499999999998E-2</v>
      </c>
      <c r="M31" s="5">
        <v>3.5784900000000001E-2</v>
      </c>
      <c r="N31" s="5">
        <v>2.8538000000000001E-2</v>
      </c>
      <c r="O31" s="5">
        <v>2.6354300000000001E-2</v>
      </c>
      <c r="P31" s="5">
        <v>2.4315099999999999E-2</v>
      </c>
      <c r="Q31" s="5">
        <v>4.97989E-2</v>
      </c>
      <c r="R31" s="5">
        <v>5.2122000000000002E-2</v>
      </c>
      <c r="S31" s="5">
        <v>5.9615000000000001E-2</v>
      </c>
      <c r="T31" s="5">
        <v>5.6126799999999998E-2</v>
      </c>
      <c r="U31" s="5">
        <v>5.2230400000000003E-2</v>
      </c>
      <c r="V31" s="5">
        <v>6.7596299999999998E-2</v>
      </c>
      <c r="W31" s="5">
        <v>4.7912000000000003E-2</v>
      </c>
      <c r="X31" s="5">
        <v>5.4117800000000001E-2</v>
      </c>
      <c r="Y31" s="5">
        <v>4.2435599999999997E-2</v>
      </c>
      <c r="Z31" s="5">
        <v>3.97922E-2</v>
      </c>
      <c r="AA31" s="5">
        <v>4.7294799999999998E-2</v>
      </c>
      <c r="AB31" s="5">
        <v>5.3416400000000003E-2</v>
      </c>
      <c r="AC31" s="5">
        <v>4.2657500000000001E-2</v>
      </c>
      <c r="AD31" s="5">
        <v>2.4705100000000001E-2</v>
      </c>
      <c r="AE31" s="5">
        <v>3.2341099999999998E-2</v>
      </c>
      <c r="AF31" s="5">
        <v>4.4375699999999997E-2</v>
      </c>
      <c r="AG31" s="5">
        <v>4.17755E-2</v>
      </c>
      <c r="AH31" s="5">
        <v>5.3898300000000003E-2</v>
      </c>
      <c r="AI31" s="5">
        <v>5.8718399999999997E-2</v>
      </c>
      <c r="AJ31" s="5">
        <v>6.2419000000000002E-2</v>
      </c>
      <c r="AK31" s="5">
        <v>6.6325400000000007E-2</v>
      </c>
      <c r="AL31" s="5">
        <v>5.7372600000000003E-2</v>
      </c>
      <c r="AM31" s="5">
        <v>6.2196799999999997E-2</v>
      </c>
      <c r="AN31" s="5">
        <v>5.09072E-2</v>
      </c>
      <c r="AO31" s="5">
        <v>5.0808699999999998E-2</v>
      </c>
      <c r="AP31" s="5">
        <v>5.0692099999999997E-2</v>
      </c>
      <c r="AQ31" s="5">
        <v>4.25583E-2</v>
      </c>
      <c r="AR31" s="5">
        <v>3.3856299999999999E-2</v>
      </c>
      <c r="AS31" s="5">
        <v>2.7961099999999999E-2</v>
      </c>
      <c r="AT31" s="5">
        <v>2.4210700000000002E-2</v>
      </c>
      <c r="AU31" s="5">
        <v>2.1247799999999997E-2</v>
      </c>
    </row>
    <row r="32" spans="1:47" x14ac:dyDescent="0.25">
      <c r="A32" s="4" t="s">
        <v>127</v>
      </c>
      <c r="B32" s="5">
        <v>8.7584900000000007E-3</v>
      </c>
      <c r="C32" s="5">
        <v>8.2480799999999996E-3</v>
      </c>
      <c r="D32" s="5">
        <v>1.20392E-2</v>
      </c>
      <c r="E32" s="5">
        <v>1.1320800000000001E-2</v>
      </c>
      <c r="F32" s="5">
        <v>1.00432E-2</v>
      </c>
      <c r="G32" s="5">
        <v>1.01625E-2</v>
      </c>
      <c r="H32" s="5">
        <v>8.6698799999999996E-3</v>
      </c>
      <c r="I32" s="5">
        <v>8.3015699999999994E-3</v>
      </c>
      <c r="J32" s="5">
        <v>8.2941100000000004E-3</v>
      </c>
      <c r="K32" s="5">
        <v>7.1583000000000003E-3</v>
      </c>
      <c r="L32" s="5">
        <v>6.2347399999999999E-3</v>
      </c>
      <c r="M32" s="5">
        <v>4.9371800000000002E-3</v>
      </c>
      <c r="N32" s="5">
        <v>5.2988000000000002E-3</v>
      </c>
      <c r="O32" s="5">
        <v>5.7611600000000004E-3</v>
      </c>
      <c r="P32" s="5">
        <v>5.65958E-3</v>
      </c>
      <c r="Q32" s="5">
        <v>6.8626199999999998E-3</v>
      </c>
      <c r="R32" s="5">
        <v>6.3697199999999997E-3</v>
      </c>
      <c r="S32" s="5">
        <v>6.3577800000000004E-3</v>
      </c>
      <c r="T32" s="5">
        <v>8.2258499999999998E-3</v>
      </c>
      <c r="U32" s="5">
        <v>6.9891900000000002E-3</v>
      </c>
      <c r="V32" s="5">
        <v>8.9360800000000008E-3</v>
      </c>
      <c r="W32" s="5">
        <v>8.1460200000000003E-3</v>
      </c>
      <c r="X32" s="5">
        <v>6.8987600000000003E-3</v>
      </c>
      <c r="Y32" s="5">
        <v>5.6502899999999997E-3</v>
      </c>
      <c r="Z32" s="5">
        <v>4.4358899999999996E-3</v>
      </c>
      <c r="AA32" s="5">
        <v>4.7299799999999999E-3</v>
      </c>
      <c r="AB32" s="5">
        <v>5.8124099999999996E-3</v>
      </c>
      <c r="AC32" s="5">
        <v>5.37843E-3</v>
      </c>
      <c r="AD32" s="5">
        <v>4.99592E-3</v>
      </c>
      <c r="AE32" s="5">
        <v>6.2367300000000002E-3</v>
      </c>
      <c r="AF32" s="5">
        <v>7.3483300000000001E-3</v>
      </c>
      <c r="AG32" s="5">
        <v>5.0020799999999999E-3</v>
      </c>
      <c r="AH32" s="5">
        <v>5.2485800000000001E-3</v>
      </c>
      <c r="AI32" s="5">
        <v>4.8970300000000001E-3</v>
      </c>
      <c r="AJ32" s="5">
        <v>4.7637699999999996E-3</v>
      </c>
      <c r="AK32" s="5">
        <v>4.4389E-3</v>
      </c>
      <c r="AL32" s="5">
        <v>3.5805099999999999E-3</v>
      </c>
      <c r="AM32" s="5">
        <v>3.9128399999999999E-3</v>
      </c>
      <c r="AN32" s="5">
        <v>3.6064999999999999E-3</v>
      </c>
      <c r="AO32" s="5">
        <v>3.9052399999999999E-3</v>
      </c>
      <c r="AP32" s="5">
        <v>4.3033500000000001E-3</v>
      </c>
      <c r="AQ32" s="5">
        <v>3.6305399999999998E-3</v>
      </c>
      <c r="AR32" s="5">
        <v>3.1619999999999999E-3</v>
      </c>
      <c r="AS32" s="5">
        <v>2.6417799999999998E-3</v>
      </c>
      <c r="AT32" s="5">
        <v>2.1413299999999999E-3</v>
      </c>
      <c r="AU32" s="5">
        <v>8.1060000000000004E-3</v>
      </c>
    </row>
    <row r="33" spans="1:47" x14ac:dyDescent="0.25">
      <c r="A33" s="4" t="s">
        <v>128</v>
      </c>
      <c r="B33" s="5">
        <v>0.34056199999999998</v>
      </c>
      <c r="C33" s="5">
        <v>0.52618500000000001</v>
      </c>
      <c r="D33" s="5">
        <v>0.82826500000000003</v>
      </c>
      <c r="E33" s="5">
        <v>-5.1494299999999997</v>
      </c>
      <c r="F33" s="5">
        <v>1.6531400000000001</v>
      </c>
      <c r="G33" s="5">
        <v>0.81818199999999996</v>
      </c>
      <c r="H33" s="5">
        <v>1.5901099999999999</v>
      </c>
      <c r="I33" s="5">
        <v>-0.38514100000000001</v>
      </c>
      <c r="J33" s="5">
        <v>2.3541699999999999</v>
      </c>
      <c r="K33" s="5">
        <v>0.56608499999999995</v>
      </c>
      <c r="L33" s="5">
        <v>0.43531599999999998</v>
      </c>
      <c r="M33" s="5">
        <v>-0.35719800000000002</v>
      </c>
      <c r="N33" s="5">
        <v>0.28048000000000001</v>
      </c>
      <c r="O33" s="5">
        <v>0.27299400000000001</v>
      </c>
      <c r="P33" s="5">
        <v>0.29588900000000001</v>
      </c>
      <c r="Q33" s="5">
        <v>0.48377900000000001</v>
      </c>
      <c r="R33" s="5">
        <v>0.26262600000000003</v>
      </c>
      <c r="S33" s="5">
        <v>0.30370399999999997</v>
      </c>
      <c r="T33" s="5">
        <v>0.38688099999999997</v>
      </c>
      <c r="U33" s="5">
        <v>0.51730399999999999</v>
      </c>
      <c r="V33" s="5">
        <v>0.519231</v>
      </c>
      <c r="W33" s="5">
        <v>1.21834</v>
      </c>
      <c r="X33" s="5">
        <v>0.83532899999999999</v>
      </c>
      <c r="Y33" s="5">
        <v>0.71794899999999995</v>
      </c>
      <c r="Z33" s="5">
        <v>0.36731999999999998</v>
      </c>
      <c r="AA33" s="5">
        <v>0.39915099999999998</v>
      </c>
      <c r="AB33" s="5">
        <v>0.42566599999999999</v>
      </c>
      <c r="AC33" s="5">
        <v>0.28254699999999999</v>
      </c>
      <c r="AD33" s="5">
        <v>0.38711800000000002</v>
      </c>
      <c r="AE33" s="5">
        <v>0.35385499999999998</v>
      </c>
      <c r="AF33" s="5">
        <v>0.31014199999999997</v>
      </c>
      <c r="AG33" s="5">
        <v>0.42641000000000001</v>
      </c>
      <c r="AH33" s="5">
        <v>0.31909399999999999</v>
      </c>
      <c r="AI33" s="5">
        <v>0.21149899999999999</v>
      </c>
      <c r="AJ33" s="5">
        <v>0.237294</v>
      </c>
      <c r="AK33" s="5">
        <v>0.24738399999999999</v>
      </c>
      <c r="AL33" s="5">
        <v>0.22689100000000001</v>
      </c>
      <c r="AM33" s="5">
        <v>0.23685200000000001</v>
      </c>
      <c r="AN33" s="5">
        <v>0.27719199999999999</v>
      </c>
      <c r="AO33" s="5">
        <v>0.24364</v>
      </c>
      <c r="AP33" s="5">
        <v>0.33649499999999999</v>
      </c>
      <c r="AQ33" s="5">
        <v>0.303809</v>
      </c>
      <c r="AR33" s="5">
        <v>0.30739100000000003</v>
      </c>
      <c r="AS33" s="5">
        <v>0.29392200000000002</v>
      </c>
      <c r="AT33" s="5">
        <v>0.27579399999999998</v>
      </c>
      <c r="AU33" s="5">
        <v>0.32466639999999997</v>
      </c>
    </row>
    <row r="34" spans="1:47" x14ac:dyDescent="0.25">
      <c r="A34" s="4" t="s">
        <v>129</v>
      </c>
      <c r="F34" s="5">
        <v>4.0803003101028239E-2</v>
      </c>
      <c r="G34" s="5">
        <v>3.6187981005403637E-2</v>
      </c>
      <c r="H34" s="5">
        <v>8.7424344317417624E-3</v>
      </c>
      <c r="I34" s="5">
        <v>-6.0106474325948827E-3</v>
      </c>
      <c r="J34" s="5">
        <v>-9.3585162497873062E-3</v>
      </c>
      <c r="K34" s="5">
        <v>-1.1552837240910635E-2</v>
      </c>
      <c r="L34" s="5">
        <v>-1.7808683853459972E-2</v>
      </c>
      <c r="M34" s="5">
        <v>-1.8094912939569819E-2</v>
      </c>
      <c r="N34" s="5">
        <v>-2.4949426837491573E-2</v>
      </c>
      <c r="O34" s="5">
        <v>-1.4779979845482029E-2</v>
      </c>
      <c r="P34" s="5">
        <v>1.1664722546242292E-3</v>
      </c>
      <c r="Q34" s="5">
        <v>1.4755197853789403E-2</v>
      </c>
      <c r="R34" s="5">
        <v>4.8026315789473681E-2</v>
      </c>
      <c r="S34" s="5">
        <v>5.1473022178086726E-2</v>
      </c>
      <c r="T34" s="5">
        <v>6.373039706373039E-2</v>
      </c>
      <c r="U34" s="5">
        <v>5.3607896528250508E-2</v>
      </c>
      <c r="V34" s="5">
        <v>4.7857636489288181E-2</v>
      </c>
      <c r="W34" s="5">
        <v>4.9904030710172742E-2</v>
      </c>
      <c r="X34" s="5">
        <v>2.6372059871703494E-2</v>
      </c>
      <c r="Y34" s="5">
        <v>1.1868368998381586E-2</v>
      </c>
      <c r="Z34" s="5">
        <v>-5.4436581382689172E-4</v>
      </c>
      <c r="AA34" s="5">
        <v>-1.3957759412304867E-2</v>
      </c>
      <c r="AB34" s="5">
        <v>-2.1961932650073207E-3</v>
      </c>
      <c r="AC34" s="5">
        <v>1.2556869881710645E-2</v>
      </c>
      <c r="AD34" s="5">
        <v>2.3757707653246283E-2</v>
      </c>
      <c r="AE34" s="5">
        <v>3.2602789349755482E-2</v>
      </c>
      <c r="AF34" s="5">
        <v>3.6523009495982466E-2</v>
      </c>
      <c r="AG34" s="5">
        <v>3.9992628086988571E-2</v>
      </c>
      <c r="AH34" s="5">
        <v>3.5110533159947985E-2</v>
      </c>
      <c r="AI34" s="5">
        <v>3.5761093428196965E-2</v>
      </c>
      <c r="AJ34" s="5">
        <v>2.843062926459439E-2</v>
      </c>
      <c r="AK34" s="5">
        <v>2.6684584373200232E-2</v>
      </c>
      <c r="AL34" s="5">
        <v>4.3319214478244127E-2</v>
      </c>
      <c r="AM34" s="5">
        <v>4.9514563106796118E-2</v>
      </c>
      <c r="AN34" s="5">
        <v>5.0526726492391726E-2</v>
      </c>
      <c r="AO34" s="5">
        <v>4.8126232741617356E-2</v>
      </c>
      <c r="AP34" s="5">
        <v>3.9847051720668145E-2</v>
      </c>
      <c r="AQ34" s="5">
        <v>3.6772216547497447E-2</v>
      </c>
      <c r="AR34" s="5">
        <v>3.2668995274296279E-2</v>
      </c>
      <c r="AS34" s="5">
        <v>2.8180687940323249E-2</v>
      </c>
      <c r="AT34" s="5">
        <v>2.3684762104380634E-2</v>
      </c>
      <c r="AU34" s="5">
        <v>3.0910000000000003E-2</v>
      </c>
    </row>
    <row r="35" spans="1:47" x14ac:dyDescent="0.25">
      <c r="A35" s="4" t="s">
        <v>130</v>
      </c>
      <c r="B35" s="5">
        <v>8.7584900000000007E-3</v>
      </c>
      <c r="C35" s="5">
        <v>8.2480799999999996E-3</v>
      </c>
      <c r="D35" s="5">
        <v>1.20392E-2</v>
      </c>
      <c r="E35" s="5">
        <v>1.1320800000000001E-2</v>
      </c>
      <c r="F35" s="5">
        <v>5.0846203101028241E-2</v>
      </c>
      <c r="G35" s="5">
        <v>4.6350481005403635E-2</v>
      </c>
      <c r="H35" s="5">
        <v>1.7412314431741762E-2</v>
      </c>
      <c r="I35" s="5">
        <v>2.2909225674051167E-3</v>
      </c>
      <c r="J35" s="5">
        <v>-1.0644062497873058E-3</v>
      </c>
      <c r="K35" s="5">
        <v>-4.3945372409106348E-3</v>
      </c>
      <c r="L35" s="5">
        <v>-1.1573943853459973E-2</v>
      </c>
      <c r="M35" s="5">
        <v>-1.315773293956982E-2</v>
      </c>
      <c r="N35" s="5">
        <v>-1.9650626837491574E-2</v>
      </c>
      <c r="O35" s="5">
        <v>-9.018819845482029E-3</v>
      </c>
      <c r="P35" s="5">
        <v>6.8260522546242288E-3</v>
      </c>
      <c r="Q35" s="5">
        <v>2.1617817853789405E-2</v>
      </c>
      <c r="R35" s="5">
        <v>5.4396035789473683E-2</v>
      </c>
      <c r="S35" s="5">
        <v>5.7830802178086727E-2</v>
      </c>
      <c r="T35" s="5">
        <v>7.1956247063730383E-2</v>
      </c>
      <c r="U35" s="5">
        <v>6.0597086528250507E-2</v>
      </c>
      <c r="V35" s="5">
        <v>5.679371648928818E-2</v>
      </c>
      <c r="W35" s="5">
        <v>5.8050050710172746E-2</v>
      </c>
      <c r="X35" s="5">
        <v>3.3270819871703494E-2</v>
      </c>
      <c r="Y35" s="5">
        <v>1.7518658998381585E-2</v>
      </c>
      <c r="Z35" s="5">
        <v>3.8915241861731077E-3</v>
      </c>
      <c r="AA35" s="5">
        <v>-9.2277794123048675E-3</v>
      </c>
      <c r="AB35" s="5">
        <v>3.6162167349926789E-3</v>
      </c>
      <c r="AC35" s="5">
        <v>1.7935299881710644E-2</v>
      </c>
      <c r="AD35" s="5">
        <v>2.8753627653246284E-2</v>
      </c>
      <c r="AE35" s="5">
        <v>3.8839519349755484E-2</v>
      </c>
      <c r="AF35" s="5">
        <v>4.3871339495982466E-2</v>
      </c>
      <c r="AG35" s="5">
        <v>4.499470808698857E-2</v>
      </c>
      <c r="AH35" s="5">
        <v>4.0359113159947987E-2</v>
      </c>
      <c r="AI35" s="5">
        <v>4.0658123428196968E-2</v>
      </c>
      <c r="AJ35" s="5">
        <v>3.3194399264594387E-2</v>
      </c>
      <c r="AK35" s="5">
        <v>3.1123484373200231E-2</v>
      </c>
      <c r="AL35" s="5">
        <v>4.6899724478244129E-2</v>
      </c>
      <c r="AM35" s="5">
        <v>5.3427403106796119E-2</v>
      </c>
      <c r="AN35" s="5">
        <v>5.4133226492391724E-2</v>
      </c>
      <c r="AO35" s="5">
        <v>5.2031472741617353E-2</v>
      </c>
      <c r="AP35" s="5">
        <v>4.4150401720668142E-2</v>
      </c>
      <c r="AQ35" s="5">
        <v>4.0402756547497448E-2</v>
      </c>
      <c r="AR35" s="5">
        <v>3.5830995274296278E-2</v>
      </c>
      <c r="AS35" s="5">
        <v>3.0822467940323249E-2</v>
      </c>
      <c r="AT35" s="5">
        <v>2.5826092104380634E-2</v>
      </c>
      <c r="AU35" s="5">
        <v>3.9016000000000002E-2</v>
      </c>
    </row>
  </sheetData>
  <pageMargins left="0.7" right="0.7" top="0.75" bottom="0.75" header="0.3" footer="0.3"/>
  <ignoredErrors>
    <ignoredError sqref="A1:AU35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Summary</vt:lpstr>
      <vt:lpstr>Income-Quarterly</vt:lpstr>
      <vt:lpstr>Balance-Sheet-Quarterly</vt:lpstr>
      <vt:lpstr>Cash-Flow-Quarterly</vt:lpstr>
      <vt:lpstr>Ratios-Quarterly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Tomohawk WR</cp:lastModifiedBy>
  <dcterms:created xsi:type="dcterms:W3CDTF">2026-07-31T14:11:09Z</dcterms:created>
  <dcterms:modified xsi:type="dcterms:W3CDTF">2026-07-31T14:11:09Z</dcterms:modified>
</cp:coreProperties>
</file>