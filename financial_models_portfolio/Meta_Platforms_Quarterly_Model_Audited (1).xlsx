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08FE6E10-728C-40D6-9F87-CD3EE9D3541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ETA Model" sheetId="1" r:id="rId1"/>
    <sheet name="Segment Profitabi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E28" i="2"/>
  <c r="D28" i="2"/>
  <c r="C28" i="2"/>
  <c r="B28" i="2"/>
  <c r="K28" i="2" s="1"/>
  <c r="F27" i="2"/>
  <c r="E27" i="2"/>
  <c r="E29" i="2" s="1"/>
  <c r="D27" i="2"/>
  <c r="D29" i="2" s="1"/>
  <c r="C27" i="2"/>
  <c r="C29" i="2" s="1"/>
  <c r="B27" i="2"/>
  <c r="F25" i="2"/>
  <c r="E25" i="2"/>
  <c r="D25" i="2"/>
  <c r="C25" i="2"/>
  <c r="B25" i="2"/>
  <c r="F21" i="2"/>
  <c r="F36" i="2" s="1"/>
  <c r="E21" i="2"/>
  <c r="E36" i="2" s="1"/>
  <c r="D21" i="2"/>
  <c r="D36" i="2" s="1"/>
  <c r="C21" i="2"/>
  <c r="C36" i="2" s="1"/>
  <c r="B21" i="2"/>
  <c r="B36" i="2" s="1"/>
  <c r="K20" i="2"/>
  <c r="K21" i="2" s="1"/>
  <c r="K36" i="2" s="1"/>
  <c r="I20" i="2"/>
  <c r="H20" i="2"/>
  <c r="G20" i="2"/>
  <c r="F19" i="2"/>
  <c r="E19" i="2"/>
  <c r="D19" i="2"/>
  <c r="C19" i="2"/>
  <c r="B19" i="2"/>
  <c r="K19" i="2" s="1"/>
  <c r="F18" i="2"/>
  <c r="K17" i="2"/>
  <c r="I17" i="2"/>
  <c r="H17" i="2"/>
  <c r="G17" i="2"/>
  <c r="F13" i="2"/>
  <c r="K12" i="2"/>
  <c r="F9" i="2"/>
  <c r="E9" i="2"/>
  <c r="D9" i="2"/>
  <c r="C9" i="2"/>
  <c r="B9" i="2"/>
  <c r="K8" i="2"/>
  <c r="I8" i="2"/>
  <c r="H8" i="2"/>
  <c r="G8" i="2"/>
  <c r="L8" i="2" s="1"/>
  <c r="K7" i="2"/>
  <c r="F102" i="1"/>
  <c r="E102" i="1"/>
  <c r="D102" i="1"/>
  <c r="C102" i="1"/>
  <c r="B102" i="1"/>
  <c r="I91" i="1"/>
  <c r="H91" i="1"/>
  <c r="G91" i="1"/>
  <c r="F91" i="1"/>
  <c r="F96" i="1" s="1"/>
  <c r="F103" i="1" s="1"/>
  <c r="E91" i="1"/>
  <c r="E96" i="1" s="1"/>
  <c r="E103" i="1" s="1"/>
  <c r="D91" i="1"/>
  <c r="D96" i="1" s="1"/>
  <c r="C91" i="1"/>
  <c r="C96" i="1" s="1"/>
  <c r="B91" i="1"/>
  <c r="B96" i="1" s="1"/>
  <c r="F76" i="1"/>
  <c r="F79" i="1" s="1"/>
  <c r="F85" i="1" s="1"/>
  <c r="E76" i="1"/>
  <c r="E79" i="1" s="1"/>
  <c r="E85" i="1" s="1"/>
  <c r="D76" i="1"/>
  <c r="D79" i="1" s="1"/>
  <c r="D85" i="1" s="1"/>
  <c r="C76" i="1"/>
  <c r="C79" i="1" s="1"/>
  <c r="C85" i="1" s="1"/>
  <c r="B76" i="1"/>
  <c r="B79" i="1" s="1"/>
  <c r="B85" i="1" s="1"/>
  <c r="I65" i="1"/>
  <c r="L65" i="1" s="1"/>
  <c r="H65" i="1"/>
  <c r="G65" i="1"/>
  <c r="F65" i="1"/>
  <c r="E65" i="1"/>
  <c r="K65" i="1" s="1"/>
  <c r="D65" i="1"/>
  <c r="C65" i="1"/>
  <c r="B65" i="1"/>
  <c r="I64" i="1"/>
  <c r="L64" i="1" s="1"/>
  <c r="H64" i="1"/>
  <c r="G64" i="1"/>
  <c r="F64" i="1"/>
  <c r="E64" i="1"/>
  <c r="D64" i="1"/>
  <c r="C64" i="1"/>
  <c r="B64" i="1"/>
  <c r="I63" i="1"/>
  <c r="H63" i="1"/>
  <c r="H66" i="1" s="1"/>
  <c r="G63" i="1"/>
  <c r="G66" i="1" s="1"/>
  <c r="F63" i="1"/>
  <c r="F66" i="1" s="1"/>
  <c r="E63" i="1"/>
  <c r="K63" i="1" s="1"/>
  <c r="D63" i="1"/>
  <c r="C63" i="1"/>
  <c r="B63" i="1"/>
  <c r="I61" i="1"/>
  <c r="L61" i="1" s="1"/>
  <c r="H61" i="1"/>
  <c r="G61" i="1"/>
  <c r="F61" i="1"/>
  <c r="E61" i="1"/>
  <c r="K61" i="1" s="1"/>
  <c r="D61" i="1"/>
  <c r="C61" i="1"/>
  <c r="B61" i="1"/>
  <c r="I60" i="1"/>
  <c r="H60" i="1"/>
  <c r="H62" i="1" s="1"/>
  <c r="H67" i="1" s="1"/>
  <c r="G60" i="1"/>
  <c r="G62" i="1" s="1"/>
  <c r="G67" i="1" s="1"/>
  <c r="F60" i="1"/>
  <c r="F62" i="1" s="1"/>
  <c r="F67" i="1" s="1"/>
  <c r="E60" i="1"/>
  <c r="D60" i="1"/>
  <c r="D62" i="1" s="1"/>
  <c r="C60" i="1"/>
  <c r="C62" i="1" s="1"/>
  <c r="B60" i="1"/>
  <c r="B62" i="1" s="1"/>
  <c r="L59" i="1"/>
  <c r="K59" i="1"/>
  <c r="I58" i="1"/>
  <c r="H58" i="1"/>
  <c r="G58" i="1"/>
  <c r="F58" i="1"/>
  <c r="L58" i="1" s="1"/>
  <c r="E58" i="1"/>
  <c r="D58" i="1"/>
  <c r="C58" i="1"/>
  <c r="B58" i="1"/>
  <c r="K58" i="1" s="1"/>
  <c r="I56" i="1"/>
  <c r="H56" i="1"/>
  <c r="G56" i="1"/>
  <c r="I52" i="1"/>
  <c r="H52" i="1"/>
  <c r="G52" i="1"/>
  <c r="F52" i="1"/>
  <c r="E52" i="1"/>
  <c r="D52" i="1"/>
  <c r="C52" i="1"/>
  <c r="B52" i="1"/>
  <c r="L51" i="1"/>
  <c r="K51" i="1"/>
  <c r="K49" i="1"/>
  <c r="I45" i="1"/>
  <c r="H45" i="1"/>
  <c r="G45" i="1"/>
  <c r="L42" i="1"/>
  <c r="K42" i="1"/>
  <c r="L23" i="1"/>
  <c r="K23" i="1"/>
  <c r="L22" i="1"/>
  <c r="K22" i="1"/>
  <c r="K19" i="1"/>
  <c r="L17" i="1"/>
  <c r="K17" i="1"/>
  <c r="I15" i="1"/>
  <c r="H15" i="1"/>
  <c r="G15" i="1"/>
  <c r="F15" i="1"/>
  <c r="L15" i="1" s="1"/>
  <c r="E15" i="1"/>
  <c r="D15" i="1"/>
  <c r="C15" i="1"/>
  <c r="B15" i="1"/>
  <c r="K15" i="1" s="1"/>
  <c r="L14" i="1"/>
  <c r="K14" i="1"/>
  <c r="L13" i="1"/>
  <c r="K13" i="1"/>
  <c r="L12" i="1"/>
  <c r="K12" i="1"/>
  <c r="L10" i="1"/>
  <c r="K10" i="1"/>
  <c r="L7" i="1"/>
  <c r="K7" i="1"/>
  <c r="F6" i="1"/>
  <c r="E6" i="1"/>
  <c r="D6" i="1"/>
  <c r="C6" i="1"/>
  <c r="B6" i="1"/>
  <c r="L5" i="1"/>
  <c r="K5" i="1"/>
  <c r="K4" i="1"/>
  <c r="I4" i="1"/>
  <c r="H4" i="1"/>
  <c r="G4" i="1"/>
  <c r="D103" i="1" l="1"/>
  <c r="C103" i="1"/>
  <c r="B103" i="1"/>
  <c r="K52" i="1"/>
  <c r="D66" i="1"/>
  <c r="D67" i="1" s="1"/>
  <c r="E68" i="1" s="1"/>
  <c r="K68" i="1" s="1"/>
  <c r="C66" i="1"/>
  <c r="C67" i="1" s="1"/>
  <c r="D68" i="1" s="1"/>
  <c r="B66" i="1"/>
  <c r="B67" i="1" s="1"/>
  <c r="L52" i="1"/>
  <c r="G18" i="2"/>
  <c r="G25" i="2"/>
  <c r="G19" i="2"/>
  <c r="L60" i="1"/>
  <c r="I62" i="1"/>
  <c r="F29" i="2"/>
  <c r="B29" i="2"/>
  <c r="K27" i="2"/>
  <c r="K25" i="2"/>
  <c r="I28" i="2"/>
  <c r="I21" i="2"/>
  <c r="I36" i="2" s="1"/>
  <c r="H28" i="2"/>
  <c r="H21" i="2"/>
  <c r="H36" i="2" s="1"/>
  <c r="G28" i="2"/>
  <c r="L28" i="2" s="1"/>
  <c r="G21" i="2"/>
  <c r="G36" i="2" s="1"/>
  <c r="L20" i="2"/>
  <c r="L21" i="2" s="1"/>
  <c r="L36" i="2" s="1"/>
  <c r="I25" i="2"/>
  <c r="I19" i="2"/>
  <c r="I18" i="2"/>
  <c r="H25" i="2"/>
  <c r="H19" i="2"/>
  <c r="H18" i="2"/>
  <c r="L17" i="2"/>
  <c r="L18" i="2" s="1"/>
  <c r="F11" i="2"/>
  <c r="F24" i="2"/>
  <c r="F10" i="2"/>
  <c r="F14" i="2"/>
  <c r="F35" i="2" s="1"/>
  <c r="E24" i="2"/>
  <c r="E11" i="2"/>
  <c r="E14" i="2"/>
  <c r="E35" i="2" s="1"/>
  <c r="D24" i="2"/>
  <c r="D11" i="2"/>
  <c r="D14" i="2"/>
  <c r="D35" i="2" s="1"/>
  <c r="C24" i="2"/>
  <c r="C11" i="2"/>
  <c r="C14" i="2"/>
  <c r="C35" i="2" s="1"/>
  <c r="B11" i="2"/>
  <c r="K11" i="2" s="1"/>
  <c r="K9" i="2"/>
  <c r="K14" i="2" s="1"/>
  <c r="K35" i="2" s="1"/>
  <c r="B24" i="2"/>
  <c r="B14" i="2"/>
  <c r="B35" i="2" s="1"/>
  <c r="E66" i="1"/>
  <c r="K66" i="1" s="1"/>
  <c r="K64" i="1"/>
  <c r="L63" i="1"/>
  <c r="I66" i="1"/>
  <c r="L66" i="1" s="1"/>
  <c r="I68" i="1"/>
  <c r="L68" i="1" s="1"/>
  <c r="H68" i="1"/>
  <c r="H69" i="1" s="1"/>
  <c r="G68" i="1"/>
  <c r="G69" i="1" s="1"/>
  <c r="K60" i="1"/>
  <c r="E62" i="1"/>
  <c r="F8" i="1"/>
  <c r="F50" i="1"/>
  <c r="E8" i="1"/>
  <c r="E50" i="1"/>
  <c r="D8" i="1"/>
  <c r="D50" i="1"/>
  <c r="C50" i="1"/>
  <c r="C8" i="1"/>
  <c r="B50" i="1"/>
  <c r="K6" i="1"/>
  <c r="K50" i="1" s="1"/>
  <c r="B8" i="1"/>
  <c r="I7" i="2"/>
  <c r="I6" i="1"/>
  <c r="I8" i="1" s="1"/>
  <c r="H6" i="1"/>
  <c r="H8" i="1" s="1"/>
  <c r="H7" i="2"/>
  <c r="G6" i="1"/>
  <c r="L4" i="1"/>
  <c r="G7" i="2"/>
  <c r="D69" i="1" l="1"/>
  <c r="G8" i="1"/>
  <c r="L6" i="1"/>
  <c r="L25" i="2"/>
  <c r="B69" i="1"/>
  <c r="C68" i="1"/>
  <c r="C69" i="1" s="1"/>
  <c r="L62" i="1"/>
  <c r="I67" i="1"/>
  <c r="F30" i="2"/>
  <c r="K29" i="2"/>
  <c r="F26" i="2"/>
  <c r="F31" i="2" s="1"/>
  <c r="F37" i="2" s="1"/>
  <c r="F39" i="2"/>
  <c r="E26" i="2"/>
  <c r="E39" i="2" s="1"/>
  <c r="D26" i="2"/>
  <c r="D39" i="2" s="1"/>
  <c r="C26" i="2"/>
  <c r="C39" i="2"/>
  <c r="K24" i="2"/>
  <c r="B26" i="2"/>
  <c r="B31" i="2" s="1"/>
  <c r="B37" i="2" s="1"/>
  <c r="B39" i="2"/>
  <c r="K62" i="1"/>
  <c r="E67" i="1"/>
  <c r="L8" i="1"/>
  <c r="F11" i="1"/>
  <c r="F16" i="1"/>
  <c r="F30" i="1"/>
  <c r="F31" i="1"/>
  <c r="F32" i="1"/>
  <c r="F33" i="1"/>
  <c r="E11" i="1"/>
  <c r="E29" i="1" s="1"/>
  <c r="E30" i="1"/>
  <c r="E31" i="1"/>
  <c r="E32" i="1"/>
  <c r="E33" i="1"/>
  <c r="E16" i="1"/>
  <c r="D11" i="1"/>
  <c r="D29" i="1" s="1"/>
  <c r="D16" i="1"/>
  <c r="D30" i="1"/>
  <c r="D31" i="1"/>
  <c r="D32" i="1"/>
  <c r="D33" i="1"/>
  <c r="C11" i="1"/>
  <c r="C29" i="1" s="1"/>
  <c r="C16" i="1"/>
  <c r="C30" i="1"/>
  <c r="C31" i="1"/>
  <c r="C32" i="1"/>
  <c r="C33" i="1"/>
  <c r="K8" i="1"/>
  <c r="B16" i="1"/>
  <c r="B11" i="1"/>
  <c r="B30" i="1"/>
  <c r="B31" i="1"/>
  <c r="B32" i="1"/>
  <c r="B33" i="1"/>
  <c r="I9" i="2"/>
  <c r="I11" i="1"/>
  <c r="I29" i="1" s="1"/>
  <c r="I16" i="1"/>
  <c r="I30" i="1"/>
  <c r="I31" i="1"/>
  <c r="I32" i="1"/>
  <c r="I33" i="1"/>
  <c r="H11" i="1"/>
  <c r="H29" i="1" s="1"/>
  <c r="H30" i="1"/>
  <c r="H31" i="1"/>
  <c r="H32" i="1"/>
  <c r="H33" i="1"/>
  <c r="H16" i="1"/>
  <c r="H9" i="2"/>
  <c r="G16" i="1"/>
  <c r="G30" i="1"/>
  <c r="G31" i="1"/>
  <c r="G32" i="1"/>
  <c r="G33" i="1"/>
  <c r="G11" i="1"/>
  <c r="G29" i="1" s="1"/>
  <c r="L7" i="2"/>
  <c r="G9" i="2"/>
  <c r="L19" i="2"/>
  <c r="L67" i="1" l="1"/>
  <c r="I69" i="1"/>
  <c r="L69" i="1" s="1"/>
  <c r="F40" i="2"/>
  <c r="F41" i="2"/>
  <c r="E40" i="2"/>
  <c r="E31" i="2"/>
  <c r="E37" i="2" s="1"/>
  <c r="E41" i="2"/>
  <c r="D31" i="2"/>
  <c r="D37" i="2" s="1"/>
  <c r="D40" i="2"/>
  <c r="D41" i="2"/>
  <c r="C40" i="2"/>
  <c r="C31" i="2"/>
  <c r="C37" i="2" s="1"/>
  <c r="C41" i="2"/>
  <c r="B40" i="2"/>
  <c r="K26" i="2"/>
  <c r="B41" i="2"/>
  <c r="K67" i="1"/>
  <c r="F68" i="1"/>
  <c r="F69" i="1" s="1"/>
  <c r="E69" i="1"/>
  <c r="K69" i="1" s="1"/>
  <c r="L32" i="1"/>
  <c r="L33" i="1"/>
  <c r="L30" i="1"/>
  <c r="L31" i="1"/>
  <c r="L11" i="1"/>
  <c r="L29" i="1" s="1"/>
  <c r="F29" i="1"/>
  <c r="L16" i="1"/>
  <c r="L34" i="1" s="1"/>
  <c r="F18" i="1"/>
  <c r="F41" i="1"/>
  <c r="F34" i="1"/>
  <c r="E18" i="1"/>
  <c r="E34" i="1"/>
  <c r="E41" i="1"/>
  <c r="D18" i="1"/>
  <c r="D41" i="1"/>
  <c r="D34" i="1"/>
  <c r="C18" i="1"/>
  <c r="C41" i="1"/>
  <c r="C34" i="1"/>
  <c r="K30" i="1"/>
  <c r="K31" i="1"/>
  <c r="K32" i="1"/>
  <c r="K33" i="1"/>
  <c r="K16" i="1"/>
  <c r="K34" i="1" s="1"/>
  <c r="B18" i="1"/>
  <c r="B41" i="1"/>
  <c r="B34" i="1"/>
  <c r="B29" i="1"/>
  <c r="K11" i="1"/>
  <c r="K29" i="1" s="1"/>
  <c r="I10" i="2"/>
  <c r="I24" i="2"/>
  <c r="I18" i="1"/>
  <c r="I49" i="1"/>
  <c r="I34" i="1"/>
  <c r="I41" i="1"/>
  <c r="H34" i="1"/>
  <c r="H18" i="1"/>
  <c r="H41" i="1"/>
  <c r="H49" i="1"/>
  <c r="H10" i="2"/>
  <c r="H24" i="2"/>
  <c r="G18" i="1"/>
  <c r="G41" i="1"/>
  <c r="G34" i="1"/>
  <c r="G49" i="1"/>
  <c r="L9" i="2"/>
  <c r="L10" i="2" s="1"/>
  <c r="G10" i="2"/>
  <c r="G24" i="2"/>
  <c r="K39" i="2" l="1"/>
  <c r="K31" i="2"/>
  <c r="K37" i="2" s="1"/>
  <c r="K40" i="2"/>
  <c r="K41" i="2"/>
  <c r="L18" i="1"/>
  <c r="L35" i="1" s="1"/>
  <c r="F37" i="1"/>
  <c r="F20" i="1"/>
  <c r="F35" i="1"/>
  <c r="L41" i="1"/>
  <c r="F43" i="1"/>
  <c r="F55" i="1"/>
  <c r="E37" i="1"/>
  <c r="E20" i="1"/>
  <c r="E35" i="1"/>
  <c r="E43" i="1"/>
  <c r="E38" i="1" s="1"/>
  <c r="E55" i="1"/>
  <c r="E57" i="1" s="1"/>
  <c r="E70" i="1" s="1"/>
  <c r="K70" i="1" s="1"/>
  <c r="D20" i="1"/>
  <c r="D37" i="1"/>
  <c r="D35" i="1"/>
  <c r="D43" i="1"/>
  <c r="D38" i="1" s="1"/>
  <c r="D55" i="1"/>
  <c r="D57" i="1" s="1"/>
  <c r="D70" i="1" s="1"/>
  <c r="C20" i="1"/>
  <c r="C35" i="1"/>
  <c r="C37" i="1"/>
  <c r="C43" i="1"/>
  <c r="C38" i="1" s="1"/>
  <c r="C55" i="1"/>
  <c r="C57" i="1" s="1"/>
  <c r="C70" i="1" s="1"/>
  <c r="B20" i="1"/>
  <c r="B37" i="1"/>
  <c r="K18" i="1"/>
  <c r="B35" i="1"/>
  <c r="B55" i="1"/>
  <c r="K41" i="1"/>
  <c r="B43" i="1"/>
  <c r="I26" i="2"/>
  <c r="I39" i="2" s="1"/>
  <c r="I19" i="1"/>
  <c r="I20" i="1"/>
  <c r="I35" i="1"/>
  <c r="I12" i="2"/>
  <c r="I50" i="1"/>
  <c r="I43" i="1"/>
  <c r="I38" i="1" s="1"/>
  <c r="I55" i="1"/>
  <c r="I57" i="1" s="1"/>
  <c r="I70" i="1" s="1"/>
  <c r="L70" i="1" s="1"/>
  <c r="H19" i="1"/>
  <c r="H20" i="1"/>
  <c r="H35" i="1"/>
  <c r="H43" i="1"/>
  <c r="H38" i="1" s="1"/>
  <c r="H55" i="1"/>
  <c r="H57" i="1" s="1"/>
  <c r="H70" i="1" s="1"/>
  <c r="H50" i="1"/>
  <c r="H12" i="2"/>
  <c r="H26" i="2"/>
  <c r="H39" i="2"/>
  <c r="G19" i="1"/>
  <c r="G35" i="1"/>
  <c r="G43" i="1"/>
  <c r="G38" i="1" s="1"/>
  <c r="G55" i="1"/>
  <c r="G57" i="1" s="1"/>
  <c r="G70" i="1" s="1"/>
  <c r="L49" i="1"/>
  <c r="L50" i="1" s="1"/>
  <c r="G50" i="1"/>
  <c r="G12" i="2"/>
  <c r="L24" i="2"/>
  <c r="G26" i="2"/>
  <c r="G39" i="2"/>
  <c r="F24" i="1" l="1"/>
  <c r="F36" i="1"/>
  <c r="L20" i="1"/>
  <c r="L36" i="1" s="1"/>
  <c r="F25" i="1"/>
  <c r="L43" i="1"/>
  <c r="L38" i="1" s="1"/>
  <c r="F38" i="1"/>
  <c r="L55" i="1"/>
  <c r="F57" i="1"/>
  <c r="E24" i="1"/>
  <c r="E25" i="1"/>
  <c r="E36" i="1"/>
  <c r="D36" i="1"/>
  <c r="D24" i="1"/>
  <c r="D25" i="1"/>
  <c r="C24" i="1"/>
  <c r="C36" i="1"/>
  <c r="C25" i="1"/>
  <c r="K20" i="1"/>
  <c r="K36" i="1" s="1"/>
  <c r="B25" i="1"/>
  <c r="B24" i="1"/>
  <c r="B36" i="1"/>
  <c r="K37" i="1"/>
  <c r="K35" i="1"/>
  <c r="K55" i="1"/>
  <c r="B57" i="1"/>
  <c r="K43" i="1"/>
  <c r="K38" i="1" s="1"/>
  <c r="B38" i="1"/>
  <c r="I41" i="2"/>
  <c r="I40" i="2"/>
  <c r="I24" i="1"/>
  <c r="I25" i="1"/>
  <c r="I36" i="1"/>
  <c r="I11" i="2"/>
  <c r="I27" i="2"/>
  <c r="I29" i="2" s="1"/>
  <c r="I13" i="2"/>
  <c r="I14" i="2"/>
  <c r="I35" i="2" s="1"/>
  <c r="H24" i="1"/>
  <c r="H25" i="1"/>
  <c r="H36" i="1"/>
  <c r="H11" i="2"/>
  <c r="H27" i="2"/>
  <c r="H29" i="2" s="1"/>
  <c r="H13" i="2"/>
  <c r="H14" i="2"/>
  <c r="H35" i="2" s="1"/>
  <c r="H41" i="2"/>
  <c r="H40" i="2"/>
  <c r="G11" i="2"/>
  <c r="G27" i="2"/>
  <c r="L12" i="2"/>
  <c r="G13" i="2"/>
  <c r="G14" i="2"/>
  <c r="G35" i="2" s="1"/>
  <c r="L26" i="2"/>
  <c r="G41" i="2"/>
  <c r="G40" i="2"/>
  <c r="L19" i="1"/>
  <c r="L37" i="1" s="1"/>
  <c r="G20" i="1"/>
  <c r="K25" i="1" l="1"/>
  <c r="K24" i="1"/>
  <c r="F70" i="1"/>
  <c r="L57" i="1"/>
  <c r="L56" i="1" s="1"/>
  <c r="K57" i="1"/>
  <c r="K56" i="1" s="1"/>
  <c r="B70" i="1"/>
  <c r="I30" i="2"/>
  <c r="I31" i="2"/>
  <c r="I37" i="2" s="1"/>
  <c r="H30" i="2"/>
  <c r="H31" i="2"/>
  <c r="H37" i="2" s="1"/>
  <c r="L27" i="2"/>
  <c r="G29" i="2"/>
  <c r="L13" i="2"/>
  <c r="L14" i="2"/>
  <c r="L35" i="2" s="1"/>
  <c r="L39" i="2"/>
  <c r="L40" i="2"/>
  <c r="L41" i="2"/>
  <c r="G36" i="1"/>
  <c r="G25" i="1"/>
  <c r="L25" i="1" s="1"/>
  <c r="G24" i="1"/>
  <c r="L24" i="1" s="1"/>
  <c r="L11" i="2"/>
  <c r="L29" i="2" l="1"/>
  <c r="G30" i="2"/>
  <c r="G31" i="2"/>
  <c r="G37" i="2" s="1"/>
  <c r="L31" i="2" l="1"/>
  <c r="L37" i="2" s="1"/>
  <c r="L30" i="2"/>
</calcChain>
</file>

<file path=xl/sharedStrings.xml><?xml version="1.0" encoding="utf-8"?>
<sst xmlns="http://schemas.openxmlformats.org/spreadsheetml/2006/main" count="157" uniqueCount="113">
  <si>
    <t>Q125</t>
  </si>
  <si>
    <t>Q225</t>
  </si>
  <si>
    <t>Q325</t>
  </si>
  <si>
    <t>Q425</t>
  </si>
  <si>
    <t>Q126</t>
  </si>
  <si>
    <t>Advertising</t>
  </si>
  <si>
    <t>Other revenue</t>
  </si>
  <si>
    <t>Family of Apps</t>
  </si>
  <si>
    <t>Reality Labs</t>
  </si>
  <si>
    <t>Total revenue</t>
  </si>
  <si>
    <t>Cost of revenue</t>
  </si>
  <si>
    <t>Gross profit</t>
  </si>
  <si>
    <t>Research and development</t>
  </si>
  <si>
    <t>Marketing and sales</t>
  </si>
  <si>
    <t>General and administrative</t>
  </si>
  <si>
    <t>Total costs and expenses</t>
  </si>
  <si>
    <t>Income from operations</t>
  </si>
  <si>
    <t>Interest and other income (expense), net</t>
  </si>
  <si>
    <t>Income before income taxes</t>
  </si>
  <si>
    <t>Provision (benefit) for income taxes</t>
  </si>
  <si>
    <t>Net income</t>
  </si>
  <si>
    <t>Weighted average basic shares</t>
  </si>
  <si>
    <t>Weighted average diluted shares</t>
  </si>
  <si>
    <t>Basic EPS</t>
  </si>
  <si>
    <t>Diluted EPS</t>
  </si>
  <si>
    <t>Key Performance Indicators</t>
  </si>
  <si>
    <t>Margins</t>
  </si>
  <si>
    <t>Gross margin</t>
  </si>
  <si>
    <t>Cost of revenue as % of revenue</t>
  </si>
  <si>
    <t>Research and development as % of revenue</t>
  </si>
  <si>
    <t>Marketing and sales as % of revenue</t>
  </si>
  <si>
    <t>General and administrative as % of revenue</t>
  </si>
  <si>
    <t>Operating margin</t>
  </si>
  <si>
    <t>Pre-tax margin</t>
  </si>
  <si>
    <t>Net margin</t>
  </si>
  <si>
    <t>Effective tax rate</t>
  </si>
  <si>
    <t>EBITDA margin</t>
  </si>
  <si>
    <t>Profitability and Operating KPIs</t>
  </si>
  <si>
    <t>EBIT</t>
  </si>
  <si>
    <t>D&amp;A</t>
  </si>
  <si>
    <t>EBITDA</t>
  </si>
  <si>
    <t>Family daily active people (billions)</t>
  </si>
  <si>
    <t>Family DAP growth</t>
  </si>
  <si>
    <t>Ad impressions growth</t>
  </si>
  <si>
    <t>Average price per ad growth</t>
  </si>
  <si>
    <t>Headcount</t>
  </si>
  <si>
    <t>Family of Apps operating income</t>
  </si>
  <si>
    <t>Family of Apps operating margin</t>
  </si>
  <si>
    <t>Reality Labs operating income (loss)</t>
  </si>
  <si>
    <t>Reality Labs operating margin</t>
  </si>
  <si>
    <t>NOPAT</t>
  </si>
  <si>
    <t>Capex</t>
  </si>
  <si>
    <t>Accounts receivable, net</t>
  </si>
  <si>
    <t>Prepaid expenses and other current assets</t>
  </si>
  <si>
    <t>Operating current assets</t>
  </si>
  <si>
    <t>Accounts payable</t>
  </si>
  <si>
    <t>Operating lease liabilities, current</t>
  </si>
  <si>
    <t>Accrued expenses and other current liabilities</t>
  </si>
  <si>
    <t>Operating current liabilities</t>
  </si>
  <si>
    <t>NOWC</t>
  </si>
  <si>
    <t>Prior quarter NOWC</t>
  </si>
  <si>
    <t>Investment in NOWC</t>
  </si>
  <si>
    <t>FCFF</t>
  </si>
  <si>
    <t>Balance Sheet</t>
  </si>
  <si>
    <t>Assets</t>
  </si>
  <si>
    <t>Cash and cash equivalents</t>
  </si>
  <si>
    <t>Marketable securities</t>
  </si>
  <si>
    <t>Total cash, cash equivalents, and marketable securities</t>
  </si>
  <si>
    <t>Total current assets</t>
  </si>
  <si>
    <t>Non-marketable equity investments</t>
  </si>
  <si>
    <t>Property and equipment, net</t>
  </si>
  <si>
    <t>Operating lease right-of-use assets</t>
  </si>
  <si>
    <t>Goodwill</t>
  </si>
  <si>
    <t>Other assets</t>
  </si>
  <si>
    <t>Total assets</t>
  </si>
  <si>
    <t>Liabilities and Stockholders' Equity</t>
  </si>
  <si>
    <t>Total current liabilities</t>
  </si>
  <si>
    <t>Operating lease liabilities, non-current</t>
  </si>
  <si>
    <t>Long-term debt</t>
  </si>
  <si>
    <t>Long-term income taxes</t>
  </si>
  <si>
    <t>Other liabilities</t>
  </si>
  <si>
    <t>Total liabilities</t>
  </si>
  <si>
    <t>Stockholders' Equity</t>
  </si>
  <si>
    <t>Common stock and additional paid-in capital</t>
  </si>
  <si>
    <t>Accumulated other comprehensive income (loss)</t>
  </si>
  <si>
    <t>Retained earnings</t>
  </si>
  <si>
    <t>Total stockholders' equity</t>
  </si>
  <si>
    <t>Total liabilities and stockholders' equity</t>
  </si>
  <si>
    <t>Meta Platforms Segment Profitability</t>
  </si>
  <si>
    <t>USD in millions</t>
  </si>
  <si>
    <t>Segment Profitability</t>
  </si>
  <si>
    <t>Revenue</t>
  </si>
  <si>
    <t>Revenue growth</t>
  </si>
  <si>
    <t>Operating income</t>
  </si>
  <si>
    <t>Operating income growth</t>
  </si>
  <si>
    <t>Operating income (loss)</t>
  </si>
  <si>
    <t>Consolidated Reconciliation</t>
  </si>
  <si>
    <t>Family of Apps revenue</t>
  </si>
  <si>
    <t>Reality Labs revenue</t>
  </si>
  <si>
    <t>Total income from operations</t>
  </si>
  <si>
    <t>Profitability Summary</t>
  </si>
  <si>
    <t>Consolidated operating margin</t>
  </si>
  <si>
    <t>Family of Apps revenue mix</t>
  </si>
  <si>
    <t>Reality Labs revenue mix</t>
  </si>
  <si>
    <t>Advertising as % of total revenue</t>
  </si>
  <si>
    <t>Meta Platforms Quarterly Model</t>
  </si>
  <si>
    <t>Q226</t>
  </si>
  <si>
    <t>Q326</t>
  </si>
  <si>
    <t>Q426</t>
  </si>
  <si>
    <t>FY25</t>
  </si>
  <si>
    <t>FY26</t>
  </si>
  <si>
    <t>Free Cash Flow to Firm</t>
  </si>
  <si>
    <t>Normalized operating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</si>
</sst>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0;\(0.00\);\-"/>
    <numFmt numFmtId="167" formatCode="0.0%"/>
    <numFmt numFmtId="168" formatCode="0.0%;\(0.0%\);\-"/>
  </numFmts>
  <fonts count="4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2" fontId="1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168" fontId="1" fillId="0" borderId="2" xfId="0" applyNumberFormat="1" applyFon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showGridLines="0" tabSelected="1" workbookViewId="0">
      <pane xSplit="1" ySplit="2" topLeftCell="H3" activePane="bottomRight" state="frozen"/>
      <selection pane="topRight" activeCell="B1" sqref="B1"/>
      <selection pane="bottomLeft" activeCell="A3" sqref="A3"/>
      <selection pane="bottomRight" activeCell="L24" sqref="L24"/>
    </sheetView>
  </sheetViews>
  <sheetFormatPr defaultRowHeight="15" x14ac:dyDescent="0.25"/>
  <cols>
    <col min="1" max="1" width="44" customWidth="1"/>
    <col min="2" max="5" width="12" customWidth="1"/>
    <col min="6" max="6" width="12" style="1" customWidth="1"/>
    <col min="7" max="9" width="12" customWidth="1"/>
    <col min="10" max="10" width="12.28515625" customWidth="1"/>
    <col min="11" max="12" width="12" customWidth="1"/>
  </cols>
  <sheetData>
    <row r="1" spans="1:12" ht="15" customHeight="1" x14ac:dyDescent="0.25">
      <c r="A1" s="2" t="s">
        <v>105</v>
      </c>
      <c r="B1" s="3"/>
      <c r="C1" s="3"/>
      <c r="D1" s="3"/>
      <c r="E1" s="3"/>
      <c r="F1" s="3"/>
      <c r="G1" s="12"/>
      <c r="H1" s="12"/>
      <c r="I1" s="12"/>
      <c r="J1" s="4"/>
      <c r="K1" s="12"/>
      <c r="L1" s="12"/>
    </row>
    <row r="2" spans="1:12" ht="15" customHeight="1" x14ac:dyDescent="0.25">
      <c r="A2" s="5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106</v>
      </c>
      <c r="H2" s="3" t="s">
        <v>107</v>
      </c>
      <c r="I2" s="3" t="s">
        <v>108</v>
      </c>
      <c r="J2" s="4"/>
      <c r="K2" s="3" t="s">
        <v>109</v>
      </c>
      <c r="L2" s="3" t="s">
        <v>110</v>
      </c>
    </row>
    <row r="3" spans="1:12" ht="15" customHeight="1" x14ac:dyDescent="0.25">
      <c r="A3" s="5"/>
      <c r="B3" s="3"/>
      <c r="C3" s="3"/>
      <c r="D3" s="3"/>
      <c r="E3" s="3"/>
      <c r="F3" s="3"/>
      <c r="G3" s="3"/>
      <c r="H3" s="3"/>
      <c r="I3" s="3"/>
      <c r="J3" s="4"/>
      <c r="K3" s="12"/>
      <c r="L3" s="3"/>
    </row>
    <row r="4" spans="1:12" ht="15" customHeight="1" x14ac:dyDescent="0.25">
      <c r="A4" s="5" t="s">
        <v>5</v>
      </c>
      <c r="B4" s="7">
        <v>41392</v>
      </c>
      <c r="C4" s="7">
        <v>46563</v>
      </c>
      <c r="D4" s="7">
        <v>50082</v>
      </c>
      <c r="E4" s="7">
        <v>58137</v>
      </c>
      <c r="F4" s="7">
        <v>55024</v>
      </c>
      <c r="G4" s="7">
        <f>C4*(1+G46)*(1+G47)</f>
        <v>58902.195</v>
      </c>
      <c r="H4" s="7">
        <f>D4*(1+H46)*(1+H47)</f>
        <v>61685.999400000001</v>
      </c>
      <c r="I4" s="7">
        <f>E4*(1+I46)*(1+I47)</f>
        <v>70662.616650000011</v>
      </c>
      <c r="J4" s="4"/>
      <c r="K4" s="7">
        <f>SUM(B4:E4)</f>
        <v>196174</v>
      </c>
      <c r="L4" s="7">
        <f>SUM(F4:I4)</f>
        <v>246274.81105000002</v>
      </c>
    </row>
    <row r="5" spans="1:12" ht="15" customHeight="1" x14ac:dyDescent="0.25">
      <c r="A5" s="5" t="s">
        <v>6</v>
      </c>
      <c r="B5" s="7">
        <v>510</v>
      </c>
      <c r="C5" s="7">
        <v>583</v>
      </c>
      <c r="D5" s="7">
        <v>690</v>
      </c>
      <c r="E5" s="7">
        <v>801</v>
      </c>
      <c r="F5" s="7">
        <v>885</v>
      </c>
      <c r="G5" s="7">
        <v>990</v>
      </c>
      <c r="H5" s="7">
        <v>1100</v>
      </c>
      <c r="I5" s="7">
        <v>1200</v>
      </c>
      <c r="J5" s="4"/>
      <c r="K5" s="7">
        <f t="shared" ref="K5:K8" si="0">SUM(B5:E5)</f>
        <v>2584</v>
      </c>
      <c r="L5" s="7">
        <f t="shared" ref="L5:L8" si="1">SUM(F5:I5)</f>
        <v>4175</v>
      </c>
    </row>
    <row r="6" spans="1:12" ht="15" customHeight="1" x14ac:dyDescent="0.25">
      <c r="A6" s="2" t="s">
        <v>7</v>
      </c>
      <c r="B6" s="8">
        <f>SUM(B4:B5)</f>
        <v>41902</v>
      </c>
      <c r="C6" s="8">
        <f>SUM(C4:C5)</f>
        <v>47146</v>
      </c>
      <c r="D6" s="8">
        <f>SUM(D4:D5)</f>
        <v>50772</v>
      </c>
      <c r="E6" s="8">
        <f>SUM(E4:E5)</f>
        <v>58938</v>
      </c>
      <c r="F6" s="8">
        <f>SUM(F4:F5)</f>
        <v>55909</v>
      </c>
      <c r="G6" s="8">
        <f t="shared" ref="G6:I6" si="2">SUM(G4:G5)</f>
        <v>59892.195</v>
      </c>
      <c r="H6" s="8">
        <f t="shared" si="2"/>
        <v>62785.999400000001</v>
      </c>
      <c r="I6" s="8">
        <f t="shared" si="2"/>
        <v>71862.616650000011</v>
      </c>
      <c r="J6" s="17"/>
      <c r="K6" s="8">
        <f t="shared" si="0"/>
        <v>198758</v>
      </c>
      <c r="L6" s="8">
        <f t="shared" si="1"/>
        <v>250449.81105000002</v>
      </c>
    </row>
    <row r="7" spans="1:12" ht="15" customHeight="1" x14ac:dyDescent="0.25">
      <c r="A7" s="5" t="s">
        <v>8</v>
      </c>
      <c r="B7" s="7">
        <v>412</v>
      </c>
      <c r="C7" s="7">
        <v>370</v>
      </c>
      <c r="D7" s="7">
        <v>470</v>
      </c>
      <c r="E7" s="7">
        <v>955</v>
      </c>
      <c r="F7" s="7">
        <v>402</v>
      </c>
      <c r="G7" s="7">
        <v>445</v>
      </c>
      <c r="H7" s="7">
        <v>540</v>
      </c>
      <c r="I7" s="7">
        <v>1100</v>
      </c>
      <c r="J7" s="4"/>
      <c r="K7" s="7">
        <f t="shared" si="0"/>
        <v>2207</v>
      </c>
      <c r="L7" s="7">
        <f t="shared" si="1"/>
        <v>2487</v>
      </c>
    </row>
    <row r="8" spans="1:12" ht="15" customHeight="1" x14ac:dyDescent="0.25">
      <c r="A8" s="2" t="s">
        <v>9</v>
      </c>
      <c r="B8" s="8">
        <f>SUM(B6:B7)</f>
        <v>42314</v>
      </c>
      <c r="C8" s="8">
        <f>SUM(C6:C7)</f>
        <v>47516</v>
      </c>
      <c r="D8" s="8">
        <f>SUM(D6:D7)</f>
        <v>51242</v>
      </c>
      <c r="E8" s="8">
        <f>SUM(E6:E7)</f>
        <v>59893</v>
      </c>
      <c r="F8" s="8">
        <f>SUM(F6:F7)</f>
        <v>56311</v>
      </c>
      <c r="G8" s="8">
        <f t="shared" ref="G8:I8" si="3">SUM(G6:G7)</f>
        <v>60337.195</v>
      </c>
      <c r="H8" s="8">
        <f t="shared" si="3"/>
        <v>63325.999400000001</v>
      </c>
      <c r="I8" s="8">
        <f t="shared" si="3"/>
        <v>72962.616650000011</v>
      </c>
      <c r="J8" s="17"/>
      <c r="K8" s="8">
        <f t="shared" si="0"/>
        <v>200965</v>
      </c>
      <c r="L8" s="8">
        <f t="shared" si="1"/>
        <v>252936.81105000002</v>
      </c>
    </row>
    <row r="9" spans="1:12" ht="15" customHeight="1" x14ac:dyDescent="0.25">
      <c r="A9" s="5"/>
      <c r="B9" s="7"/>
      <c r="C9" s="7"/>
      <c r="D9" s="7"/>
      <c r="E9" s="7"/>
      <c r="F9" s="7"/>
      <c r="G9" s="7"/>
      <c r="H9" s="7"/>
      <c r="I9" s="7"/>
      <c r="J9" s="4"/>
      <c r="K9" s="7"/>
      <c r="L9" s="7"/>
    </row>
    <row r="10" spans="1:12" ht="15" customHeight="1" x14ac:dyDescent="0.25">
      <c r="A10" s="5" t="s">
        <v>10</v>
      </c>
      <c r="B10" s="7">
        <v>7572</v>
      </c>
      <c r="C10" s="7">
        <v>8491</v>
      </c>
      <c r="D10" s="7">
        <v>9206</v>
      </c>
      <c r="E10" s="7">
        <v>10905</v>
      </c>
      <c r="F10" s="7">
        <v>10218</v>
      </c>
      <c r="G10" s="7">
        <v>11500</v>
      </c>
      <c r="H10" s="7">
        <v>12700</v>
      </c>
      <c r="I10" s="7">
        <v>14600</v>
      </c>
      <c r="J10" s="4"/>
      <c r="K10" s="7">
        <f t="shared" ref="K10:K20" si="4">SUM(B10:E10)</f>
        <v>36174</v>
      </c>
      <c r="L10" s="7">
        <f t="shared" ref="L10:L20" si="5">SUM(F10:I10)</f>
        <v>49018</v>
      </c>
    </row>
    <row r="11" spans="1:12" ht="15" customHeight="1" x14ac:dyDescent="0.25">
      <c r="A11" s="2" t="s">
        <v>11</v>
      </c>
      <c r="B11" s="8">
        <f>B8-B10</f>
        <v>34742</v>
      </c>
      <c r="C11" s="8">
        <f>C8-C10</f>
        <v>39025</v>
      </c>
      <c r="D11" s="8">
        <f>D8-D10</f>
        <v>42036</v>
      </c>
      <c r="E11" s="8">
        <f>E8-E10</f>
        <v>48988</v>
      </c>
      <c r="F11" s="8">
        <f>F8-F10</f>
        <v>46093</v>
      </c>
      <c r="G11" s="8">
        <f t="shared" ref="G11:I11" si="6">G8-G10</f>
        <v>48837.195</v>
      </c>
      <c r="H11" s="8">
        <f t="shared" si="6"/>
        <v>50625.999400000001</v>
      </c>
      <c r="I11" s="8">
        <f t="shared" si="6"/>
        <v>58362.616650000011</v>
      </c>
      <c r="J11" s="17"/>
      <c r="K11" s="8">
        <f t="shared" si="4"/>
        <v>164791</v>
      </c>
      <c r="L11" s="8">
        <f t="shared" si="5"/>
        <v>203918.81105000002</v>
      </c>
    </row>
    <row r="12" spans="1:12" ht="15" customHeight="1" x14ac:dyDescent="0.25">
      <c r="A12" s="5" t="s">
        <v>12</v>
      </c>
      <c r="B12" s="7">
        <v>12150</v>
      </c>
      <c r="C12" s="7">
        <v>12942</v>
      </c>
      <c r="D12" s="7">
        <v>15144</v>
      </c>
      <c r="E12" s="7">
        <v>17136</v>
      </c>
      <c r="F12" s="7">
        <v>17699</v>
      </c>
      <c r="G12" s="7">
        <v>21700</v>
      </c>
      <c r="H12" s="7">
        <v>24000</v>
      </c>
      <c r="I12" s="7">
        <v>27300</v>
      </c>
      <c r="J12" s="4"/>
      <c r="K12" s="7">
        <f t="shared" si="4"/>
        <v>57372</v>
      </c>
      <c r="L12" s="7">
        <f t="shared" si="5"/>
        <v>90699</v>
      </c>
    </row>
    <row r="13" spans="1:12" ht="15" customHeight="1" x14ac:dyDescent="0.25">
      <c r="A13" s="5" t="s">
        <v>13</v>
      </c>
      <c r="B13" s="7">
        <v>2757</v>
      </c>
      <c r="C13" s="7">
        <v>2979</v>
      </c>
      <c r="D13" s="7">
        <v>2845</v>
      </c>
      <c r="E13" s="7">
        <v>3410</v>
      </c>
      <c r="F13" s="7">
        <v>2908</v>
      </c>
      <c r="G13" s="7">
        <v>3000</v>
      </c>
      <c r="H13" s="7">
        <v>3200</v>
      </c>
      <c r="I13" s="7">
        <v>3800</v>
      </c>
      <c r="J13" s="4"/>
      <c r="K13" s="7">
        <f t="shared" si="4"/>
        <v>11991</v>
      </c>
      <c r="L13" s="7">
        <f t="shared" si="5"/>
        <v>12908</v>
      </c>
    </row>
    <row r="14" spans="1:12" ht="15" customHeight="1" x14ac:dyDescent="0.25">
      <c r="A14" s="5" t="s">
        <v>14</v>
      </c>
      <c r="B14" s="7">
        <v>2280</v>
      </c>
      <c r="C14" s="7">
        <v>2663</v>
      </c>
      <c r="D14" s="7">
        <v>3512</v>
      </c>
      <c r="E14" s="7">
        <v>3697</v>
      </c>
      <c r="F14" s="7">
        <v>2614</v>
      </c>
      <c r="G14" s="7">
        <v>2800</v>
      </c>
      <c r="H14" s="7">
        <v>3600</v>
      </c>
      <c r="I14" s="7">
        <v>3861</v>
      </c>
      <c r="J14" s="4"/>
      <c r="K14" s="7">
        <f t="shared" si="4"/>
        <v>12152</v>
      </c>
      <c r="L14" s="7">
        <f t="shared" si="5"/>
        <v>12875</v>
      </c>
    </row>
    <row r="15" spans="1:12" ht="15" customHeight="1" x14ac:dyDescent="0.25">
      <c r="A15" s="2" t="s">
        <v>15</v>
      </c>
      <c r="B15" s="8">
        <f>SUM(B10,B12:B14)</f>
        <v>24759</v>
      </c>
      <c r="C15" s="8">
        <f>SUM(C10,C12:C14)</f>
        <v>27075</v>
      </c>
      <c r="D15" s="8">
        <f>SUM(D10,D12:D14)</f>
        <v>30707</v>
      </c>
      <c r="E15" s="8">
        <f>SUM(E10,E12:E14)</f>
        <v>35148</v>
      </c>
      <c r="F15" s="8">
        <f>SUM(F10,F12:F14)</f>
        <v>33439</v>
      </c>
      <c r="G15" s="8">
        <f t="shared" ref="G15:I15" si="7">SUM(G10,G12:G14)</f>
        <v>39000</v>
      </c>
      <c r="H15" s="8">
        <f t="shared" si="7"/>
        <v>43500</v>
      </c>
      <c r="I15" s="8">
        <f t="shared" si="7"/>
        <v>49561</v>
      </c>
      <c r="J15" s="17"/>
      <c r="K15" s="8">
        <f t="shared" si="4"/>
        <v>117689</v>
      </c>
      <c r="L15" s="8">
        <f t="shared" si="5"/>
        <v>165500</v>
      </c>
    </row>
    <row r="16" spans="1:12" ht="15" customHeight="1" x14ac:dyDescent="0.25">
      <c r="A16" s="2" t="s">
        <v>16</v>
      </c>
      <c r="B16" s="8">
        <f>B8-B15</f>
        <v>17555</v>
      </c>
      <c r="C16" s="8">
        <f>C8-C15</f>
        <v>20441</v>
      </c>
      <c r="D16" s="8">
        <f>D8-D15</f>
        <v>20535</v>
      </c>
      <c r="E16" s="8">
        <f>E8-E15</f>
        <v>24745</v>
      </c>
      <c r="F16" s="8">
        <f>F8-F15</f>
        <v>22872</v>
      </c>
      <c r="G16" s="8">
        <f t="shared" ref="G16:I16" si="8">G8-G15</f>
        <v>21337.195</v>
      </c>
      <c r="H16" s="8">
        <f t="shared" si="8"/>
        <v>19825.999400000001</v>
      </c>
      <c r="I16" s="8">
        <f t="shared" si="8"/>
        <v>23401.616650000011</v>
      </c>
      <c r="J16" s="17"/>
      <c r="K16" s="8">
        <f t="shared" si="4"/>
        <v>83276</v>
      </c>
      <c r="L16" s="8">
        <f t="shared" si="5"/>
        <v>87436.811050000018</v>
      </c>
    </row>
    <row r="17" spans="1:12" ht="15" customHeight="1" x14ac:dyDescent="0.25">
      <c r="A17" s="5" t="s">
        <v>17</v>
      </c>
      <c r="B17" s="7">
        <v>827</v>
      </c>
      <c r="C17" s="7">
        <v>93</v>
      </c>
      <c r="D17" s="7">
        <v>1128</v>
      </c>
      <c r="E17" s="7">
        <v>609</v>
      </c>
      <c r="F17" s="7">
        <v>-1120</v>
      </c>
      <c r="G17" s="7">
        <v>490</v>
      </c>
      <c r="H17" s="7">
        <v>390</v>
      </c>
      <c r="I17" s="7">
        <v>280</v>
      </c>
      <c r="J17" s="4"/>
      <c r="K17" s="7">
        <f t="shared" si="4"/>
        <v>2657</v>
      </c>
      <c r="L17" s="7">
        <f t="shared" si="5"/>
        <v>40</v>
      </c>
    </row>
    <row r="18" spans="1:12" ht="15" customHeight="1" x14ac:dyDescent="0.25">
      <c r="A18" s="2" t="s">
        <v>18</v>
      </c>
      <c r="B18" s="8">
        <f>SUM(B16:B17)</f>
        <v>18382</v>
      </c>
      <c r="C18" s="8">
        <f>SUM(C16:C17)</f>
        <v>20534</v>
      </c>
      <c r="D18" s="8">
        <f>SUM(D16:D17)</f>
        <v>21663</v>
      </c>
      <c r="E18" s="8">
        <f>SUM(E16:E17)</f>
        <v>25354</v>
      </c>
      <c r="F18" s="8">
        <f>SUM(F16:F17)</f>
        <v>21752</v>
      </c>
      <c r="G18" s="8">
        <f t="shared" ref="G18:I18" si="9">SUM(G16:G17)</f>
        <v>21827.195</v>
      </c>
      <c r="H18" s="8">
        <f t="shared" si="9"/>
        <v>20215.999400000001</v>
      </c>
      <c r="I18" s="8">
        <f t="shared" si="9"/>
        <v>23681.616650000011</v>
      </c>
      <c r="J18" s="17"/>
      <c r="K18" s="8">
        <f t="shared" si="4"/>
        <v>85933</v>
      </c>
      <c r="L18" s="8">
        <f t="shared" si="5"/>
        <v>87476.811050000018</v>
      </c>
    </row>
    <row r="19" spans="1:12" ht="15" customHeight="1" x14ac:dyDescent="0.25">
      <c r="A19" s="5" t="s">
        <v>19</v>
      </c>
      <c r="B19" s="7">
        <v>1738</v>
      </c>
      <c r="C19" s="7">
        <v>2197</v>
      </c>
      <c r="D19" s="7">
        <v>18954</v>
      </c>
      <c r="E19" s="7">
        <v>2586</v>
      </c>
      <c r="F19" s="7">
        <v>-5021</v>
      </c>
      <c r="G19" s="7">
        <f>G18*G37</f>
        <v>3164.9432749999996</v>
      </c>
      <c r="H19" s="7">
        <f t="shared" ref="H19:I19" si="10">H18*H37</f>
        <v>2931.3199129999998</v>
      </c>
      <c r="I19" s="7">
        <f t="shared" si="10"/>
        <v>3433.8344142500014</v>
      </c>
      <c r="J19" s="4"/>
      <c r="K19" s="7">
        <f t="shared" si="4"/>
        <v>25475</v>
      </c>
      <c r="L19" s="7">
        <f t="shared" si="5"/>
        <v>4509.0976022500008</v>
      </c>
    </row>
    <row r="20" spans="1:12" ht="15" customHeight="1" x14ac:dyDescent="0.25">
      <c r="A20" s="2" t="s">
        <v>20</v>
      </c>
      <c r="B20" s="8">
        <f>B18-B19</f>
        <v>16644</v>
      </c>
      <c r="C20" s="8">
        <f>C18-C19</f>
        <v>18337</v>
      </c>
      <c r="D20" s="8">
        <f>D18-D19</f>
        <v>2709</v>
      </c>
      <c r="E20" s="8">
        <f>E18-E19</f>
        <v>22768</v>
      </c>
      <c r="F20" s="8">
        <f>F18-F19</f>
        <v>26773</v>
      </c>
      <c r="G20" s="8">
        <f t="shared" ref="G20:I20" si="11">G18-G19</f>
        <v>18662.251725000002</v>
      </c>
      <c r="H20" s="8">
        <f t="shared" si="11"/>
        <v>17284.679487000001</v>
      </c>
      <c r="I20" s="8">
        <f t="shared" si="11"/>
        <v>20247.782235750008</v>
      </c>
      <c r="J20" s="17"/>
      <c r="K20" s="8">
        <f t="shared" si="4"/>
        <v>60458</v>
      </c>
      <c r="L20" s="8">
        <f t="shared" si="5"/>
        <v>82967.713447750008</v>
      </c>
    </row>
    <row r="21" spans="1:12" ht="15" customHeight="1" x14ac:dyDescent="0.25">
      <c r="A21" s="5"/>
      <c r="B21" s="6"/>
      <c r="C21" s="6"/>
      <c r="D21" s="6"/>
      <c r="E21" s="6"/>
      <c r="F21" s="6"/>
      <c r="G21" s="6"/>
      <c r="H21" s="6"/>
      <c r="I21" s="6"/>
      <c r="J21" s="4"/>
      <c r="K21" s="8"/>
      <c r="L21" s="8"/>
    </row>
    <row r="22" spans="1:12" ht="15" customHeight="1" x14ac:dyDescent="0.25">
      <c r="A22" s="5" t="s">
        <v>21</v>
      </c>
      <c r="B22" s="7">
        <v>2527</v>
      </c>
      <c r="C22" s="7">
        <v>2518</v>
      </c>
      <c r="D22" s="7">
        <v>2517</v>
      </c>
      <c r="E22" s="7">
        <v>2525</v>
      </c>
      <c r="F22" s="7">
        <v>2534</v>
      </c>
      <c r="G22" s="7">
        <v>2534</v>
      </c>
      <c r="H22" s="7">
        <v>2534</v>
      </c>
      <c r="I22" s="7">
        <v>2534</v>
      </c>
      <c r="J22" s="4"/>
      <c r="K22" s="7">
        <f t="shared" ref="K22:K25" si="12">SUM(B22:E22)</f>
        <v>10087</v>
      </c>
      <c r="L22" s="7">
        <f t="shared" ref="L22:L23" si="13">AVERAGE(F22:I22)</f>
        <v>2534</v>
      </c>
    </row>
    <row r="23" spans="1:12" ht="15" customHeight="1" x14ac:dyDescent="0.25">
      <c r="A23" s="5" t="s">
        <v>22</v>
      </c>
      <c r="B23" s="7">
        <v>2590</v>
      </c>
      <c r="C23" s="7">
        <v>2570</v>
      </c>
      <c r="D23" s="7">
        <v>2572</v>
      </c>
      <c r="E23" s="7">
        <v>2565</v>
      </c>
      <c r="F23" s="7">
        <v>2564</v>
      </c>
      <c r="G23" s="7">
        <v>2564</v>
      </c>
      <c r="H23" s="7">
        <v>2564</v>
      </c>
      <c r="I23" s="7">
        <v>2564</v>
      </c>
      <c r="J23" s="4"/>
      <c r="K23" s="7">
        <f t="shared" si="12"/>
        <v>10297</v>
      </c>
      <c r="L23" s="7">
        <f t="shared" si="13"/>
        <v>2564</v>
      </c>
    </row>
    <row r="24" spans="1:12" ht="15" customHeight="1" x14ac:dyDescent="0.25">
      <c r="A24" s="2" t="s">
        <v>23</v>
      </c>
      <c r="B24" s="9">
        <f>B20/B22</f>
        <v>6.5864661654135341</v>
      </c>
      <c r="C24" s="9">
        <f>C20/C22</f>
        <v>7.2823669579030978</v>
      </c>
      <c r="D24" s="9">
        <f>D20/D22</f>
        <v>1.0762812872467222</v>
      </c>
      <c r="E24" s="9">
        <f>E20/E22</f>
        <v>9.0170297029702962</v>
      </c>
      <c r="F24" s="9">
        <f>F20/F22</f>
        <v>10.565509076558801</v>
      </c>
      <c r="G24" s="9">
        <f t="shared" ref="G24:I24" si="14">G20/G22</f>
        <v>7.3647402229676411</v>
      </c>
      <c r="H24" s="9">
        <f t="shared" si="14"/>
        <v>6.8211047699289669</v>
      </c>
      <c r="I24" s="9">
        <f t="shared" si="14"/>
        <v>7.9904428712509894</v>
      </c>
      <c r="J24" s="17"/>
      <c r="K24" s="9">
        <f t="shared" si="12"/>
        <v>23.96214411353365</v>
      </c>
      <c r="L24" s="9">
        <f>SUM(F24:I24)</f>
        <v>32.741796940706401</v>
      </c>
    </row>
    <row r="25" spans="1:12" ht="15" customHeight="1" x14ac:dyDescent="0.25">
      <c r="A25" s="2" t="s">
        <v>24</v>
      </c>
      <c r="B25" s="9">
        <f>B20/B23</f>
        <v>6.4262548262548265</v>
      </c>
      <c r="C25" s="9">
        <f>C20/C23</f>
        <v>7.1350194552529187</v>
      </c>
      <c r="D25" s="9">
        <f>D20/D23</f>
        <v>1.0532659409020217</v>
      </c>
      <c r="E25" s="9">
        <f>E20/E23</f>
        <v>8.8764132553606245</v>
      </c>
      <c r="F25" s="9">
        <f>F20/F23</f>
        <v>10.44188767550702</v>
      </c>
      <c r="G25" s="9">
        <f t="shared" ref="G25:I25" si="15">G20/G23</f>
        <v>7.2785693155226214</v>
      </c>
      <c r="H25" s="9">
        <f t="shared" si="15"/>
        <v>6.7412946517160695</v>
      </c>
      <c r="I25" s="9">
        <f t="shared" si="15"/>
        <v>7.8969509499805026</v>
      </c>
      <c r="J25" s="17"/>
      <c r="K25" s="9">
        <f t="shared" si="12"/>
        <v>23.490953477770393</v>
      </c>
      <c r="L25" s="9">
        <f>SUM(F25:I25)</f>
        <v>32.35870259272621</v>
      </c>
    </row>
    <row r="26" spans="1:12" ht="1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4"/>
      <c r="K26" s="12"/>
      <c r="L26" s="12"/>
    </row>
    <row r="27" spans="1:12" ht="15" customHeight="1" x14ac:dyDescent="0.25">
      <c r="A27" s="2" t="s">
        <v>25</v>
      </c>
      <c r="B27" s="3"/>
      <c r="C27" s="3"/>
      <c r="D27" s="3"/>
      <c r="E27" s="3"/>
      <c r="F27" s="3"/>
      <c r="G27" s="3"/>
      <c r="H27" s="3"/>
      <c r="I27" s="3"/>
      <c r="J27" s="4"/>
      <c r="K27" s="12"/>
      <c r="L27" s="12"/>
    </row>
    <row r="28" spans="1:12" ht="15" customHeight="1" x14ac:dyDescent="0.25">
      <c r="A28" s="2" t="s">
        <v>26</v>
      </c>
      <c r="B28" s="3"/>
      <c r="C28" s="3"/>
      <c r="D28" s="3"/>
      <c r="E28" s="3"/>
      <c r="F28" s="3"/>
      <c r="G28" s="3"/>
      <c r="H28" s="3"/>
      <c r="I28" s="3"/>
      <c r="J28" s="4"/>
      <c r="K28" s="12"/>
      <c r="L28" s="12"/>
    </row>
    <row r="29" spans="1:12" ht="15" customHeight="1" x14ac:dyDescent="0.25">
      <c r="A29" s="5" t="s">
        <v>27</v>
      </c>
      <c r="B29" s="14">
        <f t="shared" ref="B29:I29" si="16">B11/B8</f>
        <v>0.82105213404546962</v>
      </c>
      <c r="C29" s="14">
        <f t="shared" si="16"/>
        <v>0.82130229817324696</v>
      </c>
      <c r="D29" s="14">
        <f t="shared" si="16"/>
        <v>0.82034268763904605</v>
      </c>
      <c r="E29" s="14">
        <f t="shared" si="16"/>
        <v>0.8179253001185447</v>
      </c>
      <c r="F29" s="14">
        <f t="shared" si="16"/>
        <v>0.8185434462183232</v>
      </c>
      <c r="G29" s="14">
        <f t="shared" si="16"/>
        <v>0.80940446436066504</v>
      </c>
      <c r="H29" s="14">
        <f t="shared" si="16"/>
        <v>0.79945046078499005</v>
      </c>
      <c r="I29" s="14">
        <f t="shared" si="16"/>
        <v>0.79989752738671827</v>
      </c>
      <c r="J29" s="4"/>
      <c r="K29" s="14">
        <f>K11/K8</f>
        <v>0.8199985072027467</v>
      </c>
      <c r="L29" s="14">
        <f>L11/L8</f>
        <v>0.80620456233114202</v>
      </c>
    </row>
    <row r="30" spans="1:12" ht="15" customHeight="1" x14ac:dyDescent="0.25">
      <c r="A30" s="5" t="s">
        <v>28</v>
      </c>
      <c r="B30" s="14">
        <f t="shared" ref="B30:I30" si="17">B10/B8</f>
        <v>0.17894786595453041</v>
      </c>
      <c r="C30" s="14">
        <f t="shared" si="17"/>
        <v>0.1786977018267531</v>
      </c>
      <c r="D30" s="14">
        <f t="shared" si="17"/>
        <v>0.17965731236095389</v>
      </c>
      <c r="E30" s="14">
        <f t="shared" si="17"/>
        <v>0.18207469988145525</v>
      </c>
      <c r="F30" s="14">
        <f t="shared" si="17"/>
        <v>0.18145655378167677</v>
      </c>
      <c r="G30" s="14">
        <f t="shared" si="17"/>
        <v>0.1905955356393349</v>
      </c>
      <c r="H30" s="14">
        <f t="shared" si="17"/>
        <v>0.20054953921501001</v>
      </c>
      <c r="I30" s="14">
        <f t="shared" si="17"/>
        <v>0.20010247261328171</v>
      </c>
      <c r="J30" s="4"/>
      <c r="K30" s="14">
        <f>K10/K8</f>
        <v>0.18000149279725325</v>
      </c>
      <c r="L30" s="14">
        <f>L10/L8</f>
        <v>0.19379543766885804</v>
      </c>
    </row>
    <row r="31" spans="1:12" ht="15" customHeight="1" x14ac:dyDescent="0.25">
      <c r="A31" s="5" t="s">
        <v>29</v>
      </c>
      <c r="B31" s="14">
        <f t="shared" ref="B31:I31" si="18">B12/B8</f>
        <v>0.28713900836602541</v>
      </c>
      <c r="C31" s="14">
        <f t="shared" si="18"/>
        <v>0.27237141173499452</v>
      </c>
      <c r="D31" s="14">
        <f t="shared" si="18"/>
        <v>0.29553881581515162</v>
      </c>
      <c r="E31" s="14">
        <f t="shared" si="18"/>
        <v>0.28611022991000618</v>
      </c>
      <c r="F31" s="14">
        <f t="shared" si="18"/>
        <v>0.31430803928184547</v>
      </c>
      <c r="G31" s="14">
        <f t="shared" si="18"/>
        <v>0.35964548898900589</v>
      </c>
      <c r="H31" s="14">
        <f t="shared" si="18"/>
        <v>0.37899125520946775</v>
      </c>
      <c r="I31" s="14">
        <f t="shared" si="18"/>
        <v>0.37416421248921855</v>
      </c>
      <c r="J31" s="4"/>
      <c r="K31" s="14">
        <f>K12/K8</f>
        <v>0.28548254671211404</v>
      </c>
      <c r="L31" s="14">
        <f>L12/L8</f>
        <v>0.35858363052608744</v>
      </c>
    </row>
    <row r="32" spans="1:12" ht="15" customHeight="1" x14ac:dyDescent="0.25">
      <c r="A32" s="5" t="s">
        <v>30</v>
      </c>
      <c r="B32" s="14">
        <f t="shared" ref="B32:I32" si="19">B13/B8</f>
        <v>6.5155740416883295E-2</v>
      </c>
      <c r="C32" s="14">
        <f t="shared" si="19"/>
        <v>6.269467126862531E-2</v>
      </c>
      <c r="D32" s="14">
        <f t="shared" si="19"/>
        <v>5.5520861793060379E-2</v>
      </c>
      <c r="E32" s="14">
        <f t="shared" si="19"/>
        <v>5.6934867179803984E-2</v>
      </c>
      <c r="F32" s="14">
        <f t="shared" si="19"/>
        <v>5.1641775141624192E-2</v>
      </c>
      <c r="G32" s="14">
        <f t="shared" si="19"/>
        <v>4.9720574514609109E-2</v>
      </c>
      <c r="H32" s="14">
        <f t="shared" si="19"/>
        <v>5.0532167361262363E-2</v>
      </c>
      <c r="I32" s="14">
        <f t="shared" si="19"/>
        <v>5.208146547468976E-2</v>
      </c>
      <c r="J32" s="4"/>
      <c r="K32" s="14">
        <f>K13/K8</f>
        <v>5.9667106212524572E-2</v>
      </c>
      <c r="L32" s="14">
        <f>L13/L8</f>
        <v>5.1032508658648244E-2</v>
      </c>
    </row>
    <row r="33" spans="1:12" ht="15" customHeight="1" x14ac:dyDescent="0.25">
      <c r="A33" s="5" t="s">
        <v>31</v>
      </c>
      <c r="B33" s="14">
        <f t="shared" ref="B33:I33" si="20">B14/B8</f>
        <v>5.3882875643994896E-2</v>
      </c>
      <c r="C33" s="14">
        <f t="shared" si="20"/>
        <v>5.6044279821533802E-2</v>
      </c>
      <c r="D33" s="14">
        <f t="shared" si="20"/>
        <v>6.8537527809218998E-2</v>
      </c>
      <c r="E33" s="14">
        <f t="shared" si="20"/>
        <v>6.1726746030420915E-2</v>
      </c>
      <c r="F33" s="14">
        <f t="shared" si="20"/>
        <v>4.6420770364582406E-2</v>
      </c>
      <c r="G33" s="14">
        <f t="shared" si="20"/>
        <v>4.6405869546968501E-2</v>
      </c>
      <c r="H33" s="14">
        <f t="shared" si="20"/>
        <v>5.6848688281420159E-2</v>
      </c>
      <c r="I33" s="14">
        <f t="shared" si="20"/>
        <v>5.2917510052046625E-2</v>
      </c>
      <c r="J33" s="4"/>
      <c r="K33" s="14">
        <f>K14/K8</f>
        <v>6.046824073843704E-2</v>
      </c>
      <c r="L33" s="14">
        <f>L14/L8</f>
        <v>5.0902041290679899E-2</v>
      </c>
    </row>
    <row r="34" spans="1:12" ht="15" customHeight="1" x14ac:dyDescent="0.25">
      <c r="A34" s="5" t="s">
        <v>32</v>
      </c>
      <c r="B34" s="14">
        <f t="shared" ref="B34:I34" si="21">B16/B8</f>
        <v>0.41487450961856598</v>
      </c>
      <c r="C34" s="14">
        <f t="shared" si="21"/>
        <v>0.43019193534809325</v>
      </c>
      <c r="D34" s="14">
        <f t="shared" si="21"/>
        <v>0.4007454822216151</v>
      </c>
      <c r="E34" s="14">
        <f t="shared" si="21"/>
        <v>0.41315345699831368</v>
      </c>
      <c r="F34" s="14">
        <f t="shared" si="21"/>
        <v>0.40617286143027115</v>
      </c>
      <c r="G34" s="14">
        <f t="shared" si="21"/>
        <v>0.3536325313100816</v>
      </c>
      <c r="H34" s="14">
        <f t="shared" si="21"/>
        <v>0.31307834993283978</v>
      </c>
      <c r="I34" s="14">
        <f t="shared" si="21"/>
        <v>0.32073433937076334</v>
      </c>
      <c r="J34" s="4"/>
      <c r="K34" s="14">
        <f>K16/K8</f>
        <v>0.41438061353967109</v>
      </c>
      <c r="L34" s="14">
        <f>L16/L8</f>
        <v>0.34568638185572637</v>
      </c>
    </row>
    <row r="35" spans="1:12" ht="15" customHeight="1" x14ac:dyDescent="0.25">
      <c r="A35" s="5" t="s">
        <v>33</v>
      </c>
      <c r="B35" s="14">
        <f t="shared" ref="B35:I35" si="22">B18/B8</f>
        <v>0.43441886845961147</v>
      </c>
      <c r="C35" s="14">
        <f t="shared" si="22"/>
        <v>0.43214917080562337</v>
      </c>
      <c r="D35" s="14">
        <f t="shared" si="22"/>
        <v>0.42275867452480387</v>
      </c>
      <c r="E35" s="14">
        <f t="shared" si="22"/>
        <v>0.42332159016913495</v>
      </c>
      <c r="F35" s="14">
        <f t="shared" si="22"/>
        <v>0.38628331942249294</v>
      </c>
      <c r="G35" s="14">
        <f t="shared" si="22"/>
        <v>0.3617535584808011</v>
      </c>
      <c r="H35" s="14">
        <f t="shared" si="22"/>
        <v>0.31923695782999362</v>
      </c>
      <c r="I35" s="14">
        <f t="shared" si="22"/>
        <v>0.32457192103731941</v>
      </c>
      <c r="J35" s="4"/>
      <c r="K35" s="14">
        <f>K18/K8</f>
        <v>0.42760182121264895</v>
      </c>
      <c r="L35" s="14">
        <f>L18/L8</f>
        <v>0.34584452411993044</v>
      </c>
    </row>
    <row r="36" spans="1:12" ht="15" customHeight="1" x14ac:dyDescent="0.25">
      <c r="A36" s="5" t="s">
        <v>34</v>
      </c>
      <c r="B36" s="14">
        <f t="shared" ref="B36:I36" si="23">B20/B8</f>
        <v>0.39334499220116276</v>
      </c>
      <c r="C36" s="14">
        <f t="shared" si="23"/>
        <v>0.38591211381429413</v>
      </c>
      <c r="D36" s="14">
        <f t="shared" si="23"/>
        <v>5.2866788962179459E-2</v>
      </c>
      <c r="E36" s="14">
        <f t="shared" si="23"/>
        <v>0.3801445911876179</v>
      </c>
      <c r="F36" s="14">
        <f t="shared" si="23"/>
        <v>0.47544884658414877</v>
      </c>
      <c r="G36" s="14">
        <f t="shared" si="23"/>
        <v>0.30929929250108495</v>
      </c>
      <c r="H36" s="14">
        <f t="shared" si="23"/>
        <v>0.27294759894464454</v>
      </c>
      <c r="I36" s="14">
        <f t="shared" si="23"/>
        <v>0.27750899248690808</v>
      </c>
      <c r="J36" s="4"/>
      <c r="K36" s="14">
        <f>K20/K8</f>
        <v>0.30083845445724378</v>
      </c>
      <c r="L36" s="14">
        <f>L20/L8</f>
        <v>0.32801755151150824</v>
      </c>
    </row>
    <row r="37" spans="1:12" ht="15" customHeight="1" x14ac:dyDescent="0.25">
      <c r="A37" s="5" t="s">
        <v>35</v>
      </c>
      <c r="B37" s="14">
        <f>B19/B18</f>
        <v>9.4549015341094556E-2</v>
      </c>
      <c r="C37" s="14">
        <f>C19/C18</f>
        <v>0.10699327943897925</v>
      </c>
      <c r="D37" s="14">
        <f>D19/D18</f>
        <v>0.87494806813460735</v>
      </c>
      <c r="E37" s="14">
        <f>E19/E18</f>
        <v>0.10199574031710973</v>
      </c>
      <c r="F37" s="14">
        <f>F19/F18</f>
        <v>-0.23082934902537697</v>
      </c>
      <c r="G37" s="14">
        <v>0.14499999999999999</v>
      </c>
      <c r="H37" s="14">
        <v>0.14499999999999999</v>
      </c>
      <c r="I37" s="14">
        <v>0.14499999999999999</v>
      </c>
      <c r="J37" s="4"/>
      <c r="K37" s="14">
        <f>K19/K18</f>
        <v>0.29645188693517044</v>
      </c>
      <c r="L37" s="14">
        <f>L19/L18</f>
        <v>5.154620462413393E-2</v>
      </c>
    </row>
    <row r="38" spans="1:12" ht="15" customHeight="1" x14ac:dyDescent="0.25">
      <c r="A38" s="5" t="s">
        <v>36</v>
      </c>
      <c r="B38" s="14">
        <f t="shared" ref="B38:I38" si="24">B43/B8</f>
        <v>0.5070425863780309</v>
      </c>
      <c r="C38" s="14">
        <f t="shared" si="24"/>
        <v>0.52157168111793917</v>
      </c>
      <c r="D38" s="14">
        <f t="shared" si="24"/>
        <v>0.49759962530736507</v>
      </c>
      <c r="E38" s="14">
        <f t="shared" si="24"/>
        <v>0.50349790459653043</v>
      </c>
      <c r="F38" s="14">
        <f t="shared" si="24"/>
        <v>0.51270622080943329</v>
      </c>
      <c r="G38" s="14">
        <f t="shared" si="24"/>
        <v>0.46185764850354744</v>
      </c>
      <c r="H38" s="14">
        <f t="shared" si="24"/>
        <v>0.4251965962656406</v>
      </c>
      <c r="I38" s="14">
        <f t="shared" si="24"/>
        <v>0.42818662603433377</v>
      </c>
      <c r="J38" s="4"/>
      <c r="K38" s="14">
        <f>K43/K8</f>
        <v>0.50701365909486729</v>
      </c>
      <c r="L38" s="14">
        <f>L43/L8</f>
        <v>0.45428662824125537</v>
      </c>
    </row>
    <row r="39" spans="1:12" ht="1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4"/>
      <c r="K39" s="12"/>
      <c r="L39" s="12"/>
    </row>
    <row r="40" spans="1:12" ht="15" customHeight="1" x14ac:dyDescent="0.25">
      <c r="A40" s="2" t="s">
        <v>37</v>
      </c>
      <c r="B40" s="3"/>
      <c r="C40" s="10"/>
      <c r="D40" s="10"/>
      <c r="E40" s="10"/>
      <c r="F40" s="10"/>
      <c r="G40" s="10"/>
      <c r="H40" s="10"/>
      <c r="I40" s="10"/>
      <c r="J40" s="4"/>
      <c r="K40" s="12"/>
      <c r="L40" s="12"/>
    </row>
    <row r="41" spans="1:12" ht="15" customHeight="1" x14ac:dyDescent="0.25">
      <c r="A41" s="2" t="s">
        <v>38</v>
      </c>
      <c r="B41" s="8">
        <f t="shared" ref="B41:I41" si="25">B16</f>
        <v>17555</v>
      </c>
      <c r="C41" s="8">
        <f t="shared" si="25"/>
        <v>20441</v>
      </c>
      <c r="D41" s="8">
        <f t="shared" si="25"/>
        <v>20535</v>
      </c>
      <c r="E41" s="8">
        <f t="shared" si="25"/>
        <v>24745</v>
      </c>
      <c r="F41" s="8">
        <f t="shared" si="25"/>
        <v>22872</v>
      </c>
      <c r="G41" s="8">
        <f t="shared" si="25"/>
        <v>21337.195</v>
      </c>
      <c r="H41" s="8">
        <f t="shared" si="25"/>
        <v>19825.999400000001</v>
      </c>
      <c r="I41" s="8">
        <f t="shared" si="25"/>
        <v>23401.616650000011</v>
      </c>
      <c r="J41" s="17"/>
      <c r="K41" s="8">
        <f>SUM(B41:E41)</f>
        <v>83276</v>
      </c>
      <c r="L41" s="8">
        <f>SUM(F41:I41)</f>
        <v>87436.811050000018</v>
      </c>
    </row>
    <row r="42" spans="1:12" ht="15" customHeight="1" x14ac:dyDescent="0.25">
      <c r="A42" s="5" t="s">
        <v>39</v>
      </c>
      <c r="B42" s="7">
        <v>3900</v>
      </c>
      <c r="C42" s="7">
        <v>4342</v>
      </c>
      <c r="D42" s="7">
        <v>4963</v>
      </c>
      <c r="E42" s="7">
        <v>5411</v>
      </c>
      <c r="F42" s="7">
        <v>5999</v>
      </c>
      <c r="G42" s="7">
        <v>6530</v>
      </c>
      <c r="H42" s="7">
        <v>7100</v>
      </c>
      <c r="I42" s="7">
        <v>7840</v>
      </c>
      <c r="J42" s="4"/>
      <c r="K42" s="7">
        <f t="shared" ref="K42" si="26">SUM(B42:E42)</f>
        <v>18616</v>
      </c>
      <c r="L42" s="7">
        <f t="shared" ref="L42" si="27">SUM(F42:I42)</f>
        <v>27469</v>
      </c>
    </row>
    <row r="43" spans="1:12" ht="15" customHeight="1" x14ac:dyDescent="0.25">
      <c r="A43" s="2" t="s">
        <v>40</v>
      </c>
      <c r="B43" s="8">
        <f>SUM(B41:B42)</f>
        <v>21455</v>
      </c>
      <c r="C43" s="8">
        <f>SUM(C41:C42)</f>
        <v>24783</v>
      </c>
      <c r="D43" s="8">
        <f>SUM(D41:D42)</f>
        <v>25498</v>
      </c>
      <c r="E43" s="8">
        <f>SUM(E41:E42)</f>
        <v>30156</v>
      </c>
      <c r="F43" s="8">
        <f>SUM(F41:F42)</f>
        <v>28871</v>
      </c>
      <c r="G43" s="8">
        <f t="shared" ref="G43:I43" si="28">SUM(G41:G42)</f>
        <v>27867.195</v>
      </c>
      <c r="H43" s="8">
        <f t="shared" si="28"/>
        <v>26925.999400000001</v>
      </c>
      <c r="I43" s="8">
        <f t="shared" si="28"/>
        <v>31241.616650000011</v>
      </c>
      <c r="J43" s="17"/>
      <c r="K43" s="8">
        <f t="shared" ref="K43" si="29">SUM(B43:E43)</f>
        <v>101892</v>
      </c>
      <c r="L43" s="8">
        <f t="shared" ref="L43" si="30">SUM(F43:I43)</f>
        <v>114905.81105000002</v>
      </c>
    </row>
    <row r="44" spans="1:12" ht="15" customHeight="1" x14ac:dyDescent="0.25">
      <c r="A44" s="5" t="s">
        <v>41</v>
      </c>
      <c r="B44" s="11">
        <v>3.43</v>
      </c>
      <c r="C44" s="11">
        <v>3.48</v>
      </c>
      <c r="D44" s="11">
        <v>3.54</v>
      </c>
      <c r="E44" s="11">
        <v>3.58</v>
      </c>
      <c r="F44" s="11">
        <v>3.56</v>
      </c>
      <c r="G44" s="11">
        <v>3.6</v>
      </c>
      <c r="H44" s="11">
        <v>3.63</v>
      </c>
      <c r="I44" s="11">
        <v>3.66</v>
      </c>
      <c r="J44" s="4"/>
      <c r="K44" s="16"/>
      <c r="L44" s="16"/>
    </row>
    <row r="45" spans="1:12" ht="15" customHeight="1" x14ac:dyDescent="0.25">
      <c r="A45" s="5" t="s">
        <v>42</v>
      </c>
      <c r="B45" s="14">
        <v>0.06</v>
      </c>
      <c r="C45" s="14">
        <v>0.06</v>
      </c>
      <c r="D45" s="14">
        <v>0.08</v>
      </c>
      <c r="E45" s="14">
        <v>7.0000000000000007E-2</v>
      </c>
      <c r="F45" s="14">
        <v>0.04</v>
      </c>
      <c r="G45" s="14">
        <f>G44/C44-1</f>
        <v>3.4482758620689724E-2</v>
      </c>
      <c r="H45" s="14">
        <f>H44/D44-1</f>
        <v>2.5423728813559254E-2</v>
      </c>
      <c r="I45" s="14">
        <f>I44/E44-1</f>
        <v>2.2346368715083775E-2</v>
      </c>
      <c r="J45" s="4"/>
      <c r="K45" s="15"/>
      <c r="L45" s="15"/>
    </row>
    <row r="46" spans="1:12" ht="15" customHeight="1" x14ac:dyDescent="0.25">
      <c r="A46" s="5" t="s">
        <v>43</v>
      </c>
      <c r="B46" s="14">
        <v>0.05</v>
      </c>
      <c r="C46" s="14">
        <v>0.11</v>
      </c>
      <c r="D46" s="14">
        <v>0.14000000000000001</v>
      </c>
      <c r="E46" s="14">
        <v>0.18</v>
      </c>
      <c r="F46" s="14">
        <v>0.19</v>
      </c>
      <c r="G46" s="14">
        <v>0.15</v>
      </c>
      <c r="H46" s="14">
        <v>0.13</v>
      </c>
      <c r="I46" s="14">
        <v>0.11</v>
      </c>
      <c r="J46" s="4"/>
      <c r="K46" s="15"/>
      <c r="L46" s="15"/>
    </row>
    <row r="47" spans="1:12" ht="15" customHeight="1" x14ac:dyDescent="0.25">
      <c r="A47" s="5" t="s">
        <v>44</v>
      </c>
      <c r="B47" s="14">
        <v>0.1</v>
      </c>
      <c r="C47" s="14">
        <v>0.09</v>
      </c>
      <c r="D47" s="14">
        <v>0.1</v>
      </c>
      <c r="E47" s="14">
        <v>0.06</v>
      </c>
      <c r="F47" s="14">
        <v>0.12</v>
      </c>
      <c r="G47" s="14">
        <v>0.1</v>
      </c>
      <c r="H47" s="14">
        <v>0.09</v>
      </c>
      <c r="I47" s="14">
        <v>9.5000000000000001E-2</v>
      </c>
      <c r="J47" s="4"/>
      <c r="K47" s="15"/>
      <c r="L47" s="15"/>
    </row>
    <row r="48" spans="1:12" ht="15" customHeight="1" x14ac:dyDescent="0.25">
      <c r="A48" s="5" t="s">
        <v>45</v>
      </c>
      <c r="B48" s="7">
        <v>76834</v>
      </c>
      <c r="C48" s="7">
        <v>75945</v>
      </c>
      <c r="D48" s="7">
        <v>78450</v>
      </c>
      <c r="E48" s="7">
        <v>78865</v>
      </c>
      <c r="F48" s="7">
        <v>77986</v>
      </c>
      <c r="G48" s="7">
        <v>70500</v>
      </c>
      <c r="H48" s="7">
        <v>71500</v>
      </c>
      <c r="I48" s="7">
        <v>72500</v>
      </c>
      <c r="J48" s="4"/>
      <c r="K48" s="13"/>
      <c r="L48" s="13"/>
    </row>
    <row r="49" spans="1:12" ht="15" customHeight="1" x14ac:dyDescent="0.25">
      <c r="A49" s="2" t="s">
        <v>46</v>
      </c>
      <c r="B49" s="8">
        <v>21765</v>
      </c>
      <c r="C49" s="8">
        <v>24971</v>
      </c>
      <c r="D49" s="8">
        <v>24967</v>
      </c>
      <c r="E49" s="8">
        <v>30766</v>
      </c>
      <c r="F49" s="8">
        <v>26900</v>
      </c>
      <c r="G49" s="8">
        <f>G16-G51</f>
        <v>26037.195</v>
      </c>
      <c r="H49" s="8">
        <f>H16-H51</f>
        <v>24525.999400000001</v>
      </c>
      <c r="I49" s="8">
        <f>I16-I51</f>
        <v>29166.616650000011</v>
      </c>
      <c r="J49" s="17"/>
      <c r="K49" s="18">
        <f>SUM(B49:E49)</f>
        <v>102469</v>
      </c>
      <c r="L49" s="18">
        <f>SUM(F49:I49)</f>
        <v>106629.81105000002</v>
      </c>
    </row>
    <row r="50" spans="1:12" ht="15" customHeight="1" x14ac:dyDescent="0.25">
      <c r="A50" s="5" t="s">
        <v>47</v>
      </c>
      <c r="B50" s="14">
        <f t="shared" ref="B50:I50" si="31">B49/B6</f>
        <v>0.51942628036847882</v>
      </c>
      <c r="C50" s="14">
        <f t="shared" si="31"/>
        <v>0.52965256861663768</v>
      </c>
      <c r="D50" s="14">
        <f t="shared" si="31"/>
        <v>0.49174741983770581</v>
      </c>
      <c r="E50" s="14">
        <f t="shared" si="31"/>
        <v>0.52200617598153998</v>
      </c>
      <c r="F50" s="14">
        <f t="shared" si="31"/>
        <v>0.48113899372194102</v>
      </c>
      <c r="G50" s="14">
        <f t="shared" si="31"/>
        <v>0.43473435895946039</v>
      </c>
      <c r="H50" s="14">
        <f t="shared" si="31"/>
        <v>0.39062847823363628</v>
      </c>
      <c r="I50" s="14">
        <f t="shared" si="31"/>
        <v>0.40586633231090408</v>
      </c>
      <c r="J50" s="4"/>
      <c r="K50" s="15">
        <f>K49/K6</f>
        <v>0.51554654403847899</v>
      </c>
      <c r="L50" s="15">
        <f>L49/L6</f>
        <v>0.42575321020590567</v>
      </c>
    </row>
    <row r="51" spans="1:12" ht="15" customHeight="1" x14ac:dyDescent="0.25">
      <c r="A51" s="2" t="s">
        <v>48</v>
      </c>
      <c r="B51" s="8">
        <v>-4210</v>
      </c>
      <c r="C51" s="8">
        <v>-4530</v>
      </c>
      <c r="D51" s="8">
        <v>-4432</v>
      </c>
      <c r="E51" s="8">
        <v>-6021</v>
      </c>
      <c r="F51" s="8">
        <v>-4028</v>
      </c>
      <c r="G51" s="8">
        <v>-4700</v>
      </c>
      <c r="H51" s="8">
        <v>-4700</v>
      </c>
      <c r="I51" s="8">
        <v>-5765</v>
      </c>
      <c r="J51" s="17"/>
      <c r="K51" s="18">
        <f>SUM(B51:E51)</f>
        <v>-19193</v>
      </c>
      <c r="L51" s="18">
        <f>SUM(F51:I51)</f>
        <v>-19193</v>
      </c>
    </row>
    <row r="52" spans="1:12" ht="15" customHeight="1" x14ac:dyDescent="0.25">
      <c r="A52" s="5" t="s">
        <v>49</v>
      </c>
      <c r="B52" s="14">
        <f t="shared" ref="B52:I52" si="32">B51/B7</f>
        <v>-10.218446601941748</v>
      </c>
      <c r="C52" s="14">
        <f t="shared" si="32"/>
        <v>-12.243243243243244</v>
      </c>
      <c r="D52" s="14">
        <f t="shared" si="32"/>
        <v>-9.4297872340425535</v>
      </c>
      <c r="E52" s="14">
        <f t="shared" si="32"/>
        <v>-6.3047120418848168</v>
      </c>
      <c r="F52" s="14">
        <f t="shared" si="32"/>
        <v>-10.019900497512438</v>
      </c>
      <c r="G52" s="14">
        <f t="shared" si="32"/>
        <v>-10.561797752808989</v>
      </c>
      <c r="H52" s="14">
        <f t="shared" si="32"/>
        <v>-8.7037037037037042</v>
      </c>
      <c r="I52" s="14">
        <f t="shared" si="32"/>
        <v>-5.2409090909090912</v>
      </c>
      <c r="J52" s="4"/>
      <c r="K52" s="15">
        <f>K51/K7</f>
        <v>-8.6964204802899872</v>
      </c>
      <c r="L52" s="15">
        <f>L51/L7</f>
        <v>-7.7173301166063526</v>
      </c>
    </row>
    <row r="53" spans="1:12" ht="1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4"/>
      <c r="K53" s="12"/>
      <c r="L53" s="12"/>
    </row>
    <row r="54" spans="1:12" ht="15" customHeight="1" x14ac:dyDescent="0.25">
      <c r="A54" s="2" t="s">
        <v>111</v>
      </c>
      <c r="B54" s="3"/>
      <c r="C54" s="3"/>
      <c r="D54" s="3"/>
      <c r="E54" s="3"/>
      <c r="F54" s="3"/>
      <c r="G54" s="3"/>
      <c r="H54" s="3"/>
      <c r="I54" s="3"/>
      <c r="J54" s="4"/>
      <c r="K54" s="12"/>
      <c r="L54" s="12"/>
    </row>
    <row r="55" spans="1:12" ht="15" customHeight="1" x14ac:dyDescent="0.25">
      <c r="A55" s="2" t="s">
        <v>38</v>
      </c>
      <c r="B55" s="8">
        <f t="shared" ref="B55:I55" si="33">B41</f>
        <v>17555</v>
      </c>
      <c r="C55" s="8">
        <f t="shared" si="33"/>
        <v>20441</v>
      </c>
      <c r="D55" s="8">
        <f t="shared" si="33"/>
        <v>20535</v>
      </c>
      <c r="E55" s="8">
        <f t="shared" si="33"/>
        <v>24745</v>
      </c>
      <c r="F55" s="8">
        <f t="shared" si="33"/>
        <v>22872</v>
      </c>
      <c r="G55" s="8">
        <f t="shared" si="33"/>
        <v>21337.195</v>
      </c>
      <c r="H55" s="8">
        <f t="shared" si="33"/>
        <v>19825.999400000001</v>
      </c>
      <c r="I55" s="8">
        <f t="shared" si="33"/>
        <v>23401.616650000011</v>
      </c>
      <c r="J55" s="17"/>
      <c r="K55" s="8">
        <f t="shared" ref="K55:K59" si="34">SUM(B55:E55)</f>
        <v>83276</v>
      </c>
      <c r="L55" s="8">
        <f t="shared" ref="L55:L59" si="35">SUM(F55:I55)</f>
        <v>87436.811050000018</v>
      </c>
    </row>
    <row r="56" spans="1:12" ht="15" customHeight="1" x14ac:dyDescent="0.25">
      <c r="A56" s="5" t="s">
        <v>112</v>
      </c>
      <c r="B56" s="14">
        <v>0.13</v>
      </c>
      <c r="C56" s="14">
        <v>0.13</v>
      </c>
      <c r="D56" s="14">
        <v>0.13</v>
      </c>
      <c r="E56" s="14">
        <v>0.13</v>
      </c>
      <c r="F56" s="14">
        <v>0.14000000000000001</v>
      </c>
      <c r="G56" s="14">
        <f>G37</f>
        <v>0.14499999999999999</v>
      </c>
      <c r="H56" s="14">
        <f>H37</f>
        <v>0.14499999999999999</v>
      </c>
      <c r="I56" s="14">
        <f>I37</f>
        <v>0.14499999999999999</v>
      </c>
      <c r="J56" s="4"/>
      <c r="K56" s="14">
        <f>1-K57/K55</f>
        <v>0.13</v>
      </c>
      <c r="L56" s="14">
        <f>1-L57/L55</f>
        <v>0.14369208404759171</v>
      </c>
    </row>
    <row r="57" spans="1:12" ht="15" customHeight="1" x14ac:dyDescent="0.25">
      <c r="A57" s="2" t="s">
        <v>50</v>
      </c>
      <c r="B57" s="8">
        <f>B55*(1-B56)</f>
        <v>15272.85</v>
      </c>
      <c r="C57" s="8">
        <f>C55*(1-C56)</f>
        <v>17783.669999999998</v>
      </c>
      <c r="D57" s="8">
        <f>D55*(1-D56)</f>
        <v>17865.45</v>
      </c>
      <c r="E57" s="8">
        <f>E55*(1-E56)</f>
        <v>21528.15</v>
      </c>
      <c r="F57" s="8">
        <f>F55*(1-F56)</f>
        <v>19669.919999999998</v>
      </c>
      <c r="G57" s="8">
        <f t="shared" ref="G57:I57" si="36">G55*(1-G56)</f>
        <v>18243.301725000001</v>
      </c>
      <c r="H57" s="8">
        <f t="shared" si="36"/>
        <v>16951.229487000001</v>
      </c>
      <c r="I57" s="8">
        <f t="shared" si="36"/>
        <v>20008.38223575001</v>
      </c>
      <c r="J57" s="17"/>
      <c r="K57" s="8">
        <f t="shared" si="34"/>
        <v>72450.12</v>
      </c>
      <c r="L57" s="8">
        <f t="shared" si="35"/>
        <v>74872.833447750018</v>
      </c>
    </row>
    <row r="58" spans="1:12" ht="15" customHeight="1" x14ac:dyDescent="0.25">
      <c r="A58" s="5" t="s">
        <v>39</v>
      </c>
      <c r="B58" s="7">
        <f t="shared" ref="B58:I58" si="37">B42</f>
        <v>3900</v>
      </c>
      <c r="C58" s="7">
        <f t="shared" si="37"/>
        <v>4342</v>
      </c>
      <c r="D58" s="7">
        <f t="shared" si="37"/>
        <v>4963</v>
      </c>
      <c r="E58" s="7">
        <f t="shared" si="37"/>
        <v>5411</v>
      </c>
      <c r="F58" s="7">
        <f t="shared" si="37"/>
        <v>5999</v>
      </c>
      <c r="G58" s="7">
        <f t="shared" si="37"/>
        <v>6530</v>
      </c>
      <c r="H58" s="7">
        <f t="shared" si="37"/>
        <v>7100</v>
      </c>
      <c r="I58" s="7">
        <f t="shared" si="37"/>
        <v>7840</v>
      </c>
      <c r="J58" s="4"/>
      <c r="K58" s="7">
        <f t="shared" si="34"/>
        <v>18616</v>
      </c>
      <c r="L58" s="7">
        <f t="shared" si="35"/>
        <v>27469</v>
      </c>
    </row>
    <row r="59" spans="1:12" ht="15" customHeight="1" x14ac:dyDescent="0.25">
      <c r="A59" s="5" t="s">
        <v>51</v>
      </c>
      <c r="B59" s="7">
        <v>13692</v>
      </c>
      <c r="C59" s="7">
        <v>17012</v>
      </c>
      <c r="D59" s="7">
        <v>19374</v>
      </c>
      <c r="E59" s="7">
        <v>22137</v>
      </c>
      <c r="F59" s="7">
        <v>19840</v>
      </c>
      <c r="G59" s="7">
        <v>32000</v>
      </c>
      <c r="H59" s="7">
        <v>40000</v>
      </c>
      <c r="I59" s="7">
        <v>43160</v>
      </c>
      <c r="J59" s="4"/>
      <c r="K59" s="7">
        <f t="shared" si="34"/>
        <v>72215</v>
      </c>
      <c r="L59" s="7">
        <f t="shared" si="35"/>
        <v>135000</v>
      </c>
    </row>
    <row r="60" spans="1:12" ht="15" customHeight="1" x14ac:dyDescent="0.25">
      <c r="A60" s="5" t="s">
        <v>52</v>
      </c>
      <c r="B60" s="7">
        <f t="shared" ref="B60:F61" si="38">B77</f>
        <v>14514</v>
      </c>
      <c r="C60" s="7">
        <f t="shared" si="38"/>
        <v>16561</v>
      </c>
      <c r="D60" s="7">
        <f t="shared" si="38"/>
        <v>17297</v>
      </c>
      <c r="E60" s="7">
        <f t="shared" si="38"/>
        <v>19769</v>
      </c>
      <c r="F60" s="7">
        <f t="shared" si="38"/>
        <v>17470</v>
      </c>
      <c r="G60" s="7">
        <f t="shared" ref="G60:I60" si="39">G77</f>
        <v>20100</v>
      </c>
      <c r="H60" s="7">
        <f t="shared" si="39"/>
        <v>21600</v>
      </c>
      <c r="I60" s="7">
        <f t="shared" si="39"/>
        <v>26400</v>
      </c>
      <c r="J60" s="4"/>
      <c r="K60" s="7">
        <f t="shared" ref="K60:K70" si="40">E60</f>
        <v>19769</v>
      </c>
      <c r="L60" s="7">
        <f t="shared" ref="L60:L70" si="41">I60</f>
        <v>26400</v>
      </c>
    </row>
    <row r="61" spans="1:12" ht="15" customHeight="1" x14ac:dyDescent="0.25">
      <c r="A61" s="5" t="s">
        <v>53</v>
      </c>
      <c r="B61" s="7">
        <f t="shared" si="38"/>
        <v>5483</v>
      </c>
      <c r="C61" s="7">
        <f t="shared" si="38"/>
        <v>9981</v>
      </c>
      <c r="D61" s="7">
        <f t="shared" si="38"/>
        <v>11373</v>
      </c>
      <c r="E61" s="7">
        <f t="shared" si="38"/>
        <v>7361</v>
      </c>
      <c r="F61" s="7">
        <f t="shared" si="38"/>
        <v>11115</v>
      </c>
      <c r="G61" s="7">
        <f t="shared" ref="G61:I61" si="42">G78</f>
        <v>10500</v>
      </c>
      <c r="H61" s="7">
        <f t="shared" si="42"/>
        <v>10000</v>
      </c>
      <c r="I61" s="7">
        <f t="shared" si="42"/>
        <v>10500</v>
      </c>
      <c r="J61" s="4"/>
      <c r="K61" s="7">
        <f t="shared" si="40"/>
        <v>7361</v>
      </c>
      <c r="L61" s="7">
        <f t="shared" si="41"/>
        <v>10500</v>
      </c>
    </row>
    <row r="62" spans="1:12" ht="15" customHeight="1" x14ac:dyDescent="0.25">
      <c r="A62" s="2" t="s">
        <v>54</v>
      </c>
      <c r="B62" s="8">
        <f>SUM(B60:B61)</f>
        <v>19997</v>
      </c>
      <c r="C62" s="8">
        <f>SUM(C60:C61)</f>
        <v>26542</v>
      </c>
      <c r="D62" s="8">
        <f>SUM(D60:D61)</f>
        <v>28670</v>
      </c>
      <c r="E62" s="8">
        <f>SUM(E60:E61)</f>
        <v>27130</v>
      </c>
      <c r="F62" s="8">
        <f>SUM(F60:F61)</f>
        <v>28585</v>
      </c>
      <c r="G62" s="8">
        <f t="shared" ref="G62:I62" si="43">SUM(G60:G61)</f>
        <v>30600</v>
      </c>
      <c r="H62" s="8">
        <f t="shared" si="43"/>
        <v>31600</v>
      </c>
      <c r="I62" s="8">
        <f t="shared" si="43"/>
        <v>36900</v>
      </c>
      <c r="J62" s="17"/>
      <c r="K62" s="8">
        <f t="shared" si="40"/>
        <v>27130</v>
      </c>
      <c r="L62" s="8">
        <f t="shared" si="41"/>
        <v>36900</v>
      </c>
    </row>
    <row r="63" spans="1:12" ht="15" customHeight="1" x14ac:dyDescent="0.25">
      <c r="A63" s="5" t="s">
        <v>55</v>
      </c>
      <c r="B63" s="7">
        <f t="shared" ref="B63:F65" si="44">B88</f>
        <v>8512</v>
      </c>
      <c r="C63" s="7">
        <f t="shared" si="44"/>
        <v>10271</v>
      </c>
      <c r="D63" s="7">
        <f t="shared" si="44"/>
        <v>7798</v>
      </c>
      <c r="E63" s="7">
        <f t="shared" si="44"/>
        <v>8894</v>
      </c>
      <c r="F63" s="7">
        <f t="shared" si="44"/>
        <v>13326</v>
      </c>
      <c r="G63" s="7">
        <f t="shared" ref="G63:I63" si="45">G88</f>
        <v>16000</v>
      </c>
      <c r="H63" s="7">
        <f t="shared" si="45"/>
        <v>18500</v>
      </c>
      <c r="I63" s="7">
        <f t="shared" si="45"/>
        <v>14000</v>
      </c>
      <c r="J63" s="4"/>
      <c r="K63" s="7">
        <f t="shared" si="40"/>
        <v>8894</v>
      </c>
      <c r="L63" s="7">
        <f t="shared" si="41"/>
        <v>14000</v>
      </c>
    </row>
    <row r="64" spans="1:12" ht="15" customHeight="1" x14ac:dyDescent="0.25">
      <c r="A64" s="5" t="s">
        <v>56</v>
      </c>
      <c r="B64" s="7">
        <f t="shared" si="44"/>
        <v>1976</v>
      </c>
      <c r="C64" s="7">
        <f t="shared" si="44"/>
        <v>1977</v>
      </c>
      <c r="D64" s="7">
        <f t="shared" si="44"/>
        <v>2113</v>
      </c>
      <c r="E64" s="7">
        <f t="shared" si="44"/>
        <v>2213</v>
      </c>
      <c r="F64" s="7">
        <f t="shared" si="44"/>
        <v>2414</v>
      </c>
      <c r="G64" s="7">
        <f t="shared" ref="G64:I64" si="46">G89</f>
        <v>2500</v>
      </c>
      <c r="H64" s="7">
        <f t="shared" si="46"/>
        <v>2600</v>
      </c>
      <c r="I64" s="7">
        <f t="shared" si="46"/>
        <v>2700</v>
      </c>
      <c r="J64" s="4"/>
      <c r="K64" s="7">
        <f t="shared" si="40"/>
        <v>2213</v>
      </c>
      <c r="L64" s="7">
        <f t="shared" si="41"/>
        <v>2700</v>
      </c>
    </row>
    <row r="65" spans="1:12" ht="15" customHeight="1" x14ac:dyDescent="0.25">
      <c r="A65" s="5" t="s">
        <v>57</v>
      </c>
      <c r="B65" s="7">
        <f t="shared" si="44"/>
        <v>23402</v>
      </c>
      <c r="C65" s="7">
        <f t="shared" si="44"/>
        <v>25057</v>
      </c>
      <c r="D65" s="7">
        <f t="shared" si="44"/>
        <v>27047</v>
      </c>
      <c r="E65" s="7">
        <f t="shared" si="44"/>
        <v>30729</v>
      </c>
      <c r="F65" s="7">
        <f t="shared" si="44"/>
        <v>31013</v>
      </c>
      <c r="G65" s="7">
        <f t="shared" ref="G65:I65" si="47">G90</f>
        <v>33000</v>
      </c>
      <c r="H65" s="7">
        <f t="shared" si="47"/>
        <v>35500</v>
      </c>
      <c r="I65" s="7">
        <f t="shared" si="47"/>
        <v>38500</v>
      </c>
      <c r="J65" s="4"/>
      <c r="K65" s="7">
        <f t="shared" si="40"/>
        <v>30729</v>
      </c>
      <c r="L65" s="7">
        <f t="shared" si="41"/>
        <v>38500</v>
      </c>
    </row>
    <row r="66" spans="1:12" ht="15" customHeight="1" x14ac:dyDescent="0.25">
      <c r="A66" s="2" t="s">
        <v>58</v>
      </c>
      <c r="B66" s="8">
        <f>SUM(B63:B65)</f>
        <v>33890</v>
      </c>
      <c r="C66" s="8">
        <f>SUM(C63:C65)</f>
        <v>37305</v>
      </c>
      <c r="D66" s="8">
        <f>SUM(D63:D65)</f>
        <v>36958</v>
      </c>
      <c r="E66" s="8">
        <f>SUM(E63:E65)</f>
        <v>41836</v>
      </c>
      <c r="F66" s="8">
        <f>SUM(F63:F65)</f>
        <v>46753</v>
      </c>
      <c r="G66" s="8">
        <f t="shared" ref="G66:I66" si="48">SUM(G63:G65)</f>
        <v>51500</v>
      </c>
      <c r="H66" s="8">
        <f t="shared" si="48"/>
        <v>56600</v>
      </c>
      <c r="I66" s="8">
        <f t="shared" si="48"/>
        <v>55200</v>
      </c>
      <c r="J66" s="17"/>
      <c r="K66" s="8">
        <f t="shared" si="40"/>
        <v>41836</v>
      </c>
      <c r="L66" s="8">
        <f t="shared" si="41"/>
        <v>55200</v>
      </c>
    </row>
    <row r="67" spans="1:12" ht="15" customHeight="1" x14ac:dyDescent="0.25">
      <c r="A67" s="2" t="s">
        <v>59</v>
      </c>
      <c r="B67" s="8">
        <f t="shared" ref="B67:I67" si="49">B62-B66</f>
        <v>-13893</v>
      </c>
      <c r="C67" s="8">
        <f t="shared" si="49"/>
        <v>-10763</v>
      </c>
      <c r="D67" s="8">
        <f t="shared" si="49"/>
        <v>-8288</v>
      </c>
      <c r="E67" s="8">
        <f t="shared" si="49"/>
        <v>-14706</v>
      </c>
      <c r="F67" s="8">
        <f t="shared" si="49"/>
        <v>-18168</v>
      </c>
      <c r="G67" s="8">
        <f t="shared" si="49"/>
        <v>-20900</v>
      </c>
      <c r="H67" s="8">
        <f t="shared" si="49"/>
        <v>-25000</v>
      </c>
      <c r="I67" s="8">
        <f t="shared" si="49"/>
        <v>-18300</v>
      </c>
      <c r="J67" s="17"/>
      <c r="K67" s="8">
        <f t="shared" si="40"/>
        <v>-14706</v>
      </c>
      <c r="L67" s="8">
        <f t="shared" si="41"/>
        <v>-18300</v>
      </c>
    </row>
    <row r="68" spans="1:12" ht="15" customHeight="1" x14ac:dyDescent="0.25">
      <c r="A68" s="5" t="s">
        <v>60</v>
      </c>
      <c r="B68" s="7">
        <v>-11366</v>
      </c>
      <c r="C68" s="7">
        <f>B67</f>
        <v>-13893</v>
      </c>
      <c r="D68" s="7">
        <f>C67</f>
        <v>-10763</v>
      </c>
      <c r="E68" s="7">
        <f>D67</f>
        <v>-8288</v>
      </c>
      <c r="F68" s="7">
        <f>E67</f>
        <v>-14706</v>
      </c>
      <c r="G68" s="7">
        <f t="shared" ref="G68:I68" si="50">F67</f>
        <v>-18168</v>
      </c>
      <c r="H68" s="7">
        <f t="shared" si="50"/>
        <v>-20900</v>
      </c>
      <c r="I68" s="7">
        <f t="shared" si="50"/>
        <v>-25000</v>
      </c>
      <c r="J68" s="4"/>
      <c r="K68" s="7">
        <f t="shared" si="40"/>
        <v>-8288</v>
      </c>
      <c r="L68" s="7">
        <f t="shared" si="41"/>
        <v>-25000</v>
      </c>
    </row>
    <row r="69" spans="1:12" ht="15" customHeight="1" x14ac:dyDescent="0.25">
      <c r="A69" s="2" t="s">
        <v>61</v>
      </c>
      <c r="B69" s="8">
        <f>B67-B68</f>
        <v>-2527</v>
      </c>
      <c r="C69" s="8">
        <f>C67-C68</f>
        <v>3130</v>
      </c>
      <c r="D69" s="8">
        <f>D67-D68</f>
        <v>2475</v>
      </c>
      <c r="E69" s="8">
        <f>E67-E68</f>
        <v>-6418</v>
      </c>
      <c r="F69" s="8">
        <f>F67-F68</f>
        <v>-3462</v>
      </c>
      <c r="G69" s="8">
        <f t="shared" ref="G69:I69" si="51">G67-G68</f>
        <v>-2732</v>
      </c>
      <c r="H69" s="8">
        <f t="shared" si="51"/>
        <v>-4100</v>
      </c>
      <c r="I69" s="8">
        <f t="shared" si="51"/>
        <v>6700</v>
      </c>
      <c r="J69" s="17"/>
      <c r="K69" s="8">
        <f t="shared" si="40"/>
        <v>-6418</v>
      </c>
      <c r="L69" s="8">
        <f t="shared" si="41"/>
        <v>6700</v>
      </c>
    </row>
    <row r="70" spans="1:12" ht="15" customHeight="1" x14ac:dyDescent="0.25">
      <c r="A70" s="2" t="s">
        <v>62</v>
      </c>
      <c r="B70" s="8">
        <f>B57+B58-B59-B69</f>
        <v>8007.8499999999985</v>
      </c>
      <c r="C70" s="8">
        <f>C57+C58-C59-C69</f>
        <v>1983.6699999999983</v>
      </c>
      <c r="D70" s="8">
        <f>D57+D58-D59-D69</f>
        <v>979.45000000000073</v>
      </c>
      <c r="E70" s="8">
        <f>E57+E58-E59-E69</f>
        <v>11220.150000000001</v>
      </c>
      <c r="F70" s="8">
        <f>F57+F58-F59-F69</f>
        <v>9290.9199999999983</v>
      </c>
      <c r="G70" s="8">
        <f t="shared" ref="G70:I70" si="52">G57+G58-G59-G69</f>
        <v>-4494.6982749999988</v>
      </c>
      <c r="H70" s="8">
        <f t="shared" si="52"/>
        <v>-11848.770512999999</v>
      </c>
      <c r="I70" s="8">
        <f t="shared" si="52"/>
        <v>-22011.61776424999</v>
      </c>
      <c r="J70" s="17"/>
      <c r="K70" s="8">
        <f t="shared" si="40"/>
        <v>11220.150000000001</v>
      </c>
      <c r="L70" s="8">
        <f t="shared" si="41"/>
        <v>-22011.61776424999</v>
      </c>
    </row>
    <row r="71" spans="1:12" ht="15" customHeight="1" x14ac:dyDescent="0.25">
      <c r="A71" s="5"/>
      <c r="B71" s="6"/>
      <c r="C71" s="6"/>
      <c r="D71" s="6"/>
      <c r="E71" s="6"/>
      <c r="F71" s="6"/>
      <c r="G71" s="12"/>
      <c r="H71" s="12"/>
      <c r="I71" s="12"/>
      <c r="J71" s="4"/>
      <c r="K71" s="12"/>
      <c r="L71" s="12"/>
    </row>
    <row r="72" spans="1:12" ht="15" customHeight="1" x14ac:dyDescent="0.25">
      <c r="A72" s="2" t="s">
        <v>63</v>
      </c>
      <c r="B72" s="3"/>
      <c r="C72" s="3"/>
      <c r="D72" s="3"/>
      <c r="E72" s="3"/>
      <c r="F72" s="3"/>
      <c r="G72" s="12"/>
      <c r="H72" s="12"/>
      <c r="I72" s="12"/>
      <c r="J72" s="4"/>
      <c r="K72" s="12"/>
      <c r="L72" s="12"/>
    </row>
    <row r="73" spans="1:12" ht="15" customHeight="1" x14ac:dyDescent="0.25">
      <c r="A73" s="2" t="s">
        <v>64</v>
      </c>
      <c r="B73" s="3"/>
      <c r="C73" s="3"/>
      <c r="D73" s="3"/>
      <c r="E73" s="3"/>
      <c r="F73" s="3"/>
      <c r="G73" s="12"/>
      <c r="H73" s="12"/>
      <c r="I73" s="12"/>
      <c r="J73" s="4"/>
      <c r="K73" s="12"/>
      <c r="L73" s="12"/>
    </row>
    <row r="74" spans="1:12" ht="15" customHeight="1" x14ac:dyDescent="0.25">
      <c r="A74" s="5" t="s">
        <v>65</v>
      </c>
      <c r="B74" s="7">
        <v>28750</v>
      </c>
      <c r="C74" s="7">
        <v>12005</v>
      </c>
      <c r="D74" s="7">
        <v>10187</v>
      </c>
      <c r="E74" s="7">
        <v>35873</v>
      </c>
      <c r="F74" s="7">
        <v>23426</v>
      </c>
      <c r="G74" s="13"/>
      <c r="H74" s="13"/>
      <c r="I74" s="13"/>
      <c r="J74" s="4"/>
      <c r="K74" s="13"/>
      <c r="L74" s="13"/>
    </row>
    <row r="75" spans="1:12" ht="15" customHeight="1" x14ac:dyDescent="0.25">
      <c r="A75" s="5" t="s">
        <v>66</v>
      </c>
      <c r="B75" s="7">
        <v>41480</v>
      </c>
      <c r="C75" s="7">
        <v>35066</v>
      </c>
      <c r="D75" s="7">
        <v>34261</v>
      </c>
      <c r="E75" s="7">
        <v>45719</v>
      </c>
      <c r="F75" s="7">
        <v>57754</v>
      </c>
      <c r="G75" s="13"/>
      <c r="H75" s="13"/>
      <c r="I75" s="13"/>
      <c r="J75" s="4"/>
      <c r="K75" s="13"/>
      <c r="L75" s="13"/>
    </row>
    <row r="76" spans="1:12" ht="15" customHeight="1" x14ac:dyDescent="0.25">
      <c r="A76" s="2" t="s">
        <v>67</v>
      </c>
      <c r="B76" s="8">
        <f>SUM(B74:B75)</f>
        <v>70230</v>
      </c>
      <c r="C76" s="8">
        <f>SUM(C74:C75)</f>
        <v>47071</v>
      </c>
      <c r="D76" s="8">
        <f>SUM(D74:D75)</f>
        <v>44448</v>
      </c>
      <c r="E76" s="8">
        <f>SUM(E74:E75)</f>
        <v>81592</v>
      </c>
      <c r="F76" s="8">
        <f>SUM(F74:F75)</f>
        <v>81180</v>
      </c>
      <c r="G76" s="18"/>
      <c r="H76" s="18"/>
      <c r="I76" s="18"/>
      <c r="J76" s="17"/>
      <c r="K76" s="18"/>
      <c r="L76" s="18"/>
    </row>
    <row r="77" spans="1:12" ht="15" customHeight="1" x14ac:dyDescent="0.25">
      <c r="A77" s="5" t="s">
        <v>52</v>
      </c>
      <c r="B77" s="7">
        <v>14514</v>
      </c>
      <c r="C77" s="7">
        <v>16561</v>
      </c>
      <c r="D77" s="7">
        <v>17297</v>
      </c>
      <c r="E77" s="7">
        <v>19769</v>
      </c>
      <c r="F77" s="7">
        <v>17470</v>
      </c>
      <c r="G77" s="13">
        <v>20100</v>
      </c>
      <c r="H77" s="13">
        <v>21600</v>
      </c>
      <c r="I77" s="13">
        <v>26400</v>
      </c>
      <c r="J77" s="4"/>
      <c r="K77" s="13"/>
      <c r="L77" s="13"/>
    </row>
    <row r="78" spans="1:12" ht="15" customHeight="1" x14ac:dyDescent="0.25">
      <c r="A78" s="5" t="s">
        <v>53</v>
      </c>
      <c r="B78" s="7">
        <v>5483</v>
      </c>
      <c r="C78" s="7">
        <v>9981</v>
      </c>
      <c r="D78" s="7">
        <v>11373</v>
      </c>
      <c r="E78" s="7">
        <v>7361</v>
      </c>
      <c r="F78" s="7">
        <v>11115</v>
      </c>
      <c r="G78" s="13">
        <v>10500</v>
      </c>
      <c r="H78" s="13">
        <v>10000</v>
      </c>
      <c r="I78" s="13">
        <v>10500</v>
      </c>
      <c r="J78" s="4"/>
      <c r="K78" s="13"/>
      <c r="L78" s="13"/>
    </row>
    <row r="79" spans="1:12" ht="15" customHeight="1" x14ac:dyDescent="0.25">
      <c r="A79" s="2" t="s">
        <v>68</v>
      </c>
      <c r="B79" s="8">
        <f>SUM(B76:B78)</f>
        <v>90227</v>
      </c>
      <c r="C79" s="8">
        <f>SUM(C76:C78)</f>
        <v>73613</v>
      </c>
      <c r="D79" s="8">
        <f>SUM(D76:D78)</f>
        <v>73118</v>
      </c>
      <c r="E79" s="8">
        <f>SUM(E76:E78)</f>
        <v>108722</v>
      </c>
      <c r="F79" s="8">
        <f>SUM(F76:F78)</f>
        <v>109765</v>
      </c>
      <c r="G79" s="18"/>
      <c r="H79" s="18"/>
      <c r="I79" s="18"/>
      <c r="J79" s="17"/>
      <c r="K79" s="18"/>
      <c r="L79" s="18"/>
    </row>
    <row r="80" spans="1:12" ht="15" customHeight="1" x14ac:dyDescent="0.25">
      <c r="A80" s="5" t="s">
        <v>69</v>
      </c>
      <c r="B80" s="7">
        <v>6168</v>
      </c>
      <c r="C80" s="7">
        <v>21988</v>
      </c>
      <c r="D80" s="7">
        <v>25074</v>
      </c>
      <c r="E80" s="7">
        <v>27524</v>
      </c>
      <c r="F80" s="7">
        <v>28410</v>
      </c>
      <c r="G80" s="13"/>
      <c r="H80" s="13"/>
      <c r="I80" s="13"/>
      <c r="J80" s="4"/>
      <c r="K80" s="13"/>
      <c r="L80" s="13"/>
    </row>
    <row r="81" spans="1:12" ht="15" customHeight="1" x14ac:dyDescent="0.25">
      <c r="A81" s="5" t="s">
        <v>70</v>
      </c>
      <c r="B81" s="7">
        <v>133567</v>
      </c>
      <c r="C81" s="7">
        <v>147039</v>
      </c>
      <c r="D81" s="7">
        <v>160270</v>
      </c>
      <c r="E81" s="7">
        <v>176400</v>
      </c>
      <c r="F81" s="7">
        <v>194776</v>
      </c>
      <c r="G81" s="13"/>
      <c r="H81" s="13"/>
      <c r="I81" s="13"/>
      <c r="J81" s="4"/>
      <c r="K81" s="13"/>
      <c r="L81" s="13"/>
    </row>
    <row r="82" spans="1:12" ht="15" customHeight="1" x14ac:dyDescent="0.25">
      <c r="A82" s="5" t="s">
        <v>71</v>
      </c>
      <c r="B82" s="7">
        <v>15505</v>
      </c>
      <c r="C82" s="7">
        <v>15662</v>
      </c>
      <c r="D82" s="7">
        <v>17372</v>
      </c>
      <c r="E82" s="7">
        <v>20404</v>
      </c>
      <c r="F82" s="7">
        <v>23268</v>
      </c>
      <c r="G82" s="13"/>
      <c r="H82" s="13"/>
      <c r="I82" s="13"/>
      <c r="J82" s="4"/>
      <c r="K82" s="13"/>
      <c r="L82" s="13"/>
    </row>
    <row r="83" spans="1:12" ht="15" customHeight="1" x14ac:dyDescent="0.25">
      <c r="A83" s="5" t="s">
        <v>72</v>
      </c>
      <c r="B83" s="7">
        <v>20654</v>
      </c>
      <c r="C83" s="7">
        <v>20654</v>
      </c>
      <c r="D83" s="7">
        <v>21158</v>
      </c>
      <c r="E83" s="7">
        <v>24534</v>
      </c>
      <c r="F83" s="7">
        <v>24748</v>
      </c>
      <c r="G83" s="13"/>
      <c r="H83" s="13"/>
      <c r="I83" s="13"/>
      <c r="J83" s="4"/>
      <c r="K83" s="13"/>
      <c r="L83" s="13"/>
    </row>
    <row r="84" spans="1:12" ht="15" customHeight="1" x14ac:dyDescent="0.25">
      <c r="A84" s="5" t="s">
        <v>73</v>
      </c>
      <c r="B84" s="7">
        <v>14092</v>
      </c>
      <c r="C84" s="7">
        <v>15788</v>
      </c>
      <c r="D84" s="7">
        <v>6852</v>
      </c>
      <c r="E84" s="7">
        <v>8437</v>
      </c>
      <c r="F84" s="7">
        <v>14283</v>
      </c>
      <c r="G84" s="13"/>
      <c r="H84" s="13"/>
      <c r="I84" s="13"/>
      <c r="J84" s="4"/>
      <c r="K84" s="13"/>
      <c r="L84" s="13"/>
    </row>
    <row r="85" spans="1:12" ht="15" customHeight="1" x14ac:dyDescent="0.25">
      <c r="A85" s="2" t="s">
        <v>74</v>
      </c>
      <c r="B85" s="8">
        <f>SUM(B79:B84)</f>
        <v>280213</v>
      </c>
      <c r="C85" s="8">
        <f>SUM(C79:C84)</f>
        <v>294744</v>
      </c>
      <c r="D85" s="8">
        <f>SUM(D79:D84)</f>
        <v>303844</v>
      </c>
      <c r="E85" s="8">
        <f>SUM(E79:E84)</f>
        <v>366021</v>
      </c>
      <c r="F85" s="8">
        <f>SUM(F79:F84)</f>
        <v>395250</v>
      </c>
      <c r="G85" s="18"/>
      <c r="H85" s="18"/>
      <c r="I85" s="18"/>
      <c r="J85" s="17"/>
      <c r="K85" s="18"/>
      <c r="L85" s="18"/>
    </row>
    <row r="86" spans="1:12" ht="15" customHeight="1" x14ac:dyDescent="0.25">
      <c r="A86" s="5"/>
      <c r="B86" s="7"/>
      <c r="C86" s="7"/>
      <c r="D86" s="7"/>
      <c r="E86" s="7"/>
      <c r="F86" s="7"/>
      <c r="G86" s="13"/>
      <c r="H86" s="13"/>
      <c r="I86" s="13"/>
      <c r="J86" s="4"/>
      <c r="K86" s="13"/>
      <c r="L86" s="13"/>
    </row>
    <row r="87" spans="1:12" ht="15" customHeight="1" x14ac:dyDescent="0.25">
      <c r="A87" s="2" t="s">
        <v>75</v>
      </c>
      <c r="B87" s="8"/>
      <c r="C87" s="8"/>
      <c r="D87" s="8"/>
      <c r="E87" s="8"/>
      <c r="F87" s="8"/>
      <c r="G87" s="13"/>
      <c r="H87" s="13"/>
      <c r="I87" s="13"/>
      <c r="J87" s="4"/>
      <c r="K87" s="13"/>
      <c r="L87" s="13"/>
    </row>
    <row r="88" spans="1:12" ht="15" customHeight="1" x14ac:dyDescent="0.25">
      <c r="A88" s="5" t="s">
        <v>55</v>
      </c>
      <c r="B88" s="7">
        <v>8512</v>
      </c>
      <c r="C88" s="7">
        <v>10271</v>
      </c>
      <c r="D88" s="7">
        <v>7798</v>
      </c>
      <c r="E88" s="7">
        <v>8894</v>
      </c>
      <c r="F88" s="7">
        <v>13326</v>
      </c>
      <c r="G88" s="13">
        <v>16000</v>
      </c>
      <c r="H88" s="13">
        <v>18500</v>
      </c>
      <c r="I88" s="13">
        <v>14000</v>
      </c>
      <c r="J88" s="4"/>
      <c r="K88" s="13"/>
      <c r="L88" s="13"/>
    </row>
    <row r="89" spans="1:12" ht="15" customHeight="1" x14ac:dyDescent="0.25">
      <c r="A89" s="5" t="s">
        <v>56</v>
      </c>
      <c r="B89" s="7">
        <v>1976</v>
      </c>
      <c r="C89" s="7">
        <v>1977</v>
      </c>
      <c r="D89" s="7">
        <v>2113</v>
      </c>
      <c r="E89" s="7">
        <v>2213</v>
      </c>
      <c r="F89" s="7">
        <v>2414</v>
      </c>
      <c r="G89" s="13">
        <v>2500</v>
      </c>
      <c r="H89" s="13">
        <v>2600</v>
      </c>
      <c r="I89" s="13">
        <v>2700</v>
      </c>
      <c r="J89" s="4"/>
      <c r="K89" s="13"/>
      <c r="L89" s="13"/>
    </row>
    <row r="90" spans="1:12" ht="15" customHeight="1" x14ac:dyDescent="0.25">
      <c r="A90" s="5" t="s">
        <v>57</v>
      </c>
      <c r="B90" s="7">
        <v>23402</v>
      </c>
      <c r="C90" s="7">
        <v>25057</v>
      </c>
      <c r="D90" s="7">
        <v>27047</v>
      </c>
      <c r="E90" s="7">
        <v>30729</v>
      </c>
      <c r="F90" s="7">
        <v>31013</v>
      </c>
      <c r="G90" s="13">
        <v>33000</v>
      </c>
      <c r="H90" s="13">
        <v>35500</v>
      </c>
      <c r="I90" s="13">
        <v>38500</v>
      </c>
      <c r="J90" s="4"/>
      <c r="K90" s="13"/>
      <c r="L90" s="13"/>
    </row>
    <row r="91" spans="1:12" ht="15" customHeight="1" x14ac:dyDescent="0.25">
      <c r="A91" s="2" t="s">
        <v>76</v>
      </c>
      <c r="B91" s="8">
        <f t="shared" ref="B91:I91" si="53">SUM(B88:B90)</f>
        <v>33890</v>
      </c>
      <c r="C91" s="8">
        <f t="shared" si="53"/>
        <v>37305</v>
      </c>
      <c r="D91" s="8">
        <f t="shared" si="53"/>
        <v>36958</v>
      </c>
      <c r="E91" s="8">
        <f t="shared" si="53"/>
        <v>41836</v>
      </c>
      <c r="F91" s="8">
        <f t="shared" si="53"/>
        <v>46753</v>
      </c>
      <c r="G91" s="18">
        <f t="shared" si="53"/>
        <v>51500</v>
      </c>
      <c r="H91" s="18">
        <f t="shared" si="53"/>
        <v>56600</v>
      </c>
      <c r="I91" s="18">
        <f t="shared" si="53"/>
        <v>55200</v>
      </c>
      <c r="J91" s="17"/>
      <c r="K91" s="18"/>
      <c r="L91" s="18"/>
    </row>
    <row r="92" spans="1:12" ht="15" customHeight="1" x14ac:dyDescent="0.25">
      <c r="A92" s="5" t="s">
        <v>77</v>
      </c>
      <c r="B92" s="7">
        <v>18714</v>
      </c>
      <c r="C92" s="7">
        <v>18751</v>
      </c>
      <c r="D92" s="7">
        <v>20113</v>
      </c>
      <c r="E92" s="7">
        <v>22940</v>
      </c>
      <c r="F92" s="7">
        <v>25607</v>
      </c>
      <c r="G92" s="13"/>
      <c r="H92" s="13"/>
      <c r="I92" s="13"/>
      <c r="J92" s="4"/>
      <c r="K92" s="13"/>
      <c r="L92" s="13"/>
    </row>
    <row r="93" spans="1:12" ht="15" customHeight="1" x14ac:dyDescent="0.25">
      <c r="A93" s="5" t="s">
        <v>78</v>
      </c>
      <c r="B93" s="7">
        <v>28829</v>
      </c>
      <c r="C93" s="7">
        <v>28832</v>
      </c>
      <c r="D93" s="7">
        <v>28834</v>
      </c>
      <c r="E93" s="7">
        <v>58744</v>
      </c>
      <c r="F93" s="7">
        <v>58748</v>
      </c>
      <c r="G93" s="13"/>
      <c r="H93" s="13"/>
      <c r="I93" s="13"/>
      <c r="J93" s="4"/>
      <c r="K93" s="13"/>
      <c r="L93" s="13"/>
    </row>
    <row r="94" spans="1:12" ht="15" customHeight="1" x14ac:dyDescent="0.25">
      <c r="A94" s="5" t="s">
        <v>79</v>
      </c>
      <c r="B94" s="7">
        <v>10991</v>
      </c>
      <c r="C94" s="7">
        <v>12046</v>
      </c>
      <c r="D94" s="7">
        <v>11738</v>
      </c>
      <c r="E94" s="7">
        <v>21005</v>
      </c>
      <c r="F94" s="7">
        <v>16849</v>
      </c>
      <c r="G94" s="13"/>
      <c r="H94" s="13"/>
      <c r="I94" s="13"/>
      <c r="J94" s="4"/>
      <c r="K94" s="13"/>
      <c r="L94" s="13"/>
    </row>
    <row r="95" spans="1:12" ht="15" customHeight="1" x14ac:dyDescent="0.25">
      <c r="A95" s="5" t="s">
        <v>80</v>
      </c>
      <c r="B95" s="7">
        <v>2760</v>
      </c>
      <c r="C95" s="7">
        <v>2740</v>
      </c>
      <c r="D95" s="7">
        <v>12135</v>
      </c>
      <c r="E95" s="7">
        <v>4253</v>
      </c>
      <c r="F95" s="7">
        <v>3612</v>
      </c>
      <c r="G95" s="13"/>
      <c r="H95" s="13"/>
      <c r="I95" s="13"/>
      <c r="J95" s="4"/>
      <c r="K95" s="13"/>
      <c r="L95" s="13"/>
    </row>
    <row r="96" spans="1:12" ht="15" customHeight="1" x14ac:dyDescent="0.25">
      <c r="A96" s="2" t="s">
        <v>81</v>
      </c>
      <c r="B96" s="8">
        <f>SUM(B91:B95)</f>
        <v>95184</v>
      </c>
      <c r="C96" s="8">
        <f>SUM(C91:C95)</f>
        <v>99674</v>
      </c>
      <c r="D96" s="8">
        <f>SUM(D91:D95)</f>
        <v>109778</v>
      </c>
      <c r="E96" s="8">
        <f>SUM(E91:E95)</f>
        <v>148778</v>
      </c>
      <c r="F96" s="8">
        <f>SUM(F91:F95)</f>
        <v>151569</v>
      </c>
      <c r="G96" s="18"/>
      <c r="H96" s="18"/>
      <c r="I96" s="18"/>
      <c r="J96" s="17"/>
      <c r="K96" s="18"/>
      <c r="L96" s="18"/>
    </row>
    <row r="97" spans="1:12" ht="15" customHeight="1" x14ac:dyDescent="0.25">
      <c r="A97" s="5"/>
      <c r="B97" s="7"/>
      <c r="C97" s="7"/>
      <c r="D97" s="7"/>
      <c r="E97" s="7"/>
      <c r="F97" s="7"/>
      <c r="G97" s="13"/>
      <c r="H97" s="13"/>
      <c r="I97" s="13"/>
      <c r="J97" s="4"/>
      <c r="K97" s="13"/>
      <c r="L97" s="13"/>
    </row>
    <row r="98" spans="1:12" ht="15" customHeight="1" x14ac:dyDescent="0.25">
      <c r="A98" s="2" t="s">
        <v>82</v>
      </c>
      <c r="B98" s="8"/>
      <c r="C98" s="8"/>
      <c r="D98" s="8"/>
      <c r="E98" s="8"/>
      <c r="F98" s="8"/>
      <c r="G98" s="13"/>
      <c r="H98" s="13"/>
      <c r="I98" s="13"/>
      <c r="J98" s="4"/>
      <c r="K98" s="13"/>
      <c r="L98" s="13"/>
    </row>
    <row r="99" spans="1:12" ht="15" customHeight="1" x14ac:dyDescent="0.25">
      <c r="A99" s="5" t="s">
        <v>83</v>
      </c>
      <c r="B99" s="7">
        <v>85568</v>
      </c>
      <c r="C99" s="7">
        <v>88496</v>
      </c>
      <c r="D99" s="7">
        <v>92330</v>
      </c>
      <c r="E99" s="7">
        <v>95793</v>
      </c>
      <c r="F99" s="7">
        <v>99337</v>
      </c>
      <c r="G99" s="13"/>
      <c r="H99" s="13"/>
      <c r="I99" s="13"/>
      <c r="J99" s="4"/>
      <c r="K99" s="13"/>
      <c r="L99" s="13"/>
    </row>
    <row r="100" spans="1:12" ht="15" customHeight="1" x14ac:dyDescent="0.25">
      <c r="A100" s="5" t="s">
        <v>84</v>
      </c>
      <c r="B100" s="7">
        <v>-1865</v>
      </c>
      <c r="C100" s="7">
        <v>229</v>
      </c>
      <c r="D100" s="7">
        <v>159</v>
      </c>
      <c r="E100" s="7">
        <v>271</v>
      </c>
      <c r="F100" s="7">
        <v>-303</v>
      </c>
      <c r="G100" s="13"/>
      <c r="H100" s="13"/>
      <c r="I100" s="13"/>
      <c r="J100" s="4"/>
      <c r="K100" s="13"/>
      <c r="L100" s="13"/>
    </row>
    <row r="101" spans="1:12" ht="15" customHeight="1" x14ac:dyDescent="0.25">
      <c r="A101" s="5" t="s">
        <v>85</v>
      </c>
      <c r="B101" s="7">
        <v>101326</v>
      </c>
      <c r="C101" s="7">
        <v>106345</v>
      </c>
      <c r="D101" s="7">
        <v>101577</v>
      </c>
      <c r="E101" s="7">
        <v>121179</v>
      </c>
      <c r="F101" s="7">
        <v>144647</v>
      </c>
      <c r="G101" s="13"/>
      <c r="H101" s="13"/>
      <c r="I101" s="13"/>
      <c r="J101" s="4"/>
      <c r="K101" s="13"/>
      <c r="L101" s="13"/>
    </row>
    <row r="102" spans="1:12" ht="15" customHeight="1" x14ac:dyDescent="0.25">
      <c r="A102" s="2" t="s">
        <v>86</v>
      </c>
      <c r="B102" s="8">
        <f>SUM(B99:B101)</f>
        <v>185029</v>
      </c>
      <c r="C102" s="8">
        <f>SUM(C99:C101)</f>
        <v>195070</v>
      </c>
      <c r="D102" s="8">
        <f>SUM(D99:D101)</f>
        <v>194066</v>
      </c>
      <c r="E102" s="8">
        <f>SUM(E99:E101)</f>
        <v>217243</v>
      </c>
      <c r="F102" s="8">
        <f>SUM(F99:F101)</f>
        <v>243681</v>
      </c>
      <c r="G102" s="18"/>
      <c r="H102" s="18"/>
      <c r="I102" s="18"/>
      <c r="J102" s="17"/>
      <c r="K102" s="18"/>
      <c r="L102" s="18"/>
    </row>
    <row r="103" spans="1:12" ht="15" customHeight="1" x14ac:dyDescent="0.25">
      <c r="A103" s="2" t="s">
        <v>87</v>
      </c>
      <c r="B103" s="8">
        <f>SUM(B96,B102)</f>
        <v>280213</v>
      </c>
      <c r="C103" s="8">
        <f>SUM(C96,C102)</f>
        <v>294744</v>
      </c>
      <c r="D103" s="8">
        <f>SUM(D96,D102)</f>
        <v>303844</v>
      </c>
      <c r="E103" s="8">
        <f>SUM(E96,E102)</f>
        <v>366021</v>
      </c>
      <c r="F103" s="8">
        <f>SUM(F96,F102)</f>
        <v>395250</v>
      </c>
      <c r="G103" s="18"/>
      <c r="H103" s="18"/>
      <c r="I103" s="18"/>
      <c r="J103" s="17"/>
      <c r="K103" s="18"/>
      <c r="L1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workbookViewId="0"/>
  </sheetViews>
  <sheetFormatPr defaultRowHeight="15" x14ac:dyDescent="0.25"/>
  <cols>
    <col min="1" max="1" width="37" customWidth="1"/>
    <col min="2" max="9" width="12" customWidth="1"/>
    <col min="10" max="10" width="3" customWidth="1"/>
    <col min="11" max="12" width="12" customWidth="1"/>
  </cols>
  <sheetData>
    <row r="1" spans="1:12" ht="15" customHeight="1" x14ac:dyDescent="0.25">
      <c r="A1" s="2" t="s">
        <v>88</v>
      </c>
      <c r="B1" s="3"/>
      <c r="C1" s="3"/>
      <c r="D1" s="3"/>
      <c r="E1" s="3"/>
      <c r="F1" s="3"/>
      <c r="G1" s="12"/>
      <c r="H1" s="12"/>
      <c r="I1" s="12"/>
      <c r="J1" s="4"/>
      <c r="K1" s="12"/>
      <c r="L1" s="12"/>
    </row>
    <row r="2" spans="1:12" ht="15" customHeight="1" x14ac:dyDescent="0.25">
      <c r="A2" s="5" t="s">
        <v>89</v>
      </c>
      <c r="B2" s="6"/>
      <c r="C2" s="6"/>
      <c r="D2" s="6"/>
      <c r="E2" s="6"/>
      <c r="F2" s="6"/>
      <c r="G2" s="12"/>
      <c r="H2" s="12"/>
      <c r="I2" s="12"/>
      <c r="J2" s="4"/>
      <c r="K2" s="12"/>
      <c r="L2" s="12"/>
    </row>
    <row r="3" spans="1:12" ht="15" customHeight="1" x14ac:dyDescent="0.25">
      <c r="A3" s="5"/>
      <c r="B3" s="6"/>
      <c r="C3" s="6"/>
      <c r="D3" s="6"/>
      <c r="E3" s="6"/>
      <c r="F3" s="6"/>
      <c r="G3" s="12"/>
      <c r="H3" s="12"/>
      <c r="I3" s="12"/>
      <c r="J3" s="4"/>
      <c r="K3" s="12"/>
      <c r="L3" s="12"/>
    </row>
    <row r="4" spans="1:12" ht="15" customHeight="1" x14ac:dyDescent="0.25">
      <c r="A4" s="2" t="s">
        <v>90</v>
      </c>
      <c r="B4" s="3"/>
      <c r="C4" s="3"/>
      <c r="D4" s="3"/>
      <c r="E4" s="3"/>
      <c r="F4" s="3"/>
      <c r="G4" s="12"/>
      <c r="H4" s="12"/>
      <c r="I4" s="12"/>
      <c r="J4" s="4"/>
      <c r="K4" s="12"/>
      <c r="L4" s="12"/>
    </row>
    <row r="5" spans="1:12" ht="15" customHeight="1" x14ac:dyDescent="0.25">
      <c r="A5" s="5"/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12" t="s">
        <v>106</v>
      </c>
      <c r="H5" s="12" t="s">
        <v>107</v>
      </c>
      <c r="I5" s="12" t="s">
        <v>108</v>
      </c>
      <c r="J5" s="4"/>
      <c r="K5" s="12" t="s">
        <v>109</v>
      </c>
      <c r="L5" s="12" t="s">
        <v>110</v>
      </c>
    </row>
    <row r="6" spans="1:12" ht="15" customHeight="1" x14ac:dyDescent="0.25">
      <c r="A6" s="2" t="s">
        <v>7</v>
      </c>
      <c r="B6" s="3"/>
      <c r="C6" s="3"/>
      <c r="D6" s="3"/>
      <c r="E6" s="3"/>
      <c r="F6" s="3"/>
      <c r="G6" s="12"/>
      <c r="H6" s="12"/>
      <c r="I6" s="12"/>
      <c r="J6" s="4"/>
      <c r="K6" s="12"/>
      <c r="L6" s="12"/>
    </row>
    <row r="7" spans="1:12" ht="15" customHeight="1" x14ac:dyDescent="0.25">
      <c r="A7" s="5" t="s">
        <v>5</v>
      </c>
      <c r="B7" s="7">
        <v>41392</v>
      </c>
      <c r="C7" s="7">
        <v>46563</v>
      </c>
      <c r="D7" s="7">
        <v>50082</v>
      </c>
      <c r="E7" s="7">
        <v>58137</v>
      </c>
      <c r="F7" s="7">
        <v>55024</v>
      </c>
      <c r="G7" s="13">
        <f>'META Model'!G4</f>
        <v>58902.195</v>
      </c>
      <c r="H7" s="13">
        <f>'META Model'!H4</f>
        <v>61685.999400000001</v>
      </c>
      <c r="I7" s="13">
        <f>'META Model'!I4</f>
        <v>70662.616650000011</v>
      </c>
      <c r="J7" s="4"/>
      <c r="K7" s="13">
        <f>SUM(B7:E7)</f>
        <v>196174</v>
      </c>
      <c r="L7" s="13">
        <f>SUM(F7:I7)</f>
        <v>246274.81105000002</v>
      </c>
    </row>
    <row r="8" spans="1:12" ht="15" customHeight="1" x14ac:dyDescent="0.25">
      <c r="A8" s="5" t="s">
        <v>6</v>
      </c>
      <c r="B8" s="7">
        <v>510</v>
      </c>
      <c r="C8" s="7">
        <v>583</v>
      </c>
      <c r="D8" s="7">
        <v>690</v>
      </c>
      <c r="E8" s="7">
        <v>801</v>
      </c>
      <c r="F8" s="7">
        <v>885</v>
      </c>
      <c r="G8" s="13">
        <f>'META Model'!G5</f>
        <v>990</v>
      </c>
      <c r="H8" s="13">
        <f>'META Model'!H5</f>
        <v>1100</v>
      </c>
      <c r="I8" s="13">
        <f>'META Model'!I5</f>
        <v>1200</v>
      </c>
      <c r="J8" s="4"/>
      <c r="K8" s="13">
        <f>SUM(B8:E8)</f>
        <v>2584</v>
      </c>
      <c r="L8" s="13">
        <f>SUM(F8:I8)</f>
        <v>4175</v>
      </c>
    </row>
    <row r="9" spans="1:12" ht="15" customHeight="1" x14ac:dyDescent="0.25">
      <c r="A9" s="2" t="s">
        <v>91</v>
      </c>
      <c r="B9" s="8">
        <f t="shared" ref="B9:I9" si="0">SUM(B7:B8)</f>
        <v>41902</v>
      </c>
      <c r="C9" s="8">
        <f t="shared" si="0"/>
        <v>47146</v>
      </c>
      <c r="D9" s="8">
        <f t="shared" si="0"/>
        <v>50772</v>
      </c>
      <c r="E9" s="8">
        <f t="shared" si="0"/>
        <v>58938</v>
      </c>
      <c r="F9" s="8">
        <f t="shared" si="0"/>
        <v>55909</v>
      </c>
      <c r="G9" s="18">
        <f t="shared" si="0"/>
        <v>59892.195</v>
      </c>
      <c r="H9" s="18">
        <f t="shared" si="0"/>
        <v>62785.999400000001</v>
      </c>
      <c r="I9" s="18">
        <f t="shared" si="0"/>
        <v>71862.616650000011</v>
      </c>
      <c r="J9" s="17"/>
      <c r="K9" s="18">
        <f>SUM(B9:E9)</f>
        <v>198758</v>
      </c>
      <c r="L9" s="18">
        <f>SUM(F9:I9)</f>
        <v>250449.81105000002</v>
      </c>
    </row>
    <row r="10" spans="1:12" ht="15" customHeight="1" x14ac:dyDescent="0.25">
      <c r="A10" s="5" t="s">
        <v>92</v>
      </c>
      <c r="B10" s="14">
        <v>0.16345966958211866</v>
      </c>
      <c r="C10" s="14">
        <v>0.21767653287876443</v>
      </c>
      <c r="D10" s="14">
        <v>0.25925742205907887</v>
      </c>
      <c r="E10" s="14">
        <v>0.24599382689949678</v>
      </c>
      <c r="F10" s="14">
        <f>F9/B9-1</f>
        <v>0.33427998663548286</v>
      </c>
      <c r="G10" s="15">
        <f>G9/C9-1</f>
        <v>0.27035580961269257</v>
      </c>
      <c r="H10" s="15">
        <f>H9/D9-1</f>
        <v>0.23662647522256353</v>
      </c>
      <c r="I10" s="15">
        <f>I9/E9-1</f>
        <v>0.21929174132138884</v>
      </c>
      <c r="J10" s="4"/>
      <c r="K10" s="15"/>
      <c r="L10" s="15">
        <f>L9/K9-1</f>
        <v>0.26007411550730053</v>
      </c>
    </row>
    <row r="11" spans="1:12" ht="15" customHeight="1" x14ac:dyDescent="0.25">
      <c r="A11" s="2" t="s">
        <v>15</v>
      </c>
      <c r="B11" s="8">
        <f t="shared" ref="B11:I11" si="1">B9-B12</f>
        <v>20137</v>
      </c>
      <c r="C11" s="8">
        <f t="shared" si="1"/>
        <v>22175</v>
      </c>
      <c r="D11" s="8">
        <f t="shared" si="1"/>
        <v>25805</v>
      </c>
      <c r="E11" s="8">
        <f t="shared" si="1"/>
        <v>28172</v>
      </c>
      <c r="F11" s="8">
        <f t="shared" si="1"/>
        <v>29009</v>
      </c>
      <c r="G11" s="18">
        <f t="shared" si="1"/>
        <v>33855</v>
      </c>
      <c r="H11" s="18">
        <f t="shared" si="1"/>
        <v>38260</v>
      </c>
      <c r="I11" s="18">
        <f t="shared" si="1"/>
        <v>42696</v>
      </c>
      <c r="J11" s="17"/>
      <c r="K11" s="18">
        <f>SUM(B11:E11)</f>
        <v>96289</v>
      </c>
      <c r="L11" s="18">
        <f>SUM(F11:I11)</f>
        <v>143820</v>
      </c>
    </row>
    <row r="12" spans="1:12" ht="15" customHeight="1" x14ac:dyDescent="0.25">
      <c r="A12" s="2" t="s">
        <v>93</v>
      </c>
      <c r="B12" s="8">
        <v>21765</v>
      </c>
      <c r="C12" s="8">
        <v>24971</v>
      </c>
      <c r="D12" s="8">
        <v>24967</v>
      </c>
      <c r="E12" s="8">
        <v>30766</v>
      </c>
      <c r="F12" s="8">
        <v>26900</v>
      </c>
      <c r="G12" s="18">
        <f>'META Model'!G49</f>
        <v>26037.195</v>
      </c>
      <c r="H12" s="18">
        <f>'META Model'!H49</f>
        <v>24525.999400000001</v>
      </c>
      <c r="I12" s="18">
        <f>'META Model'!I49</f>
        <v>29166.616650000011</v>
      </c>
      <c r="J12" s="17"/>
      <c r="K12" s="18">
        <f>SUM(B12:E12)</f>
        <v>102469</v>
      </c>
      <c r="L12" s="18">
        <f>SUM(F12:I12)</f>
        <v>106629.81105000002</v>
      </c>
    </row>
    <row r="13" spans="1:12" ht="15" customHeight="1" x14ac:dyDescent="0.25">
      <c r="A13" s="5" t="s">
        <v>94</v>
      </c>
      <c r="B13" s="14">
        <v>0.23216711956521729</v>
      </c>
      <c r="C13" s="14">
        <v>0.29149211274890097</v>
      </c>
      <c r="D13" s="14">
        <v>0.14643217926347685</v>
      </c>
      <c r="E13" s="14">
        <v>8.5909925172949375E-2</v>
      </c>
      <c r="F13" s="14">
        <f>F12/B12-1</f>
        <v>0.23592924419940275</v>
      </c>
      <c r="G13" s="15">
        <f>G12/C12-1</f>
        <v>4.2697328901525777E-2</v>
      </c>
      <c r="H13" s="15">
        <f>H12/D12-1</f>
        <v>-1.7663339608282924E-2</v>
      </c>
      <c r="I13" s="15">
        <f>I12/E12-1</f>
        <v>-5.1985417343820783E-2</v>
      </c>
      <c r="J13" s="4"/>
      <c r="K13" s="15"/>
      <c r="L13" s="15">
        <f>L12/K12-1</f>
        <v>4.0605559242307576E-2</v>
      </c>
    </row>
    <row r="14" spans="1:12" ht="15" customHeight="1" x14ac:dyDescent="0.25">
      <c r="A14" s="5" t="s">
        <v>32</v>
      </c>
      <c r="B14" s="14">
        <f t="shared" ref="B14:I14" si="2">B12/B9</f>
        <v>0.51942628036847882</v>
      </c>
      <c r="C14" s="14">
        <f t="shared" si="2"/>
        <v>0.52965256861663768</v>
      </c>
      <c r="D14" s="14">
        <f t="shared" si="2"/>
        <v>0.49174741983770581</v>
      </c>
      <c r="E14" s="14">
        <f t="shared" si="2"/>
        <v>0.52200617598153998</v>
      </c>
      <c r="F14" s="14">
        <f t="shared" si="2"/>
        <v>0.48113899372194102</v>
      </c>
      <c r="G14" s="15">
        <f t="shared" si="2"/>
        <v>0.43473435895946039</v>
      </c>
      <c r="H14" s="15">
        <f t="shared" si="2"/>
        <v>0.39062847823363628</v>
      </c>
      <c r="I14" s="15">
        <f t="shared" si="2"/>
        <v>0.40586633231090408</v>
      </c>
      <c r="J14" s="4"/>
      <c r="K14" s="15">
        <f>K12/K9</f>
        <v>0.51554654403847899</v>
      </c>
      <c r="L14" s="15">
        <f>L12/L9</f>
        <v>0.42575321020590567</v>
      </c>
    </row>
    <row r="15" spans="1:12" ht="15" customHeight="1" x14ac:dyDescent="0.25">
      <c r="A15" s="5"/>
      <c r="B15" s="6"/>
      <c r="C15" s="6"/>
      <c r="D15" s="6"/>
      <c r="E15" s="6"/>
      <c r="F15" s="6"/>
      <c r="G15" s="12"/>
      <c r="H15" s="12"/>
      <c r="I15" s="12"/>
      <c r="J15" s="4"/>
      <c r="K15" s="12"/>
      <c r="L15" s="12"/>
    </row>
    <row r="16" spans="1:12" ht="15" customHeight="1" x14ac:dyDescent="0.25">
      <c r="A16" s="2" t="s">
        <v>8</v>
      </c>
      <c r="B16" s="3"/>
      <c r="C16" s="3"/>
      <c r="D16" s="3"/>
      <c r="E16" s="3"/>
      <c r="F16" s="3"/>
      <c r="G16" s="12"/>
      <c r="H16" s="12"/>
      <c r="I16" s="12"/>
      <c r="J16" s="4"/>
      <c r="K16" s="12"/>
      <c r="L16" s="12"/>
    </row>
    <row r="17" spans="1:12" ht="15" customHeight="1" x14ac:dyDescent="0.25">
      <c r="A17" s="5" t="s">
        <v>91</v>
      </c>
      <c r="B17" s="7">
        <v>412</v>
      </c>
      <c r="C17" s="7">
        <v>370</v>
      </c>
      <c r="D17" s="7">
        <v>470</v>
      </c>
      <c r="E17" s="7">
        <v>955</v>
      </c>
      <c r="F17" s="7">
        <v>402</v>
      </c>
      <c r="G17" s="13">
        <f>'META Model'!G7</f>
        <v>445</v>
      </c>
      <c r="H17" s="13">
        <f>'META Model'!H7</f>
        <v>540</v>
      </c>
      <c r="I17" s="13">
        <f>'META Model'!I7</f>
        <v>1100</v>
      </c>
      <c r="J17" s="4"/>
      <c r="K17" s="13">
        <f>SUM(B17:E17)</f>
        <v>2207</v>
      </c>
      <c r="L17" s="13">
        <f>SUM(F17:I17)</f>
        <v>2487</v>
      </c>
    </row>
    <row r="18" spans="1:12" ht="15" customHeight="1" x14ac:dyDescent="0.25">
      <c r="A18" s="5" t="s">
        <v>92</v>
      </c>
      <c r="B18" s="14">
        <v>-6.3636363636363602E-2</v>
      </c>
      <c r="C18" s="14">
        <v>4.8158640226628968E-2</v>
      </c>
      <c r="D18" s="14">
        <v>0.7407407407407407</v>
      </c>
      <c r="E18" s="14">
        <v>-0.11819021237303784</v>
      </c>
      <c r="F18" s="14">
        <f>F17/B17-1</f>
        <v>-2.4271844660194164E-2</v>
      </c>
      <c r="G18" s="15">
        <f>G17/C17-1</f>
        <v>0.20270270270270263</v>
      </c>
      <c r="H18" s="15">
        <f>H17/D17-1</f>
        <v>0.14893617021276606</v>
      </c>
      <c r="I18" s="15">
        <f>I17/E17-1</f>
        <v>0.1518324607329844</v>
      </c>
      <c r="J18" s="4"/>
      <c r="K18" s="15"/>
      <c r="L18" s="15">
        <f>L17/K17-1</f>
        <v>0.12686905301314</v>
      </c>
    </row>
    <row r="19" spans="1:12" ht="15" customHeight="1" x14ac:dyDescent="0.25">
      <c r="A19" s="2" t="s">
        <v>15</v>
      </c>
      <c r="B19" s="8">
        <f t="shared" ref="B19:I19" si="3">B17-B20</f>
        <v>4622</v>
      </c>
      <c r="C19" s="8">
        <f t="shared" si="3"/>
        <v>4900</v>
      </c>
      <c r="D19" s="8">
        <f t="shared" si="3"/>
        <v>4902</v>
      </c>
      <c r="E19" s="8">
        <f t="shared" si="3"/>
        <v>6976</v>
      </c>
      <c r="F19" s="8">
        <f t="shared" si="3"/>
        <v>4430</v>
      </c>
      <c r="G19" s="18">
        <f t="shared" si="3"/>
        <v>5145</v>
      </c>
      <c r="H19" s="18">
        <f t="shared" si="3"/>
        <v>5240</v>
      </c>
      <c r="I19" s="18">
        <f t="shared" si="3"/>
        <v>6865</v>
      </c>
      <c r="J19" s="17"/>
      <c r="K19" s="18">
        <f>SUM(B19:E19)</f>
        <v>21400</v>
      </c>
      <c r="L19" s="18">
        <f>SUM(F19:I19)</f>
        <v>21680</v>
      </c>
    </row>
    <row r="20" spans="1:12" ht="15" customHeight="1" x14ac:dyDescent="0.25">
      <c r="A20" s="2" t="s">
        <v>95</v>
      </c>
      <c r="B20" s="8">
        <v>-4210</v>
      </c>
      <c r="C20" s="8">
        <v>-4530</v>
      </c>
      <c r="D20" s="8">
        <v>-4432</v>
      </c>
      <c r="E20" s="8">
        <v>-6021</v>
      </c>
      <c r="F20" s="8">
        <v>-4028</v>
      </c>
      <c r="G20" s="18">
        <f>'META Model'!G51</f>
        <v>-4700</v>
      </c>
      <c r="H20" s="18">
        <f>'META Model'!H51</f>
        <v>-4700</v>
      </c>
      <c r="I20" s="18">
        <f>'META Model'!I51</f>
        <v>-5765</v>
      </c>
      <c r="J20" s="17"/>
      <c r="K20" s="18">
        <f>SUM(B20:E20)</f>
        <v>-19193</v>
      </c>
      <c r="L20" s="18">
        <f>SUM(F20:I20)</f>
        <v>-19193</v>
      </c>
    </row>
    <row r="21" spans="1:12" ht="15" customHeight="1" x14ac:dyDescent="0.25">
      <c r="A21" s="5" t="s">
        <v>32</v>
      </c>
      <c r="B21" s="14">
        <f t="shared" ref="B21:I21" si="4">B20/B17</f>
        <v>-10.218446601941748</v>
      </c>
      <c r="C21" s="14">
        <f t="shared" si="4"/>
        <v>-12.243243243243244</v>
      </c>
      <c r="D21" s="14">
        <f t="shared" si="4"/>
        <v>-9.4297872340425535</v>
      </c>
      <c r="E21" s="14">
        <f t="shared" si="4"/>
        <v>-6.3047120418848168</v>
      </c>
      <c r="F21" s="14">
        <f t="shared" si="4"/>
        <v>-10.019900497512438</v>
      </c>
      <c r="G21" s="15">
        <f t="shared" si="4"/>
        <v>-10.561797752808989</v>
      </c>
      <c r="H21" s="15">
        <f t="shared" si="4"/>
        <v>-8.7037037037037042</v>
      </c>
      <c r="I21" s="15">
        <f t="shared" si="4"/>
        <v>-5.2409090909090912</v>
      </c>
      <c r="J21" s="4"/>
      <c r="K21" s="15">
        <f>K20/K17</f>
        <v>-8.6964204802899872</v>
      </c>
      <c r="L21" s="15">
        <f>L20/L17</f>
        <v>-7.7173301166063526</v>
      </c>
    </row>
    <row r="22" spans="1:12" ht="15" customHeight="1" x14ac:dyDescent="0.25">
      <c r="A22" s="5"/>
      <c r="B22" s="6"/>
      <c r="C22" s="6"/>
      <c r="D22" s="6"/>
      <c r="E22" s="6"/>
      <c r="F22" s="6"/>
      <c r="G22" s="12"/>
      <c r="H22" s="12"/>
      <c r="I22" s="12"/>
      <c r="J22" s="4"/>
      <c r="K22" s="12"/>
      <c r="L22" s="12"/>
    </row>
    <row r="23" spans="1:12" ht="15" customHeight="1" x14ac:dyDescent="0.25">
      <c r="A23" s="2" t="s">
        <v>96</v>
      </c>
      <c r="B23" s="3"/>
      <c r="C23" s="3"/>
      <c r="D23" s="3"/>
      <c r="E23" s="3"/>
      <c r="F23" s="3"/>
      <c r="G23" s="12"/>
      <c r="H23" s="12"/>
      <c r="I23" s="12"/>
      <c r="J23" s="4"/>
      <c r="K23" s="12"/>
      <c r="L23" s="12"/>
    </row>
    <row r="24" spans="1:12" ht="15" customHeight="1" x14ac:dyDescent="0.25">
      <c r="A24" s="5" t="s">
        <v>97</v>
      </c>
      <c r="B24" s="7">
        <f t="shared" ref="B24:I24" si="5">B9</f>
        <v>41902</v>
      </c>
      <c r="C24" s="7">
        <f t="shared" si="5"/>
        <v>47146</v>
      </c>
      <c r="D24" s="7">
        <f t="shared" si="5"/>
        <v>50772</v>
      </c>
      <c r="E24" s="7">
        <f t="shared" si="5"/>
        <v>58938</v>
      </c>
      <c r="F24" s="7">
        <f t="shared" si="5"/>
        <v>55909</v>
      </c>
      <c r="G24" s="13">
        <f t="shared" si="5"/>
        <v>59892.195</v>
      </c>
      <c r="H24" s="13">
        <f t="shared" si="5"/>
        <v>62785.999400000001</v>
      </c>
      <c r="I24" s="13">
        <f t="shared" si="5"/>
        <v>71862.616650000011</v>
      </c>
      <c r="J24" s="4"/>
      <c r="K24" s="13">
        <f t="shared" ref="K24:K29" si="6">SUM(B24:E24)</f>
        <v>198758</v>
      </c>
      <c r="L24" s="13">
        <f t="shared" ref="L24:L29" si="7">SUM(F24:I24)</f>
        <v>250449.81105000002</v>
      </c>
    </row>
    <row r="25" spans="1:12" ht="15" customHeight="1" x14ac:dyDescent="0.25">
      <c r="A25" s="5" t="s">
        <v>98</v>
      </c>
      <c r="B25" s="7">
        <f t="shared" ref="B25:I25" si="8">B17</f>
        <v>412</v>
      </c>
      <c r="C25" s="7">
        <f t="shared" si="8"/>
        <v>370</v>
      </c>
      <c r="D25" s="7">
        <f t="shared" si="8"/>
        <v>470</v>
      </c>
      <c r="E25" s="7">
        <f t="shared" si="8"/>
        <v>955</v>
      </c>
      <c r="F25" s="7">
        <f t="shared" si="8"/>
        <v>402</v>
      </c>
      <c r="G25" s="13">
        <f t="shared" si="8"/>
        <v>445</v>
      </c>
      <c r="H25" s="13">
        <f t="shared" si="8"/>
        <v>540</v>
      </c>
      <c r="I25" s="13">
        <f t="shared" si="8"/>
        <v>1100</v>
      </c>
      <c r="J25" s="4"/>
      <c r="K25" s="13">
        <f t="shared" si="6"/>
        <v>2207</v>
      </c>
      <c r="L25" s="13">
        <f t="shared" si="7"/>
        <v>2487</v>
      </c>
    </row>
    <row r="26" spans="1:12" ht="15" customHeight="1" x14ac:dyDescent="0.25">
      <c r="A26" s="2" t="s">
        <v>9</v>
      </c>
      <c r="B26" s="8">
        <f t="shared" ref="B26:I26" si="9">SUM(B24:B25)</f>
        <v>42314</v>
      </c>
      <c r="C26" s="8">
        <f t="shared" si="9"/>
        <v>47516</v>
      </c>
      <c r="D26" s="8">
        <f t="shared" si="9"/>
        <v>51242</v>
      </c>
      <c r="E26" s="8">
        <f t="shared" si="9"/>
        <v>59893</v>
      </c>
      <c r="F26" s="8">
        <f t="shared" si="9"/>
        <v>56311</v>
      </c>
      <c r="G26" s="18">
        <f t="shared" si="9"/>
        <v>60337.195</v>
      </c>
      <c r="H26" s="18">
        <f t="shared" si="9"/>
        <v>63325.999400000001</v>
      </c>
      <c r="I26" s="18">
        <f t="shared" si="9"/>
        <v>72962.616650000011</v>
      </c>
      <c r="J26" s="17"/>
      <c r="K26" s="18">
        <f t="shared" si="6"/>
        <v>200965</v>
      </c>
      <c r="L26" s="18">
        <f t="shared" si="7"/>
        <v>252936.81105000002</v>
      </c>
    </row>
    <row r="27" spans="1:12" ht="15" customHeight="1" x14ac:dyDescent="0.25">
      <c r="A27" s="5" t="s">
        <v>46</v>
      </c>
      <c r="B27" s="7">
        <f t="shared" ref="B27:I27" si="10">B12</f>
        <v>21765</v>
      </c>
      <c r="C27" s="7">
        <f t="shared" si="10"/>
        <v>24971</v>
      </c>
      <c r="D27" s="7">
        <f t="shared" si="10"/>
        <v>24967</v>
      </c>
      <c r="E27" s="7">
        <f t="shared" si="10"/>
        <v>30766</v>
      </c>
      <c r="F27" s="7">
        <f t="shared" si="10"/>
        <v>26900</v>
      </c>
      <c r="G27" s="13">
        <f t="shared" si="10"/>
        <v>26037.195</v>
      </c>
      <c r="H27" s="13">
        <f t="shared" si="10"/>
        <v>24525.999400000001</v>
      </c>
      <c r="I27" s="13">
        <f t="shared" si="10"/>
        <v>29166.616650000011</v>
      </c>
      <c r="J27" s="4"/>
      <c r="K27" s="13">
        <f t="shared" si="6"/>
        <v>102469</v>
      </c>
      <c r="L27" s="13">
        <f t="shared" si="7"/>
        <v>106629.81105000002</v>
      </c>
    </row>
    <row r="28" spans="1:12" ht="15" customHeight="1" x14ac:dyDescent="0.25">
      <c r="A28" s="5" t="s">
        <v>48</v>
      </c>
      <c r="B28" s="7">
        <f t="shared" ref="B28:I28" si="11">B20</f>
        <v>-4210</v>
      </c>
      <c r="C28" s="7">
        <f t="shared" si="11"/>
        <v>-4530</v>
      </c>
      <c r="D28" s="7">
        <f t="shared" si="11"/>
        <v>-4432</v>
      </c>
      <c r="E28" s="7">
        <f t="shared" si="11"/>
        <v>-6021</v>
      </c>
      <c r="F28" s="7">
        <f t="shared" si="11"/>
        <v>-4028</v>
      </c>
      <c r="G28" s="13">
        <f t="shared" si="11"/>
        <v>-4700</v>
      </c>
      <c r="H28" s="13">
        <f t="shared" si="11"/>
        <v>-4700</v>
      </c>
      <c r="I28" s="13">
        <f t="shared" si="11"/>
        <v>-5765</v>
      </c>
      <c r="J28" s="4"/>
      <c r="K28" s="13">
        <f t="shared" si="6"/>
        <v>-19193</v>
      </c>
      <c r="L28" s="13">
        <f t="shared" si="7"/>
        <v>-19193</v>
      </c>
    </row>
    <row r="29" spans="1:12" ht="15" customHeight="1" x14ac:dyDescent="0.25">
      <c r="A29" s="2" t="s">
        <v>99</v>
      </c>
      <c r="B29" s="8">
        <f t="shared" ref="B29:I29" si="12">SUM(B27:B28)</f>
        <v>17555</v>
      </c>
      <c r="C29" s="8">
        <f t="shared" si="12"/>
        <v>20441</v>
      </c>
      <c r="D29" s="8">
        <f t="shared" si="12"/>
        <v>20535</v>
      </c>
      <c r="E29" s="8">
        <f t="shared" si="12"/>
        <v>24745</v>
      </c>
      <c r="F29" s="8">
        <f t="shared" si="12"/>
        <v>22872</v>
      </c>
      <c r="G29" s="18">
        <f t="shared" si="12"/>
        <v>21337.195</v>
      </c>
      <c r="H29" s="18">
        <f t="shared" si="12"/>
        <v>19825.999400000001</v>
      </c>
      <c r="I29" s="18">
        <f t="shared" si="12"/>
        <v>23401.616650000011</v>
      </c>
      <c r="J29" s="17"/>
      <c r="K29" s="18">
        <f t="shared" si="6"/>
        <v>83276</v>
      </c>
      <c r="L29" s="18">
        <f t="shared" si="7"/>
        <v>87436.811050000018</v>
      </c>
    </row>
    <row r="30" spans="1:12" ht="15" customHeight="1" x14ac:dyDescent="0.25">
      <c r="A30" s="5" t="s">
        <v>94</v>
      </c>
      <c r="B30" s="14">
        <v>0.27044434795194672</v>
      </c>
      <c r="C30" s="14">
        <v>0.37677645315551955</v>
      </c>
      <c r="D30" s="14">
        <v>0.18357348703170029</v>
      </c>
      <c r="E30" s="14">
        <v>5.9062700620586384E-2</v>
      </c>
      <c r="F30" s="14">
        <f>F29/B29-1</f>
        <v>0.30287667331244661</v>
      </c>
      <c r="G30" s="15">
        <f>G29/C29-1</f>
        <v>4.3843011594344672E-2</v>
      </c>
      <c r="H30" s="15">
        <f>H29/D29-1</f>
        <v>-3.4526447528609672E-2</v>
      </c>
      <c r="I30" s="15">
        <f>I29/E29-1</f>
        <v>-5.4289082642957731E-2</v>
      </c>
      <c r="J30" s="4"/>
      <c r="K30" s="15"/>
      <c r="L30" s="15">
        <f>L29/K29-1</f>
        <v>4.9964107906239619E-2</v>
      </c>
    </row>
    <row r="31" spans="1:12" ht="15" customHeight="1" x14ac:dyDescent="0.25">
      <c r="A31" s="5" t="s">
        <v>32</v>
      </c>
      <c r="B31" s="14">
        <f t="shared" ref="B31:I31" si="13">B29/B26</f>
        <v>0.41487450961856598</v>
      </c>
      <c r="C31" s="14">
        <f t="shared" si="13"/>
        <v>0.43019193534809325</v>
      </c>
      <c r="D31" s="14">
        <f t="shared" si="13"/>
        <v>0.4007454822216151</v>
      </c>
      <c r="E31" s="14">
        <f t="shared" si="13"/>
        <v>0.41315345699831368</v>
      </c>
      <c r="F31" s="14">
        <f t="shared" si="13"/>
        <v>0.40617286143027115</v>
      </c>
      <c r="G31" s="15">
        <f t="shared" si="13"/>
        <v>0.3536325313100816</v>
      </c>
      <c r="H31" s="15">
        <f t="shared" si="13"/>
        <v>0.31307834993283978</v>
      </c>
      <c r="I31" s="15">
        <f t="shared" si="13"/>
        <v>0.32073433937076334</v>
      </c>
      <c r="J31" s="4"/>
      <c r="K31" s="15">
        <f>K29/K26</f>
        <v>0.41438061353967109</v>
      </c>
      <c r="L31" s="15">
        <f>L29/L26</f>
        <v>0.34568638185572637</v>
      </c>
    </row>
    <row r="32" spans="1:12" ht="15" customHeight="1" x14ac:dyDescent="0.25">
      <c r="A32" s="5"/>
      <c r="B32" s="6"/>
      <c r="C32" s="6"/>
      <c r="D32" s="6"/>
      <c r="E32" s="6"/>
      <c r="F32" s="6"/>
      <c r="G32" s="12"/>
      <c r="H32" s="12"/>
      <c r="I32" s="12"/>
      <c r="J32" s="4"/>
      <c r="K32" s="12"/>
      <c r="L32" s="12"/>
    </row>
    <row r="33" spans="1:12" ht="15" customHeight="1" x14ac:dyDescent="0.25">
      <c r="A33" s="2" t="s">
        <v>100</v>
      </c>
      <c r="B33" s="3"/>
      <c r="C33" s="3"/>
      <c r="D33" s="3"/>
      <c r="E33" s="3"/>
      <c r="F33" s="3"/>
      <c r="G33" s="12"/>
      <c r="H33" s="12"/>
      <c r="I33" s="12"/>
      <c r="J33" s="4"/>
      <c r="K33" s="12"/>
      <c r="L33" s="12"/>
    </row>
    <row r="34" spans="1:12" ht="15" customHeight="1" x14ac:dyDescent="0.25">
      <c r="A34" s="5"/>
      <c r="B34" s="3" t="s">
        <v>0</v>
      </c>
      <c r="C34" s="3" t="s">
        <v>1</v>
      </c>
      <c r="D34" s="3" t="s">
        <v>2</v>
      </c>
      <c r="E34" s="3" t="s">
        <v>3</v>
      </c>
      <c r="F34" s="3" t="s">
        <v>4</v>
      </c>
      <c r="G34" s="12" t="s">
        <v>106</v>
      </c>
      <c r="H34" s="12" t="s">
        <v>107</v>
      </c>
      <c r="I34" s="12" t="s">
        <v>108</v>
      </c>
      <c r="J34" s="4"/>
      <c r="K34" s="12" t="s">
        <v>109</v>
      </c>
      <c r="L34" s="12" t="s">
        <v>110</v>
      </c>
    </row>
    <row r="35" spans="1:12" ht="15" customHeight="1" x14ac:dyDescent="0.25">
      <c r="A35" s="5" t="s">
        <v>47</v>
      </c>
      <c r="B35" s="14">
        <f t="shared" ref="B35:I35" si="14">B14</f>
        <v>0.51942628036847882</v>
      </c>
      <c r="C35" s="14">
        <f t="shared" si="14"/>
        <v>0.52965256861663768</v>
      </c>
      <c r="D35" s="14">
        <f t="shared" si="14"/>
        <v>0.49174741983770581</v>
      </c>
      <c r="E35" s="14">
        <f t="shared" si="14"/>
        <v>0.52200617598153998</v>
      </c>
      <c r="F35" s="14">
        <f t="shared" si="14"/>
        <v>0.48113899372194102</v>
      </c>
      <c r="G35" s="15">
        <f t="shared" si="14"/>
        <v>0.43473435895946039</v>
      </c>
      <c r="H35" s="15">
        <f t="shared" si="14"/>
        <v>0.39062847823363628</v>
      </c>
      <c r="I35" s="15">
        <f t="shared" si="14"/>
        <v>0.40586633231090408</v>
      </c>
      <c r="J35" s="4"/>
      <c r="K35" s="15">
        <f>K14</f>
        <v>0.51554654403847899</v>
      </c>
      <c r="L35" s="15">
        <f>L14</f>
        <v>0.42575321020590567</v>
      </c>
    </row>
    <row r="36" spans="1:12" ht="15" customHeight="1" x14ac:dyDescent="0.25">
      <c r="A36" s="5" t="s">
        <v>49</v>
      </c>
      <c r="B36" s="14">
        <f t="shared" ref="B36:I36" si="15">B21</f>
        <v>-10.218446601941748</v>
      </c>
      <c r="C36" s="14">
        <f t="shared" si="15"/>
        <v>-12.243243243243244</v>
      </c>
      <c r="D36" s="14">
        <f t="shared" si="15"/>
        <v>-9.4297872340425535</v>
      </c>
      <c r="E36" s="14">
        <f t="shared" si="15"/>
        <v>-6.3047120418848168</v>
      </c>
      <c r="F36" s="14">
        <f t="shared" si="15"/>
        <v>-10.019900497512438</v>
      </c>
      <c r="G36" s="15">
        <f t="shared" si="15"/>
        <v>-10.561797752808989</v>
      </c>
      <c r="H36" s="15">
        <f t="shared" si="15"/>
        <v>-8.7037037037037042</v>
      </c>
      <c r="I36" s="15">
        <f t="shared" si="15"/>
        <v>-5.2409090909090912</v>
      </c>
      <c r="J36" s="4"/>
      <c r="K36" s="15">
        <f>K21</f>
        <v>-8.6964204802899872</v>
      </c>
      <c r="L36" s="15">
        <f>L21</f>
        <v>-7.7173301166063526</v>
      </c>
    </row>
    <row r="37" spans="1:12" ht="15" customHeight="1" x14ac:dyDescent="0.25">
      <c r="A37" s="5" t="s">
        <v>101</v>
      </c>
      <c r="B37" s="14">
        <f t="shared" ref="B37:I37" si="16">B31</f>
        <v>0.41487450961856598</v>
      </c>
      <c r="C37" s="14">
        <f t="shared" si="16"/>
        <v>0.43019193534809325</v>
      </c>
      <c r="D37" s="14">
        <f t="shared" si="16"/>
        <v>0.4007454822216151</v>
      </c>
      <c r="E37" s="14">
        <f t="shared" si="16"/>
        <v>0.41315345699831368</v>
      </c>
      <c r="F37" s="14">
        <f t="shared" si="16"/>
        <v>0.40617286143027115</v>
      </c>
      <c r="G37" s="15">
        <f t="shared" si="16"/>
        <v>0.3536325313100816</v>
      </c>
      <c r="H37" s="15">
        <f t="shared" si="16"/>
        <v>0.31307834993283978</v>
      </c>
      <c r="I37" s="15">
        <f t="shared" si="16"/>
        <v>0.32073433937076334</v>
      </c>
      <c r="J37" s="4"/>
      <c r="K37" s="15">
        <f>K31</f>
        <v>0.41438061353967109</v>
      </c>
      <c r="L37" s="15">
        <f>L31</f>
        <v>0.34568638185572637</v>
      </c>
    </row>
    <row r="38" spans="1:12" ht="15" customHeight="1" x14ac:dyDescent="0.25">
      <c r="A38" s="5"/>
      <c r="B38" s="14"/>
      <c r="C38" s="14"/>
      <c r="D38" s="14"/>
      <c r="E38" s="14"/>
      <c r="F38" s="14"/>
      <c r="G38" s="15"/>
      <c r="H38" s="15"/>
      <c r="I38" s="15"/>
      <c r="J38" s="4"/>
      <c r="K38" s="15"/>
      <c r="L38" s="15"/>
    </row>
    <row r="39" spans="1:12" ht="15" customHeight="1" x14ac:dyDescent="0.25">
      <c r="A39" s="5" t="s">
        <v>102</v>
      </c>
      <c r="B39" s="14">
        <f t="shared" ref="B39:I39" si="17">B24/B26</f>
        <v>0.99026326983976931</v>
      </c>
      <c r="C39" s="14">
        <f t="shared" si="17"/>
        <v>0.99221314925498783</v>
      </c>
      <c r="D39" s="14">
        <f t="shared" si="17"/>
        <v>0.99082783654033801</v>
      </c>
      <c r="E39" s="14">
        <f t="shared" si="17"/>
        <v>0.98405489790125722</v>
      </c>
      <c r="F39" s="14">
        <f t="shared" si="17"/>
        <v>0.99286107510077959</v>
      </c>
      <c r="G39" s="15">
        <f t="shared" si="17"/>
        <v>0.99262478144699962</v>
      </c>
      <c r="H39" s="15">
        <f t="shared" si="17"/>
        <v>0.99147269675778693</v>
      </c>
      <c r="I39" s="15">
        <f t="shared" si="17"/>
        <v>0.98492378630995825</v>
      </c>
      <c r="J39" s="4"/>
      <c r="K39" s="15">
        <f>K24/K26</f>
        <v>0.98901798820690168</v>
      </c>
      <c r="L39" s="15">
        <f>L24/L26</f>
        <v>0.99016750472311299</v>
      </c>
    </row>
    <row r="40" spans="1:12" ht="15" customHeight="1" x14ac:dyDescent="0.25">
      <c r="A40" s="5" t="s">
        <v>103</v>
      </c>
      <c r="B40" s="14">
        <f t="shared" ref="B40:I40" si="18">B25/B26</f>
        <v>9.7367301602306559E-3</v>
      </c>
      <c r="C40" s="14">
        <f t="shared" si="18"/>
        <v>7.7868507450122061E-3</v>
      </c>
      <c r="D40" s="14">
        <f t="shared" si="18"/>
        <v>9.1721634596619965E-3</v>
      </c>
      <c r="E40" s="14">
        <f t="shared" si="18"/>
        <v>1.5945102098742756E-2</v>
      </c>
      <c r="F40" s="14">
        <f t="shared" si="18"/>
        <v>7.1389248992204009E-3</v>
      </c>
      <c r="G40" s="15">
        <f t="shared" si="18"/>
        <v>7.3752185530003506E-3</v>
      </c>
      <c r="H40" s="15">
        <f t="shared" si="18"/>
        <v>8.5273032422130239E-3</v>
      </c>
      <c r="I40" s="15">
        <f t="shared" si="18"/>
        <v>1.5076213690041773E-2</v>
      </c>
      <c r="J40" s="4"/>
      <c r="K40" s="15">
        <f>K25/K26</f>
        <v>1.09820117930983E-2</v>
      </c>
      <c r="L40" s="15">
        <f>L25/L26</f>
        <v>9.8324952768870603E-3</v>
      </c>
    </row>
    <row r="41" spans="1:12" ht="15" customHeight="1" x14ac:dyDescent="0.25">
      <c r="A41" s="5" t="s">
        <v>104</v>
      </c>
      <c r="B41" s="14">
        <f t="shared" ref="B41:I41" si="19">B7/B26</f>
        <v>0.97821052134045472</v>
      </c>
      <c r="C41" s="14">
        <f t="shared" si="19"/>
        <v>0.97994359794595509</v>
      </c>
      <c r="D41" s="14">
        <f t="shared" si="19"/>
        <v>0.97736231997189804</v>
      </c>
      <c r="E41" s="14">
        <f t="shared" si="19"/>
        <v>0.97068104786869913</v>
      </c>
      <c r="F41" s="14">
        <f t="shared" si="19"/>
        <v>0.9771447852107048</v>
      </c>
      <c r="G41" s="15">
        <f t="shared" si="19"/>
        <v>0.9762169918571787</v>
      </c>
      <c r="H41" s="15">
        <f t="shared" si="19"/>
        <v>0.97410226422735302</v>
      </c>
      <c r="I41" s="15">
        <f t="shared" si="19"/>
        <v>0.96847700773900358</v>
      </c>
      <c r="J41" s="4"/>
      <c r="K41" s="15">
        <f>K7/K26</f>
        <v>0.97616002786554867</v>
      </c>
      <c r="L41" s="15">
        <f>L7/L26</f>
        <v>0.97366140589681482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Model</vt:lpstr>
      <vt:lpstr>Segment 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2026-07-23T15:55:06Z</dcterms:modified>
</cp:coreProperties>
</file>