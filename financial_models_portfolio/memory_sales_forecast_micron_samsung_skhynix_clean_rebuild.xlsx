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dcd6812d3242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580971656b9341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-"/>
    <x:numFmt numFmtId="201" formatCode="0.0"/>
    <x:numFmt numFmtId="202" formatCode="0.0%;(0.0%);-"/>
  </x:numFmts>
  <x:fonts count="3">
    <x:font>
      <x:sz val="11"/>
      <x:name val="Carlito"/>
    </x:font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bottom"/>
    </x:xf>
    <x:xf numFmtId="0" fontId="1" fillId="0" borderId="1" xfId="0" applyNumberFormat="1" applyFont="1" applyFill="1" applyBorder="1" applyAlignment="1">
      <x:alignment vertical="bottom"/>
    </x:xf>
    <x:xf numFmtId="0" fontId="1" fillId="0" borderId="0" xfId="0" applyNumberFormat="1" applyFont="1" applyFill="1" applyBorder="1" applyAlignment="1">
      <x:alignment vertical="bottom" wrapText="0"/>
    </x:xf>
    <x:xf numFmtId="0" fontId="1" fillId="0" borderId="1" xfId="0" applyNumberFormat="1" applyFont="1" applyFill="1" applyBorder="1" applyAlignment="1">
      <x:alignment vertical="bottom" wrapText="0"/>
    </x:xf>
    <x:xf numFmtId="0" fontId="2" fillId="0" borderId="0" xfId="0" applyNumberFormat="1" applyFont="1" applyFill="1" applyBorder="1" applyAlignment="1">
      <x:alignment vertical="bottom" wrapText="0"/>
    </x:xf>
    <x:xf numFmtId="0" fontId="2" fillId="0" borderId="1" xfId="0" applyNumberFormat="1" applyFont="1" applyFill="1" applyBorder="1" applyAlignment="1">
      <x:alignment vertical="bottom" wrapText="0"/>
    </x:xf>
    <x:xf numFmtId="200" fontId="2" fillId="0" borderId="0" xfId="0" applyNumberFormat="1" applyFont="1" applyFill="1" applyBorder="1" applyAlignment="1">
      <x:alignment vertical="bottom" wrapText="0"/>
    </x:xf>
    <x:xf numFmtId="200" fontId="1" fillId="0" borderId="0" xfId="0" applyNumberFormat="1" applyFont="1" applyFill="1" applyBorder="1" applyAlignment="1">
      <x:alignment vertical="bottom" wrapText="0"/>
    </x:xf>
    <x:xf numFmtId="200" fontId="2" fillId="0" borderId="1" xfId="0" applyNumberFormat="1" applyFont="1" applyFill="1" applyBorder="1" applyAlignment="1">
      <x:alignment vertical="bottom" wrapText="0"/>
    </x:xf>
    <x:xf numFmtId="200" fontId="1" fillId="0" borderId="1" xfId="0" applyNumberFormat="1" applyFont="1" applyFill="1" applyBorder="1" applyAlignment="1">
      <x:alignment vertical="bottom" wrapText="0"/>
    </x:xf>
    <x:xf numFmtId="200" fontId="2" fillId="0" borderId="0" xfId="0" applyNumberFormat="1" applyFont="1" applyFill="1" applyBorder="1" applyAlignment="1">
      <x:alignment horizontal="right" vertical="bottom" wrapText="0"/>
    </x:xf>
    <x:xf numFmtId="200" fontId="2" fillId="0" borderId="1" xfId="0" applyNumberFormat="1" applyFont="1" applyFill="1" applyBorder="1" applyAlignment="1">
      <x:alignment horizontal="right" vertical="bottom" wrapText="0"/>
    </x:xf>
    <x:xf numFmtId="201" fontId="1" fillId="0" borderId="0" xfId="0" applyNumberFormat="1" applyFont="1" applyFill="1" applyBorder="1" applyAlignment="1">
      <x:alignment vertical="bottom" wrapText="0"/>
    </x:xf>
    <x:xf numFmtId="201" fontId="1" fillId="0" borderId="1" xfId="0" applyNumberFormat="1" applyFont="1" applyFill="1" applyBorder="1" applyAlignment="1">
      <x:alignment vertical="bottom" wrapText="0"/>
    </x:xf>
    <x:xf numFmtId="202" fontId="1" fillId="0" borderId="0" xfId="0" applyNumberFormat="1" applyFont="1" applyFill="1" applyBorder="1" applyAlignment="1">
      <x:alignment vertical="bottom" wrapText="0"/>
    </x:xf>
    <x:xf numFmtId="202" fontId="1" fillId="0" borderId="1" xfId="0" applyNumberFormat="1" applyFont="1" applyFill="1" applyBorder="1" applyAlignment="1">
      <x:alignment vertical="bottom" wrapText="0"/>
    </x:xf>
    <x:xf numFmtId="202" fontId="2" fillId="0" borderId="0" xfId="0" applyNumberFormat="1" applyFont="1" applyFill="1" applyBorder="1" applyAlignment="1">
      <x:alignment vertical="bottom" wrapText="0"/>
    </x:xf>
    <x:xf numFmtId="202" fontId="2" fillId="0" borderId="1" xfId="0" applyNumberFormat="1" applyFont="1" applyFill="1" applyBorder="1" applyAlignment="1">
      <x:alignment vertical="bottom" wrapText="0"/>
    </x:xf>
    <x:xf numFmtId="0" fontId="2" fillId="0" borderId="0" xfId="0" applyNumberFormat="1" applyFont="1" applyFill="1" applyBorder="1" applyAlignment="1">
      <x:alignment horizontal="left" vertical="bottom" wrapText="0"/>
    </x:xf>
    <x:xf numFmtId="0" fontId="1" fillId="0" borderId="0" xfId="0" applyNumberFormat="1" applyFont="1" applyFill="1" applyBorder="1" applyAlignment="1">
      <x:alignment horizontal="left" vertical="bottom" wrapText="0"/>
    </x:xf>
    <x:xf numFmtId="0" fontId="2" fillId="0" borderId="1" xfId="0" applyNumberFormat="1" applyFont="1" applyFill="1" applyBorder="1" applyAlignment="1">
      <x:alignment horizontal="left" vertical="bottom" wrapText="0"/>
    </x:xf>
    <x:xf numFmtId="0" fontId="1" fillId="0" borderId="1" xfId="0" applyNumberFormat="1" applyFont="1" applyFill="1" applyBorder="1" applyAlignment="1">
      <x:alignment horizontal="left" vertical="bottom" wrapText="0"/>
    </x:xf>
    <x:xf numFmtId="202" fontId="1" fillId="0" borderId="0" xfId="0" applyNumberFormat="1" applyFont="1" applyFill="1" applyBorder="1" applyAlignment="1">
      <x:alignment horizontal="right" vertical="bottom" wrapText="0"/>
    </x:xf>
    <x:xf numFmtId="200" fontId="1" fillId="0" borderId="0" xfId="0" applyNumberFormat="1" applyFont="1" applyFill="1" applyBorder="1" applyAlignment="1">
      <x:alignment horizontal="right" vertical="bottom" wrapText="0"/>
    </x:xf>
    <x:xf numFmtId="202" fontId="2" fillId="0" borderId="0" xfId="0" applyNumberFormat="1" applyFont="1" applyFill="1" applyBorder="1" applyAlignment="1">
      <x:alignment horizontal="right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06f5062ed94400" /><Relationship Type="http://schemas.openxmlformats.org/officeDocument/2006/relationships/theme" Target="/xl/theme/theme1.xml" Id="Rbbc7fafe19a04eea" /><Relationship Type="http://schemas.openxmlformats.org/officeDocument/2006/relationships/sharedStrings" Target="/xl/sharedStrings.xml" Id="Rbbe4c1317843460c" /><Relationship Type="http://schemas.openxmlformats.org/officeDocument/2006/relationships/worksheet" Target="/xl/worksheets/sheet1.xml" Id="R580971656b9341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</x:cols>
  <x:sheetData>
    <x:row r="1" ht="15" customHeight="1">
      <x:c r="A1" s="22" t="str">
        <x:v>Memory Sales Forecast</x:v>
      </x:c>
      <x:c r="B1" s="14" t="str">
        <x:v>2025A</x:v>
      </x:c>
      <x:c r="C1" s="14" t="str">
        <x:v>2026E</x:v>
      </x:c>
      <x:c r="D1" s="14" t="str">
        <x:v>2027E</x:v>
      </x:c>
      <x:c r="E1" s="14" t="str">
        <x:v>2028E</x:v>
      </x:c>
      <x:c r="F1" s="14" t="str">
        <x:v>2029E</x:v>
      </x:c>
      <x:c r="G1" s="14" t="str">
        <x:v>2030E</x:v>
      </x:c>
    </x:row>
    <x:row r="2" ht="15" customHeight="1">
      <x:c r="A2" s="23" t="str">
        <x:v>Growth Baseline</x:v>
      </x:c>
      <x:c r="B2" s="26" t="n">
        <x:v>1</x:v>
      </x:c>
      <x:c r="C2" s="26" t="n">
        <x:v>1</x:v>
      </x:c>
      <x:c r="D2" s="26" t="n">
        <x:v>1</x:v>
      </x:c>
      <x:c r="E2" s="26" t="n">
        <x:v>1</x:v>
      </x:c>
      <x:c r="F2" s="26" t="n">
        <x:v>1</x:v>
      </x:c>
      <x:c r="G2" s="26" t="n">
        <x:v>1</x:v>
      </x:c>
    </x:row>
    <x:row r="3" ht="15" customHeight="1">
      <x:c r="A3" s="23"/>
      <x:c r="B3" s="27"/>
      <x:c r="C3" s="27"/>
      <x:c r="D3" s="27"/>
      <x:c r="E3" s="27"/>
      <x:c r="F3" s="27"/>
      <x:c r="G3" s="27"/>
    </x:row>
    <x:row r="4" ht="15" customHeight="1">
      <x:c r="A4" s="22" t="str">
        <x:v>Base Inputs and Contracts</x:v>
      </x:c>
      <x:c r="B4" s="14"/>
      <x:c r="C4" s="14"/>
      <x:c r="D4" s="14"/>
      <x:c r="E4" s="14"/>
      <x:c r="F4" s="14"/>
      <x:c r="G4" s="14"/>
    </x:row>
    <x:row r="5" ht="15" customHeight="1">
      <x:c r="A5" s="23" t="str">
        <x:v>Micron 2025A Sales Input</x:v>
      </x:c>
      <x:c r="B5" s="27" t="n">
        <x:v>37378</x:v>
      </x:c>
      <x:c r="C5" s="27"/>
      <x:c r="D5" s="27"/>
      <x:c r="E5" s="27"/>
      <x:c r="F5" s="27"/>
      <x:c r="G5" s="27"/>
    </x:row>
    <x:row r="6" ht="15" customHeight="1">
      <x:c r="A6" s="23" t="str">
        <x:v>Micron 2026E Sales Input</x:v>
      </x:c>
      <x:c r="B6" s="27"/>
      <x:c r="C6" s="27" t="n">
        <x:v>129020</x:v>
      </x:c>
      <x:c r="D6" s="27"/>
      <x:c r="E6" s="27"/>
      <x:c r="F6" s="27"/>
      <x:c r="G6" s="27"/>
    </x:row>
    <x:row r="7" ht="15" customHeight="1">
      <x:c r="A7" s="23" t="str">
        <x:v>Micron Contract Floor Revenue</x:v>
      </x:c>
      <x:c r="B7" s="27" t="n">
        <x:v>0</x:v>
      </x:c>
      <x:c r="C7" s="27" t="n">
        <x:v>12000</x:v>
      </x:c>
      <x:c r="D7" s="27" t="n">
        <x:v>20000</x:v>
      </x:c>
      <x:c r="E7" s="27" t="n">
        <x:v>23000</x:v>
      </x:c>
      <x:c r="F7" s="27" t="n">
        <x:v>23000</x:v>
      </x:c>
      <x:c r="G7" s="27" t="n">
        <x:v>22000</x:v>
      </x:c>
    </x:row>
    <x:row r="8" ht="15" customHeight="1">
      <x:c r="A8" s="23" t="str">
        <x:v>Micron Contract Coverage % Sales</x:v>
      </x:c>
      <x:c r="B8" s="26" t="n">
        <x:v>0</x:v>
      </x:c>
      <x:c r="C8" s="26" t="n">
        <x:v>0.3</x:v>
      </x:c>
      <x:c r="D8" s="26" t="n">
        <x:v>0.35</x:v>
      </x:c>
      <x:c r="E8" s="26" t="n">
        <x:v>0.35</x:v>
      </x:c>
      <x:c r="F8" s="26" t="n">
        <x:v>0.3</x:v>
      </x:c>
      <x:c r="G8" s="26" t="n">
        <x:v>0.25</x:v>
      </x:c>
    </x:row>
    <x:row r="9" ht="15" customHeight="1">
      <x:c r="A9" s="23" t="str">
        <x:v>Samsung Memory 2025A Sales Input</x:v>
      </x:c>
      <x:c r="B9" s="27" t="n">
        <x:v>70325.121</x:v>
      </x:c>
      <x:c r="C9" s="27"/>
      <x:c r="D9" s="27"/>
      <x:c r="E9" s="27"/>
      <x:c r="F9" s="27"/>
      <x:c r="G9" s="27"/>
    </x:row>
    <x:row r="10" ht="15" customHeight="1">
      <x:c r="A10" s="23" t="str">
        <x:v>Samsung Memory 2026E Sales Input</x:v>
      </x:c>
      <x:c r="B10" s="27"/>
      <x:c r="C10" s="27" t="n">
        <x:v>237343.432432432</x:v>
      </x:c>
      <x:c r="D10" s="27"/>
      <x:c r="E10" s="27"/>
      <x:c r="F10" s="27"/>
      <x:c r="G10" s="27"/>
    </x:row>
    <x:row r="11" ht="15" customHeight="1">
      <x:c r="A11" s="23" t="str">
        <x:v>Samsung Memory Contract Floor Revenue</x:v>
      </x:c>
      <x:c r="B11" s="27" t="n">
        <x:v>0</x:v>
      </x:c>
      <x:c r="C11" s="27" t="n">
        <x:v>0</x:v>
      </x:c>
      <x:c r="D11" s="27" t="n">
        <x:v>0</x:v>
      </x:c>
      <x:c r="E11" s="27" t="n">
        <x:v>0</x:v>
      </x:c>
      <x:c r="F11" s="27" t="n">
        <x:v>0</x:v>
      </x:c>
      <x:c r="G11" s="27" t="n">
        <x:v>0</x:v>
      </x:c>
    </x:row>
    <x:row r="12" ht="15" customHeight="1">
      <x:c r="A12" s="23" t="str">
        <x:v>Samsung Memory Contract Coverage % Sales</x:v>
      </x:c>
      <x:c r="B12" s="26" t="n">
        <x:v>0</x:v>
      </x:c>
      <x:c r="C12" s="26" t="n">
        <x:v>0.75</x:v>
      </x:c>
      <x:c r="D12" s="26" t="n">
        <x:v>0.6</x:v>
      </x:c>
      <x:c r="E12" s="26" t="n">
        <x:v>0.45</x:v>
      </x:c>
      <x:c r="F12" s="26" t="n">
        <x:v>0.35</x:v>
      </x:c>
      <x:c r="G12" s="26" t="n">
        <x:v>0.25</x:v>
      </x:c>
    </x:row>
    <x:row r="13" ht="15" customHeight="1">
      <x:c r="A13" s="23" t="str">
        <x:v>SK Hynix 2025A Sales Input</x:v>
      </x:c>
      <x:c r="B13" s="27" t="n">
        <x:v>65639.662</x:v>
      </x:c>
      <x:c r="C13" s="27"/>
      <x:c r="D13" s="27"/>
      <x:c r="E13" s="27"/>
      <x:c r="F13" s="27"/>
      <x:c r="G13" s="27"/>
    </x:row>
    <x:row r="14" ht="15" customHeight="1">
      <x:c r="A14" s="23" t="str">
        <x:v>SK Hynix 2026E Sales Input</x:v>
      </x:c>
      <x:c r="B14" s="27"/>
      <x:c r="C14" s="27" t="n">
        <x:v>166838.471621622</x:v>
      </x:c>
      <x:c r="D14" s="27"/>
      <x:c r="E14" s="27"/>
      <x:c r="F14" s="27"/>
      <x:c r="G14" s="27"/>
    </x:row>
    <x:row r="15" ht="15" customHeight="1">
      <x:c r="A15" s="23" t="str">
        <x:v>SK Hynix Contract Floor Revenue</x:v>
      </x:c>
      <x:c r="B15" s="27" t="n">
        <x:v>0</x:v>
      </x:c>
      <x:c r="C15" s="27" t="n">
        <x:v>0</x:v>
      </x:c>
      <x:c r="D15" s="27" t="n">
        <x:v>0</x:v>
      </x:c>
      <x:c r="E15" s="27" t="n">
        <x:v>0</x:v>
      </x:c>
      <x:c r="F15" s="27" t="n">
        <x:v>0</x:v>
      </x:c>
      <x:c r="G15" s="27" t="n">
        <x:v>0</x:v>
      </x:c>
    </x:row>
    <x:row r="16" ht="15" customHeight="1">
      <x:c r="A16" s="23" t="str">
        <x:v>SK Hynix Contract Coverage % Sales</x:v>
      </x:c>
      <x:c r="B16" s="26" t="n">
        <x:v>0</x:v>
      </x:c>
      <x:c r="C16" s="26" t="n">
        <x:v>0.85</x:v>
      </x:c>
      <x:c r="D16" s="26" t="n">
        <x:v>0.7</x:v>
      </x:c>
      <x:c r="E16" s="26" t="n">
        <x:v>0.5</x:v>
      </x:c>
      <x:c r="F16" s="26" t="n">
        <x:v>0.4</x:v>
      </x:c>
      <x:c r="G16" s="26" t="n">
        <x:v>0.3</x:v>
      </x:c>
    </x:row>
    <x:row r="17" ht="15" customHeight="1">
      <x:c r="A17" s="23"/>
      <x:c r="B17" s="27"/>
      <x:c r="C17" s="27"/>
      <x:c r="D17" s="27"/>
      <x:c r="E17" s="27"/>
      <x:c r="F17" s="27"/>
      <x:c r="G17" s="27"/>
    </x:row>
    <x:row r="18" ht="15" customHeight="1">
      <x:c r="A18" s="22" t="str">
        <x:v>Product Mix and Growth Assumptions</x:v>
      </x:c>
      <x:c r="B18" s="28"/>
      <x:c r="C18" s="28"/>
      <x:c r="D18" s="28"/>
      <x:c r="E18" s="28"/>
      <x:c r="F18" s="28"/>
      <x:c r="G18" s="28"/>
    </x:row>
    <x:row r="19" ht="15" customHeight="1">
      <x:c r="A19" s="22" t="str">
        <x:v>Micron</x:v>
      </x:c>
      <x:c r="B19" s="14"/>
      <x:c r="C19" s="14"/>
      <x:c r="D19" s="14"/>
      <x:c r="E19" s="14"/>
      <x:c r="F19" s="14"/>
      <x:c r="G19" s="14"/>
    </x:row>
    <x:row r="20" ht="15" customHeight="1">
      <x:c r="A20" s="23" t="str">
        <x:v>HBM Mix</x:v>
      </x:c>
      <x:c r="B20" s="26" t="n">
        <x:v>0.12</x:v>
      </x:c>
      <x:c r="C20" s="26" t="n">
        <x:v>0.24</x:v>
      </x:c>
      <x:c r="D20" s="26" t="n">
        <x:f>D26/D29</x:f>
        <x:v>0.28237849579147434</x:v>
      </x:c>
      <x:c r="E20" s="26" t="n">
        <x:f>E26/E29</x:f>
        <x:v>0.3100367840252233</x:v>
      </x:c>
      <x:c r="F20" s="26" t="n">
        <x:f>F26/F29</x:f>
        <x:v>0.32569938799629633</x:v>
      </x:c>
      <x:c r="G20" s="26" t="n">
        <x:f>G26/G29</x:f>
        <x:v>0.33556357010780596</x:v>
      </x:c>
    </x:row>
    <x:row r="21" ht="15" customHeight="1">
      <x:c r="A21" s="23" t="str">
        <x:v>Core DRAM Mix</x:v>
      </x:c>
      <x:c r="B21" s="26" t="n">
        <x:v>0.58</x:v>
      </x:c>
      <x:c r="C21" s="26" t="n">
        <x:v>0.51</x:v>
      </x:c>
      <x:c r="D21" s="26" t="n">
        <x:f>D27/D29</x:f>
        <x:v>0.4800434428455064</x:v>
      </x:c>
      <x:c r="E21" s="26" t="n">
        <x:f>E27/E29</x:f>
        <x:v>0.46006305832895433</x:v>
      </x:c>
      <x:c r="F21" s="26" t="n">
        <x:f>F27/F29</x:f>
        <x:v>0.44815533201012736</x:v>
      </x:c>
      <x:c r="G21" s="26" t="n">
        <x:f>G27/G29</x:f>
        <x:v>0.4401521481168891</x:v>
      </x:c>
    </x:row>
    <x:row r="22" ht="15" customHeight="1">
      <x:c r="A22" s="23" t="str">
        <x:v>NAND / Other Mix</x:v>
      </x:c>
      <x:c r="B22" s="26" t="n">
        <x:v>0.3</x:v>
      </x:c>
      <x:c r="C22" s="26" t="n">
        <x:v>0.25</x:v>
      </x:c>
      <x:c r="D22" s="26" t="n">
        <x:f>D28/D29</x:f>
        <x:v>0.23757806136301926</x:v>
      </x:c>
      <x:c r="E22" s="26" t="n">
        <x:f>E28/E29</x:f>
        <x:v>0.2299001576458224</x:v>
      </x:c>
      <x:c r="F22" s="26" t="n">
        <x:f>F28/F29</x:f>
        <x:v>0.22614527999357636</x:v>
      </x:c>
      <x:c r="G22" s="26" t="n">
        <x:f>G28/G29</x:f>
        <x:v>0.22428428177530488</x:v>
      </x:c>
    </x:row>
    <x:row r="23" ht="15" customHeight="1">
      <x:c r="A23" s="23" t="str">
        <x:v>HBM Revenue Growth</x:v>
      </x:c>
      <x:c r="B23" s="26"/>
      <x:c r="C23" s="26" t="n">
        <x:f>C26/B26-C$2</x:f>
        <x:v>5.9035261383701645</x:v>
      </x:c>
      <x:c r="D23" s="26" t="n">
        <x:v>0.3</x:v>
      </x:c>
      <x:c r="E23" s="26" t="n">
        <x:v>0.18</x:v>
      </x:c>
      <x:c r="F23" s="26" t="n">
        <x:v>0.1</x:v>
      </x:c>
      <x:c r="G23" s="26" t="n">
        <x:v>0.07</x:v>
      </x:c>
    </x:row>
    <x:row r="24" ht="15" customHeight="1">
      <x:c r="A24" s="23" t="str">
        <x:v>Core DRAM Revenue Growth</x:v>
      </x:c>
      <x:c r="B24" s="26"/>
      <x:c r="C24" s="26" t="n">
        <x:f>C27/B27-C$2</x:f>
        <x:v>2.035170974628262</x:v>
      </x:c>
      <x:c r="D24" s="26" t="n">
        <x:v>0.04</x:v>
      </x:c>
      <x:c r="E24" s="26" t="n">
        <x:v>0.03</x:v>
      </x:c>
      <x:c r="F24" s="26" t="n">
        <x:v>0.02</x:v>
      </x:c>
      <x:c r="G24" s="26" t="n">
        <x:v>0.02</x:v>
      </x:c>
    </x:row>
    <x:row r="25" ht="15" customHeight="1">
      <x:c r="A25" s="23" t="str">
        <x:v>NAND / Other Revenue Growth</x:v>
      </x:c>
      <x:c r="B25" s="26"/>
      <x:c r="C25" s="26" t="n">
        <x:f>C28/B28-C$2</x:f>
        <x:v>1.876469224320902</x:v>
      </x:c>
      <x:c r="D25" s="26" t="n">
        <x:v>0.05</x:v>
      </x:c>
      <x:c r="E25" s="26" t="n">
        <x:v>0.04</x:v>
      </x:c>
      <x:c r="F25" s="26" t="n">
        <x:v>0.03</x:v>
      </x:c>
      <x:c r="G25" s="26" t="n">
        <x:v>0.03</x:v>
      </x:c>
    </x:row>
    <x:row r="26" ht="15" customHeight="1">
      <x:c r="A26" s="23" t="str">
        <x:v>HBM Sales</x:v>
      </x:c>
      <x:c r="B26" s="27" t="n">
        <x:f>B5*B20</x:f>
        <x:v>4485.36</x:v>
      </x:c>
      <x:c r="C26" s="27" t="n">
        <x:f>C6*C20</x:f>
        <x:v>30964.8</x:v>
      </x:c>
      <x:c r="D26" s="27" t="n">
        <x:f>C26*(D$2+D23)</x:f>
        <x:v>40254.24</x:v>
      </x:c>
      <x:c r="E26" s="27" t="n">
        <x:f>D26*(E$2+E23)</x:f>
        <x:v>47500.00319999999</x:v>
      </x:c>
      <x:c r="F26" s="27" t="n">
        <x:f>E26*(F$2+F23)</x:f>
        <x:v>52250.00352</x:v>
      </x:c>
      <x:c r="G26" s="27" t="n">
        <x:f>F26*(G$2+G23)</x:f>
        <x:v>55907.503766400005</x:v>
      </x:c>
    </x:row>
    <x:row r="27" ht="15" customHeight="1">
      <x:c r="A27" s="23" t="str">
        <x:v>Core DRAM Sales</x:v>
      </x:c>
      <x:c r="B27" s="27" t="n">
        <x:f>B5*B21</x:f>
        <x:v>21679.239999999998</x:v>
      </x:c>
      <x:c r="C27" s="27" t="n">
        <x:f>C6*C21</x:f>
        <x:v>65800.2</x:v>
      </x:c>
      <x:c r="D27" s="27" t="n">
        <x:f>C27*(D$2+D24)</x:f>
        <x:v>68432.208</x:v>
      </x:c>
      <x:c r="E27" s="27" t="n">
        <x:f>D27*(E$2+E24)</x:f>
        <x:v>70485.17424000001</x:v>
      </x:c>
      <x:c r="F27" s="27" t="n">
        <x:f>E27*(F$2+F24)</x:f>
        <x:v>71894.87772480001</x:v>
      </x:c>
      <x:c r="G27" s="27" t="n">
        <x:f>F27*(G$2+G24)</x:f>
        <x:v>73332.77527929601</x:v>
      </x:c>
    </x:row>
    <x:row r="28" ht="15" customHeight="1">
      <x:c r="A28" s="23" t="str">
        <x:v>NAND / Other Sales</x:v>
      </x:c>
      <x:c r="B28" s="27" t="n">
        <x:f>B5*B22</x:f>
        <x:v>11213.4</x:v>
      </x:c>
      <x:c r="C28" s="27" t="n">
        <x:f>C6*C22</x:f>
        <x:v>32255</x:v>
      </x:c>
      <x:c r="D28" s="27" t="n">
        <x:f>C28*(D$2+D25)</x:f>
        <x:v>33867.75</x:v>
      </x:c>
      <x:c r="E28" s="27" t="n">
        <x:f>D28*(E$2+E25)</x:f>
        <x:v>35222.46</x:v>
      </x:c>
      <x:c r="F28" s="27" t="n">
        <x:f>E28*(F$2+F25)</x:f>
        <x:v>36279.1338</x:v>
      </x:c>
      <x:c r="G28" s="27" t="n">
        <x:f>F28*(G$2+G25)</x:f>
        <x:v>37367.507814000004</x:v>
      </x:c>
    </x:row>
    <x:row r="29" ht="15" customHeight="1">
      <x:c r="A29" s="22" t="str">
        <x:v>Base Product Sales</x:v>
      </x:c>
      <x:c r="B29" s="14" t="n">
        <x:f>SUM(B26:B28)</x:f>
        <x:v>37378</x:v>
      </x:c>
      <x:c r="C29" s="14" t="n">
        <x:f>SUM(C26:C28)</x:f>
        <x:v>129020</x:v>
      </x:c>
      <x:c r="D29" s="14" t="n">
        <x:f>SUM(D26:D28)</x:f>
        <x:v>142554.198</x:v>
      </x:c>
      <x:c r="E29" s="14" t="n">
        <x:f>SUM(E26:E28)</x:f>
        <x:v>153207.63744</x:v>
      </x:c>
      <x:c r="F29" s="14" t="n">
        <x:f>SUM(F26:F28)</x:f>
        <x:v>160424.0150448</x:v>
      </x:c>
      <x:c r="G29" s="14" t="n">
        <x:f>SUM(G26:G28)</x:f>
        <x:v>166607.78685969603</x:v>
      </x:c>
    </x:row>
    <x:row r="30" ht="15" customHeight="1">
      <x:c r="A30" s="22" t="str">
        <x:v>Contract Visible Revenue</x:v>
      </x:c>
      <x:c r="B30" s="14" t="n">
        <x:f>MAX(B7,B31*B8)</x:f>
        <x:v>0</x:v>
      </x:c>
      <x:c r="C30" s="14" t="n">
        <x:f>MAX(C7,C31*C8)</x:f>
        <x:v>38706</x:v>
      </x:c>
      <x:c r="D30" s="14" t="n">
        <x:f>MAX(D7,D31*D8)</x:f>
        <x:v>49893.9693</x:v>
      </x:c>
      <x:c r="E30" s="14" t="n">
        <x:f>MAX(E7,E31*E8)</x:f>
        <x:v>53622.673103999994</x:v>
      </x:c>
      <x:c r="F30" s="14" t="n">
        <x:f>MAX(F7,F31*F8)</x:f>
        <x:v>48127.20451344</x:v>
      </x:c>
      <x:c r="G30" s="14" t="n">
        <x:f>MAX(G7,G31*G8)</x:f>
        <x:v>41651.94671492401</x:v>
      </x:c>
    </x:row>
    <x:row r="31" ht="15" customHeight="1">
      <x:c r="A31" s="22" t="str">
        <x:v>Total Sales</x:v>
      </x:c>
      <x:c r="B31" s="14" t="n">
        <x:f>MAX(B29,B7)</x:f>
        <x:v>37378</x:v>
      </x:c>
      <x:c r="C31" s="14" t="n">
        <x:f>MAX(C29,C7)</x:f>
        <x:v>129020</x:v>
      </x:c>
      <x:c r="D31" s="14" t="n">
        <x:f>MAX(D29,D7)</x:f>
        <x:v>142554.198</x:v>
      </x:c>
      <x:c r="E31" s="14" t="n">
        <x:f>MAX(E29,E7)</x:f>
        <x:v>153207.63744</x:v>
      </x:c>
      <x:c r="F31" s="14" t="n">
        <x:f>MAX(F29,F7)</x:f>
        <x:v>160424.0150448</x:v>
      </x:c>
      <x:c r="G31" s="14" t="n">
        <x:f>MAX(G29,G7)</x:f>
        <x:v>166607.78685969603</x:v>
      </x:c>
    </x:row>
    <x:row r="32" ht="15" customHeight="1">
      <x:c r="A32" s="23" t="str">
        <x:v>Sales Growth</x:v>
      </x:c>
      <x:c r="B32" s="26"/>
      <x:c r="C32" s="26" t="n">
        <x:f>C31/B31-C$2</x:f>
        <x:v>2.4517630691850822</x:v>
      </x:c>
      <x:c r="D32" s="26" t="n">
        <x:f>D31/C31-D$2</x:f>
        <x:v>0.1049</x:v>
      </x:c>
      <x:c r="E32" s="26" t="n">
        <x:f>E31/D31-E$2</x:f>
        <x:v>0.07473255498235121</x:v>
      </x:c>
      <x:c r="F32" s="26" t="n">
        <x:f>F31/E31-F$2</x:f>
        <x:v>0.04710194429847614</x:v>
      </x:c>
      <x:c r="G32" s="26" t="n">
        <x:f>G31/F31-G$2</x:f>
        <x:v>0.038546422199750685</x:v>
      </x:c>
    </x:row>
    <x:row r="33" ht="15" customHeight="1">
      <x:c r="A33" s="23" t="str">
        <x:v>Contract Visibility % Sales</x:v>
      </x:c>
      <x:c r="B33" s="26" t="n">
        <x:f>B30/B31</x:f>
        <x:v>0</x:v>
      </x:c>
      <x:c r="C33" s="26" t="n">
        <x:f>C30/C31</x:f>
        <x:v>0.3</x:v>
      </x:c>
      <x:c r="D33" s="26" t="n">
        <x:f>D30/D31</x:f>
        <x:v>0.35</x:v>
      </x:c>
      <x:c r="E33" s="26" t="n">
        <x:f>E30/E31</x:f>
        <x:v>0.35</x:v>
      </x:c>
      <x:c r="F33" s="26" t="n">
        <x:f>F30/F31</x:f>
        <x:v>0.3</x:v>
      </x:c>
      <x:c r="G33" s="26" t="n">
        <x:f>G30/G31</x:f>
        <x:v>0.25</x:v>
      </x:c>
    </x:row>
    <x:row r="34" ht="15" customHeight="1">
      <x:c r="A34" s="23"/>
      <x:c r="B34" s="27"/>
      <x:c r="C34" s="27"/>
      <x:c r="D34" s="27"/>
      <x:c r="E34" s="27"/>
      <x:c r="F34" s="27"/>
      <x:c r="G34" s="27"/>
    </x:row>
    <x:row r="35" ht="15" customHeight="1">
      <x:c r="A35" s="22" t="str">
        <x:v>Samsung Memory</x:v>
      </x:c>
      <x:c r="B35" s="14"/>
      <x:c r="C35" s="14"/>
      <x:c r="D35" s="14"/>
      <x:c r="E35" s="14"/>
      <x:c r="F35" s="14"/>
      <x:c r="G35" s="14"/>
    </x:row>
    <x:row r="36" ht="15" customHeight="1">
      <x:c r="A36" s="23" t="str">
        <x:v>HBM Mix</x:v>
      </x:c>
      <x:c r="B36" s="26" t="n">
        <x:v>0.07</x:v>
      </x:c>
      <x:c r="C36" s="26" t="n">
        <x:v>0.15</x:v>
      </x:c>
      <x:c r="D36" s="26" t="n">
        <x:f>D42/D45</x:f>
        <x:v>0.18736121391561808</x:v>
      </x:c>
      <x:c r="E36" s="26" t="n">
        <x:f>E42/E45</x:f>
        <x:v>0.21396816763394771</x:v>
      </x:c>
      <x:c r="F36" s="26" t="n">
        <x:f>F42/F45</x:f>
        <x:v>0.22954004967660266</x:v>
      </x:c>
      <x:c r="G36" s="26" t="n">
        <x:f>G42/G45</x:f>
        <x:v>0.2392057044726309</x:v>
      </x:c>
    </x:row>
    <x:row r="37" ht="15" customHeight="1">
      <x:c r="A37" s="23" t="str">
        <x:v>Core DRAM Mix</x:v>
      </x:c>
      <x:c r="B37" s="26" t="n">
        <x:v>0.61</x:v>
      </x:c>
      <x:c r="C37" s="26" t="n">
        <x:v>0.57</x:v>
      </x:c>
      <x:c r="D37" s="26" t="n">
        <x:f>D43/D45</x:f>
        <x:v>0.5432087342709104</x:v>
      </x:c>
      <x:c r="E37" s="26" t="n">
        <x:f>E43/E45</x:f>
        <x:v>0.5237374319142984</x:v>
      </x:c>
      <x:c r="F37" s="26" t="n">
        <x:f>F43/F45</x:f>
        <x:v>0.5116878057553748</x:v>
      </x:c>
      <x:c r="G37" s="26" t="n">
        <x:f>G43/G45</x:f>
        <x:v>0.5036102312016446</x:v>
      </x:c>
    </x:row>
    <x:row r="38" ht="15" customHeight="1">
      <x:c r="A38" s="23" t="str">
        <x:v>NAND / Other Mix</x:v>
      </x:c>
      <x:c r="B38" s="26" t="n">
        <x:v>0.32</x:v>
      </x:c>
      <x:c r="C38" s="26" t="n">
        <x:v>0.28</x:v>
      </x:c>
      <x:c r="D38" s="26" t="n">
        <x:f>D44/D45</x:f>
        <x:v>0.26943005181347157</x:v>
      </x:c>
      <x:c r="E38" s="26" t="n">
        <x:f>E44/E45</x:f>
        <x:v>0.26229440045175395</x:v>
      </x:c>
      <x:c r="F38" s="26" t="n">
        <x:f>F44/F45</x:f>
        <x:v>0.25877214456802256</x:v>
      </x:c>
      <x:c r="G38" s="26" t="n">
        <x:f>G44/G45</x:f>
        <x:v>0.25718406432572444</x:v>
      </x:c>
    </x:row>
    <x:row r="39" ht="15" customHeight="1">
      <x:c r="A39" s="23" t="str">
        <x:v>HBM Revenue Growth</x:v>
      </x:c>
      <x:c r="B39" s="26"/>
      <x:c r="C39" s="26" t="n">
        <x:f>C42/B42-C$2</x:f>
        <x:v>6.232025516146193</x:v>
      </x:c>
      <x:c r="D39" s="26" t="n">
        <x:v>0.35</x:v>
      </x:c>
      <x:c r="E39" s="26" t="n">
        <x:v>0.22</x:v>
      </x:c>
      <x:c r="F39" s="26" t="n">
        <x:v>0.12</x:v>
      </x:c>
      <x:c r="G39" s="26" t="n">
        <x:v>0.08</x:v>
      </x:c>
    </x:row>
    <x:row r="40" ht="15" customHeight="1">
      <x:c r="A40" s="23" t="str">
        <x:v>Core DRAM Revenue Growth</x:v>
      </x:c>
      <x:c r="B40" s="26"/>
      <x:c r="C40" s="26" t="n">
        <x:f>C43/B43-C$2</x:f>
        <x:v>2.153637356221127</x:v>
      </x:c>
      <x:c r="D40" s="26" t="n">
        <x:v>0.03</x:v>
      </x:c>
      <x:c r="E40" s="26" t="n">
        <x:v>0.03</x:v>
      </x:c>
      <x:c r="F40" s="26" t="n">
        <x:v>0.02</x:v>
      </x:c>
      <x:c r="G40" s="26" t="n">
        <x:v>0.02</x:v>
      </x:c>
    </x:row>
    <x:row r="41" ht="15" customHeight="1">
      <x:c r="A41" s="23" t="str">
        <x:v>NAND / Other Revenue Growth</x:v>
      </x:c>
      <x:c r="B41" s="26"/>
      <x:c r="C41" s="26" t="n">
        <x:f>C44/B44-C$2</x:f>
        <x:v>1.9530770857596962</x:v>
      </x:c>
      <x:c r="D41" s="26" t="n">
        <x:v>0.04</x:v>
      </x:c>
      <x:c r="E41" s="26" t="n">
        <x:v>0.04</x:v>
      </x:c>
      <x:c r="F41" s="26" t="n">
        <x:v>0.03</x:v>
      </x:c>
      <x:c r="G41" s="26" t="n">
        <x:v>0.03</x:v>
      </x:c>
    </x:row>
    <x:row r="42" ht="15" customHeight="1">
      <x:c r="A42" s="23" t="str">
        <x:v>HBM Sales</x:v>
      </x:c>
      <x:c r="B42" s="27" t="n">
        <x:f>B9*B36</x:f>
        <x:v>4922.758470000001</x:v>
      </x:c>
      <x:c r="C42" s="27" t="n">
        <x:f>C10*C36</x:f>
        <x:v>35601.514864864796</x:v>
      </x:c>
      <x:c r="D42" s="27" t="n">
        <x:f>C42*(D$2+D39)</x:f>
        <x:v>48062.04506756748</x:v>
      </x:c>
      <x:c r="E42" s="27" t="n">
        <x:f>D42*(E$2+E39)</x:f>
        <x:v>58635.694982432324</x:v>
      </x:c>
      <x:c r="F42" s="27" t="n">
        <x:f>E42*(F$2+F39)</x:f>
        <x:v>65671.9783803242</x:v>
      </x:c>
      <x:c r="G42" s="27" t="n">
        <x:f>F42*(G$2+G39)</x:f>
        <x:v>70925.73665075014</x:v>
      </x:c>
    </x:row>
    <x:row r="43" ht="15" customHeight="1">
      <x:c r="A43" s="23" t="str">
        <x:v>Core DRAM Sales</x:v>
      </x:c>
      <x:c r="B43" s="27" t="n">
        <x:f>B9*B37</x:f>
        <x:v>42898.32381</x:v>
      </x:c>
      <x:c r="C43" s="27" t="n">
        <x:f>C10*C37</x:f>
        <x:v>135285.75648648624</x:v>
      </x:c>
      <x:c r="D43" s="27" t="n">
        <x:f>C43*(D$2+D40)</x:f>
        <x:v>139344.32918108083</x:v>
      </x:c>
      <x:c r="E43" s="27" t="n">
        <x:f>D43*(E$2+E40)</x:f>
        <x:v>143524.65905651325</x:v>
      </x:c>
      <x:c r="F43" s="27" t="n">
        <x:f>E43*(F$2+F40)</x:f>
        <x:v>146395.15223764352</x:v>
      </x:c>
      <x:c r="G43" s="27" t="n">
        <x:f>F43*(G$2+G40)</x:f>
        <x:v>149323.05528239638</x:v>
      </x:c>
    </x:row>
    <x:row r="44" ht="15" customHeight="1">
      <x:c r="A44" s="23" t="str">
        <x:v>NAND / Other Sales</x:v>
      </x:c>
      <x:c r="B44" s="27" t="n">
        <x:f>B9*B38</x:f>
        <x:v>22504.03872</x:v>
      </x:c>
      <x:c r="C44" s="27" t="n">
        <x:f>C10*C38</x:f>
        <x:v>66456.16108108097</x:v>
      </x:c>
      <x:c r="D44" s="27" t="n">
        <x:f>C44*(D$2+D41)</x:f>
        <x:v>69114.40752432421</x:v>
      </x:c>
      <x:c r="E44" s="27" t="n">
        <x:f>D44*(E$2+E41)</x:f>
        <x:v>71878.98382529718</x:v>
      </x:c>
      <x:c r="F44" s="27" t="n">
        <x:f>E44*(F$2+F41)</x:f>
        <x:v>74035.3533400561</x:v>
      </x:c>
      <x:c r="G44" s="27" t="n">
        <x:f>F44*(G$2+G41)</x:f>
        <x:v>76256.41394025779</x:v>
      </x:c>
    </x:row>
    <x:row r="45" ht="15" customHeight="1">
      <x:c r="A45" s="22" t="str">
        <x:v>Base Product Sales</x:v>
      </x:c>
      <x:c r="B45" s="14" t="n">
        <x:f>SUM(B42:B44)</x:f>
        <x:v>70325.121</x:v>
      </x:c>
      <x:c r="C45" s="14" t="n">
        <x:f>SUM(C42:C44)</x:f>
        <x:v>237343.432432432</x:v>
      </x:c>
      <x:c r="D45" s="14" t="n">
        <x:f>SUM(D42:D44)</x:f>
        <x:v>256520.7817729725</x:v>
      </x:c>
      <x:c r="E45" s="14" t="n">
        <x:f>SUM(E42:E44)</x:f>
        <x:v>274039.3378642427</x:v>
      </x:c>
      <x:c r="F45" s="14" t="n">
        <x:f>SUM(F42:F44)</x:f>
        <x:v>286102.48395802383</x:v>
      </x:c>
      <x:c r="G45" s="14" t="n">
        <x:f>SUM(G42:G44)</x:f>
        <x:v>296505.20587340434</x:v>
      </x:c>
    </x:row>
    <x:row r="46" ht="15" customHeight="1">
      <x:c r="A46" s="22" t="str">
        <x:v>Contract Visible Revenue</x:v>
      </x:c>
      <x:c r="B46" s="14" t="n">
        <x:f>MAX(B11,B47*B12)</x:f>
        <x:v>0</x:v>
      </x:c>
      <x:c r="C46" s="14" t="n">
        <x:f>MAX(C11,C47*C12)</x:f>
        <x:v>178007.574324324</x:v>
      </x:c>
      <x:c r="D46" s="14" t="n">
        <x:f>MAX(D11,D47*D12)</x:f>
        <x:v>153912.4690637835</x:v>
      </x:c>
      <x:c r="E46" s="14" t="n">
        <x:f>MAX(E11,E47*E12)</x:f>
        <x:v>123317.70203890924</x:v>
      </x:c>
      <x:c r="F46" s="14" t="n">
        <x:f>MAX(F11,F47*F12)</x:f>
        <x:v>100135.86938530834</x:v>
      </x:c>
      <x:c r="G46" s="14" t="n">
        <x:f>MAX(G11,G47*G12)</x:f>
        <x:v>74126.30146835108</x:v>
      </x:c>
    </x:row>
    <x:row r="47" ht="15" customHeight="1">
      <x:c r="A47" s="22" t="str">
        <x:v>Total Sales</x:v>
      </x:c>
      <x:c r="B47" s="14" t="n">
        <x:f>MAX(B45,B11)</x:f>
        <x:v>70325.121</x:v>
      </x:c>
      <x:c r="C47" s="14" t="n">
        <x:f>MAX(C45,C11)</x:f>
        <x:v>237343.432432432</x:v>
      </x:c>
      <x:c r="D47" s="14" t="n">
        <x:f>MAX(D45,D11)</x:f>
        <x:v>256520.7817729725</x:v>
      </x:c>
      <x:c r="E47" s="14" t="n">
        <x:f>MAX(E45,E11)</x:f>
        <x:v>274039.3378642427</x:v>
      </x:c>
      <x:c r="F47" s="14" t="n">
        <x:f>MAX(F45,F11)</x:f>
        <x:v>286102.48395802383</x:v>
      </x:c>
      <x:c r="G47" s="14" t="n">
        <x:f>MAX(G45,G11)</x:f>
        <x:v>296505.20587340434</x:v>
      </x:c>
    </x:row>
    <x:row r="48" ht="15" customHeight="1">
      <x:c r="A48" s="23" t="str">
        <x:v>Sales Growth</x:v>
      </x:c>
      <x:c r="B48" s="26"/>
      <x:c r="C48" s="26" t="n">
        <x:f>C47/B47-C$2</x:f>
        <x:v>2.374945240868224</x:v>
      </x:c>
      <x:c r="D48" s="26" t="n">
        <x:f>D47/C47-D$2</x:f>
        <x:v>0.08079999999999998</x:v>
      </x:c>
      <x:c r="E48" s="26" t="n">
        <x:f>E47/D47-E$2</x:f>
        <x:v>0.06829293116210211</x:v>
      </x:c>
      <x:c r="F48" s="26" t="n">
        <x:f>F47/E47-F$2</x:f>
        <x:v>0.044019760767912475</x:v>
      </x:c>
      <x:c r="G48" s="26" t="n">
        <x:f>G47/F47-G$2</x:f>
        <x:v>0.03636012442627634</x:v>
      </x:c>
    </x:row>
    <x:row r="49" ht="15" customHeight="1">
      <x:c r="A49" s="23" t="str">
        <x:v>Contract Visibility % Sales</x:v>
      </x:c>
      <x:c r="B49" s="26" t="n">
        <x:f>B46/B47</x:f>
        <x:v>0</x:v>
      </x:c>
      <x:c r="C49" s="26" t="n">
        <x:f>C46/C47</x:f>
        <x:v>0.75</x:v>
      </x:c>
      <x:c r="D49" s="26" t="n">
        <x:f>D46/D47</x:f>
        <x:v>0.6</x:v>
      </x:c>
      <x:c r="E49" s="26" t="n">
        <x:f>E46/E47</x:f>
        <x:v>0.45</x:v>
      </x:c>
      <x:c r="F49" s="26" t="n">
        <x:f>F46/F47</x:f>
        <x:v>0.35</x:v>
      </x:c>
      <x:c r="G49" s="26" t="n">
        <x:f>G46/G47</x:f>
        <x:v>0.25</x:v>
      </x:c>
    </x:row>
    <x:row r="50" ht="15" customHeight="1">
      <x:c r="A50" s="23"/>
      <x:c r="B50" s="27"/>
      <x:c r="C50" s="27"/>
      <x:c r="D50" s="27"/>
      <x:c r="E50" s="27"/>
      <x:c r="F50" s="27"/>
      <x:c r="G50" s="27"/>
    </x:row>
    <x:row r="51" ht="15" customHeight="1">
      <x:c r="A51" s="22" t="str">
        <x:v>SK Hynix</x:v>
      </x:c>
      <x:c r="B51" s="14"/>
      <x:c r="C51" s="14"/>
      <x:c r="D51" s="14"/>
      <x:c r="E51" s="14"/>
      <x:c r="F51" s="14"/>
      <x:c r="G51" s="14"/>
    </x:row>
    <x:row r="52" ht="15" customHeight="1">
      <x:c r="A52" s="23" t="str">
        <x:v>HBM Mix</x:v>
      </x:c>
      <x:c r="B52" s="26" t="n">
        <x:v>0.25</x:v>
      </x:c>
      <x:c r="C52" s="26" t="n">
        <x:v>0.4</x:v>
      </x:c>
      <x:c r="D52" s="26" t="n">
        <x:f>D58/D61</x:f>
        <x:v>0.44686840253342713</x:v>
      </x:c>
      <x:c r="E52" s="26" t="n">
        <x:f>E58/E61</x:f>
        <x:v>0.47825420937743335</x:v>
      </x:c>
      <x:c r="F52" s="26" t="n">
        <x:f>F58/F61</x:f>
        <x:v>0.4946785282763127</x:v>
      </x:c>
      <x:c r="G52" s="26" t="n">
        <x:f>G58/G61</x:f>
        <x:v>0.5084811358020616</x:v>
      </x:c>
    </x:row>
    <x:row r="53" ht="15" customHeight="1">
      <x:c r="A53" s="23" t="str">
        <x:v>Core DRAM Mix</x:v>
      </x:c>
      <x:c r="B53" s="26" t="n">
        <x:v>0.58</x:v>
      </x:c>
      <x:c r="C53" s="26" t="n">
        <x:v>0.48</x:v>
      </x:c>
      <x:c r="D53" s="26" t="n">
        <x:f>D59/D61</x:f>
        <x:v>0.4433497536945813</x:v>
      </x:c>
      <x:c r="E53" s="26" t="n">
        <x:f>E59/E61</x:f>
        <x:v>0.41819319095701907</x:v>
      </x:c>
      <x:c r="F53" s="26" t="n">
        <x:f>F59/F61</x:f>
        <x:v>0.40502866054188674</x:v>
      </x:c>
      <x:c r="G53" s="26" t="n">
        <x:f>G59/G61</x:f>
        <x:v>0.39320040600238426</x:v>
      </x:c>
    </x:row>
    <x:row r="54" ht="15" customHeight="1">
      <x:c r="A54" s="23" t="str">
        <x:v>NAND / Other Mix</x:v>
      </x:c>
      <x:c r="B54" s="26" t="n">
        <x:v>0.17</x:v>
      </x:c>
      <x:c r="C54" s="26" t="n">
        <x:v>0.12</x:v>
      </x:c>
      <x:c r="D54" s="26" t="n">
        <x:f>D60/D61</x:f>
        <x:v>0.10978184377199156</x:v>
      </x:c>
      <x:c r="E54" s="26" t="n">
        <x:f>E60/E61</x:f>
        <x:v>0.10355259966554758</x:v>
      </x:c>
      <x:c r="F54" s="26" t="n">
        <x:f>F60/F61</x:f>
        <x:v>0.10029281118180054</x:v>
      </x:c>
      <x:c r="G54" s="26" t="n">
        <x:f>G60/G61</x:f>
        <x:v>0.09831845819555417</x:v>
      </x:c>
    </x:row>
    <x:row r="55" ht="15" customHeight="1">
      <x:c r="A55" s="23" t="str">
        <x:v>HBM Revenue Growth</x:v>
      </x:c>
      <x:c r="B55" s="26"/>
      <x:c r="C55" s="26" t="n">
        <x:f>C58/B58-C$2</x:f>
        <x:v>3.066772229792945</x:v>
      </x:c>
      <x:c r="D55" s="26" t="n">
        <x:v>0.27</x:v>
      </x:c>
      <x:c r="E55" s="26" t="n">
        <x:v>0.18</x:v>
      </x:c>
      <x:c r="F55" s="26" t="n">
        <x:v>0.1</x:v>
      </x:c>
      <x:c r="G55" s="26" t="n">
        <x:v>0.08</x:v>
      </x:c>
    </x:row>
    <x:row r="56" ht="15" customHeight="1">
      <x:c r="A56" s="23" t="str">
        <x:v>Core DRAM Revenue Growth</x:v>
      </x:c>
      <x:c r="B56" s="26"/>
      <x:c r="C56" s="26" t="n">
        <x:f>C59/B59-C$2</x:f>
        <x:v>1.1035028774791096</x:v>
      </x:c>
      <x:c r="D56" s="26" t="n">
        <x:v>0.05</x:v>
      </x:c>
      <x:c r="E56" s="26" t="n">
        <x:v>0.04</x:v>
      </x:c>
      <x:c r="F56" s="26" t="n">
        <x:v>0.03</x:v>
      </x:c>
      <x:c r="G56" s="26" t="n">
        <x:v>0.02</x:v>
      </x:c>
    </x:row>
    <x:row r="57" ht="15" customHeight="1">
      <x:c r="A57" s="23" t="str">
        <x:v>NAND / Other Revenue Growth</x:v>
      </x:c>
      <x:c r="B57" s="26"/>
      <x:c r="C57" s="26" t="n">
        <x:f>C60/B60-C$2</x:f>
        <x:v>0.794164219026299</x:v>
      </x:c>
      <x:c r="D57" s="26" t="n">
        <x:v>0.04</x:v>
      </x:c>
      <x:c r="E57" s="26" t="n">
        <x:v>0.04</x:v>
      </x:c>
      <x:c r="F57" s="26" t="n">
        <x:v>0.03</x:v>
      </x:c>
      <x:c r="G57" s="26" t="n">
        <x:v>0.03</x:v>
      </x:c>
    </x:row>
    <x:row r="58" ht="15" customHeight="1">
      <x:c r="A58" s="23" t="str">
        <x:v>HBM Sales</x:v>
      </x:c>
      <x:c r="B58" s="27" t="n">
        <x:f>B13*B52</x:f>
        <x:v>16409.9155</x:v>
      </x:c>
      <x:c r="C58" s="27" t="n">
        <x:f>C14*C52</x:f>
        <x:v>66735.3886486488</x:v>
      </x:c>
      <x:c r="D58" s="27" t="n">
        <x:f>C58*(D$2+D55)</x:f>
        <x:v>84753.94358378398</x:v>
      </x:c>
      <x:c r="E58" s="27" t="n">
        <x:f>D58*(E$2+E55)</x:f>
        <x:v>100009.6534288651</x:v>
      </x:c>
      <x:c r="F58" s="27" t="n">
        <x:f>E58*(F$2+F55)</x:f>
        <x:v>110010.61877175161</x:v>
      </x:c>
      <x:c r="G58" s="27" t="n">
        <x:f>F58*(G$2+G55)</x:f>
        <x:v>118811.46827349176</x:v>
      </x:c>
    </x:row>
    <x:row r="59" ht="15" customHeight="1">
      <x:c r="A59" s="23" t="str">
        <x:v>Core DRAM Sales</x:v>
      </x:c>
      <x:c r="B59" s="27" t="n">
        <x:f>B13*B53</x:f>
        <x:v>38071.003959999995</x:v>
      </x:c>
      <x:c r="C59" s="27" t="n">
        <x:f>C14*C53</x:f>
        <x:v>80082.46637837857</x:v>
      </x:c>
      <x:c r="D59" s="27" t="n">
        <x:f>C59*(D$2+D56)</x:f>
        <x:v>84086.5896972975</x:v>
      </x:c>
      <x:c r="E59" s="27" t="n">
        <x:f>D59*(E$2+E56)</x:f>
        <x:v>87450.05328518941</x:v>
      </x:c>
      <x:c r="F59" s="27" t="n">
        <x:f>E59*(F$2+F56)</x:f>
        <x:v>90073.55488374509</x:v>
      </x:c>
      <x:c r="G59" s="27" t="n">
        <x:f>F59*(G$2+G56)</x:f>
        <x:v>91875.02598142</x:v>
      </x:c>
    </x:row>
    <x:row r="60" ht="15" customHeight="1">
      <x:c r="A60" s="23" t="str">
        <x:v>NAND / Other Sales</x:v>
      </x:c>
      <x:c r="B60" s="27" t="n">
        <x:f>B13*B54</x:f>
        <x:v>11158.742540000001</x:v>
      </x:c>
      <x:c r="C60" s="27" t="n">
        <x:f>C14*C54</x:f>
        <x:v>20020.61659459464</x:v>
      </x:c>
      <x:c r="D60" s="27" t="n">
        <x:f>C60*(D$2+D57)</x:f>
        <x:v>20821.44125837843</x:v>
      </x:c>
      <x:c r="E60" s="27" t="n">
        <x:f>D60*(E$2+E57)</x:f>
        <x:v>21654.29890871357</x:v>
      </x:c>
      <x:c r="F60" s="27" t="n">
        <x:f>E60*(F$2+F57)</x:f>
        <x:v>22303.927875974976</x:v>
      </x:c>
      <x:c r="G60" s="27" t="n">
        <x:f>F60*(G$2+G57)</x:f>
        <x:v>22973.045712254225</x:v>
      </x:c>
    </x:row>
    <x:row r="61" ht="15" customHeight="1">
      <x:c r="A61" s="22" t="str">
        <x:v>Base Product Sales</x:v>
      </x:c>
      <x:c r="B61" s="14" t="n">
        <x:f>SUM(B58:B60)</x:f>
        <x:v>65639.662</x:v>
      </x:c>
      <x:c r="C61" s="14" t="n">
        <x:f>SUM(C58:C60)</x:f>
        <x:v>166838.471621622</x:v>
      </x:c>
      <x:c r="D61" s="14" t="n">
        <x:f>SUM(D58:D60)</x:f>
        <x:v>189661.97453945992</x:v>
      </x:c>
      <x:c r="E61" s="14" t="n">
        <x:f>SUM(E58:E60)</x:f>
        <x:v>209114.00562276808</x:v>
      </x:c>
      <x:c r="F61" s="14" t="n">
        <x:f>SUM(F58:F60)</x:f>
        <x:v>222388.10153147168</x:v>
      </x:c>
      <x:c r="G61" s="14" t="n">
        <x:f>SUM(G58:G60)</x:f>
        <x:v>233659.53996716597</x:v>
      </x:c>
    </x:row>
    <x:row r="62" ht="15" customHeight="1">
      <x:c r="A62" s="22" t="str">
        <x:v>Contract Visible Revenue</x:v>
      </x:c>
      <x:c r="B62" s="14" t="n">
        <x:f>MAX(B15,B63*B16)</x:f>
        <x:v>0</x:v>
      </x:c>
      <x:c r="C62" s="14" t="n">
        <x:f>MAX(C15,C63*C16)</x:f>
        <x:v>141812.7008783787</x:v>
      </x:c>
      <x:c r="D62" s="14" t="n">
        <x:f>MAX(D15,D63*D16)</x:f>
        <x:v>132763.38217762194</x:v>
      </x:c>
      <x:c r="E62" s="14" t="n">
        <x:f>MAX(E15,E63*E16)</x:f>
        <x:v>104557.00281138404</x:v>
      </x:c>
      <x:c r="F62" s="14" t="n">
        <x:f>MAX(F15,F63*F16)</x:f>
        <x:v>88955.24061258868</x:v>
      </x:c>
      <x:c r="G62" s="14" t="n">
        <x:f>MAX(G15,G63*G16)</x:f>
        <x:v>70097.86199014979</x:v>
      </x:c>
    </x:row>
    <x:row r="63" ht="15" customHeight="1">
      <x:c r="A63" s="22" t="str">
        <x:v>Total Sales</x:v>
      </x:c>
      <x:c r="B63" s="14" t="n">
        <x:f>MAX(B61,B15)</x:f>
        <x:v>65639.662</x:v>
      </x:c>
      <x:c r="C63" s="14" t="n">
        <x:f>MAX(C61,C15)</x:f>
        <x:v>166838.471621622</x:v>
      </x:c>
      <x:c r="D63" s="14" t="n">
        <x:f>MAX(D61,D15)</x:f>
        <x:v>189661.97453945992</x:v>
      </x:c>
      <x:c r="E63" s="14" t="n">
        <x:f>MAX(E61,E15)</x:f>
        <x:v>209114.00562276808</x:v>
      </x:c>
      <x:c r="F63" s="14" t="n">
        <x:f>MAX(F61,F15)</x:f>
        <x:v>222388.10153147168</x:v>
      </x:c>
      <x:c r="G63" s="14" t="n">
        <x:f>MAX(G61,G15)</x:f>
        <x:v>233659.53996716597</x:v>
      </x:c>
    </x:row>
    <x:row r="64" ht="15" customHeight="1">
      <x:c r="A64" s="23" t="str">
        <x:v>Sales Growth</x:v>
      </x:c>
      <x:c r="B64" s="26"/>
      <x:c r="C64" s="26" t="n">
        <x:f>C63/B63-C$2</x:f>
        <x:v>1.5417326436205907</x:v>
      </x:c>
      <x:c r="D64" s="26" t="n">
        <x:f>D63/C63-D$2</x:f>
        <x:v>0.13680000000000003</x:v>
      </x:c>
      <x:c r="E64" s="26" t="n">
        <x:f>E63/D63-E$2</x:f>
        <x:v>0.10256157635467988</x:v>
      </x:c>
      <x:c r="F64" s="26" t="n">
        <x:f>F63/E63-F$2</x:f>
        <x:v>0.06347779465642045</x:v>
      </x:c>
      <x:c r="G64" s="26" t="n">
        <x:f>G63/F63-G$2</x:f>
        <x:v>0.05068363980839674</x:v>
      </x:c>
    </x:row>
    <x:row r="65" ht="15" customHeight="1">
      <x:c r="A65" s="23" t="str">
        <x:v>Contract Visibility % Sales</x:v>
      </x:c>
      <x:c r="B65" s="26" t="n">
        <x:f>B62/B63</x:f>
        <x:v>0</x:v>
      </x:c>
      <x:c r="C65" s="26" t="n">
        <x:f>C62/C63</x:f>
        <x:v>0.85</x:v>
      </x:c>
      <x:c r="D65" s="26" t="n">
        <x:f>D62/D63</x:f>
        <x:v>0.7</x:v>
      </x:c>
      <x:c r="E65" s="26" t="n">
        <x:f>E62/E63</x:f>
        <x:v>0.5</x:v>
      </x:c>
      <x:c r="F65" s="26" t="n">
        <x:f>F62/F63</x:f>
        <x:v>0.4</x:v>
      </x:c>
      <x:c r="G65" s="26" t="n">
        <x:f>G62/G63</x:f>
        <x:v>0.3</x:v>
      </x:c>
    </x:row>
    <x:row r="66" ht="15" customHeight="1">
      <x:c r="A66" s="23"/>
      <x:c r="B66" s="27"/>
      <x:c r="C66" s="27"/>
      <x:c r="D66" s="27"/>
      <x:c r="E66" s="27"/>
      <x:c r="F66" s="27"/>
      <x:c r="G66" s="27"/>
    </x:row>
    <x:row r="67" ht="15" customHeight="1">
      <x:c r="A67" s="22" t="str">
        <x:v>Combined</x:v>
      </x:c>
      <x:c r="B67" s="14"/>
      <x:c r="C67" s="14"/>
      <x:c r="D67" s="14"/>
      <x:c r="E67" s="14"/>
      <x:c r="F67" s="14"/>
      <x:c r="G67" s="14"/>
    </x:row>
    <x:row r="68" ht="15" customHeight="1">
      <x:c r="A68" s="23" t="str">
        <x:v>Micron Total Sales</x:v>
      </x:c>
      <x:c r="B68" s="27" t="n">
        <x:f>B31</x:f>
        <x:v>37378</x:v>
      </x:c>
      <x:c r="C68" s="27" t="n">
        <x:f>C31</x:f>
        <x:v>129020</x:v>
      </x:c>
      <x:c r="D68" s="27" t="n">
        <x:f>D31</x:f>
        <x:v>142554.198</x:v>
      </x:c>
      <x:c r="E68" s="27" t="n">
        <x:f>E31</x:f>
        <x:v>153207.63744</x:v>
      </x:c>
      <x:c r="F68" s="27" t="n">
        <x:f>F31</x:f>
        <x:v>160424.0150448</x:v>
      </x:c>
      <x:c r="G68" s="27" t="n">
        <x:f>G31</x:f>
        <x:v>166607.78685969603</x:v>
      </x:c>
    </x:row>
    <x:row r="69" ht="15" customHeight="1">
      <x:c r="A69" s="23" t="str">
        <x:v>Samsung Memory Total Sales</x:v>
      </x:c>
      <x:c r="B69" s="27" t="n">
        <x:f>B47</x:f>
        <x:v>70325.121</x:v>
      </x:c>
      <x:c r="C69" s="27" t="n">
        <x:f>C47</x:f>
        <x:v>237343.432432432</x:v>
      </x:c>
      <x:c r="D69" s="27" t="n">
        <x:f>D47</x:f>
        <x:v>256520.7817729725</x:v>
      </x:c>
      <x:c r="E69" s="27" t="n">
        <x:f>E47</x:f>
        <x:v>274039.3378642427</x:v>
      </x:c>
      <x:c r="F69" s="27" t="n">
        <x:f>F47</x:f>
        <x:v>286102.48395802383</x:v>
      </x:c>
      <x:c r="G69" s="27" t="n">
        <x:f>G47</x:f>
        <x:v>296505.20587340434</x:v>
      </x:c>
    </x:row>
    <x:row r="70" ht="15" customHeight="1">
      <x:c r="A70" s="23" t="str">
        <x:v>SK Hynix Total Sales</x:v>
      </x:c>
      <x:c r="B70" s="27" t="n">
        <x:f>B63</x:f>
        <x:v>65639.662</x:v>
      </x:c>
      <x:c r="C70" s="27" t="n">
        <x:f>C63</x:f>
        <x:v>166838.471621622</x:v>
      </x:c>
      <x:c r="D70" s="27" t="n">
        <x:f>D63</x:f>
        <x:v>189661.97453945992</x:v>
      </x:c>
      <x:c r="E70" s="27" t="n">
        <x:f>E63</x:f>
        <x:v>209114.00562276808</x:v>
      </x:c>
      <x:c r="F70" s="27" t="n">
        <x:f>F63</x:f>
        <x:v>222388.10153147168</x:v>
      </x:c>
      <x:c r="G70" s="27" t="n">
        <x:f>G63</x:f>
        <x:v>233659.53996716597</x:v>
      </x:c>
    </x:row>
    <x:row r="71" ht="15" customHeight="1">
      <x:c r="A71" s="22" t="str">
        <x:v>Total Sales</x:v>
      </x:c>
      <x:c r="B71" s="14" t="n">
        <x:f>SUM(B68:B70)</x:f>
        <x:v>173342.783</x:v>
      </x:c>
      <x:c r="C71" s="14" t="n">
        <x:f>SUM(C68:C70)</x:f>
        <x:v>533201.904054054</x:v>
      </x:c>
      <x:c r="D71" s="14" t="n">
        <x:f>SUM(D68:D70)</x:f>
        <x:v>588736.9543124324</x:v>
      </x:c>
      <x:c r="E71" s="14" t="n">
        <x:f>SUM(E68:E70)</x:f>
        <x:v>636360.9809270108</x:v>
      </x:c>
      <x:c r="F71" s="14" t="n">
        <x:f>SUM(F68:F70)</x:f>
        <x:v>668914.6005342955</x:v>
      </x:c>
      <x:c r="G71" s="14" t="n">
        <x:f>SUM(G68:G70)</x:f>
        <x:v>696772.5327002663</x:v>
      </x:c>
    </x:row>
    <x:row r="72" ht="15" customHeight="1">
      <x:c r="A72" s="23" t="str">
        <x:v>Total Sales Growth</x:v>
      </x:c>
      <x:c r="B72" s="26"/>
      <x:c r="C72" s="26" t="n">
        <x:f>C71/B71-C$2</x:f>
        <x:v>2.075997135998757</x:v>
      </x:c>
      <x:c r="D72" s="26" t="n">
        <x:f>D71/C71-D$2</x:f>
        <x:v>0.10415388586599761</x:v>
      </x:c>
      <x:c r="E72" s="26" t="n">
        <x:f>E71/D71-E$2</x:f>
        <x:v>0.08089185886113937</x:v>
      </x:c>
      <x:c r="F72" s="26" t="n">
        <x:f>F71/E71-F$2</x:f>
        <x:v>0.05115590141913273</x:v>
      </x:c>
      <x:c r="G72" s="26" t="n">
        <x:f>G71/F71-G$2</x:f>
        <x:v>0.0416464704817614</x:v>
      </x:c>
    </x:row>
    <x:row r="73" ht="15" customHeight="1">
      <x:c r="A73" s="23" t="str">
        <x:v>Micron Contract Visible Revenue</x:v>
      </x:c>
      <x:c r="B73" s="27" t="n">
        <x:f>B30</x:f>
        <x:v>0</x:v>
      </x:c>
      <x:c r="C73" s="27" t="n">
        <x:f>C30</x:f>
        <x:v>38706</x:v>
      </x:c>
      <x:c r="D73" s="27" t="n">
        <x:f>D30</x:f>
        <x:v>49893.9693</x:v>
      </x:c>
      <x:c r="E73" s="27" t="n">
        <x:f>E30</x:f>
        <x:v>53622.673103999994</x:v>
      </x:c>
      <x:c r="F73" s="27" t="n">
        <x:f>F30</x:f>
        <x:v>48127.20451344</x:v>
      </x:c>
      <x:c r="G73" s="27" t="n">
        <x:f>G30</x:f>
        <x:v>41651.94671492401</x:v>
      </x:c>
    </x:row>
    <x:row r="74" ht="15" customHeight="1">
      <x:c r="A74" s="23" t="str">
        <x:v>Samsung Memory Contract Visible Revenue</x:v>
      </x:c>
      <x:c r="B74" s="27" t="n">
        <x:f>B46</x:f>
        <x:v>0</x:v>
      </x:c>
      <x:c r="C74" s="27" t="n">
        <x:f>C46</x:f>
        <x:v>178007.574324324</x:v>
      </x:c>
      <x:c r="D74" s="27" t="n">
        <x:f>D46</x:f>
        <x:v>153912.4690637835</x:v>
      </x:c>
      <x:c r="E74" s="27" t="n">
        <x:f>E46</x:f>
        <x:v>123317.70203890924</x:v>
      </x:c>
      <x:c r="F74" s="27" t="n">
        <x:f>F46</x:f>
        <x:v>100135.86938530834</x:v>
      </x:c>
      <x:c r="G74" s="27" t="n">
        <x:f>G46</x:f>
        <x:v>74126.30146835108</x:v>
      </x:c>
    </x:row>
    <x:row r="75" ht="15" customHeight="1">
      <x:c r="A75" s="23" t="str">
        <x:v>SK Hynix Contract Visible Revenue</x:v>
      </x:c>
      <x:c r="B75" s="27" t="n">
        <x:f>B62</x:f>
        <x:v>0</x:v>
      </x:c>
      <x:c r="C75" s="27" t="n">
        <x:f>C62</x:f>
        <x:v>141812.7008783787</x:v>
      </x:c>
      <x:c r="D75" s="27" t="n">
        <x:f>D62</x:f>
        <x:v>132763.38217762194</x:v>
      </x:c>
      <x:c r="E75" s="27" t="n">
        <x:f>E62</x:f>
        <x:v>104557.00281138404</x:v>
      </x:c>
      <x:c r="F75" s="27" t="n">
        <x:f>F62</x:f>
        <x:v>88955.24061258868</x:v>
      </x:c>
      <x:c r="G75" s="27" t="n">
        <x:f>G62</x:f>
        <x:v>70097.86199014979</x:v>
      </x:c>
    </x:row>
    <x:row r="76" ht="15" customHeight="1">
      <x:c r="A76" s="22" t="str">
        <x:v>Total Contract Visible Revenue</x:v>
      </x:c>
      <x:c r="B76" s="14" t="n">
        <x:f>SUM(B73:B75)</x:f>
        <x:v>0</x:v>
      </x:c>
      <x:c r="C76" s="14" t="n">
        <x:f>SUM(C73:C75)</x:f>
        <x:v>358526.27520270273</x:v>
      </x:c>
      <x:c r="D76" s="14" t="n">
        <x:f>SUM(D73:D75)</x:f>
        <x:v>336569.82054140547</x:v>
      </x:c>
      <x:c r="E76" s="14" t="n">
        <x:f>SUM(E73:E75)</x:f>
        <x:v>281497.3779542933</x:v>
      </x:c>
      <x:c r="F76" s="14" t="n">
        <x:f>SUM(F73:F75)</x:f>
        <x:v>237218.31451133703</x:v>
      </x:c>
      <x:c r="G76" s="14" t="n">
        <x:f>SUM(G73:G75)</x:f>
        <x:v>185876.11017342488</x:v>
      </x:c>
    </x:row>
    <x:row r="77" ht="15" customHeight="1">
      <x:c r="A77" s="23" t="str">
        <x:v>Total Visibility % Sales</x:v>
      </x:c>
      <x:c r="B77" s="26" t="n">
        <x:f>B76/B71</x:f>
        <x:v>0</x:v>
      </x:c>
      <x:c r="C77" s="26" t="n">
        <x:f>C76/C71</x:f>
        <x:v>0.6724024660766341</x:v>
      </x:c>
      <x:c r="D77" s="26" t="n">
        <x:f>D76/D71</x:f>
        <x:v>0.5716811524672761</x:v>
      </x:c>
      <x:c r="E77" s="26" t="n">
        <x:f>E76/E71</x:f>
        <x:v>0.4423548683708193</x:v>
      </x:c>
      <x:c r="F77" s="26" t="n">
        <x:f>F76/F71</x:f>
        <x:v>0.3546316888910167</x:v>
      </x:c>
      <x:c r="G77" s="26" t="n">
        <x:f>G76/G71</x:f>
        <x:v>0.2667672754737937</x:v>
      </x:c>
    </x:row>
  </x:sheetData>
  <x:pageMargins left="0.7" right="0.7" top="0.75" bottom="0.75" header="0.3" footer="0.3"/>
</x:worksheet>
</file>