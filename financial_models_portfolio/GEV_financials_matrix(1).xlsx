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tommyfoltin/Downloads/"/>
    </mc:Choice>
  </mc:AlternateContent>
  <xr:revisionPtr revIDLastSave="0" documentId="13_ncr:1_{B52D5B89-9AD6-594A-B703-1CBA23DE528D}" xr6:coauthVersionLast="47" xr6:coauthVersionMax="47" xr10:uidLastSave="{00000000-0000-0000-0000-000000000000}"/>
  <bookViews>
    <workbookView xWindow="0" yWindow="760" windowWidth="29400" windowHeight="16600" xr2:uid="{00000000-000D-0000-FFFF-FFFF00000000}"/>
  </bookViews>
  <sheets>
    <sheet name="Financ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0" i="1" l="1"/>
  <c r="G160" i="1"/>
  <c r="H160" i="1"/>
  <c r="I160" i="1"/>
  <c r="J160" i="1"/>
  <c r="E160" i="1"/>
  <c r="F159" i="1"/>
  <c r="G159" i="1"/>
  <c r="H159" i="1"/>
  <c r="I159" i="1"/>
  <c r="J159" i="1"/>
  <c r="E159" i="1"/>
  <c r="C158" i="1"/>
  <c r="D158" i="1"/>
  <c r="E158" i="1"/>
  <c r="F158" i="1"/>
  <c r="G158" i="1"/>
  <c r="H158" i="1"/>
  <c r="I158" i="1"/>
  <c r="J158" i="1"/>
  <c r="B158" i="1"/>
  <c r="F157" i="1"/>
  <c r="G157" i="1"/>
  <c r="H157" i="1"/>
  <c r="I157" i="1"/>
  <c r="J157" i="1"/>
  <c r="E157" i="1"/>
  <c r="D155" i="1"/>
  <c r="C155" i="1"/>
  <c r="B155" i="1"/>
  <c r="J154" i="1"/>
  <c r="I154" i="1"/>
  <c r="H154" i="1"/>
  <c r="G154" i="1"/>
  <c r="F154" i="1"/>
  <c r="E154" i="1"/>
  <c r="D154" i="1"/>
  <c r="C154" i="1"/>
  <c r="B154" i="1"/>
  <c r="J153" i="1"/>
  <c r="I153" i="1"/>
  <c r="H153" i="1"/>
  <c r="G153" i="1"/>
  <c r="F153" i="1"/>
  <c r="E153" i="1"/>
  <c r="D153" i="1"/>
  <c r="C153" i="1"/>
  <c r="B153" i="1"/>
  <c r="D152" i="1"/>
  <c r="C152" i="1"/>
  <c r="B152" i="1"/>
  <c r="D151" i="1"/>
  <c r="C151" i="1"/>
  <c r="B151" i="1"/>
  <c r="D150" i="1"/>
  <c r="C150" i="1"/>
  <c r="B150" i="1"/>
  <c r="D149" i="1"/>
  <c r="C149" i="1"/>
  <c r="B149" i="1"/>
  <c r="J148" i="1"/>
  <c r="I148" i="1"/>
  <c r="H148" i="1"/>
  <c r="G148" i="1"/>
  <c r="F148" i="1"/>
  <c r="E148" i="1"/>
  <c r="D148" i="1"/>
  <c r="C148" i="1"/>
  <c r="B148" i="1"/>
  <c r="J143" i="1"/>
  <c r="I143" i="1"/>
  <c r="H143" i="1"/>
  <c r="G143" i="1"/>
  <c r="F143" i="1"/>
  <c r="E143" i="1"/>
  <c r="D143" i="1"/>
  <c r="C143" i="1"/>
  <c r="B143" i="1"/>
  <c r="J139" i="1"/>
  <c r="I139" i="1"/>
  <c r="H139" i="1"/>
  <c r="G139" i="1"/>
  <c r="F139" i="1"/>
  <c r="E139" i="1"/>
  <c r="D139" i="1"/>
  <c r="C139" i="1"/>
  <c r="B139" i="1"/>
  <c r="J136" i="1"/>
  <c r="I136" i="1"/>
  <c r="H136" i="1"/>
  <c r="G136" i="1"/>
  <c r="F136" i="1"/>
  <c r="E136" i="1"/>
  <c r="D136" i="1"/>
  <c r="C136" i="1"/>
  <c r="B136" i="1"/>
  <c r="J135" i="1"/>
  <c r="I135" i="1"/>
  <c r="H135" i="1"/>
  <c r="G135" i="1"/>
  <c r="F135" i="1"/>
  <c r="E135" i="1"/>
  <c r="D135" i="1"/>
  <c r="C135" i="1"/>
  <c r="B135" i="1"/>
  <c r="B124" i="1"/>
  <c r="J112" i="1"/>
  <c r="I112" i="1"/>
  <c r="H112" i="1"/>
  <c r="G112" i="1"/>
  <c r="F112" i="1"/>
  <c r="E112" i="1"/>
  <c r="D112" i="1"/>
  <c r="C112" i="1"/>
  <c r="B112" i="1"/>
  <c r="J104" i="1"/>
  <c r="I104" i="1"/>
  <c r="H104" i="1"/>
  <c r="G104" i="1"/>
  <c r="F104" i="1"/>
  <c r="E104" i="1"/>
  <c r="D104" i="1"/>
  <c r="C104" i="1"/>
  <c r="B104" i="1"/>
  <c r="J95" i="1"/>
  <c r="I95" i="1"/>
  <c r="I141" i="1" s="1"/>
  <c r="H95" i="1"/>
  <c r="H141" i="1" s="1"/>
  <c r="G95" i="1"/>
  <c r="G141" i="1" s="1"/>
  <c r="F95" i="1"/>
  <c r="F141" i="1" s="1"/>
  <c r="E95" i="1"/>
  <c r="E141" i="1" s="1"/>
  <c r="D95" i="1"/>
  <c r="D141" i="1" s="1"/>
  <c r="C95" i="1"/>
  <c r="C141" i="1" s="1"/>
  <c r="B95" i="1"/>
  <c r="B141" i="1" s="1"/>
  <c r="D76" i="1"/>
  <c r="C76" i="1"/>
  <c r="B76" i="1"/>
  <c r="D74" i="1"/>
  <c r="C74" i="1"/>
  <c r="B74" i="1"/>
  <c r="J71" i="1"/>
  <c r="J74" i="1" s="1"/>
  <c r="J155" i="1" s="1"/>
  <c r="I71" i="1"/>
  <c r="I74" i="1" s="1"/>
  <c r="I155" i="1" s="1"/>
  <c r="H71" i="1"/>
  <c r="H74" i="1" s="1"/>
  <c r="H155" i="1" s="1"/>
  <c r="G71" i="1"/>
  <c r="G74" i="1" s="1"/>
  <c r="G155" i="1" s="1"/>
  <c r="F71" i="1"/>
  <c r="F74" i="1" s="1"/>
  <c r="F155" i="1" s="1"/>
  <c r="E71" i="1"/>
  <c r="E74" i="1" s="1"/>
  <c r="E155" i="1" s="1"/>
  <c r="D71" i="1"/>
  <c r="C71" i="1"/>
  <c r="B71" i="1"/>
  <c r="D64" i="1"/>
  <c r="C64" i="1"/>
  <c r="B64" i="1"/>
  <c r="J58" i="1"/>
  <c r="I58" i="1"/>
  <c r="H58" i="1"/>
  <c r="G58" i="1"/>
  <c r="F58" i="1"/>
  <c r="E58" i="1"/>
  <c r="D58" i="1"/>
  <c r="C58" i="1"/>
  <c r="B58" i="1"/>
  <c r="D52" i="1"/>
  <c r="C52" i="1"/>
  <c r="B52" i="1"/>
  <c r="J43" i="1"/>
  <c r="I43" i="1"/>
  <c r="H43" i="1"/>
  <c r="G43" i="1"/>
  <c r="F43" i="1"/>
  <c r="E43" i="1"/>
  <c r="D43" i="1"/>
  <c r="C43" i="1"/>
  <c r="B43" i="1"/>
  <c r="J10" i="1"/>
  <c r="I10" i="1"/>
  <c r="H10" i="1"/>
  <c r="G10" i="1"/>
  <c r="F10" i="1"/>
  <c r="E10" i="1"/>
  <c r="D10" i="1"/>
  <c r="C10" i="1"/>
  <c r="B10" i="1"/>
  <c r="I144" i="1" l="1"/>
  <c r="H144" i="1"/>
  <c r="F144" i="1"/>
  <c r="D144" i="1"/>
  <c r="C144" i="1"/>
  <c r="I140" i="1"/>
  <c r="G140" i="1"/>
  <c r="D140" i="1"/>
  <c r="B140" i="1"/>
  <c r="H115" i="1"/>
  <c r="H118" i="1" s="1"/>
  <c r="H121" i="1" s="1"/>
  <c r="G115" i="1"/>
  <c r="G118" i="1" s="1"/>
  <c r="G121" i="1" s="1"/>
  <c r="E115" i="1"/>
  <c r="E118" i="1" s="1"/>
  <c r="E121" i="1" s="1"/>
  <c r="J144" i="1"/>
  <c r="G144" i="1"/>
  <c r="E144" i="1"/>
  <c r="B144" i="1"/>
  <c r="J140" i="1"/>
  <c r="H140" i="1"/>
  <c r="F140" i="1"/>
  <c r="E140" i="1"/>
  <c r="C140" i="1"/>
  <c r="I115" i="1"/>
  <c r="I118" i="1" s="1"/>
  <c r="I121" i="1" s="1"/>
  <c r="F115" i="1"/>
  <c r="F118" i="1" s="1"/>
  <c r="F121" i="1" s="1"/>
  <c r="C115" i="1"/>
  <c r="C118" i="1" s="1"/>
  <c r="C121" i="1" s="1"/>
  <c r="D115" i="1"/>
  <c r="D118" i="1" s="1"/>
  <c r="D121" i="1" s="1"/>
  <c r="B115" i="1"/>
  <c r="B118" i="1" s="1"/>
  <c r="B121" i="1" s="1"/>
  <c r="J115" i="1"/>
  <c r="J118" i="1" s="1"/>
  <c r="J121" i="1" s="1"/>
  <c r="J141" i="1"/>
  <c r="I142" i="1"/>
  <c r="I145" i="1"/>
  <c r="H142" i="1"/>
  <c r="H145" i="1"/>
  <c r="G142" i="1"/>
  <c r="G145" i="1"/>
  <c r="F142" i="1"/>
  <c r="F145" i="1"/>
  <c r="E142" i="1"/>
  <c r="E145" i="1"/>
  <c r="D142" i="1"/>
  <c r="D145" i="1"/>
  <c r="C142" i="1"/>
  <c r="C145" i="1"/>
  <c r="B142" i="1"/>
  <c r="B145" i="1"/>
  <c r="J64" i="1"/>
  <c r="J76" i="1" s="1"/>
  <c r="J150" i="1"/>
  <c r="I64" i="1"/>
  <c r="I76" i="1" s="1"/>
  <c r="I150" i="1"/>
  <c r="H64" i="1"/>
  <c r="H76" i="1" s="1"/>
  <c r="H150" i="1"/>
  <c r="G150" i="1"/>
  <c r="G64" i="1"/>
  <c r="G76" i="1" s="1"/>
  <c r="F64" i="1"/>
  <c r="F76" i="1" s="1"/>
  <c r="F150" i="1"/>
  <c r="E64" i="1"/>
  <c r="E76" i="1" s="1"/>
  <c r="E150" i="1"/>
  <c r="J151" i="1"/>
  <c r="J52" i="1"/>
  <c r="J152" i="1"/>
  <c r="J149" i="1"/>
  <c r="I149" i="1"/>
  <c r="I152" i="1"/>
  <c r="I52" i="1"/>
  <c r="I151" i="1"/>
  <c r="H152" i="1"/>
  <c r="H151" i="1"/>
  <c r="H149" i="1"/>
  <c r="H52" i="1"/>
  <c r="G149" i="1"/>
  <c r="G151" i="1"/>
  <c r="G152" i="1"/>
  <c r="G52" i="1"/>
  <c r="F52" i="1"/>
  <c r="F151" i="1"/>
  <c r="F149" i="1"/>
  <c r="F152" i="1"/>
  <c r="E151" i="1"/>
  <c r="E52" i="1"/>
  <c r="E149" i="1"/>
  <c r="E152" i="1"/>
  <c r="J14" i="1"/>
  <c r="J124" i="1"/>
  <c r="J129" i="1"/>
  <c r="J138" i="1"/>
  <c r="J125" i="1"/>
  <c r="J128" i="1"/>
  <c r="J126" i="1"/>
  <c r="I126" i="1"/>
  <c r="I14" i="1"/>
  <c r="I124" i="1"/>
  <c r="I125" i="1"/>
  <c r="I138" i="1"/>
  <c r="I129" i="1"/>
  <c r="I128" i="1"/>
  <c r="H138" i="1"/>
  <c r="H128" i="1"/>
  <c r="H14" i="1"/>
  <c r="H129" i="1"/>
  <c r="H125" i="1"/>
  <c r="H126" i="1"/>
  <c r="H124" i="1"/>
  <c r="G126" i="1"/>
  <c r="G138" i="1"/>
  <c r="G14" i="1"/>
  <c r="G124" i="1"/>
  <c r="G128" i="1"/>
  <c r="G125" i="1"/>
  <c r="G129" i="1"/>
  <c r="F126" i="1"/>
  <c r="F129" i="1"/>
  <c r="F124" i="1"/>
  <c r="F138" i="1"/>
  <c r="F125" i="1"/>
  <c r="F128" i="1"/>
  <c r="F14" i="1"/>
  <c r="E138" i="1"/>
  <c r="E14" i="1"/>
  <c r="E125" i="1"/>
  <c r="E124" i="1"/>
  <c r="E129" i="1"/>
  <c r="E126" i="1"/>
  <c r="E128" i="1"/>
  <c r="D128" i="1"/>
  <c r="D129" i="1"/>
  <c r="D14" i="1"/>
  <c r="D125" i="1"/>
  <c r="D138" i="1"/>
  <c r="D126" i="1"/>
  <c r="D124" i="1"/>
  <c r="C129" i="1"/>
  <c r="C128" i="1"/>
  <c r="C124" i="1"/>
  <c r="C138" i="1"/>
  <c r="C126" i="1"/>
  <c r="C125" i="1"/>
  <c r="C14" i="1"/>
  <c r="B129" i="1"/>
  <c r="B128" i="1"/>
  <c r="B125" i="1"/>
  <c r="B14" i="1"/>
  <c r="B138" i="1"/>
  <c r="B126" i="1"/>
  <c r="J142" i="1" l="1"/>
  <c r="J145" i="1"/>
  <c r="I146" i="1"/>
  <c r="H146" i="1"/>
  <c r="G146" i="1"/>
  <c r="F146" i="1"/>
  <c r="E146" i="1"/>
  <c r="D146" i="1"/>
  <c r="C146" i="1"/>
  <c r="B146" i="1"/>
  <c r="J127" i="1"/>
  <c r="J18" i="1"/>
  <c r="I127" i="1"/>
  <c r="I18" i="1"/>
  <c r="H127" i="1"/>
  <c r="H18" i="1"/>
  <c r="G18" i="1"/>
  <c r="G127" i="1"/>
  <c r="F127" i="1"/>
  <c r="F18" i="1"/>
  <c r="E127" i="1"/>
  <c r="E18" i="1"/>
  <c r="D18" i="1"/>
  <c r="D127" i="1"/>
  <c r="C18" i="1"/>
  <c r="C127" i="1"/>
  <c r="B18" i="1"/>
  <c r="B127" i="1"/>
  <c r="J146" i="1" l="1"/>
  <c r="J130" i="1"/>
  <c r="J23" i="1"/>
  <c r="I130" i="1"/>
  <c r="I23" i="1"/>
  <c r="H130" i="1"/>
  <c r="H23" i="1"/>
  <c r="G23" i="1"/>
  <c r="G130" i="1"/>
  <c r="F130" i="1"/>
  <c r="F23" i="1"/>
  <c r="E130" i="1"/>
  <c r="E23" i="1"/>
  <c r="D23" i="1"/>
  <c r="D130" i="1"/>
  <c r="C130" i="1"/>
  <c r="C23" i="1"/>
  <c r="B130" i="1"/>
  <c r="B23" i="1"/>
  <c r="J26" i="1" l="1"/>
  <c r="J131" i="1"/>
  <c r="J132" i="1"/>
  <c r="I131" i="1"/>
  <c r="I132" i="1"/>
  <c r="I26" i="1"/>
  <c r="H131" i="1"/>
  <c r="H132" i="1"/>
  <c r="H26" i="1"/>
  <c r="G132" i="1"/>
  <c r="G26" i="1"/>
  <c r="G131" i="1"/>
  <c r="F132" i="1"/>
  <c r="F26" i="1"/>
  <c r="F131" i="1"/>
  <c r="E131" i="1"/>
  <c r="E132" i="1"/>
  <c r="E26" i="1"/>
  <c r="D26" i="1"/>
  <c r="D132" i="1"/>
  <c r="D131" i="1"/>
  <c r="C26" i="1"/>
  <c r="C131" i="1"/>
  <c r="C132" i="1"/>
  <c r="B26" i="1"/>
  <c r="B131" i="1"/>
  <c r="B132" i="1"/>
  <c r="J29" i="1" l="1"/>
  <c r="J133" i="1"/>
  <c r="I29" i="1"/>
  <c r="I133" i="1"/>
  <c r="H29" i="1"/>
  <c r="H133" i="1"/>
  <c r="G133" i="1"/>
  <c r="G29" i="1"/>
  <c r="F29" i="1"/>
  <c r="F133" i="1"/>
  <c r="E29" i="1"/>
  <c r="E133" i="1"/>
  <c r="D133" i="1"/>
  <c r="D29" i="1"/>
  <c r="C133" i="1"/>
  <c r="C29" i="1"/>
  <c r="B29" i="1"/>
  <c r="B133" i="1"/>
  <c r="J147" i="1" l="1"/>
  <c r="J134" i="1"/>
  <c r="I147" i="1"/>
  <c r="I134" i="1"/>
  <c r="H147" i="1"/>
  <c r="H134" i="1"/>
  <c r="G147" i="1"/>
  <c r="G134" i="1"/>
  <c r="F147" i="1"/>
  <c r="F134" i="1"/>
  <c r="E147" i="1"/>
  <c r="E134" i="1"/>
  <c r="D147" i="1"/>
  <c r="D134" i="1"/>
  <c r="C147" i="1"/>
  <c r="C134" i="1"/>
  <c r="B147" i="1"/>
  <c r="B134" i="1"/>
</calcChain>
</file>

<file path=xl/sharedStrings.xml><?xml version="1.0" encoding="utf-8"?>
<sst xmlns="http://schemas.openxmlformats.org/spreadsheetml/2006/main" count="173" uniqueCount="167">
  <si>
    <t>GE Vernova financials</t>
  </si>
  <si>
    <t>Units: $mm except per-share data and shares in millions</t>
  </si>
  <si>
    <t>Period ended</t>
  </si>
  <si>
    <t>2024-03-31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</si>
  <si>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</si>
  <si>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</si>
  <si>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</si>
  <si>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</si>
  <si>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</si>
  <si>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</si>
  <si>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</si>
  <si>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</si>
  <si>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Period label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</si>
  <si>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</si>
  <si>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</si>
  <si>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</si>
  <si>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</si>
  <si>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</si>
  <si>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</si>
  <si>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</si>
  <si>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</si>
  <si>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</si>
  <si>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Income Statement</t>
  </si>
  <si>
    <t>Sales of equipment</t>
  </si>
  <si>
    <t>Sales of services</t>
  </si>
  <si>
    <t>Revenue rounding / other</t>
  </si>
  <si>
    <t>Total revenues</t>
  </si>
  <si>
    <t>Cost of equipment</t>
  </si>
  <si>
    <t>Cost of services</t>
  </si>
  <si>
    <t>Gross profit rounding / other</t>
  </si>
  <si>
    <t>Gross profit</t>
  </si>
  <si>
    <t>Selling, general, and administrative expenses</t>
  </si>
  <si>
    <t>Research and development expenses</t>
  </si>
  <si>
    <t>Operating income rounding / other</t>
  </si>
  <si>
    <t>Operating income (loss)</t>
  </si>
  <si>
    <t>Interest and other financial income (charges) - net</t>
  </si>
  <si>
    <t>Non-operating benefit income</t>
  </si>
  <si>
    <t>Other income (expense) - net</t>
  </si>
  <si>
    <t>Pre-tax rounding / other</t>
  </si>
  <si>
    <t>Income (loss) before income taxes</t>
  </si>
  <si>
    <t>Provision (benefit) for income taxes</t>
  </si>
  <si>
    <t>Net income rounding / other</t>
  </si>
  <si>
    <t>Net income (loss)</t>
  </si>
  <si>
    <t>Net loss (income) attributable to noncontrolling interests</t>
  </si>
  <si>
    <t>Attribution rounding / other</t>
  </si>
  <si>
    <t>Net income (loss) attributable to GE Vernova</t>
  </si>
  <si>
    <t>Basic EPS</t>
  </si>
  <si>
    <t>Diluted EPS</t>
  </si>
  <si>
    <t>Basic weighted-average shares</t>
  </si>
  <si>
    <t>Diluted weighted-average shares</t>
  </si>
  <si>
    <t>Balance Sheet</t>
  </si>
  <si>
    <t>Cash, cash equivalents, and restricted cash</t>
  </si>
  <si>
    <t>Current receivables - net</t>
  </si>
  <si>
    <t>Inventories, including deferred inventory costs</t>
  </si>
  <si>
    <t>Current contract assets</t>
  </si>
  <si>
    <t>All other current assets</t>
  </si>
  <si>
    <t>Assets held for sale</t>
  </si>
  <si>
    <t>Current assets rounding / other</t>
  </si>
  <si>
    <t>Current assets</t>
  </si>
  <si>
    <t>Property, plant, and equipment - net</t>
  </si>
  <si>
    <t>Goodwill</t>
  </si>
  <si>
    <t>Intangible assets - net</t>
  </si>
  <si>
    <t>Contract and other deferred assets</t>
  </si>
  <si>
    <t>Equity method investments</t>
  </si>
  <si>
    <t>Deferred income taxes - asset</t>
  </si>
  <si>
    <t>All other assets</t>
  </si>
  <si>
    <t>Total assets rounding / other</t>
  </si>
  <si>
    <t>Total assets</t>
  </si>
  <si>
    <t>Accounts payable and equipment project payables</t>
  </si>
  <si>
    <t>Contract liabilities and deferred income</t>
  </si>
  <si>
    <t>All other current liabilities</t>
  </si>
  <si>
    <t>Liabilities held for sale</t>
  </si>
  <si>
    <t>Current liabilities rounding / other</t>
  </si>
  <si>
    <t>Current liabilities</t>
  </si>
  <si>
    <t>Long-term borrowings</t>
  </si>
  <si>
    <t>Deferred income taxes - liability</t>
  </si>
  <si>
    <t>Non-current compensation and benefits</t>
  </si>
  <si>
    <t>All other liabilities</t>
  </si>
  <si>
    <t>Total liabilities rounding / other</t>
  </si>
  <si>
    <t>Total liabilities</t>
  </si>
  <si>
    <t>Common stock</t>
  </si>
  <si>
    <t>Additional paid-in capital</t>
  </si>
  <si>
    <t>Retained earnings</t>
  </si>
  <si>
    <t>Treasury common stock</t>
  </si>
  <si>
    <t>Accumulated other comprehensive income (loss)</t>
  </si>
  <si>
    <t>Equity attributable rounding / other</t>
  </si>
  <si>
    <t>Total equity attributable to GE Vernova</t>
  </si>
  <si>
    <t>Noncontrolling interests</t>
  </si>
  <si>
    <t>Total equity rounding / other</t>
  </si>
  <si>
    <t>Total equity</t>
  </si>
  <si>
    <t>Total liabilities and equity rounding / other</t>
  </si>
  <si>
    <t>Total liabilities and equity</t>
  </si>
  <si>
    <t>Cash Flow Statement</t>
  </si>
  <si>
    <t>Adjustments and operating working capital</t>
  </si>
  <si>
    <t>Depreciation and amortization of property, plant, and equipment</t>
  </si>
  <si>
    <t>Amortization of intangible assets</t>
  </si>
  <si>
    <t>(Gains) losses on purchases and sales of business interests</t>
  </si>
  <si>
    <t>Principal pension plans - net</t>
  </si>
  <si>
    <t>Other postretirement benefit plans - net</t>
  </si>
  <si>
    <t>Cash recovered (paid) during the year for income taxes</t>
  </si>
  <si>
    <t>Decrease (increase) in current receivables</t>
  </si>
  <si>
    <t>Decrease (increase) in inventories, including deferred inventory costs</t>
  </si>
  <si>
    <t>Decrease (increase) in current contract assets</t>
  </si>
  <si>
    <t>Increase (decrease) in accounts payable and equipment project payables</t>
  </si>
  <si>
    <t>Increase (decrease) in contract liabilities and current deferred income</t>
  </si>
  <si>
    <t>All other operating activities</t>
  </si>
  <si>
    <t>Cash from operating activities rounding / other</t>
  </si>
  <si>
    <t>Cash from (used for) operating activities</t>
  </si>
  <si>
    <t>Additions to property, plant, and equipment and internal-use software</t>
  </si>
  <si>
    <t>Dispositions of property, plant, and equipment</t>
  </si>
  <si>
    <t>Purchases of and contributions to equity method investments</t>
  </si>
  <si>
    <t>Sales of and distributions from equity method investments</t>
  </si>
  <si>
    <t>Net cash paid for principal businesses purchased</t>
  </si>
  <si>
    <t>Proceeds from principal business dispositions</t>
  </si>
  <si>
    <t>All other investing activities</t>
  </si>
  <si>
    <t>Cash from investing activities rounding / other</t>
  </si>
  <si>
    <t>Cash from (used for) investing activities</t>
  </si>
  <si>
    <t>Net increase (decrease) in borrowings of maturities of 90 days or less</t>
  </si>
  <si>
    <t>Newly issued debt (maturities longer than 90 days)</t>
  </si>
  <si>
    <t>Transfers from (to) Parent</t>
  </si>
  <si>
    <t>Dividends paid to stockholders</t>
  </si>
  <si>
    <t>Purchases of common stock for treasury</t>
  </si>
  <si>
    <t>All other financing activities</t>
  </si>
  <si>
    <t>Cash from financing activities rounding / other</t>
  </si>
  <si>
    <t>Cash from (used for) financing activities</t>
  </si>
  <si>
    <t>Effect of currency exchange rate changes on cash, cash equivalents, and restricted cash</t>
  </si>
  <si>
    <t>Cash change including cash classified within held for sale rounding / other</t>
  </si>
  <si>
    <t>Increase (decrease) in cash, cash equivalents, and restricted cash, including cash classified within held for sale</t>
  </si>
  <si>
    <t>Less: Net increase (decrease) in cash classified within held for sale</t>
  </si>
  <si>
    <t>Cash change rounding / other</t>
  </si>
  <si>
    <t>Increase (decrease) in cash, cash equivalents, and restricted cash</t>
  </si>
  <si>
    <t>Cash, cash equivalents, and restricted cash at beginning of period</t>
  </si>
  <si>
    <t>Cash ending rounding / other</t>
  </si>
  <si>
    <t>Cash, cash equivalents, and restricted cash at end of period</t>
  </si>
  <si>
    <t>KPIs</t>
  </si>
  <si>
    <t>Revenue growth</t>
  </si>
  <si>
    <t>Equipment revenue mix</t>
  </si>
  <si>
    <t>Services revenue mix</t>
  </si>
  <si>
    <t>Gross margin</t>
  </si>
  <si>
    <t>SG&amp;A % of revenue</t>
  </si>
  <si>
    <t>R&amp;D % of revenue</t>
  </si>
  <si>
    <t>Operating margin</t>
  </si>
  <si>
    <t>Pre-tax margin</t>
  </si>
  <si>
    <t>Effective tax rate</t>
  </si>
  <si>
    <t>Net income margin</t>
  </si>
  <si>
    <t>Net income attributable margin</t>
  </si>
  <si>
    <t>Diluted share count</t>
  </si>
  <si>
    <t>Adjusted EBITDA</t>
  </si>
  <si>
    <t>Adjusted EBITDA margin</t>
  </si>
  <si>
    <t>D&amp;A</t>
  </si>
  <si>
    <t>D&amp;A % of revenue</t>
  </si>
  <si>
    <t>Cash from operations</t>
  </si>
  <si>
    <t>CFO margin</t>
  </si>
  <si>
    <t>Capex</t>
  </si>
  <si>
    <t>Capex % of revenue</t>
  </si>
  <si>
    <t>Free cash flow</t>
  </si>
  <si>
    <t>Free cash flow margin</t>
  </si>
  <si>
    <t>Free cash flow conversion vs net income attributable</t>
  </si>
  <si>
    <t>Cash and restricted cash</t>
  </si>
  <si>
    <t>Net working capital</t>
  </si>
  <si>
    <t>Current ratio</t>
  </si>
  <si>
    <t>Net cash / (debt)</t>
  </si>
  <si>
    <t>Debt / capitalization</t>
  </si>
  <si>
    <t xml:space="preserve">Invested Capital </t>
  </si>
  <si>
    <t>NOPAT</t>
  </si>
  <si>
    <t>TTM Nopat</t>
  </si>
  <si>
    <t>ROIC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</si>
</sst>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;\(#,##0\)"/>
    <numFmt numFmtId="165" formatCode="0.00;\(0.00\)"/>
    <numFmt numFmtId="166" formatCode="0.0%;\-0.0%"/>
    <numFmt numFmtId="167" formatCode="0.00\x;\(\-0.00\x\)"/>
    <numFmt numFmtId="169" formatCode="_(* #,##0_);_(* \(#,##0\);_(* &quot;-&quot;??_);_(@_)"/>
    <numFmt numFmtId="170" formatCode="0.0%"/>
  </numFmts>
  <fonts count="4">
    <font>
      <sz val="11"/>
      <name val="Carlito"/>
    </font>
    <font>
      <sz val="11"/>
      <name val="Carlito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64" fontId="3" fillId="0" borderId="0" xfId="0" applyNumberFormat="1" applyFont="1"/>
    <xf numFmtId="169" fontId="3" fillId="0" borderId="0" xfId="1" applyNumberFormat="1" applyFont="1"/>
    <xf numFmtId="169" fontId="3" fillId="0" borderId="0" xfId="0" applyNumberFormat="1" applyFont="1"/>
    <xf numFmtId="170" fontId="3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tabSelected="1" topLeftCell="A142" zoomScale="142" workbookViewId="0">
      <selection activeCell="H162" sqref="H162"/>
    </sheetView>
  </sheetViews>
  <sheetFormatPr baseColWidth="10" defaultColWidth="8.83203125" defaultRowHeight="14.5" customHeight="1"/>
  <cols>
    <col min="1" max="1" width="62.5" style="3" customWidth="1"/>
    <col min="2" max="10" width="13" style="3" customWidth="1"/>
    <col min="11" max="16384" width="8.83203125" style="3"/>
  </cols>
  <sheetData>
    <row r="1" spans="1:10" ht="14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4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14.5" customHeight="1">
      <c r="A3" s="1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pans="1:10" ht="14.5" customHeight="1">
      <c r="A4" s="4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19</v>
      </c>
      <c r="I4" s="7" t="s">
        <v>20</v>
      </c>
      <c r="J4" s="7" t="s">
        <v>21</v>
      </c>
    </row>
    <row r="5" spans="1:10" ht="14.5" customHeight="1">
      <c r="A5" s="4"/>
      <c r="B5" s="5"/>
      <c r="C5" s="5"/>
      <c r="D5" s="5"/>
      <c r="E5" s="5"/>
      <c r="F5" s="5"/>
      <c r="G5" s="5"/>
      <c r="H5" s="5"/>
      <c r="I5" s="5"/>
      <c r="J5" s="5"/>
    </row>
    <row r="6" spans="1:10" ht="14.5" customHeight="1">
      <c r="A6" s="1" t="s">
        <v>22</v>
      </c>
      <c r="B6" s="2"/>
      <c r="C6" s="2"/>
      <c r="D6" s="2"/>
      <c r="E6" s="2"/>
      <c r="F6" s="2"/>
      <c r="G6" s="2"/>
      <c r="H6" s="2"/>
      <c r="I6" s="2"/>
      <c r="J6" s="2"/>
    </row>
    <row r="7" spans="1:10" ht="14.5" customHeight="1">
      <c r="A7" s="4" t="s">
        <v>23</v>
      </c>
      <c r="B7" s="5">
        <v>3617</v>
      </c>
      <c r="C7" s="5">
        <v>4194</v>
      </c>
      <c r="D7" s="5">
        <v>5290</v>
      </c>
      <c r="E7" s="5">
        <v>5852</v>
      </c>
      <c r="F7" s="5">
        <v>4197</v>
      </c>
      <c r="G7" s="5">
        <v>4894</v>
      </c>
      <c r="H7" s="5">
        <v>5880</v>
      </c>
      <c r="I7" s="5">
        <v>5963</v>
      </c>
      <c r="J7" s="5">
        <v>5254</v>
      </c>
    </row>
    <row r="8" spans="1:10" ht="14.5" customHeight="1">
      <c r="A8" s="4" t="s">
        <v>24</v>
      </c>
      <c r="B8" s="5">
        <v>3642</v>
      </c>
      <c r="C8" s="5">
        <v>4010</v>
      </c>
      <c r="D8" s="5">
        <v>3623</v>
      </c>
      <c r="E8" s="5">
        <v>4707</v>
      </c>
      <c r="F8" s="5">
        <v>3835</v>
      </c>
      <c r="G8" s="5">
        <v>4217</v>
      </c>
      <c r="H8" s="5">
        <v>4089</v>
      </c>
      <c r="I8" s="5">
        <v>4993</v>
      </c>
      <c r="J8" s="5">
        <v>4084</v>
      </c>
    </row>
    <row r="9" spans="1:10" ht="14.5" customHeight="1">
      <c r="A9" s="4" t="s">
        <v>25</v>
      </c>
      <c r="B9" s="5">
        <v>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1</v>
      </c>
    </row>
    <row r="10" spans="1:10" ht="14.5" customHeight="1">
      <c r="A10" s="1" t="s">
        <v>26</v>
      </c>
      <c r="B10" s="2">
        <f t="shared" ref="B10:J10" si="0">B7+B8+B9</f>
        <v>7260</v>
      </c>
      <c r="C10" s="2">
        <f t="shared" si="0"/>
        <v>8204</v>
      </c>
      <c r="D10" s="2">
        <f t="shared" si="0"/>
        <v>8913</v>
      </c>
      <c r="E10" s="2">
        <f t="shared" si="0"/>
        <v>10559</v>
      </c>
      <c r="F10" s="2">
        <f t="shared" si="0"/>
        <v>8032</v>
      </c>
      <c r="G10" s="2">
        <f t="shared" si="0"/>
        <v>9111</v>
      </c>
      <c r="H10" s="2">
        <f t="shared" si="0"/>
        <v>9969</v>
      </c>
      <c r="I10" s="2">
        <f t="shared" si="0"/>
        <v>10956</v>
      </c>
      <c r="J10" s="2">
        <f t="shared" si="0"/>
        <v>9339</v>
      </c>
    </row>
    <row r="11" spans="1:10" ht="14.5" customHeight="1">
      <c r="A11" s="4" t="s">
        <v>27</v>
      </c>
      <c r="B11" s="5">
        <v>3693</v>
      </c>
      <c r="C11" s="5">
        <v>3853</v>
      </c>
      <c r="D11" s="5">
        <v>5076</v>
      </c>
      <c r="E11" s="5">
        <v>5368</v>
      </c>
      <c r="F11" s="5">
        <v>3915</v>
      </c>
      <c r="G11" s="5">
        <v>4265</v>
      </c>
      <c r="H11" s="5">
        <v>5165</v>
      </c>
      <c r="I11" s="5">
        <v>5413</v>
      </c>
      <c r="J11" s="5">
        <v>4714</v>
      </c>
    </row>
    <row r="12" spans="1:10" ht="14.5" customHeight="1">
      <c r="A12" s="4" t="s">
        <v>28</v>
      </c>
      <c r="B12" s="5">
        <v>2417</v>
      </c>
      <c r="C12" s="5">
        <v>2649</v>
      </c>
      <c r="D12" s="5">
        <v>2728</v>
      </c>
      <c r="E12" s="5">
        <v>3067</v>
      </c>
      <c r="F12" s="5">
        <v>2647</v>
      </c>
      <c r="G12" s="5">
        <v>3000</v>
      </c>
      <c r="H12" s="5">
        <v>2906</v>
      </c>
      <c r="I12" s="5">
        <v>3221</v>
      </c>
      <c r="J12" s="5">
        <v>2843</v>
      </c>
    </row>
    <row r="13" spans="1:10" ht="14.5" customHeight="1">
      <c r="A13" s="4" t="s">
        <v>29</v>
      </c>
      <c r="B13" s="5">
        <v>0</v>
      </c>
      <c r="C13" s="5">
        <v>0</v>
      </c>
      <c r="D13" s="5">
        <v>0</v>
      </c>
      <c r="E13" s="5">
        <v>-1</v>
      </c>
      <c r="F13" s="5">
        <v>0</v>
      </c>
      <c r="G13" s="5">
        <v>0</v>
      </c>
      <c r="H13" s="5">
        <v>-1</v>
      </c>
      <c r="I13" s="5">
        <v>1</v>
      </c>
      <c r="J13" s="5">
        <v>-1</v>
      </c>
    </row>
    <row r="14" spans="1:10" ht="14.5" customHeight="1">
      <c r="A14" s="1" t="s">
        <v>30</v>
      </c>
      <c r="B14" s="2">
        <f t="shared" ref="B14:J14" si="1">B10-B11-B12+B13</f>
        <v>1150</v>
      </c>
      <c r="C14" s="2">
        <f t="shared" si="1"/>
        <v>1702</v>
      </c>
      <c r="D14" s="2">
        <f t="shared" si="1"/>
        <v>1109</v>
      </c>
      <c r="E14" s="2">
        <f t="shared" si="1"/>
        <v>2123</v>
      </c>
      <c r="F14" s="2">
        <f t="shared" si="1"/>
        <v>1470</v>
      </c>
      <c r="G14" s="2">
        <f t="shared" si="1"/>
        <v>1846</v>
      </c>
      <c r="H14" s="2">
        <f t="shared" si="1"/>
        <v>1897</v>
      </c>
      <c r="I14" s="2">
        <f t="shared" si="1"/>
        <v>2323</v>
      </c>
      <c r="J14" s="2">
        <f t="shared" si="1"/>
        <v>1781</v>
      </c>
    </row>
    <row r="15" spans="1:10" ht="14.5" customHeight="1">
      <c r="A15" s="4" t="s">
        <v>31</v>
      </c>
      <c r="B15" s="5">
        <v>1202</v>
      </c>
      <c r="C15" s="5">
        <v>938</v>
      </c>
      <c r="D15" s="5">
        <v>1226</v>
      </c>
      <c r="E15" s="5">
        <v>1266</v>
      </c>
      <c r="F15" s="5">
        <v>1188</v>
      </c>
      <c r="G15" s="5">
        <v>1185</v>
      </c>
      <c r="H15" s="5">
        <v>1221</v>
      </c>
      <c r="I15" s="5">
        <v>1355</v>
      </c>
      <c r="J15" s="5">
        <v>1298</v>
      </c>
    </row>
    <row r="16" spans="1:10" ht="14.5" customHeight="1">
      <c r="A16" s="4" t="s">
        <v>32</v>
      </c>
      <c r="B16" s="5">
        <v>237</v>
      </c>
      <c r="C16" s="5">
        <v>237</v>
      </c>
      <c r="D16" s="5">
        <v>243</v>
      </c>
      <c r="E16" s="5">
        <v>265</v>
      </c>
      <c r="F16" s="5">
        <v>239</v>
      </c>
      <c r="G16" s="5">
        <v>282</v>
      </c>
      <c r="H16" s="5">
        <v>310</v>
      </c>
      <c r="I16" s="5">
        <v>366</v>
      </c>
      <c r="J16" s="5">
        <v>304</v>
      </c>
    </row>
    <row r="17" spans="1:10" ht="14.5" customHeight="1">
      <c r="A17" s="4" t="s">
        <v>33</v>
      </c>
      <c r="B17" s="5">
        <v>0</v>
      </c>
      <c r="C17" s="5">
        <v>0</v>
      </c>
      <c r="D17" s="5">
        <v>1</v>
      </c>
      <c r="E17" s="5">
        <v>1</v>
      </c>
      <c r="F17" s="5">
        <v>0</v>
      </c>
      <c r="G17" s="5">
        <v>-1</v>
      </c>
      <c r="H17" s="5">
        <v>0</v>
      </c>
      <c r="I17" s="5">
        <v>0</v>
      </c>
      <c r="J17" s="5">
        <v>0</v>
      </c>
    </row>
    <row r="18" spans="1:10" ht="14.5" customHeight="1">
      <c r="A18" s="1" t="s">
        <v>34</v>
      </c>
      <c r="B18" s="2">
        <f t="shared" ref="B18:J18" si="2">B14-B15-B16+B17</f>
        <v>-289</v>
      </c>
      <c r="C18" s="2">
        <f t="shared" si="2"/>
        <v>527</v>
      </c>
      <c r="D18" s="2">
        <f t="shared" si="2"/>
        <v>-359</v>
      </c>
      <c r="E18" s="2">
        <f t="shared" si="2"/>
        <v>593</v>
      </c>
      <c r="F18" s="2">
        <f t="shared" si="2"/>
        <v>43</v>
      </c>
      <c r="G18" s="2">
        <f t="shared" si="2"/>
        <v>378</v>
      </c>
      <c r="H18" s="2">
        <f t="shared" si="2"/>
        <v>366</v>
      </c>
      <c r="I18" s="2">
        <f t="shared" si="2"/>
        <v>602</v>
      </c>
      <c r="J18" s="2">
        <f t="shared" si="2"/>
        <v>179</v>
      </c>
    </row>
    <row r="19" spans="1:10" ht="14.5" customHeight="1">
      <c r="A19" s="4" t="s">
        <v>35</v>
      </c>
      <c r="B19" s="5">
        <v>-14</v>
      </c>
      <c r="C19" s="5">
        <v>60</v>
      </c>
      <c r="D19" s="5">
        <v>36</v>
      </c>
      <c r="E19" s="5">
        <v>38</v>
      </c>
      <c r="F19" s="5">
        <v>56</v>
      </c>
      <c r="G19" s="5">
        <v>42</v>
      </c>
      <c r="H19" s="5">
        <v>44</v>
      </c>
      <c r="I19" s="5">
        <v>44</v>
      </c>
      <c r="J19" s="5">
        <v>28</v>
      </c>
    </row>
    <row r="20" spans="1:10" ht="14.5" customHeight="1">
      <c r="A20" s="4" t="s">
        <v>36</v>
      </c>
      <c r="B20" s="5">
        <v>134</v>
      </c>
      <c r="C20" s="5">
        <v>134</v>
      </c>
      <c r="D20" s="5">
        <v>130</v>
      </c>
      <c r="E20" s="5">
        <v>137</v>
      </c>
      <c r="F20" s="5">
        <v>115</v>
      </c>
      <c r="G20" s="5">
        <v>110</v>
      </c>
      <c r="H20" s="5">
        <v>115</v>
      </c>
      <c r="I20" s="5">
        <v>119</v>
      </c>
      <c r="J20" s="5">
        <v>134</v>
      </c>
    </row>
    <row r="21" spans="1:10" ht="14.5" customHeight="1">
      <c r="A21" s="4" t="s">
        <v>37</v>
      </c>
      <c r="B21" s="5">
        <v>73</v>
      </c>
      <c r="C21" s="5">
        <v>881</v>
      </c>
      <c r="D21" s="5">
        <v>71</v>
      </c>
      <c r="E21" s="5">
        <v>346</v>
      </c>
      <c r="F21" s="5">
        <v>119</v>
      </c>
      <c r="G21" s="5">
        <v>115</v>
      </c>
      <c r="H21" s="5">
        <v>221</v>
      </c>
      <c r="I21" s="5">
        <v>340</v>
      </c>
      <c r="J21" s="5">
        <v>4762</v>
      </c>
    </row>
    <row r="22" spans="1:10" ht="14.5" customHeight="1">
      <c r="A22" s="4" t="s">
        <v>38</v>
      </c>
      <c r="B22" s="5">
        <v>0</v>
      </c>
      <c r="C22" s="5">
        <v>0</v>
      </c>
      <c r="D22" s="5">
        <v>0</v>
      </c>
      <c r="E22" s="5">
        <v>0</v>
      </c>
      <c r="F22" s="5">
        <v>-1</v>
      </c>
      <c r="G22" s="5">
        <v>0</v>
      </c>
      <c r="H22" s="5">
        <v>0</v>
      </c>
      <c r="I22" s="5">
        <v>0</v>
      </c>
      <c r="J22" s="5">
        <v>0</v>
      </c>
    </row>
    <row r="23" spans="1:10" ht="14.5" customHeight="1">
      <c r="A23" s="1" t="s">
        <v>39</v>
      </c>
      <c r="B23" s="2">
        <f t="shared" ref="B23:J23" si="3">B18+B19+B20+B21+B22</f>
        <v>-96</v>
      </c>
      <c r="C23" s="2">
        <f t="shared" si="3"/>
        <v>1602</v>
      </c>
      <c r="D23" s="2">
        <f t="shared" si="3"/>
        <v>-122</v>
      </c>
      <c r="E23" s="2">
        <f t="shared" si="3"/>
        <v>1114</v>
      </c>
      <c r="F23" s="2">
        <f t="shared" si="3"/>
        <v>332</v>
      </c>
      <c r="G23" s="2">
        <f t="shared" si="3"/>
        <v>645</v>
      </c>
      <c r="H23" s="2">
        <f t="shared" si="3"/>
        <v>746</v>
      </c>
      <c r="I23" s="2">
        <f t="shared" si="3"/>
        <v>1105</v>
      </c>
      <c r="J23" s="2">
        <f t="shared" si="3"/>
        <v>5103</v>
      </c>
    </row>
    <row r="24" spans="1:10" ht="14.5" customHeight="1">
      <c r="A24" s="4" t="s">
        <v>40</v>
      </c>
      <c r="B24" s="5">
        <v>10</v>
      </c>
      <c r="C24" s="5">
        <v>322</v>
      </c>
      <c r="D24" s="5">
        <v>-23</v>
      </c>
      <c r="E24" s="5">
        <v>630</v>
      </c>
      <c r="F24" s="5">
        <v>68</v>
      </c>
      <c r="G24" s="5">
        <v>153</v>
      </c>
      <c r="H24" s="5">
        <v>293</v>
      </c>
      <c r="I24" s="5">
        <v>-2565</v>
      </c>
      <c r="J24" s="5">
        <v>354</v>
      </c>
    </row>
    <row r="25" spans="1:10" ht="14.5" customHeight="1">
      <c r="A25" s="4" t="s">
        <v>41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</row>
    <row r="26" spans="1:10" ht="14.5" customHeight="1">
      <c r="A26" s="1" t="s">
        <v>42</v>
      </c>
      <c r="B26" s="2">
        <f t="shared" ref="B26:J26" si="4">B23-B24+B25</f>
        <v>-106</v>
      </c>
      <c r="C26" s="2">
        <f t="shared" si="4"/>
        <v>1280</v>
      </c>
      <c r="D26" s="2">
        <f t="shared" si="4"/>
        <v>-99</v>
      </c>
      <c r="E26" s="2">
        <f t="shared" si="4"/>
        <v>484</v>
      </c>
      <c r="F26" s="2">
        <f t="shared" si="4"/>
        <v>264</v>
      </c>
      <c r="G26" s="2">
        <f t="shared" si="4"/>
        <v>492</v>
      </c>
      <c r="H26" s="2">
        <f t="shared" si="4"/>
        <v>453</v>
      </c>
      <c r="I26" s="2">
        <f t="shared" si="4"/>
        <v>3670</v>
      </c>
      <c r="J26" s="2">
        <f t="shared" si="4"/>
        <v>4750</v>
      </c>
    </row>
    <row r="27" spans="1:10" ht="14.5" customHeight="1">
      <c r="A27" s="4" t="s">
        <v>43</v>
      </c>
      <c r="B27" s="5">
        <v>-24</v>
      </c>
      <c r="C27" s="5">
        <v>14</v>
      </c>
      <c r="D27" s="5">
        <v>3</v>
      </c>
      <c r="E27" s="5">
        <v>0</v>
      </c>
      <c r="F27" s="5">
        <v>-11</v>
      </c>
      <c r="G27" s="5">
        <v>22</v>
      </c>
      <c r="H27" s="5">
        <v>-1</v>
      </c>
      <c r="I27" s="5">
        <v>-6</v>
      </c>
      <c r="J27" s="5">
        <v>-4</v>
      </c>
    </row>
    <row r="28" spans="1:10" ht="14.5" customHeight="1">
      <c r="A28" s="4" t="s">
        <v>44</v>
      </c>
      <c r="B28" s="5">
        <v>0</v>
      </c>
      <c r="C28" s="5">
        <v>0</v>
      </c>
      <c r="D28" s="5">
        <v>0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-1</v>
      </c>
    </row>
    <row r="29" spans="1:10" ht="14.5" customHeight="1">
      <c r="A29" s="1" t="s">
        <v>45</v>
      </c>
      <c r="B29" s="2">
        <f t="shared" ref="B29:J29" si="5">B26+B27+B28</f>
        <v>-130</v>
      </c>
      <c r="C29" s="2">
        <f t="shared" si="5"/>
        <v>1294</v>
      </c>
      <c r="D29" s="2">
        <f t="shared" si="5"/>
        <v>-96</v>
      </c>
      <c r="E29" s="2">
        <f t="shared" si="5"/>
        <v>484</v>
      </c>
      <c r="F29" s="2">
        <f t="shared" si="5"/>
        <v>254</v>
      </c>
      <c r="G29" s="2">
        <f t="shared" si="5"/>
        <v>514</v>
      </c>
      <c r="H29" s="2">
        <f t="shared" si="5"/>
        <v>452</v>
      </c>
      <c r="I29" s="2">
        <f t="shared" si="5"/>
        <v>3664</v>
      </c>
      <c r="J29" s="2">
        <f t="shared" si="5"/>
        <v>4745</v>
      </c>
    </row>
    <row r="30" spans="1:10" ht="14.5" customHeight="1">
      <c r="A30" s="4" t="s">
        <v>46</v>
      </c>
      <c r="B30" s="8">
        <v>-0.47</v>
      </c>
      <c r="C30" s="8">
        <v>4.72</v>
      </c>
      <c r="D30" s="8">
        <v>-0.35</v>
      </c>
      <c r="E30" s="8">
        <v>1.75</v>
      </c>
      <c r="F30" s="8">
        <v>0.92</v>
      </c>
      <c r="G30" s="8">
        <v>1.89</v>
      </c>
      <c r="H30" s="8">
        <v>1.66</v>
      </c>
      <c r="I30" s="8">
        <v>13.56</v>
      </c>
      <c r="J30" s="8">
        <v>17.649999999999999</v>
      </c>
    </row>
    <row r="31" spans="1:10" ht="14.5" customHeight="1">
      <c r="A31" s="4" t="s">
        <v>47</v>
      </c>
      <c r="B31" s="8">
        <v>-0.47</v>
      </c>
      <c r="C31" s="8">
        <v>4.6500000000000004</v>
      </c>
      <c r="D31" s="8">
        <v>-0.35</v>
      </c>
      <c r="E31" s="8">
        <v>1.73</v>
      </c>
      <c r="F31" s="8">
        <v>0.91</v>
      </c>
      <c r="G31" s="8">
        <v>1.86</v>
      </c>
      <c r="H31" s="8">
        <v>1.64</v>
      </c>
      <c r="I31" s="8">
        <v>13.39</v>
      </c>
      <c r="J31" s="8">
        <v>17.440000000000001</v>
      </c>
    </row>
    <row r="32" spans="1:10" ht="14.5" customHeight="1">
      <c r="A32" s="4" t="s">
        <v>48</v>
      </c>
      <c r="B32" s="5">
        <v>274</v>
      </c>
      <c r="C32" s="5">
        <v>274</v>
      </c>
      <c r="D32" s="5">
        <v>275</v>
      </c>
      <c r="E32" s="5">
        <v>276</v>
      </c>
      <c r="F32" s="5">
        <v>275</v>
      </c>
      <c r="G32" s="5">
        <v>272</v>
      </c>
      <c r="H32" s="5">
        <v>272</v>
      </c>
      <c r="I32" s="5">
        <v>270</v>
      </c>
      <c r="J32" s="5">
        <v>269</v>
      </c>
    </row>
    <row r="33" spans="1:10" ht="14.5" customHeight="1">
      <c r="A33" s="4" t="s">
        <v>49</v>
      </c>
      <c r="B33" s="5">
        <v>274</v>
      </c>
      <c r="C33" s="5">
        <v>278</v>
      </c>
      <c r="D33" s="5">
        <v>275</v>
      </c>
      <c r="E33" s="5">
        <v>280</v>
      </c>
      <c r="F33" s="5">
        <v>279</v>
      </c>
      <c r="G33" s="5">
        <v>276</v>
      </c>
      <c r="H33" s="5">
        <v>275</v>
      </c>
      <c r="I33" s="5">
        <v>274</v>
      </c>
      <c r="J33" s="5">
        <v>272</v>
      </c>
    </row>
    <row r="34" spans="1:10" ht="14.5" customHeight="1">
      <c r="A34" s="4"/>
      <c r="B34" s="5"/>
      <c r="C34" s="5"/>
      <c r="D34" s="5"/>
      <c r="E34" s="5"/>
      <c r="F34" s="5"/>
      <c r="G34" s="5"/>
      <c r="H34" s="5"/>
      <c r="I34" s="5"/>
      <c r="J34" s="5"/>
    </row>
    <row r="35" spans="1:10" ht="14.5" customHeight="1">
      <c r="A35" s="1" t="s">
        <v>50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 ht="14.5" customHeight="1">
      <c r="A36" s="4" t="s">
        <v>51</v>
      </c>
      <c r="B36" s="5"/>
      <c r="C36" s="5"/>
      <c r="D36" s="5"/>
      <c r="E36" s="5">
        <v>8205</v>
      </c>
      <c r="F36" s="5">
        <v>8107</v>
      </c>
      <c r="G36" s="5">
        <v>7892</v>
      </c>
      <c r="H36" s="5">
        <v>7945</v>
      </c>
      <c r="I36" s="5">
        <v>8848</v>
      </c>
      <c r="J36" s="5">
        <v>10172</v>
      </c>
    </row>
    <row r="37" spans="1:10" ht="14.5" customHeight="1">
      <c r="A37" s="4" t="s">
        <v>52</v>
      </c>
      <c r="B37" s="5"/>
      <c r="C37" s="5"/>
      <c r="D37" s="5"/>
      <c r="E37" s="5">
        <v>8177</v>
      </c>
      <c r="F37" s="5">
        <v>7136</v>
      </c>
      <c r="G37" s="5">
        <v>6948</v>
      </c>
      <c r="H37" s="5">
        <v>7374</v>
      </c>
      <c r="I37" s="5">
        <v>9803</v>
      </c>
      <c r="J37" s="5">
        <v>9568</v>
      </c>
    </row>
    <row r="38" spans="1:10" ht="14.5" customHeight="1">
      <c r="A38" s="4" t="s">
        <v>53</v>
      </c>
      <c r="B38" s="5"/>
      <c r="C38" s="5"/>
      <c r="D38" s="5"/>
      <c r="E38" s="5">
        <v>8587</v>
      </c>
      <c r="F38" s="5">
        <v>9156</v>
      </c>
      <c r="G38" s="5">
        <v>9825</v>
      </c>
      <c r="H38" s="5">
        <v>10032</v>
      </c>
      <c r="I38" s="5">
        <v>10429</v>
      </c>
      <c r="J38" s="5">
        <v>11919</v>
      </c>
    </row>
    <row r="39" spans="1:10" ht="14.5" customHeight="1">
      <c r="A39" s="4" t="s">
        <v>54</v>
      </c>
      <c r="B39" s="5"/>
      <c r="C39" s="5"/>
      <c r="D39" s="5"/>
      <c r="E39" s="5">
        <v>8621</v>
      </c>
      <c r="F39" s="5">
        <v>9040</v>
      </c>
      <c r="G39" s="5">
        <v>9489</v>
      </c>
      <c r="H39" s="5">
        <v>9485</v>
      </c>
      <c r="I39" s="5">
        <v>9294</v>
      </c>
      <c r="J39" s="5">
        <v>9609</v>
      </c>
    </row>
    <row r="40" spans="1:10" ht="14.5" customHeight="1">
      <c r="A40" s="4" t="s">
        <v>55</v>
      </c>
      <c r="B40" s="5"/>
      <c r="C40" s="5"/>
      <c r="D40" s="5"/>
      <c r="E40" s="5">
        <v>564</v>
      </c>
      <c r="F40" s="5">
        <v>497</v>
      </c>
      <c r="G40" s="5">
        <v>555</v>
      </c>
      <c r="H40" s="5">
        <v>934</v>
      </c>
      <c r="I40" s="5">
        <v>1445</v>
      </c>
      <c r="J40" s="5">
        <v>1701</v>
      </c>
    </row>
    <row r="41" spans="1:10" ht="14.5" customHeight="1">
      <c r="A41" s="4" t="s">
        <v>56</v>
      </c>
      <c r="B41" s="5"/>
      <c r="C41" s="5"/>
      <c r="D41" s="5"/>
      <c r="E41" s="5">
        <v>0</v>
      </c>
      <c r="F41" s="5">
        <v>0</v>
      </c>
      <c r="G41" s="5">
        <v>0</v>
      </c>
      <c r="H41" s="5">
        <v>508</v>
      </c>
      <c r="I41" s="5">
        <v>396</v>
      </c>
      <c r="J41" s="5">
        <v>0</v>
      </c>
    </row>
    <row r="42" spans="1:10" ht="14.5" customHeight="1">
      <c r="A42" s="4" t="s">
        <v>57</v>
      </c>
      <c r="B42" s="5"/>
      <c r="C42" s="5"/>
      <c r="D42" s="5"/>
      <c r="E42" s="5">
        <v>-1</v>
      </c>
      <c r="F42" s="5">
        <v>0</v>
      </c>
      <c r="G42" s="5">
        <v>0</v>
      </c>
      <c r="H42" s="5">
        <v>0</v>
      </c>
      <c r="I42" s="5">
        <v>1</v>
      </c>
      <c r="J42" s="5">
        <v>0</v>
      </c>
    </row>
    <row r="43" spans="1:10" ht="14.5" customHeight="1">
      <c r="A43" s="1" t="s">
        <v>58</v>
      </c>
      <c r="B43" s="2" t="str">
        <f t="shared" ref="B43:J43" si="6">IF(B36="","",SUM(B36:B42))</f>
        <v/>
      </c>
      <c r="C43" s="2" t="str">
        <f t="shared" si="6"/>
        <v/>
      </c>
      <c r="D43" s="2" t="str">
        <f t="shared" si="6"/>
        <v/>
      </c>
      <c r="E43" s="2">
        <f t="shared" si="6"/>
        <v>34153</v>
      </c>
      <c r="F43" s="2">
        <f t="shared" si="6"/>
        <v>33936</v>
      </c>
      <c r="G43" s="2">
        <f t="shared" si="6"/>
        <v>34709</v>
      </c>
      <c r="H43" s="2">
        <f t="shared" si="6"/>
        <v>36278</v>
      </c>
      <c r="I43" s="2">
        <f t="shared" si="6"/>
        <v>40216</v>
      </c>
      <c r="J43" s="2">
        <f t="shared" si="6"/>
        <v>42969</v>
      </c>
    </row>
    <row r="44" spans="1:10" ht="14.5" customHeight="1">
      <c r="A44" s="4" t="s">
        <v>59</v>
      </c>
      <c r="B44" s="5"/>
      <c r="C44" s="5"/>
      <c r="D44" s="5"/>
      <c r="E44" s="5">
        <v>5150</v>
      </c>
      <c r="F44" s="5">
        <v>5225</v>
      </c>
      <c r="G44" s="5">
        <v>5419</v>
      </c>
      <c r="H44" s="5">
        <v>5555</v>
      </c>
      <c r="I44" s="5">
        <v>6006</v>
      </c>
      <c r="J44" s="5">
        <v>7139</v>
      </c>
    </row>
    <row r="45" spans="1:10" ht="14.5" customHeight="1">
      <c r="A45" s="4" t="s">
        <v>60</v>
      </c>
      <c r="B45" s="5"/>
      <c r="C45" s="5"/>
      <c r="D45" s="5"/>
      <c r="E45" s="5">
        <v>4263</v>
      </c>
      <c r="F45" s="5">
        <v>4368</v>
      </c>
      <c r="G45" s="5">
        <v>4528</v>
      </c>
      <c r="H45" s="5">
        <v>4327</v>
      </c>
      <c r="I45" s="5">
        <v>4439</v>
      </c>
      <c r="J45" s="5">
        <v>9855</v>
      </c>
    </row>
    <row r="46" spans="1:10" ht="14.5" customHeight="1">
      <c r="A46" s="4" t="s">
        <v>61</v>
      </c>
      <c r="B46" s="5"/>
      <c r="C46" s="5"/>
      <c r="D46" s="5"/>
      <c r="E46" s="5">
        <v>813</v>
      </c>
      <c r="F46" s="5">
        <v>773</v>
      </c>
      <c r="G46" s="5">
        <v>739</v>
      </c>
      <c r="H46" s="5">
        <v>747</v>
      </c>
      <c r="I46" s="5">
        <v>727</v>
      </c>
      <c r="J46" s="5">
        <v>4543</v>
      </c>
    </row>
    <row r="47" spans="1:10" ht="14.5" customHeight="1">
      <c r="A47" s="4" t="s">
        <v>62</v>
      </c>
      <c r="B47" s="5"/>
      <c r="C47" s="5"/>
      <c r="D47" s="5"/>
      <c r="E47" s="5">
        <v>555</v>
      </c>
      <c r="F47" s="5">
        <v>505</v>
      </c>
      <c r="G47" s="5">
        <v>496</v>
      </c>
      <c r="H47" s="5">
        <v>486</v>
      </c>
      <c r="I47" s="5">
        <v>378</v>
      </c>
      <c r="J47" s="5">
        <v>462</v>
      </c>
    </row>
    <row r="48" spans="1:10" ht="14.5" customHeight="1">
      <c r="A48" s="4" t="s">
        <v>63</v>
      </c>
      <c r="B48" s="5"/>
      <c r="C48" s="5"/>
      <c r="D48" s="5"/>
      <c r="E48" s="5">
        <v>2149</v>
      </c>
      <c r="F48" s="5">
        <v>2137</v>
      </c>
      <c r="G48" s="5">
        <v>2170</v>
      </c>
      <c r="H48" s="5">
        <v>1916</v>
      </c>
      <c r="I48" s="5">
        <v>1834</v>
      </c>
      <c r="J48" s="5">
        <v>1396</v>
      </c>
    </row>
    <row r="49" spans="1:10" ht="14.5" customHeight="1">
      <c r="A49" s="4" t="s">
        <v>64</v>
      </c>
      <c r="B49" s="5"/>
      <c r="C49" s="5"/>
      <c r="D49" s="5"/>
      <c r="E49" s="5">
        <v>1639</v>
      </c>
      <c r="F49" s="5">
        <v>1639</v>
      </c>
      <c r="G49" s="5">
        <v>1733</v>
      </c>
      <c r="H49" s="5">
        <v>1684</v>
      </c>
      <c r="I49" s="5">
        <v>5321</v>
      </c>
      <c r="J49" s="5">
        <v>5182</v>
      </c>
    </row>
    <row r="50" spans="1:10" ht="14.5" customHeight="1">
      <c r="A50" s="4" t="s">
        <v>65</v>
      </c>
      <c r="B50" s="5"/>
      <c r="C50" s="5"/>
      <c r="D50" s="5"/>
      <c r="E50" s="5">
        <v>2763</v>
      </c>
      <c r="F50" s="5">
        <v>2976</v>
      </c>
      <c r="G50" s="5">
        <v>3282</v>
      </c>
      <c r="H50" s="5">
        <v>3406</v>
      </c>
      <c r="I50" s="5">
        <v>4095</v>
      </c>
      <c r="J50" s="5">
        <v>4066</v>
      </c>
    </row>
    <row r="51" spans="1:10" ht="14.5" customHeight="1">
      <c r="A51" s="4" t="s">
        <v>66</v>
      </c>
      <c r="B51" s="5"/>
      <c r="C51" s="5"/>
      <c r="D51" s="5"/>
      <c r="E51" s="5">
        <v>0</v>
      </c>
      <c r="F51" s="5">
        <v>0</v>
      </c>
      <c r="G51" s="5">
        <v>2</v>
      </c>
      <c r="H51" s="5">
        <v>-1</v>
      </c>
      <c r="I51" s="5">
        <v>0</v>
      </c>
      <c r="J51" s="5">
        <v>0</v>
      </c>
    </row>
    <row r="52" spans="1:10" ht="14.5" customHeight="1">
      <c r="A52" s="1" t="s">
        <v>67</v>
      </c>
      <c r="B52" s="2" t="str">
        <f t="shared" ref="B52:J52" si="7">IF(B36="","",B43+SUM(B44:B51))</f>
        <v/>
      </c>
      <c r="C52" s="2" t="str">
        <f t="shared" si="7"/>
        <v/>
      </c>
      <c r="D52" s="2" t="str">
        <f t="shared" si="7"/>
        <v/>
      </c>
      <c r="E52" s="2">
        <f t="shared" si="7"/>
        <v>51485</v>
      </c>
      <c r="F52" s="2">
        <f t="shared" si="7"/>
        <v>51559</v>
      </c>
      <c r="G52" s="2">
        <f t="shared" si="7"/>
        <v>53078</v>
      </c>
      <c r="H52" s="2">
        <f t="shared" si="7"/>
        <v>54398</v>
      </c>
      <c r="I52" s="2">
        <f t="shared" si="7"/>
        <v>63016</v>
      </c>
      <c r="J52" s="2">
        <f t="shared" si="7"/>
        <v>75612</v>
      </c>
    </row>
    <row r="53" spans="1:10" ht="14.5" customHeight="1">
      <c r="A53" s="4" t="s">
        <v>68</v>
      </c>
      <c r="B53" s="5"/>
      <c r="C53" s="5"/>
      <c r="D53" s="5"/>
      <c r="E53" s="5">
        <v>8602</v>
      </c>
      <c r="F53" s="5">
        <v>8421</v>
      </c>
      <c r="G53" s="5">
        <v>9035</v>
      </c>
      <c r="H53" s="5">
        <v>9541</v>
      </c>
      <c r="I53" s="5">
        <v>8809</v>
      </c>
      <c r="J53" s="5">
        <v>9572</v>
      </c>
    </row>
    <row r="54" spans="1:10" ht="14.5" customHeight="1">
      <c r="A54" s="4" t="s">
        <v>69</v>
      </c>
      <c r="B54" s="5"/>
      <c r="C54" s="5"/>
      <c r="D54" s="5"/>
      <c r="E54" s="5">
        <v>17587</v>
      </c>
      <c r="F54" s="5">
        <v>18708</v>
      </c>
      <c r="G54" s="5">
        <v>19603</v>
      </c>
      <c r="H54" s="5">
        <v>20151</v>
      </c>
      <c r="I54" s="5">
        <v>25774</v>
      </c>
      <c r="J54" s="5">
        <v>31830</v>
      </c>
    </row>
    <row r="55" spans="1:10" ht="14.5" customHeight="1">
      <c r="A55" s="4" t="s">
        <v>70</v>
      </c>
      <c r="B55" s="5"/>
      <c r="C55" s="5"/>
      <c r="D55" s="5"/>
      <c r="E55" s="5">
        <v>5496</v>
      </c>
      <c r="F55" s="5">
        <v>5547</v>
      </c>
      <c r="G55" s="5">
        <v>5123</v>
      </c>
      <c r="H55" s="5">
        <v>5499</v>
      </c>
      <c r="I55" s="5">
        <v>6310</v>
      </c>
      <c r="J55" s="5">
        <v>6691</v>
      </c>
    </row>
    <row r="56" spans="1:10" ht="14.5" customHeight="1">
      <c r="A56" s="4" t="s">
        <v>71</v>
      </c>
      <c r="B56" s="5"/>
      <c r="C56" s="5"/>
      <c r="D56" s="5"/>
      <c r="E56" s="5">
        <v>0</v>
      </c>
      <c r="F56" s="5">
        <v>0</v>
      </c>
      <c r="G56" s="5">
        <v>0</v>
      </c>
      <c r="H56" s="5">
        <v>80</v>
      </c>
      <c r="I56" s="5">
        <v>79</v>
      </c>
      <c r="J56" s="5">
        <v>0</v>
      </c>
    </row>
    <row r="57" spans="1:10" ht="14.5" customHeight="1">
      <c r="A57" s="4" t="s">
        <v>72</v>
      </c>
      <c r="B57" s="5"/>
      <c r="C57" s="5"/>
      <c r="D57" s="5"/>
      <c r="E57" s="5">
        <v>0</v>
      </c>
      <c r="F57" s="5">
        <v>1</v>
      </c>
      <c r="G57" s="5">
        <v>0</v>
      </c>
      <c r="H57" s="5">
        <v>1</v>
      </c>
      <c r="I57" s="5">
        <v>0</v>
      </c>
      <c r="J57" s="5">
        <v>1</v>
      </c>
    </row>
    <row r="58" spans="1:10" ht="14.5" customHeight="1">
      <c r="A58" s="1" t="s">
        <v>73</v>
      </c>
      <c r="B58" s="2" t="str">
        <f t="shared" ref="B58:J58" si="8">IF(B36="","",SUM(B53:B57))</f>
        <v/>
      </c>
      <c r="C58" s="2" t="str">
        <f t="shared" si="8"/>
        <v/>
      </c>
      <c r="D58" s="2" t="str">
        <f t="shared" si="8"/>
        <v/>
      </c>
      <c r="E58" s="2">
        <f t="shared" si="8"/>
        <v>31685</v>
      </c>
      <c r="F58" s="2">
        <f t="shared" si="8"/>
        <v>32677</v>
      </c>
      <c r="G58" s="2">
        <f t="shared" si="8"/>
        <v>33761</v>
      </c>
      <c r="H58" s="2">
        <f t="shared" si="8"/>
        <v>35272</v>
      </c>
      <c r="I58" s="2">
        <f t="shared" si="8"/>
        <v>40972</v>
      </c>
      <c r="J58" s="2">
        <f t="shared" si="8"/>
        <v>48094</v>
      </c>
    </row>
    <row r="59" spans="1:10" ht="14.5" customHeight="1">
      <c r="A59" s="4" t="s">
        <v>74</v>
      </c>
      <c r="B59" s="5"/>
      <c r="C59" s="5"/>
      <c r="D59" s="5"/>
      <c r="E59" s="5">
        <v>0</v>
      </c>
      <c r="F59" s="5">
        <v>0</v>
      </c>
      <c r="G59" s="5">
        <v>0</v>
      </c>
      <c r="H59" s="5">
        <v>0</v>
      </c>
      <c r="I59" s="5">
        <v>265</v>
      </c>
      <c r="J59" s="5">
        <v>2806</v>
      </c>
    </row>
    <row r="60" spans="1:10" ht="14.5" customHeight="1">
      <c r="A60" s="4" t="s">
        <v>75</v>
      </c>
      <c r="B60" s="5"/>
      <c r="C60" s="5"/>
      <c r="D60" s="5"/>
      <c r="E60" s="5">
        <v>827</v>
      </c>
      <c r="F60" s="5">
        <v>782</v>
      </c>
      <c r="G60" s="5">
        <v>818</v>
      </c>
      <c r="H60" s="5">
        <v>820</v>
      </c>
      <c r="I60" s="5">
        <v>1162</v>
      </c>
      <c r="J60" s="5">
        <v>1298</v>
      </c>
    </row>
    <row r="61" spans="1:10" ht="14.5" customHeight="1">
      <c r="A61" s="4" t="s">
        <v>76</v>
      </c>
      <c r="B61" s="5"/>
      <c r="C61" s="5"/>
      <c r="D61" s="5"/>
      <c r="E61" s="5">
        <v>3264</v>
      </c>
      <c r="F61" s="5">
        <v>3251</v>
      </c>
      <c r="G61" s="5">
        <v>3243</v>
      </c>
      <c r="H61" s="5">
        <v>3195</v>
      </c>
      <c r="I61" s="5">
        <v>3171</v>
      </c>
      <c r="J61" s="5">
        <v>3195</v>
      </c>
    </row>
    <row r="62" spans="1:10" ht="14.5" customHeight="1">
      <c r="A62" s="4" t="s">
        <v>77</v>
      </c>
      <c r="B62" s="5"/>
      <c r="C62" s="5"/>
      <c r="D62" s="5"/>
      <c r="E62" s="5">
        <v>5116</v>
      </c>
      <c r="F62" s="5">
        <v>5177</v>
      </c>
      <c r="G62" s="5">
        <v>5309</v>
      </c>
      <c r="H62" s="5">
        <v>5382</v>
      </c>
      <c r="I62" s="5">
        <v>5151</v>
      </c>
      <c r="J62" s="5">
        <v>5154</v>
      </c>
    </row>
    <row r="63" spans="1:10" ht="14.5" customHeight="1">
      <c r="A63" s="4" t="s">
        <v>78</v>
      </c>
      <c r="B63" s="5"/>
      <c r="C63" s="5"/>
      <c r="D63" s="5"/>
      <c r="E63" s="5">
        <v>0</v>
      </c>
      <c r="F63" s="5">
        <v>0</v>
      </c>
      <c r="G63" s="5">
        <v>0</v>
      </c>
      <c r="H63" s="5">
        <v>0</v>
      </c>
      <c r="I63" s="5">
        <v>-1</v>
      </c>
      <c r="J63" s="5">
        <v>0</v>
      </c>
    </row>
    <row r="64" spans="1:10" ht="14.5" customHeight="1">
      <c r="A64" s="1" t="s">
        <v>79</v>
      </c>
      <c r="B64" s="2" t="str">
        <f t="shared" ref="B64:J64" si="9">IF(B36="","",B58+SUM(B59:B63))</f>
        <v/>
      </c>
      <c r="C64" s="2" t="str">
        <f t="shared" si="9"/>
        <v/>
      </c>
      <c r="D64" s="2" t="str">
        <f t="shared" si="9"/>
        <v/>
      </c>
      <c r="E64" s="2">
        <f t="shared" si="9"/>
        <v>40892</v>
      </c>
      <c r="F64" s="2">
        <f t="shared" si="9"/>
        <v>41887</v>
      </c>
      <c r="G64" s="2">
        <f t="shared" si="9"/>
        <v>43131</v>
      </c>
      <c r="H64" s="2">
        <f t="shared" si="9"/>
        <v>44669</v>
      </c>
      <c r="I64" s="2">
        <f t="shared" si="9"/>
        <v>50720</v>
      </c>
      <c r="J64" s="2">
        <f t="shared" si="9"/>
        <v>60547</v>
      </c>
    </row>
    <row r="65" spans="1:10" ht="14.5" customHeight="1">
      <c r="A65" s="4" t="s">
        <v>80</v>
      </c>
      <c r="B65" s="5"/>
      <c r="C65" s="5"/>
      <c r="D65" s="5"/>
      <c r="E65" s="5">
        <v>3</v>
      </c>
      <c r="F65" s="5">
        <v>3</v>
      </c>
      <c r="G65" s="5">
        <v>3</v>
      </c>
      <c r="H65" s="5">
        <v>3</v>
      </c>
      <c r="I65" s="5">
        <v>3</v>
      </c>
      <c r="J65" s="5">
        <v>3</v>
      </c>
    </row>
    <row r="66" spans="1:10" ht="14.5" customHeight="1">
      <c r="A66" s="1" t="s">
        <v>81</v>
      </c>
      <c r="B66" s="2"/>
      <c r="C66" s="2"/>
      <c r="D66" s="2"/>
      <c r="E66" s="2">
        <v>9733</v>
      </c>
      <c r="F66" s="2">
        <v>9654</v>
      </c>
      <c r="G66" s="2">
        <v>9714</v>
      </c>
      <c r="H66" s="2">
        <v>9755</v>
      </c>
      <c r="I66" s="2">
        <v>9813</v>
      </c>
      <c r="J66" s="2">
        <v>9414</v>
      </c>
    </row>
    <row r="67" spans="1:10" ht="14.5" customHeight="1">
      <c r="A67" s="4" t="s">
        <v>82</v>
      </c>
      <c r="B67" s="5"/>
      <c r="C67" s="5"/>
      <c r="D67" s="5"/>
      <c r="E67" s="5">
        <v>1611</v>
      </c>
      <c r="F67" s="5">
        <v>1865</v>
      </c>
      <c r="G67" s="5">
        <v>2241</v>
      </c>
      <c r="H67" s="5">
        <v>2626</v>
      </c>
      <c r="I67" s="5">
        <v>6154</v>
      </c>
      <c r="J67" s="5">
        <v>10762</v>
      </c>
    </row>
    <row r="68" spans="1:10" ht="14.5" customHeight="1">
      <c r="A68" s="1" t="s">
        <v>83</v>
      </c>
      <c r="B68" s="2"/>
      <c r="C68" s="2"/>
      <c r="D68" s="2"/>
      <c r="E68" s="2">
        <v>-43</v>
      </c>
      <c r="F68" s="2">
        <v>-1256</v>
      </c>
      <c r="G68" s="2">
        <v>-1636</v>
      </c>
      <c r="H68" s="2">
        <v>-2300</v>
      </c>
      <c r="I68" s="2">
        <v>-3385</v>
      </c>
      <c r="J68" s="2">
        <v>-4684</v>
      </c>
    </row>
    <row r="69" spans="1:10" ht="14.5" customHeight="1">
      <c r="A69" s="4" t="s">
        <v>84</v>
      </c>
      <c r="B69" s="5"/>
      <c r="C69" s="5"/>
      <c r="D69" s="5"/>
      <c r="E69" s="5">
        <v>-1759</v>
      </c>
      <c r="F69" s="5">
        <v>-1660</v>
      </c>
      <c r="G69" s="5">
        <v>-1445</v>
      </c>
      <c r="H69" s="5">
        <v>-1438</v>
      </c>
      <c r="I69" s="5">
        <v>-1407</v>
      </c>
      <c r="J69" s="5">
        <v>-1574</v>
      </c>
    </row>
    <row r="70" spans="1:10" ht="14.5" customHeight="1">
      <c r="A70" s="1" t="s">
        <v>85</v>
      </c>
      <c r="B70" s="2"/>
      <c r="C70" s="2"/>
      <c r="D70" s="2"/>
      <c r="E70" s="2">
        <v>1</v>
      </c>
      <c r="F70" s="2">
        <v>1</v>
      </c>
      <c r="G70" s="2">
        <v>0</v>
      </c>
      <c r="H70" s="2">
        <v>0</v>
      </c>
      <c r="I70" s="2">
        <v>0</v>
      </c>
      <c r="J70" s="2">
        <v>1</v>
      </c>
    </row>
    <row r="71" spans="1:10" ht="14.5" customHeight="1">
      <c r="A71" s="4" t="s">
        <v>86</v>
      </c>
      <c r="B71" s="5" t="str">
        <f t="shared" ref="B71:J71" si="10">IF(B36="","",SUM(B65:B70))</f>
        <v/>
      </c>
      <c r="C71" s="5" t="str">
        <f t="shared" si="10"/>
        <v/>
      </c>
      <c r="D71" s="5" t="str">
        <f t="shared" si="10"/>
        <v/>
      </c>
      <c r="E71" s="5">
        <f t="shared" si="10"/>
        <v>9546</v>
      </c>
      <c r="F71" s="5">
        <f t="shared" si="10"/>
        <v>8607</v>
      </c>
      <c r="G71" s="5">
        <f t="shared" si="10"/>
        <v>8877</v>
      </c>
      <c r="H71" s="5">
        <f t="shared" si="10"/>
        <v>8646</v>
      </c>
      <c r="I71" s="5">
        <f t="shared" si="10"/>
        <v>11178</v>
      </c>
      <c r="J71" s="5">
        <f t="shared" si="10"/>
        <v>13922</v>
      </c>
    </row>
    <row r="72" spans="1:10" ht="14.5" customHeight="1">
      <c r="A72" s="1" t="s">
        <v>87</v>
      </c>
      <c r="B72" s="2"/>
      <c r="C72" s="2"/>
      <c r="D72" s="2"/>
      <c r="E72" s="2">
        <v>1047</v>
      </c>
      <c r="F72" s="2">
        <v>1065</v>
      </c>
      <c r="G72" s="2">
        <v>1070</v>
      </c>
      <c r="H72" s="2">
        <v>1083</v>
      </c>
      <c r="I72" s="2">
        <v>1118</v>
      </c>
      <c r="J72" s="2">
        <v>1143</v>
      </c>
    </row>
    <row r="73" spans="1:10" ht="14.5" customHeight="1">
      <c r="A73" s="4" t="s">
        <v>88</v>
      </c>
      <c r="B73" s="5"/>
      <c r="C73" s="5"/>
      <c r="D73" s="5"/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</row>
    <row r="74" spans="1:10" ht="14.5" customHeight="1">
      <c r="A74" s="4" t="s">
        <v>89</v>
      </c>
      <c r="B74" s="5" t="str">
        <f t="shared" ref="B74:J74" si="11">IF(B36="","",B71+B72+B73)</f>
        <v/>
      </c>
      <c r="C74" s="5" t="str">
        <f t="shared" si="11"/>
        <v/>
      </c>
      <c r="D74" s="5" t="str">
        <f t="shared" si="11"/>
        <v/>
      </c>
      <c r="E74" s="5">
        <f t="shared" si="11"/>
        <v>10593</v>
      </c>
      <c r="F74" s="5">
        <f t="shared" si="11"/>
        <v>9672</v>
      </c>
      <c r="G74" s="5">
        <f t="shared" si="11"/>
        <v>9947</v>
      </c>
      <c r="H74" s="5">
        <f t="shared" si="11"/>
        <v>9729</v>
      </c>
      <c r="I74" s="5">
        <f t="shared" si="11"/>
        <v>12296</v>
      </c>
      <c r="J74" s="5">
        <f t="shared" si="11"/>
        <v>15065</v>
      </c>
    </row>
    <row r="75" spans="1:10" ht="14.5" customHeight="1">
      <c r="A75" s="4" t="s">
        <v>90</v>
      </c>
      <c r="B75" s="5"/>
      <c r="C75" s="5"/>
      <c r="D75" s="5"/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6" spans="1:10" ht="14.5" customHeight="1">
      <c r="A76" s="4" t="s">
        <v>91</v>
      </c>
      <c r="B76" s="5" t="str">
        <f t="shared" ref="B76:J76" si="12">IF(B36="","",B64+B74+B75)</f>
        <v/>
      </c>
      <c r="C76" s="5" t="str">
        <f t="shared" si="12"/>
        <v/>
      </c>
      <c r="D76" s="5" t="str">
        <f t="shared" si="12"/>
        <v/>
      </c>
      <c r="E76" s="5">
        <f t="shared" si="12"/>
        <v>51485</v>
      </c>
      <c r="F76" s="5">
        <f t="shared" si="12"/>
        <v>51559</v>
      </c>
      <c r="G76" s="5">
        <f t="shared" si="12"/>
        <v>53078</v>
      </c>
      <c r="H76" s="5">
        <f t="shared" si="12"/>
        <v>54398</v>
      </c>
      <c r="I76" s="5">
        <f t="shared" si="12"/>
        <v>63016</v>
      </c>
      <c r="J76" s="5">
        <f t="shared" si="12"/>
        <v>75612</v>
      </c>
    </row>
    <row r="77" spans="1:10" ht="14.5" customHeight="1">
      <c r="A77" s="4"/>
      <c r="B77" s="5"/>
      <c r="C77" s="5"/>
      <c r="D77" s="5"/>
      <c r="E77" s="5"/>
      <c r="F77" s="5"/>
      <c r="G77" s="5"/>
      <c r="H77" s="5"/>
      <c r="I77" s="5"/>
      <c r="J77" s="5"/>
    </row>
    <row r="78" spans="1:10" ht="14.5" customHeight="1">
      <c r="A78" s="4" t="s">
        <v>92</v>
      </c>
      <c r="B78" s="5"/>
      <c r="C78" s="5"/>
      <c r="D78" s="5"/>
      <c r="E78" s="5"/>
      <c r="F78" s="5"/>
      <c r="G78" s="5"/>
      <c r="H78" s="5"/>
      <c r="I78" s="5"/>
      <c r="J78" s="5"/>
    </row>
    <row r="79" spans="1:10" ht="14.5" customHeight="1">
      <c r="A79" s="4" t="s">
        <v>42</v>
      </c>
      <c r="B79" s="5">
        <v>-106</v>
      </c>
      <c r="C79" s="5">
        <v>1280</v>
      </c>
      <c r="D79" s="5">
        <v>-99</v>
      </c>
      <c r="E79" s="5">
        <v>484</v>
      </c>
      <c r="F79" s="5">
        <v>264</v>
      </c>
      <c r="G79" s="5">
        <v>492</v>
      </c>
      <c r="H79" s="5">
        <v>453</v>
      </c>
      <c r="I79" s="5">
        <v>3670</v>
      </c>
      <c r="J79" s="5">
        <v>4750</v>
      </c>
    </row>
    <row r="80" spans="1:10" ht="14.5" customHeight="1">
      <c r="A80" s="4" t="s">
        <v>93</v>
      </c>
      <c r="B80" s="5"/>
      <c r="C80" s="5"/>
      <c r="D80" s="5"/>
      <c r="E80" s="5"/>
      <c r="F80" s="5"/>
      <c r="G80" s="5"/>
      <c r="H80" s="5"/>
      <c r="I80" s="5"/>
      <c r="J80" s="5"/>
    </row>
    <row r="81" spans="1:10" ht="14.5" customHeight="1">
      <c r="A81" s="4" t="s">
        <v>94</v>
      </c>
      <c r="B81" s="5">
        <v>188</v>
      </c>
      <c r="C81" s="5">
        <v>191</v>
      </c>
      <c r="D81" s="5">
        <v>336</v>
      </c>
      <c r="E81" s="5">
        <v>180</v>
      </c>
      <c r="F81" s="5">
        <v>149</v>
      </c>
      <c r="G81" s="5">
        <v>145</v>
      </c>
      <c r="H81" s="5">
        <v>152</v>
      </c>
      <c r="I81" s="5">
        <v>169</v>
      </c>
      <c r="J81" s="5">
        <v>166</v>
      </c>
    </row>
    <row r="82" spans="1:10" ht="14.5" customHeight="1">
      <c r="A82" s="4" t="s">
        <v>95</v>
      </c>
      <c r="B82" s="5">
        <v>63</v>
      </c>
      <c r="C82" s="5">
        <v>63</v>
      </c>
      <c r="D82" s="5">
        <v>62</v>
      </c>
      <c r="E82" s="5">
        <v>89</v>
      </c>
      <c r="F82" s="5">
        <v>56</v>
      </c>
      <c r="G82" s="5">
        <v>60</v>
      </c>
      <c r="H82" s="5">
        <v>61</v>
      </c>
      <c r="I82" s="5">
        <v>61</v>
      </c>
      <c r="J82" s="5">
        <v>176</v>
      </c>
    </row>
    <row r="83" spans="1:10" ht="14.5" customHeight="1">
      <c r="A83" s="4" t="s">
        <v>96</v>
      </c>
      <c r="B83" s="5">
        <v>3</v>
      </c>
      <c r="C83" s="5">
        <v>-854</v>
      </c>
      <c r="D83" s="5">
        <v>-8</v>
      </c>
      <c r="E83" s="5">
        <v>-288</v>
      </c>
      <c r="F83" s="5">
        <v>-21</v>
      </c>
      <c r="G83" s="5">
        <v>-1</v>
      </c>
      <c r="H83" s="5">
        <v>-44</v>
      </c>
      <c r="I83" s="5">
        <v>-119</v>
      </c>
      <c r="J83" s="5">
        <v>-4405</v>
      </c>
    </row>
    <row r="84" spans="1:10" ht="14.5" customHeight="1">
      <c r="A84" s="4" t="s">
        <v>97</v>
      </c>
      <c r="B84" s="5">
        <v>-95</v>
      </c>
      <c r="C84" s="5">
        <v>-91</v>
      </c>
      <c r="D84" s="5">
        <v>-94</v>
      </c>
      <c r="E84" s="5">
        <v>-96</v>
      </c>
      <c r="F84" s="5">
        <v>-89</v>
      </c>
      <c r="G84" s="5">
        <v>-90</v>
      </c>
      <c r="H84" s="5">
        <v>-89</v>
      </c>
      <c r="I84" s="5">
        <v>-93</v>
      </c>
      <c r="J84" s="5">
        <v>-90</v>
      </c>
    </row>
    <row r="85" spans="1:10" ht="14.5" customHeight="1">
      <c r="A85" s="4" t="s">
        <v>98</v>
      </c>
      <c r="B85" s="5">
        <v>-47</v>
      </c>
      <c r="C85" s="5">
        <v>-74</v>
      </c>
      <c r="D85" s="5">
        <v>-68</v>
      </c>
      <c r="E85" s="5">
        <v>-101</v>
      </c>
      <c r="F85" s="5">
        <v>-44</v>
      </c>
      <c r="G85" s="5">
        <v>-66</v>
      </c>
      <c r="H85" s="5">
        <v>-57</v>
      </c>
      <c r="I85" s="5">
        <v>-60</v>
      </c>
      <c r="J85" s="5">
        <v>-80</v>
      </c>
    </row>
    <row r="86" spans="1:10" ht="14.5" customHeight="1">
      <c r="A86" s="4" t="s">
        <v>40</v>
      </c>
      <c r="B86" s="5">
        <v>10</v>
      </c>
      <c r="C86" s="5">
        <v>323</v>
      </c>
      <c r="D86" s="5">
        <v>-23</v>
      </c>
      <c r="E86" s="5">
        <v>629</v>
      </c>
      <c r="F86" s="5">
        <v>68</v>
      </c>
      <c r="G86" s="5">
        <v>153</v>
      </c>
      <c r="H86" s="5">
        <v>293</v>
      </c>
      <c r="I86" s="5">
        <v>-2565</v>
      </c>
      <c r="J86" s="5">
        <v>354</v>
      </c>
    </row>
    <row r="87" spans="1:10" ht="14.5" customHeight="1">
      <c r="A87" s="4" t="s">
        <v>99</v>
      </c>
      <c r="B87" s="5">
        <v>-58</v>
      </c>
      <c r="C87" s="5">
        <v>-115</v>
      </c>
      <c r="D87" s="5">
        <v>-126</v>
      </c>
      <c r="E87" s="5">
        <v>-324</v>
      </c>
      <c r="F87" s="5">
        <v>-145</v>
      </c>
      <c r="G87" s="5">
        <v>-218</v>
      </c>
      <c r="H87" s="5">
        <v>-126</v>
      </c>
      <c r="I87" s="5">
        <v>-341</v>
      </c>
      <c r="J87" s="5">
        <v>-534</v>
      </c>
    </row>
    <row r="88" spans="1:10" ht="14.5" customHeight="1">
      <c r="A88" s="4" t="s">
        <v>100</v>
      </c>
      <c r="B88" s="5">
        <v>303</v>
      </c>
      <c r="C88" s="5">
        <v>374</v>
      </c>
      <c r="D88" s="5">
        <v>-653</v>
      </c>
      <c r="E88" s="5">
        <v>-1321</v>
      </c>
      <c r="F88" s="5">
        <v>918</v>
      </c>
      <c r="G88" s="5">
        <v>113</v>
      </c>
      <c r="H88" s="5">
        <v>-468</v>
      </c>
      <c r="I88" s="5">
        <v>-2491</v>
      </c>
      <c r="J88" s="5">
        <v>610</v>
      </c>
    </row>
    <row r="89" spans="1:10" ht="14.5" customHeight="1">
      <c r="A89" s="4" t="s">
        <v>101</v>
      </c>
      <c r="B89" s="5">
        <v>-717</v>
      </c>
      <c r="C89" s="5">
        <v>-571</v>
      </c>
      <c r="D89" s="5">
        <v>137</v>
      </c>
      <c r="E89" s="5">
        <v>510</v>
      </c>
      <c r="F89" s="5">
        <v>-432</v>
      </c>
      <c r="G89" s="5">
        <v>-451</v>
      </c>
      <c r="H89" s="5">
        <v>-164</v>
      </c>
      <c r="I89" s="5">
        <v>-386</v>
      </c>
      <c r="J89" s="5">
        <v>-930</v>
      </c>
    </row>
    <row r="90" spans="1:10" ht="14.5" customHeight="1">
      <c r="A90" s="4" t="s">
        <v>102</v>
      </c>
      <c r="B90" s="5">
        <v>-270</v>
      </c>
      <c r="C90" s="5">
        <v>-138</v>
      </c>
      <c r="D90" s="5">
        <v>174</v>
      </c>
      <c r="E90" s="5">
        <v>-175</v>
      </c>
      <c r="F90" s="5">
        <v>-345</v>
      </c>
      <c r="G90" s="5">
        <v>-302</v>
      </c>
      <c r="H90" s="5">
        <v>-9</v>
      </c>
      <c r="I90" s="5">
        <v>200</v>
      </c>
      <c r="J90" s="5">
        <v>-417</v>
      </c>
    </row>
    <row r="91" spans="1:10" ht="14.5" customHeight="1">
      <c r="A91" s="4" t="s">
        <v>103</v>
      </c>
      <c r="B91" s="5">
        <v>-671</v>
      </c>
      <c r="C91" s="5">
        <v>381</v>
      </c>
      <c r="D91" s="5">
        <v>894</v>
      </c>
      <c r="E91" s="5">
        <v>63</v>
      </c>
      <c r="F91" s="5">
        <v>-269</v>
      </c>
      <c r="G91" s="5">
        <v>476</v>
      </c>
      <c r="H91" s="5">
        <v>359</v>
      </c>
      <c r="I91" s="5">
        <v>-671</v>
      </c>
      <c r="J91" s="5">
        <v>473</v>
      </c>
    </row>
    <row r="92" spans="1:10" ht="14.5" customHeight="1">
      <c r="A92" s="4" t="s">
        <v>104</v>
      </c>
      <c r="B92" s="5">
        <v>885</v>
      </c>
      <c r="C92" s="5">
        <v>711</v>
      </c>
      <c r="D92" s="5">
        <v>64</v>
      </c>
      <c r="E92" s="5">
        <v>1139</v>
      </c>
      <c r="F92" s="5">
        <v>1124</v>
      </c>
      <c r="G92" s="5">
        <v>736</v>
      </c>
      <c r="H92" s="5">
        <v>559</v>
      </c>
      <c r="I92" s="5">
        <v>5600</v>
      </c>
      <c r="J92" s="5">
        <v>5574</v>
      </c>
    </row>
    <row r="93" spans="1:10" ht="14.5" customHeight="1">
      <c r="A93" s="4" t="s">
        <v>105</v>
      </c>
      <c r="B93" s="5">
        <v>68</v>
      </c>
      <c r="C93" s="5">
        <v>-498</v>
      </c>
      <c r="D93" s="5">
        <v>528</v>
      </c>
      <c r="E93" s="5">
        <v>131</v>
      </c>
      <c r="F93" s="5">
        <v>-74</v>
      </c>
      <c r="G93" s="5">
        <v>-680</v>
      </c>
      <c r="H93" s="5">
        <v>61</v>
      </c>
      <c r="I93" s="5">
        <v>-494</v>
      </c>
      <c r="J93" s="5">
        <v>-457</v>
      </c>
    </row>
    <row r="94" spans="1:10" ht="14.5" customHeight="1">
      <c r="A94" s="4" t="s">
        <v>106</v>
      </c>
      <c r="B94" s="5">
        <v>0</v>
      </c>
      <c r="C94" s="5">
        <v>-3</v>
      </c>
      <c r="D94" s="5">
        <v>3</v>
      </c>
      <c r="E94" s="5">
        <v>2</v>
      </c>
      <c r="F94" s="5">
        <v>1</v>
      </c>
      <c r="G94" s="5">
        <v>0</v>
      </c>
      <c r="H94" s="5">
        <v>-1</v>
      </c>
      <c r="I94" s="5">
        <v>0</v>
      </c>
      <c r="J94" s="5">
        <v>-2</v>
      </c>
    </row>
    <row r="95" spans="1:10" ht="14.5" customHeight="1">
      <c r="A95" s="1" t="s">
        <v>107</v>
      </c>
      <c r="B95" s="2">
        <f t="shared" ref="B95:J95" si="13">SUM(B79:B94)</f>
        <v>-444</v>
      </c>
      <c r="C95" s="2">
        <f t="shared" si="13"/>
        <v>979</v>
      </c>
      <c r="D95" s="2">
        <f t="shared" si="13"/>
        <v>1127</v>
      </c>
      <c r="E95" s="2">
        <f t="shared" si="13"/>
        <v>922</v>
      </c>
      <c r="F95" s="2">
        <f t="shared" si="13"/>
        <v>1161</v>
      </c>
      <c r="G95" s="2">
        <f t="shared" si="13"/>
        <v>367</v>
      </c>
      <c r="H95" s="2">
        <f t="shared" si="13"/>
        <v>980</v>
      </c>
      <c r="I95" s="2">
        <f t="shared" si="13"/>
        <v>2480</v>
      </c>
      <c r="J95" s="2">
        <f t="shared" si="13"/>
        <v>5188</v>
      </c>
    </row>
    <row r="96" spans="1:10" ht="14.5" customHeight="1">
      <c r="A96" s="4" t="s">
        <v>108</v>
      </c>
      <c r="B96" s="5">
        <v>-217</v>
      </c>
      <c r="C96" s="5">
        <v>-157</v>
      </c>
      <c r="D96" s="5">
        <v>-159</v>
      </c>
      <c r="E96" s="5">
        <v>-350</v>
      </c>
      <c r="F96" s="5">
        <v>-186</v>
      </c>
      <c r="G96" s="5">
        <v>-173</v>
      </c>
      <c r="H96" s="5">
        <v>-247</v>
      </c>
      <c r="I96" s="5">
        <v>-671</v>
      </c>
      <c r="J96" s="5">
        <v>-397</v>
      </c>
    </row>
    <row r="97" spans="1:10" ht="14.5" customHeight="1">
      <c r="A97" s="4" t="s">
        <v>109</v>
      </c>
      <c r="B97" s="5">
        <v>4</v>
      </c>
      <c r="C97" s="5">
        <v>9</v>
      </c>
      <c r="D97" s="5">
        <v>3</v>
      </c>
      <c r="E97" s="5">
        <v>9</v>
      </c>
      <c r="F97" s="5">
        <v>34</v>
      </c>
      <c r="G97" s="5">
        <v>0</v>
      </c>
      <c r="H97" s="5">
        <v>-1</v>
      </c>
      <c r="I97" s="5">
        <v>6</v>
      </c>
      <c r="J97" s="5">
        <v>177</v>
      </c>
    </row>
    <row r="98" spans="1:10" ht="14.5" customHeight="1">
      <c r="A98" s="4" t="s">
        <v>110</v>
      </c>
      <c r="B98" s="5">
        <v>-91</v>
      </c>
      <c r="C98" s="5">
        <v>-17</v>
      </c>
      <c r="D98" s="5">
        <v>-2</v>
      </c>
      <c r="E98" s="5">
        <v>-4</v>
      </c>
      <c r="F98" s="5">
        <v>-6</v>
      </c>
      <c r="G98" s="5">
        <v>-24</v>
      </c>
      <c r="H98" s="5">
        <v>-27</v>
      </c>
      <c r="I98" s="5">
        <v>-30</v>
      </c>
      <c r="J98" s="5">
        <v>-10</v>
      </c>
    </row>
    <row r="99" spans="1:10" ht="14.5" customHeight="1">
      <c r="A99" s="4" t="s">
        <v>111</v>
      </c>
      <c r="B99" s="5">
        <v>29</v>
      </c>
      <c r="C99" s="5">
        <v>2</v>
      </c>
      <c r="D99" s="5">
        <v>1</v>
      </c>
      <c r="E99" s="5">
        <v>212</v>
      </c>
      <c r="F99" s="5">
        <v>90</v>
      </c>
      <c r="G99" s="5">
        <v>1</v>
      </c>
      <c r="H99" s="5">
        <v>157</v>
      </c>
      <c r="I99" s="5">
        <v>216</v>
      </c>
      <c r="J99" s="5">
        <v>44</v>
      </c>
    </row>
    <row r="100" spans="1:10" ht="14.5" customHeight="1">
      <c r="A100" s="4" t="s">
        <v>112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-4886</v>
      </c>
    </row>
    <row r="101" spans="1:10" ht="14.5" customHeight="1">
      <c r="A101" s="4" t="s">
        <v>113</v>
      </c>
      <c r="B101" s="5">
        <v>0</v>
      </c>
      <c r="C101" s="5">
        <v>639</v>
      </c>
      <c r="D101" s="5">
        <v>0</v>
      </c>
      <c r="E101" s="5">
        <v>174</v>
      </c>
      <c r="F101" s="5">
        <v>0</v>
      </c>
      <c r="G101" s="5">
        <v>1</v>
      </c>
      <c r="H101" s="5">
        <v>59</v>
      </c>
      <c r="I101" s="5">
        <v>0</v>
      </c>
      <c r="J101" s="5">
        <v>598</v>
      </c>
    </row>
    <row r="102" spans="1:10" ht="14.5" customHeight="1">
      <c r="A102" s="4" t="s">
        <v>114</v>
      </c>
      <c r="B102" s="5">
        <v>-9</v>
      </c>
      <c r="C102" s="5">
        <v>60</v>
      </c>
      <c r="D102" s="5">
        <v>43</v>
      </c>
      <c r="E102" s="5">
        <v>-216</v>
      </c>
      <c r="F102" s="5">
        <v>-25</v>
      </c>
      <c r="G102" s="5">
        <v>74</v>
      </c>
      <c r="H102" s="5">
        <v>-107</v>
      </c>
      <c r="I102" s="5">
        <v>105</v>
      </c>
      <c r="J102" s="5">
        <v>183</v>
      </c>
    </row>
    <row r="103" spans="1:10" ht="14.5" customHeight="1">
      <c r="A103" s="1" t="s">
        <v>115</v>
      </c>
      <c r="B103" s="2">
        <v>-1</v>
      </c>
      <c r="C103" s="2">
        <v>1</v>
      </c>
      <c r="D103" s="2">
        <v>0</v>
      </c>
      <c r="E103" s="2">
        <v>0</v>
      </c>
      <c r="F103" s="2">
        <v>0</v>
      </c>
      <c r="G103" s="2">
        <v>0</v>
      </c>
      <c r="H103" s="2">
        <v>-1</v>
      </c>
      <c r="I103" s="2">
        <v>0</v>
      </c>
      <c r="J103" s="2">
        <v>0</v>
      </c>
    </row>
    <row r="104" spans="1:10" ht="14.5" customHeight="1">
      <c r="A104" s="4" t="s">
        <v>116</v>
      </c>
      <c r="B104" s="5">
        <f t="shared" ref="B104:J104" si="14">SUM(B96:B103)</f>
        <v>-285</v>
      </c>
      <c r="C104" s="5">
        <f t="shared" si="14"/>
        <v>537</v>
      </c>
      <c r="D104" s="5">
        <f t="shared" si="14"/>
        <v>-114</v>
      </c>
      <c r="E104" s="5">
        <f t="shared" si="14"/>
        <v>-175</v>
      </c>
      <c r="F104" s="5">
        <f t="shared" si="14"/>
        <v>-93</v>
      </c>
      <c r="G104" s="5">
        <f t="shared" si="14"/>
        <v>-121</v>
      </c>
      <c r="H104" s="5">
        <f t="shared" si="14"/>
        <v>-167</v>
      </c>
      <c r="I104" s="5">
        <f t="shared" si="14"/>
        <v>-374</v>
      </c>
      <c r="J104" s="5">
        <f t="shared" si="14"/>
        <v>-4291</v>
      </c>
    </row>
    <row r="105" spans="1:10" ht="14.5" customHeight="1">
      <c r="A105" s="4" t="s">
        <v>117</v>
      </c>
      <c r="B105" s="5">
        <v>-23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</row>
    <row r="106" spans="1:10" ht="14.5" customHeight="1">
      <c r="A106" s="4" t="s">
        <v>118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2567</v>
      </c>
    </row>
    <row r="107" spans="1:10" ht="14.5" customHeight="1">
      <c r="A107" s="4" t="s">
        <v>119</v>
      </c>
      <c r="B107" s="5">
        <v>2023</v>
      </c>
      <c r="C107" s="5">
        <v>941</v>
      </c>
      <c r="D107" s="5">
        <v>-31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</row>
    <row r="108" spans="1:10" ht="14.5" customHeight="1">
      <c r="A108" s="4" t="s">
        <v>120</v>
      </c>
      <c r="B108" s="5">
        <v>0</v>
      </c>
      <c r="C108" s="5">
        <v>0</v>
      </c>
      <c r="D108" s="5">
        <v>0</v>
      </c>
      <c r="E108" s="5">
        <v>0</v>
      </c>
      <c r="F108" s="5">
        <v>-69</v>
      </c>
      <c r="G108" s="5">
        <v>-70</v>
      </c>
      <c r="H108" s="5">
        <v>-68</v>
      </c>
      <c r="I108" s="5">
        <v>-68</v>
      </c>
      <c r="J108" s="5">
        <v>-137</v>
      </c>
    </row>
    <row r="109" spans="1:10" ht="14.5" customHeight="1">
      <c r="A109" s="4" t="s">
        <v>121</v>
      </c>
      <c r="B109" s="5">
        <v>0</v>
      </c>
      <c r="C109" s="5">
        <v>0</v>
      </c>
      <c r="D109" s="5">
        <v>-40</v>
      </c>
      <c r="E109" s="5">
        <v>-3</v>
      </c>
      <c r="F109" s="5">
        <v>-1101</v>
      </c>
      <c r="G109" s="5">
        <v>-480</v>
      </c>
      <c r="H109" s="5">
        <v>-660</v>
      </c>
      <c r="I109" s="5">
        <v>-1075</v>
      </c>
      <c r="J109" s="5">
        <v>-1278</v>
      </c>
    </row>
    <row r="110" spans="1:10" ht="14.5" customHeight="1">
      <c r="A110" s="4" t="s">
        <v>122</v>
      </c>
      <c r="B110" s="5">
        <v>-66</v>
      </c>
      <c r="C110" s="5">
        <v>30</v>
      </c>
      <c r="D110" s="5">
        <v>656</v>
      </c>
      <c r="E110" s="5">
        <v>165</v>
      </c>
      <c r="F110" s="5">
        <v>-86</v>
      </c>
      <c r="G110" s="5">
        <v>-56</v>
      </c>
      <c r="H110" s="5">
        <v>-45</v>
      </c>
      <c r="I110" s="5">
        <v>-34</v>
      </c>
      <c r="J110" s="5">
        <v>-711</v>
      </c>
    </row>
    <row r="111" spans="1:10" ht="14.5" customHeight="1">
      <c r="A111" s="1" t="s">
        <v>123</v>
      </c>
      <c r="B111" s="2">
        <v>0</v>
      </c>
      <c r="C111" s="2">
        <v>-1</v>
      </c>
      <c r="D111" s="2">
        <v>0</v>
      </c>
      <c r="E111" s="2">
        <v>1</v>
      </c>
      <c r="F111" s="2">
        <v>-1</v>
      </c>
      <c r="G111" s="2">
        <v>2</v>
      </c>
      <c r="H111" s="2">
        <v>-1</v>
      </c>
      <c r="I111" s="2">
        <v>-1</v>
      </c>
      <c r="J111" s="2">
        <v>1</v>
      </c>
    </row>
    <row r="112" spans="1:10" ht="14.5" customHeight="1">
      <c r="A112" s="4" t="s">
        <v>124</v>
      </c>
      <c r="B112" s="5">
        <f t="shared" ref="B112:J112" si="15">SUM(B105:B111)</f>
        <v>1934</v>
      </c>
      <c r="C112" s="5">
        <f t="shared" si="15"/>
        <v>970</v>
      </c>
      <c r="D112" s="5">
        <f t="shared" si="15"/>
        <v>585</v>
      </c>
      <c r="E112" s="5">
        <f t="shared" si="15"/>
        <v>163</v>
      </c>
      <c r="F112" s="5">
        <f t="shared" si="15"/>
        <v>-1257</v>
      </c>
      <c r="G112" s="5">
        <f t="shared" si="15"/>
        <v>-604</v>
      </c>
      <c r="H112" s="5">
        <f t="shared" si="15"/>
        <v>-774</v>
      </c>
      <c r="I112" s="5">
        <f t="shared" si="15"/>
        <v>-1178</v>
      </c>
      <c r="J112" s="5">
        <f t="shared" si="15"/>
        <v>442</v>
      </c>
    </row>
    <row r="113" spans="1:10" ht="14.5" customHeight="1">
      <c r="A113" s="4" t="s">
        <v>125</v>
      </c>
      <c r="B113" s="5">
        <v>-32</v>
      </c>
      <c r="C113" s="5">
        <v>-34</v>
      </c>
      <c r="D113" s="5">
        <v>18</v>
      </c>
      <c r="E113" s="5">
        <v>-99</v>
      </c>
      <c r="F113" s="5">
        <v>90</v>
      </c>
      <c r="G113" s="5">
        <v>145</v>
      </c>
      <c r="H113" s="5">
        <v>15</v>
      </c>
      <c r="I113" s="5">
        <v>-26</v>
      </c>
      <c r="J113" s="5">
        <v>-16</v>
      </c>
    </row>
    <row r="114" spans="1:10" ht="14.5" customHeight="1">
      <c r="A114" s="4" t="s">
        <v>126</v>
      </c>
      <c r="B114" s="5">
        <v>0</v>
      </c>
      <c r="C114" s="5">
        <v>0</v>
      </c>
      <c r="D114" s="5">
        <v>0</v>
      </c>
      <c r="E114" s="5">
        <v>-1</v>
      </c>
      <c r="F114" s="5">
        <v>1</v>
      </c>
      <c r="G114" s="5">
        <v>-1</v>
      </c>
      <c r="H114" s="5">
        <v>0</v>
      </c>
      <c r="I114" s="5">
        <v>0</v>
      </c>
      <c r="J114" s="5">
        <v>0</v>
      </c>
    </row>
    <row r="115" spans="1:10" ht="14.5" customHeight="1">
      <c r="A115" s="1" t="s">
        <v>127</v>
      </c>
      <c r="B115" s="2">
        <f t="shared" ref="B115:J115" si="16">B95+B104+B112+B113+B114</f>
        <v>1173</v>
      </c>
      <c r="C115" s="2">
        <f t="shared" si="16"/>
        <v>2452</v>
      </c>
      <c r="D115" s="2">
        <f t="shared" si="16"/>
        <v>1616</v>
      </c>
      <c r="E115" s="2">
        <f t="shared" si="16"/>
        <v>810</v>
      </c>
      <c r="F115" s="2">
        <f t="shared" si="16"/>
        <v>-98</v>
      </c>
      <c r="G115" s="2">
        <f t="shared" si="16"/>
        <v>-214</v>
      </c>
      <c r="H115" s="2">
        <f t="shared" si="16"/>
        <v>54</v>
      </c>
      <c r="I115" s="2">
        <f t="shared" si="16"/>
        <v>902</v>
      </c>
      <c r="J115" s="2">
        <f t="shared" si="16"/>
        <v>1323</v>
      </c>
    </row>
    <row r="116" spans="1:10" ht="14.5" customHeight="1">
      <c r="A116" s="4" t="s">
        <v>128</v>
      </c>
      <c r="B116" s="5">
        <v>-531</v>
      </c>
      <c r="C116" s="5">
        <v>-72</v>
      </c>
      <c r="D116" s="5">
        <v>0</v>
      </c>
      <c r="E116" s="5">
        <v>0</v>
      </c>
      <c r="F116" s="5">
        <v>0</v>
      </c>
      <c r="G116" s="5">
        <v>0</v>
      </c>
      <c r="H116" s="5">
        <v>2</v>
      </c>
      <c r="I116" s="5">
        <v>0</v>
      </c>
      <c r="J116" s="5">
        <v>-2</v>
      </c>
    </row>
    <row r="117" spans="1:10" ht="14.5" customHeight="1">
      <c r="A117" s="1" t="s">
        <v>129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1</v>
      </c>
      <c r="I117" s="2">
        <v>0</v>
      </c>
      <c r="J117" s="2">
        <v>-1</v>
      </c>
    </row>
    <row r="118" spans="1:10" ht="14.5" customHeight="1">
      <c r="A118" s="4" t="s">
        <v>130</v>
      </c>
      <c r="B118" s="5">
        <f t="shared" ref="B118:J118" si="17">B115-B116+B117</f>
        <v>1704</v>
      </c>
      <c r="C118" s="5">
        <f t="shared" si="17"/>
        <v>2524</v>
      </c>
      <c r="D118" s="5">
        <f t="shared" si="17"/>
        <v>1616</v>
      </c>
      <c r="E118" s="5">
        <f t="shared" si="17"/>
        <v>810</v>
      </c>
      <c r="F118" s="5">
        <f t="shared" si="17"/>
        <v>-98</v>
      </c>
      <c r="G118" s="5">
        <f t="shared" si="17"/>
        <v>-214</v>
      </c>
      <c r="H118" s="5">
        <f t="shared" si="17"/>
        <v>53</v>
      </c>
      <c r="I118" s="5">
        <f t="shared" si="17"/>
        <v>902</v>
      </c>
      <c r="J118" s="5">
        <f t="shared" si="17"/>
        <v>1324</v>
      </c>
    </row>
    <row r="119" spans="1:10" ht="14.5" customHeight="1">
      <c r="A119" s="1" t="s">
        <v>131</v>
      </c>
      <c r="B119" s="2">
        <v>1551</v>
      </c>
      <c r="C119" s="2">
        <v>3255</v>
      </c>
      <c r="D119" s="2">
        <v>5779</v>
      </c>
      <c r="E119" s="2">
        <v>7395</v>
      </c>
      <c r="F119" s="2">
        <v>8205</v>
      </c>
      <c r="G119" s="2">
        <v>8107</v>
      </c>
      <c r="H119" s="2">
        <v>7892</v>
      </c>
      <c r="I119" s="2">
        <v>7945</v>
      </c>
      <c r="J119" s="2">
        <v>8848</v>
      </c>
    </row>
    <row r="120" spans="1:10" ht="14.5" customHeight="1">
      <c r="A120" s="4" t="s">
        <v>132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-1</v>
      </c>
      <c r="H120" s="5">
        <v>0</v>
      </c>
      <c r="I120" s="5">
        <v>1</v>
      </c>
      <c r="J120" s="5">
        <v>0</v>
      </c>
    </row>
    <row r="121" spans="1:10" ht="14.5" customHeight="1">
      <c r="A121" s="1" t="s">
        <v>133</v>
      </c>
      <c r="B121" s="2">
        <f t="shared" ref="B121:J121" si="18">B119+B118+B120</f>
        <v>3255</v>
      </c>
      <c r="C121" s="2">
        <f t="shared" si="18"/>
        <v>5779</v>
      </c>
      <c r="D121" s="2">
        <f t="shared" si="18"/>
        <v>7395</v>
      </c>
      <c r="E121" s="2">
        <f t="shared" si="18"/>
        <v>8205</v>
      </c>
      <c r="F121" s="2">
        <f t="shared" si="18"/>
        <v>8107</v>
      </c>
      <c r="G121" s="2">
        <f t="shared" si="18"/>
        <v>7892</v>
      </c>
      <c r="H121" s="2">
        <f t="shared" si="18"/>
        <v>7945</v>
      </c>
      <c r="I121" s="2">
        <f t="shared" si="18"/>
        <v>8848</v>
      </c>
      <c r="J121" s="2">
        <f t="shared" si="18"/>
        <v>10172</v>
      </c>
    </row>
    <row r="122" spans="1:10" ht="14.5" customHeight="1">
      <c r="A122" s="4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4.5" customHeight="1">
      <c r="A123" s="1" t="s">
        <v>134</v>
      </c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4.5" customHeight="1">
      <c r="A124" s="1" t="s">
        <v>135</v>
      </c>
      <c r="B124" s="9" t="str">
        <f>""</f>
        <v/>
      </c>
      <c r="C124" s="9">
        <f>IFERROR(C10/B10-1,"")</f>
        <v>0.13002754820936646</v>
      </c>
      <c r="D124" s="9">
        <f>IFERROR(D10/C10-1,"")</f>
        <v>8.6421257922964401E-2</v>
      </c>
      <c r="E124" s="9">
        <f>IFERROR(E10/D10-1,"")</f>
        <v>0.18467407158083704</v>
      </c>
      <c r="F124" s="9">
        <f>IFERROR(F10/E10-1,"")</f>
        <v>-0.23932190548347376</v>
      </c>
      <c r="G124" s="9">
        <f>IFERROR(G10/F10-1,"")</f>
        <v>0.13433764940239046</v>
      </c>
      <c r="H124" s="9">
        <f>IFERROR(H10/G10-1,"")</f>
        <v>9.4171880144879871E-2</v>
      </c>
      <c r="I124" s="9">
        <f>IFERROR(I10/H10-1,"")</f>
        <v>9.900692145651524E-2</v>
      </c>
      <c r="J124" s="9">
        <f>IFERROR(J10/I10-1,"")</f>
        <v>-0.14759036144578308</v>
      </c>
    </row>
    <row r="125" spans="1:10" ht="14.5" customHeight="1">
      <c r="A125" s="1" t="s">
        <v>136</v>
      </c>
      <c r="B125" s="9">
        <f>IFERROR(B7/B10,"")</f>
        <v>0.49820936639118457</v>
      </c>
      <c r="C125" s="9">
        <f>IFERROR(C7/C10,"")</f>
        <v>0.51121404193076547</v>
      </c>
      <c r="D125" s="9">
        <f>IFERROR(D7/D10,"")</f>
        <v>0.5935150903175137</v>
      </c>
      <c r="E125" s="9">
        <f>IFERROR(E7/E10,"")</f>
        <v>0.55421914954067619</v>
      </c>
      <c r="F125" s="9">
        <f>IFERROR(F7/F10,"")</f>
        <v>0.52253486055776888</v>
      </c>
      <c r="G125" s="9">
        <f>IFERROR(G7/G10,"")</f>
        <v>0.53715289210844031</v>
      </c>
      <c r="H125" s="9">
        <f>IFERROR(H7/H10,"")</f>
        <v>0.58982846825157986</v>
      </c>
      <c r="I125" s="9">
        <f>IFERROR(I7/I10,"")</f>
        <v>0.54426798101496898</v>
      </c>
      <c r="J125" s="9">
        <f>IFERROR(J7/J10,"")</f>
        <v>0.56258700074954493</v>
      </c>
    </row>
    <row r="126" spans="1:10" ht="14.5" customHeight="1">
      <c r="A126" s="1" t="s">
        <v>137</v>
      </c>
      <c r="B126" s="9">
        <f>IFERROR(B8/B10,"")</f>
        <v>0.50165289256198342</v>
      </c>
      <c r="C126" s="9">
        <f>IFERROR(C8/C10,"")</f>
        <v>0.48878595806923453</v>
      </c>
      <c r="D126" s="9">
        <f>IFERROR(D8/D10,"")</f>
        <v>0.40648490968248624</v>
      </c>
      <c r="E126" s="9">
        <f>IFERROR(E8/E10,"")</f>
        <v>0.44578085045932381</v>
      </c>
      <c r="F126" s="9">
        <f>IFERROR(F8/F10,"")</f>
        <v>0.47746513944223107</v>
      </c>
      <c r="G126" s="9">
        <f>IFERROR(G8/G10,"")</f>
        <v>0.46284710789155964</v>
      </c>
      <c r="H126" s="9">
        <f>IFERROR(H8/H10,"")</f>
        <v>0.41017153174842008</v>
      </c>
      <c r="I126" s="9">
        <f>IFERROR(I8/I10,"")</f>
        <v>0.45573201898503102</v>
      </c>
      <c r="J126" s="9">
        <f>IFERROR(J8/J10,"")</f>
        <v>0.43730592140486135</v>
      </c>
    </row>
    <row r="127" spans="1:10" ht="14.5" customHeight="1">
      <c r="A127" s="1" t="s">
        <v>138</v>
      </c>
      <c r="B127" s="9">
        <f>IFERROR(B14/B10,"")</f>
        <v>0.1584022038567493</v>
      </c>
      <c r="C127" s="9">
        <f>IFERROR(C14/C10,"")</f>
        <v>0.20745977571916138</v>
      </c>
      <c r="D127" s="9">
        <f>IFERROR(D14/D10,"")</f>
        <v>0.12442499719510827</v>
      </c>
      <c r="E127" s="9">
        <f>IFERROR(E14/E10,"")</f>
        <v>0.20106070650629795</v>
      </c>
      <c r="F127" s="9">
        <f>IFERROR(F14/F10,"")</f>
        <v>0.18301792828685259</v>
      </c>
      <c r="G127" s="9">
        <f>IFERROR(G14/G10,"")</f>
        <v>0.20261222697837777</v>
      </c>
      <c r="H127" s="9">
        <f>IFERROR(H14/H10,"")</f>
        <v>0.19028989868592638</v>
      </c>
      <c r="I127" s="9">
        <f>IFERROR(I14/I10,"")</f>
        <v>0.2120299379335524</v>
      </c>
      <c r="J127" s="9">
        <f>IFERROR(J14/J10,"")</f>
        <v>0.19070564300246279</v>
      </c>
    </row>
    <row r="128" spans="1:10" ht="14.5" customHeight="1">
      <c r="A128" s="1" t="s">
        <v>139</v>
      </c>
      <c r="B128" s="9">
        <f>IFERROR(B15/B10,"")</f>
        <v>0.16556473829201102</v>
      </c>
      <c r="C128" s="9">
        <f>IFERROR(C15/C10,"")</f>
        <v>0.11433447098976109</v>
      </c>
      <c r="D128" s="9">
        <f>IFERROR(D15/D10,"")</f>
        <v>0.13755189049702682</v>
      </c>
      <c r="E128" s="9">
        <f>IFERROR(E15/E10,"")</f>
        <v>0.1198977175868927</v>
      </c>
      <c r="F128" s="9">
        <f>IFERROR(F15/F10,"")</f>
        <v>0.14790836653386455</v>
      </c>
      <c r="G128" s="9">
        <f>IFERROR(G15/G10,"")</f>
        <v>0.13006256173855779</v>
      </c>
      <c r="H128" s="9">
        <f>IFERROR(H15/H10,"")</f>
        <v>0.12247968702979235</v>
      </c>
      <c r="I128" s="9">
        <f>IFERROR(I15/I10,"")</f>
        <v>0.12367652427893391</v>
      </c>
      <c r="J128" s="9">
        <f>IFERROR(J15/J10,"")</f>
        <v>0.13898704358068315</v>
      </c>
    </row>
    <row r="129" spans="1:10" ht="14.5" customHeight="1">
      <c r="A129" s="4" t="s">
        <v>140</v>
      </c>
      <c r="B129" s="10">
        <f>IFERROR(B16/B10,"")</f>
        <v>3.2644628099173553E-2</v>
      </c>
      <c r="C129" s="10">
        <f>IFERROR(C16/C10,"")</f>
        <v>2.8888347147732814E-2</v>
      </c>
      <c r="D129" s="10">
        <f>IFERROR(D16/D10,"")</f>
        <v>2.7263547627061596E-2</v>
      </c>
      <c r="E129" s="10">
        <f>IFERROR(E16/E10,"")</f>
        <v>2.5097073586513873E-2</v>
      </c>
      <c r="F129" s="10">
        <f>IFERROR(F16/F10,"")</f>
        <v>2.9755976095617531E-2</v>
      </c>
      <c r="G129" s="10">
        <f>IFERROR(G16/G10,"")</f>
        <v>3.0951596970694766E-2</v>
      </c>
      <c r="H129" s="10">
        <f>IFERROR(H16/H10,"")</f>
        <v>3.1096398836392817E-2</v>
      </c>
      <c r="I129" s="10">
        <f>IFERROR(I16/I10,"")</f>
        <v>3.3406352683461114E-2</v>
      </c>
      <c r="J129" s="10">
        <f>IFERROR(J16/J10,"")</f>
        <v>3.2551665060498981E-2</v>
      </c>
    </row>
    <row r="130" spans="1:10" ht="14.5" customHeight="1">
      <c r="A130" s="4" t="s">
        <v>141</v>
      </c>
      <c r="B130" s="10">
        <f>IFERROR(B18/B10,"")</f>
        <v>-3.980716253443526E-2</v>
      </c>
      <c r="C130" s="10">
        <f>IFERROR(C18/C10,"")</f>
        <v>6.4236957581667475E-2</v>
      </c>
      <c r="D130" s="10">
        <f>IFERROR(D18/D10,"")</f>
        <v>-4.0278245259732975E-2</v>
      </c>
      <c r="E130" s="10">
        <f>IFERROR(E18/E10,"")</f>
        <v>5.6160621270953691E-2</v>
      </c>
      <c r="F130" s="10">
        <f>IFERROR(F18/F10,"")</f>
        <v>5.3535856573705175E-3</v>
      </c>
      <c r="G130" s="10">
        <f>IFERROR(G18/G10,"")</f>
        <v>4.1488310833058942E-2</v>
      </c>
      <c r="H130" s="10">
        <f>IFERROR(H18/H10,"")</f>
        <v>3.6713812819741197E-2</v>
      </c>
      <c r="I130" s="10">
        <f>IFERROR(I18/I10,"")</f>
        <v>5.4947060971157355E-2</v>
      </c>
      <c r="J130" s="10">
        <f>IFERROR(J18/J10,"")</f>
        <v>1.9166934361280651E-2</v>
      </c>
    </row>
    <row r="131" spans="1:10" ht="14.5" customHeight="1">
      <c r="A131" s="1" t="s">
        <v>142</v>
      </c>
      <c r="B131" s="9">
        <f>IFERROR(B23/B10,"")</f>
        <v>-1.3223140495867768E-2</v>
      </c>
      <c r="C131" s="9">
        <f>IFERROR(C23/C10,"")</f>
        <v>0.19527059970745977</v>
      </c>
      <c r="D131" s="9">
        <f>IFERROR(D23/D10,"")</f>
        <v>-1.3687871648154382E-2</v>
      </c>
      <c r="E131" s="9">
        <f>IFERROR(E23/E10,"")</f>
        <v>0.10550241500142059</v>
      </c>
      <c r="F131" s="9">
        <f>IFERROR(F23/F10,"")</f>
        <v>4.1334661354581671E-2</v>
      </c>
      <c r="G131" s="9">
        <f>IFERROR(G23/G10,"")</f>
        <v>7.0793546262759299E-2</v>
      </c>
      <c r="H131" s="9">
        <f>IFERROR(H23/H10,"")</f>
        <v>7.4831979135319485E-2</v>
      </c>
      <c r="I131" s="9">
        <f>IFERROR(I23/I10,"")</f>
        <v>0.10085797736400146</v>
      </c>
      <c r="J131" s="9">
        <f>IFERROR(J23/J10,"")</f>
        <v>0.5464182460648892</v>
      </c>
    </row>
    <row r="132" spans="1:10" ht="14.5" customHeight="1">
      <c r="A132" s="4" t="s">
        <v>143</v>
      </c>
      <c r="B132" s="10">
        <f>IFERROR(B24/B23,"")</f>
        <v>-0.10416666666666667</v>
      </c>
      <c r="C132" s="10">
        <f>IFERROR(C24/C23,"")</f>
        <v>0.2009987515605493</v>
      </c>
      <c r="D132" s="10">
        <f>IFERROR(D24/D23,"")</f>
        <v>0.18852459016393441</v>
      </c>
      <c r="E132" s="10">
        <f>IFERROR(E24/E23,"")</f>
        <v>0.56552962298025133</v>
      </c>
      <c r="F132" s="10">
        <f>IFERROR(F24/F23,"")</f>
        <v>0.20481927710843373</v>
      </c>
      <c r="G132" s="10">
        <f>IFERROR(G24/G23,"")</f>
        <v>0.23720930232558141</v>
      </c>
      <c r="H132" s="10">
        <f>IFERROR(H24/H23,"")</f>
        <v>0.39276139410187666</v>
      </c>
      <c r="I132" s="10">
        <f>IFERROR(I24/I23,"")</f>
        <v>-2.321266968325792</v>
      </c>
      <c r="J132" s="10">
        <f>IFERROR(J24/J23,"")</f>
        <v>6.9370958259847154E-2</v>
      </c>
    </row>
    <row r="133" spans="1:10" ht="14.5" customHeight="1">
      <c r="A133" s="4" t="s">
        <v>144</v>
      </c>
      <c r="B133" s="10">
        <f>IFERROR(B26/B10,"")</f>
        <v>-1.4600550964187328E-2</v>
      </c>
      <c r="C133" s="10">
        <f>IFERROR(C26/C10,"")</f>
        <v>0.15602145294978059</v>
      </c>
      <c r="D133" s="10">
        <f>IFERROR(D26/D10,"")</f>
        <v>-1.1107371255469539E-2</v>
      </c>
      <c r="E133" s="10">
        <f>IFERROR(E26/E10,"")</f>
        <v>4.5837674022161191E-2</v>
      </c>
      <c r="F133" s="10">
        <f>IFERROR(F26/F10,"")</f>
        <v>3.2868525896414341E-2</v>
      </c>
      <c r="G133" s="10">
        <f>IFERROR(G26/G10,"")</f>
        <v>5.4000658544616401E-2</v>
      </c>
      <c r="H133" s="10">
        <f>IFERROR(H26/H10,"")</f>
        <v>4.5440866686728858E-2</v>
      </c>
      <c r="I133" s="10">
        <f>IFERROR(I26/I10,"")</f>
        <v>0.33497626871120845</v>
      </c>
      <c r="J133" s="10">
        <f>IFERROR(J26/J10,"")</f>
        <v>0.50861976657029662</v>
      </c>
    </row>
    <row r="134" spans="1:10" ht="14.5" customHeight="1">
      <c r="A134" s="1" t="s">
        <v>145</v>
      </c>
      <c r="B134" s="9">
        <f>IFERROR(B29/B10,"")</f>
        <v>-1.790633608815427E-2</v>
      </c>
      <c r="C134" s="9">
        <f>IFERROR(C29/C10,"")</f>
        <v>0.15772793759141882</v>
      </c>
      <c r="D134" s="9">
        <f>IFERROR(D29/D10,"")</f>
        <v>-1.0770784247728038E-2</v>
      </c>
      <c r="E134" s="9">
        <f>IFERROR(E29/E10,"")</f>
        <v>4.5837674022161191E-2</v>
      </c>
      <c r="F134" s="9">
        <f>IFERROR(F29/F10,"")</f>
        <v>3.1623505976095617E-2</v>
      </c>
      <c r="G134" s="9">
        <f>IFERROR(G29/G10,"")</f>
        <v>5.6415322138074854E-2</v>
      </c>
      <c r="H134" s="9">
        <f>IFERROR(H29/H10,"")</f>
        <v>4.5340555722740497E-2</v>
      </c>
      <c r="I134" s="9">
        <f>IFERROR(I29/I10,"")</f>
        <v>0.33442862358525011</v>
      </c>
      <c r="J134" s="9">
        <f>IFERROR(J29/J10,"")</f>
        <v>0.50808437734232792</v>
      </c>
    </row>
    <row r="135" spans="1:10" ht="14.5" customHeight="1">
      <c r="A135" s="4" t="s">
        <v>47</v>
      </c>
      <c r="B135" s="8">
        <f t="shared" ref="B135:J135" si="19">B31</f>
        <v>-0.47</v>
      </c>
      <c r="C135" s="8">
        <f t="shared" si="19"/>
        <v>4.6500000000000004</v>
      </c>
      <c r="D135" s="8">
        <f t="shared" si="19"/>
        <v>-0.35</v>
      </c>
      <c r="E135" s="8">
        <f t="shared" si="19"/>
        <v>1.73</v>
      </c>
      <c r="F135" s="8">
        <f t="shared" si="19"/>
        <v>0.91</v>
      </c>
      <c r="G135" s="8">
        <f t="shared" si="19"/>
        <v>1.86</v>
      </c>
      <c r="H135" s="8">
        <f t="shared" si="19"/>
        <v>1.64</v>
      </c>
      <c r="I135" s="8">
        <f t="shared" si="19"/>
        <v>13.39</v>
      </c>
      <c r="J135" s="8">
        <f t="shared" si="19"/>
        <v>17.440000000000001</v>
      </c>
    </row>
    <row r="136" spans="1:10" ht="14.5" customHeight="1">
      <c r="A136" s="4" t="s">
        <v>146</v>
      </c>
      <c r="B136" s="5">
        <f t="shared" ref="B136:J136" si="20">B33</f>
        <v>274</v>
      </c>
      <c r="C136" s="5">
        <f t="shared" si="20"/>
        <v>278</v>
      </c>
      <c r="D136" s="5">
        <f t="shared" si="20"/>
        <v>275</v>
      </c>
      <c r="E136" s="5">
        <f t="shared" si="20"/>
        <v>280</v>
      </c>
      <c r="F136" s="5">
        <f t="shared" si="20"/>
        <v>279</v>
      </c>
      <c r="G136" s="5">
        <f t="shared" si="20"/>
        <v>276</v>
      </c>
      <c r="H136" s="5">
        <f t="shared" si="20"/>
        <v>275</v>
      </c>
      <c r="I136" s="5">
        <f t="shared" si="20"/>
        <v>274</v>
      </c>
      <c r="J136" s="5">
        <f t="shared" si="20"/>
        <v>272</v>
      </c>
    </row>
    <row r="137" spans="1:10" ht="14.5" customHeight="1">
      <c r="A137" s="1" t="s">
        <v>147</v>
      </c>
      <c r="B137" s="2">
        <v>189</v>
      </c>
      <c r="C137" s="2">
        <v>524</v>
      </c>
      <c r="D137" s="2">
        <v>243</v>
      </c>
      <c r="E137" s="2">
        <v>1079</v>
      </c>
      <c r="F137" s="2">
        <v>457</v>
      </c>
      <c r="G137" s="2">
        <v>770</v>
      </c>
      <c r="H137" s="2">
        <v>811</v>
      </c>
      <c r="I137" s="2">
        <v>1158</v>
      </c>
      <c r="J137" s="2">
        <v>896</v>
      </c>
    </row>
    <row r="138" spans="1:10" ht="14.5" customHeight="1">
      <c r="A138" s="4" t="s">
        <v>148</v>
      </c>
      <c r="B138" s="10">
        <f>IFERROR(B137/B10,"")</f>
        <v>2.6033057851239671E-2</v>
      </c>
      <c r="C138" s="10">
        <f>IFERROR(C137/C10,"")</f>
        <v>6.3871282301316432E-2</v>
      </c>
      <c r="D138" s="10">
        <f>IFERROR(D137/D10,"")</f>
        <v>2.7263547627061596E-2</v>
      </c>
      <c r="E138" s="10">
        <f>IFERROR(E137/E10,"")</f>
        <v>0.10218770716923951</v>
      </c>
      <c r="F138" s="10">
        <f>IFERROR(F137/F10,"")</f>
        <v>5.6897410358565735E-2</v>
      </c>
      <c r="G138" s="10">
        <f>IFERROR(G137/G10,"")</f>
        <v>8.4513225771045988E-2</v>
      </c>
      <c r="H138" s="10">
        <f>IFERROR(H137/H10,"")</f>
        <v>8.1352191794563142E-2</v>
      </c>
      <c r="I138" s="10">
        <f>IFERROR(I137/I10,"")</f>
        <v>0.10569550930996714</v>
      </c>
      <c r="J138" s="10">
        <f>IFERROR(J137/J10,"")</f>
        <v>9.5941749651997005E-2</v>
      </c>
    </row>
    <row r="139" spans="1:10" ht="14.5" customHeight="1">
      <c r="A139" s="1" t="s">
        <v>149</v>
      </c>
      <c r="B139" s="2">
        <f>B81+B82</f>
        <v>251</v>
      </c>
      <c r="C139" s="2">
        <f>C81+C82</f>
        <v>254</v>
      </c>
      <c r="D139" s="2">
        <f>D81+D82</f>
        <v>398</v>
      </c>
      <c r="E139" s="2">
        <f>E81+E82</f>
        <v>269</v>
      </c>
      <c r="F139" s="2">
        <f>F81+F82</f>
        <v>205</v>
      </c>
      <c r="G139" s="2">
        <f>G81+G82</f>
        <v>205</v>
      </c>
      <c r="H139" s="2">
        <f>H81+H82</f>
        <v>213</v>
      </c>
      <c r="I139" s="2">
        <f>I81+I82</f>
        <v>230</v>
      </c>
      <c r="J139" s="2">
        <f>J81+J82</f>
        <v>342</v>
      </c>
    </row>
    <row r="140" spans="1:10" ht="14.5" customHeight="1">
      <c r="A140" s="4" t="s">
        <v>150</v>
      </c>
      <c r="B140" s="10">
        <f>IFERROR(B139/B10,"")</f>
        <v>3.4573002754820933E-2</v>
      </c>
      <c r="C140" s="10">
        <f>IFERROR(C139/C10,"")</f>
        <v>3.0960507069722087E-2</v>
      </c>
      <c r="D140" s="10">
        <f>IFERROR(D139/D10,"")</f>
        <v>4.4653876360372491E-2</v>
      </c>
      <c r="E140" s="10">
        <f>IFERROR(E139/E10,"")</f>
        <v>2.547589733876314E-2</v>
      </c>
      <c r="F140" s="10">
        <f>IFERROR(F139/F10,"")</f>
        <v>2.5522908366533866E-2</v>
      </c>
      <c r="G140" s="10">
        <f>IFERROR(G139/G10,"")</f>
        <v>2.2500274393590165E-2</v>
      </c>
      <c r="H140" s="10">
        <f>IFERROR(H139/H10,"")</f>
        <v>2.1366235329521515E-2</v>
      </c>
      <c r="I140" s="10">
        <f>IFERROR(I139/I10,"")</f>
        <v>2.0993063161737862E-2</v>
      </c>
      <c r="J140" s="10">
        <f>IFERROR(J139/J10,"")</f>
        <v>3.6620623193061357E-2</v>
      </c>
    </row>
    <row r="141" spans="1:10" ht="14.5" customHeight="1">
      <c r="A141" s="1" t="s">
        <v>151</v>
      </c>
      <c r="B141" s="2">
        <f t="shared" ref="B141:J141" si="21">B95</f>
        <v>-444</v>
      </c>
      <c r="C141" s="2">
        <f t="shared" si="21"/>
        <v>979</v>
      </c>
      <c r="D141" s="2">
        <f t="shared" si="21"/>
        <v>1127</v>
      </c>
      <c r="E141" s="2">
        <f t="shared" si="21"/>
        <v>922</v>
      </c>
      <c r="F141" s="2">
        <f t="shared" si="21"/>
        <v>1161</v>
      </c>
      <c r="G141" s="2">
        <f t="shared" si="21"/>
        <v>367</v>
      </c>
      <c r="H141" s="2">
        <f t="shared" si="21"/>
        <v>980</v>
      </c>
      <c r="I141" s="2">
        <f t="shared" si="21"/>
        <v>2480</v>
      </c>
      <c r="J141" s="2">
        <f t="shared" si="21"/>
        <v>5188</v>
      </c>
    </row>
    <row r="142" spans="1:10" ht="14.5" customHeight="1">
      <c r="A142" s="4" t="s">
        <v>152</v>
      </c>
      <c r="B142" s="10">
        <f>IFERROR(B141/B10,"")</f>
        <v>-6.1157024793388429E-2</v>
      </c>
      <c r="C142" s="10">
        <f>IFERROR(C141/C10,"")</f>
        <v>0.11933203315455876</v>
      </c>
      <c r="D142" s="10">
        <f>IFERROR(D141/D10,"")</f>
        <v>0.12644451924155728</v>
      </c>
      <c r="E142" s="10">
        <f>IFERROR(E141/E10,"")</f>
        <v>8.7318874893455814E-2</v>
      </c>
      <c r="F142" s="10">
        <f>IFERROR(F141/F10,"")</f>
        <v>0.14454681274900399</v>
      </c>
      <c r="G142" s="10">
        <f>IFERROR(G141/G10,"")</f>
        <v>4.0280979036329712E-2</v>
      </c>
      <c r="H142" s="10">
        <f>IFERROR(H141/H10,"")</f>
        <v>9.8304744708596653E-2</v>
      </c>
      <c r="I142" s="10">
        <f>IFERROR(I141/I10,"")</f>
        <v>0.22635998539612998</v>
      </c>
      <c r="J142" s="10">
        <f>IFERROR(J141/J10,"")</f>
        <v>0.5555198629403576</v>
      </c>
    </row>
    <row r="143" spans="1:10" ht="14.5" customHeight="1">
      <c r="A143" s="4" t="s">
        <v>153</v>
      </c>
      <c r="B143" s="5">
        <f t="shared" ref="B143:J143" si="22">B96</f>
        <v>-217</v>
      </c>
      <c r="C143" s="5">
        <f t="shared" si="22"/>
        <v>-157</v>
      </c>
      <c r="D143" s="5">
        <f t="shared" si="22"/>
        <v>-159</v>
      </c>
      <c r="E143" s="5">
        <f t="shared" si="22"/>
        <v>-350</v>
      </c>
      <c r="F143" s="5">
        <f t="shared" si="22"/>
        <v>-186</v>
      </c>
      <c r="G143" s="5">
        <f t="shared" si="22"/>
        <v>-173</v>
      </c>
      <c r="H143" s="5">
        <f t="shared" si="22"/>
        <v>-247</v>
      </c>
      <c r="I143" s="5">
        <f t="shared" si="22"/>
        <v>-671</v>
      </c>
      <c r="J143" s="5">
        <f t="shared" si="22"/>
        <v>-397</v>
      </c>
    </row>
    <row r="144" spans="1:10" ht="14.5" customHeight="1">
      <c r="A144" s="4" t="s">
        <v>154</v>
      </c>
      <c r="B144" s="10">
        <f>IFERROR(-B143/B10,"")</f>
        <v>2.9889807162534435E-2</v>
      </c>
      <c r="C144" s="10">
        <f>IFERROR(-C143/C10,"")</f>
        <v>1.9137006338371527E-2</v>
      </c>
      <c r="D144" s="10">
        <f>IFERROR(-D143/D10,"")</f>
        <v>1.7839111410299563E-2</v>
      </c>
      <c r="E144" s="10">
        <f>IFERROR(-E143/E10,"")</f>
        <v>3.3147078321810776E-2</v>
      </c>
      <c r="F144" s="10">
        <f>IFERROR(-F143/F10,"")</f>
        <v>2.3157370517928287E-2</v>
      </c>
      <c r="G144" s="10">
        <f>IFERROR(-G143/G10,"")</f>
        <v>1.8988036439468774E-2</v>
      </c>
      <c r="H144" s="10">
        <f>IFERROR(-H143/H10,"")</f>
        <v>2.4776808105125891E-2</v>
      </c>
      <c r="I144" s="10">
        <f>IFERROR(-I143/I10,"")</f>
        <v>6.1244979919678713E-2</v>
      </c>
      <c r="J144" s="10">
        <f>IFERROR(-J143/J10,"")</f>
        <v>4.2509904700717423E-2</v>
      </c>
    </row>
    <row r="145" spans="1:10" ht="14.5" customHeight="1">
      <c r="A145" s="1" t="s">
        <v>155</v>
      </c>
      <c r="B145" s="2">
        <f t="shared" ref="B145:J145" si="23">B141+B143</f>
        <v>-661</v>
      </c>
      <c r="C145" s="2">
        <f t="shared" si="23"/>
        <v>822</v>
      </c>
      <c r="D145" s="2">
        <f t="shared" si="23"/>
        <v>968</v>
      </c>
      <c r="E145" s="2">
        <f t="shared" si="23"/>
        <v>572</v>
      </c>
      <c r="F145" s="2">
        <f t="shared" si="23"/>
        <v>975</v>
      </c>
      <c r="G145" s="2">
        <f t="shared" si="23"/>
        <v>194</v>
      </c>
      <c r="H145" s="2">
        <f t="shared" si="23"/>
        <v>733</v>
      </c>
      <c r="I145" s="2">
        <f t="shared" si="23"/>
        <v>1809</v>
      </c>
      <c r="J145" s="2">
        <f t="shared" si="23"/>
        <v>4791</v>
      </c>
    </row>
    <row r="146" spans="1:10" ht="14.5" customHeight="1">
      <c r="A146" s="1" t="s">
        <v>156</v>
      </c>
      <c r="B146" s="9">
        <f>IFERROR(B145/B10,"")</f>
        <v>-9.1046831955922863E-2</v>
      </c>
      <c r="C146" s="9">
        <f>IFERROR(C145/C10,"")</f>
        <v>0.10019502681618722</v>
      </c>
      <c r="D146" s="9">
        <f>IFERROR(D145/D10,"")</f>
        <v>0.10860540783125772</v>
      </c>
      <c r="E146" s="9">
        <f>IFERROR(E145/E10,"")</f>
        <v>5.4171796571645045E-2</v>
      </c>
      <c r="F146" s="9">
        <f>IFERROR(F145/F10,"")</f>
        <v>0.1213894422310757</v>
      </c>
      <c r="G146" s="9">
        <f>IFERROR(G145/G10,"")</f>
        <v>2.1292942596860938E-2</v>
      </c>
      <c r="H146" s="9">
        <f>IFERROR(H145/H10,"")</f>
        <v>7.3527936603470762E-2</v>
      </c>
      <c r="I146" s="9">
        <f>IFERROR(I145/I10,"")</f>
        <v>0.16511500547645125</v>
      </c>
      <c r="J146" s="9">
        <f>IFERROR(J145/J10,"")</f>
        <v>0.51300995823964024</v>
      </c>
    </row>
    <row r="147" spans="1:10" ht="14.5" customHeight="1">
      <c r="A147" s="1" t="s">
        <v>157</v>
      </c>
      <c r="B147" s="9">
        <f>IFERROR(B145/B29,"")</f>
        <v>5.0846153846153843</v>
      </c>
      <c r="C147" s="9">
        <f>IFERROR(C145/C29,"")</f>
        <v>0.63523956723338482</v>
      </c>
      <c r="D147" s="9">
        <f>IFERROR(D145/D29,"")</f>
        <v>-10.083333333333334</v>
      </c>
      <c r="E147" s="9">
        <f>IFERROR(E145/E29,"")</f>
        <v>1.1818181818181819</v>
      </c>
      <c r="F147" s="9">
        <f>IFERROR(F145/F29,"")</f>
        <v>3.8385826771653542</v>
      </c>
      <c r="G147" s="9">
        <f>IFERROR(G145/G29,"")</f>
        <v>0.37743190661478598</v>
      </c>
      <c r="H147" s="9">
        <f>IFERROR(H145/H29,"")</f>
        <v>1.6216814159292035</v>
      </c>
      <c r="I147" s="9">
        <f>IFERROR(I145/I29,"")</f>
        <v>0.49372270742358076</v>
      </c>
      <c r="J147" s="9">
        <f>IFERROR(J145/J29,"")</f>
        <v>1.0096944151738672</v>
      </c>
    </row>
    <row r="148" spans="1:10" ht="14.5" customHeight="1">
      <c r="A148" s="4" t="s">
        <v>158</v>
      </c>
      <c r="B148" s="5" t="str">
        <f>IF(B36="","",B36)</f>
        <v/>
      </c>
      <c r="C148" s="5" t="str">
        <f>IF(C36="","",C36)</f>
        <v/>
      </c>
      <c r="D148" s="5" t="str">
        <f>IF(D36="","",D36)</f>
        <v/>
      </c>
      <c r="E148" s="5">
        <f>IF(E36="","",E36)</f>
        <v>8205</v>
      </c>
      <c r="F148" s="5">
        <f>IF(F36="","",F36)</f>
        <v>8107</v>
      </c>
      <c r="G148" s="5">
        <f>IF(G36="","",G36)</f>
        <v>7892</v>
      </c>
      <c r="H148" s="5">
        <f>IF(H36="","",H36)</f>
        <v>7945</v>
      </c>
      <c r="I148" s="5">
        <f>IF(I36="","",I36)</f>
        <v>8848</v>
      </c>
      <c r="J148" s="5">
        <f>IF(J36="","",J36)</f>
        <v>10172</v>
      </c>
    </row>
    <row r="149" spans="1:10" ht="14.5" customHeight="1">
      <c r="A149" s="4" t="s">
        <v>58</v>
      </c>
      <c r="B149" s="5" t="str">
        <f>IF(B36="","",B43)</f>
        <v/>
      </c>
      <c r="C149" s="5" t="str">
        <f>IF(C36="","",C43)</f>
        <v/>
      </c>
      <c r="D149" s="5" t="str">
        <f>IF(D36="","",D43)</f>
        <v/>
      </c>
      <c r="E149" s="5">
        <f>IF(E36="","",E43)</f>
        <v>34153</v>
      </c>
      <c r="F149" s="5">
        <f>IF(F36="","",F43)</f>
        <v>33936</v>
      </c>
      <c r="G149" s="5">
        <f>IF(G36="","",G43)</f>
        <v>34709</v>
      </c>
      <c r="H149" s="5">
        <f>IF(H36="","",H43)</f>
        <v>36278</v>
      </c>
      <c r="I149" s="5">
        <f>IF(I36="","",I43)</f>
        <v>40216</v>
      </c>
      <c r="J149" s="5">
        <f>IF(J36="","",J43)</f>
        <v>42969</v>
      </c>
    </row>
    <row r="150" spans="1:10" ht="14.5" customHeight="1">
      <c r="A150" s="1" t="s">
        <v>73</v>
      </c>
      <c r="B150" s="2" t="str">
        <f>IF(B36="","",B58)</f>
        <v/>
      </c>
      <c r="C150" s="2" t="str">
        <f>IF(C36="","",C58)</f>
        <v/>
      </c>
      <c r="D150" s="2" t="str">
        <f>IF(D36="","",D58)</f>
        <v/>
      </c>
      <c r="E150" s="2">
        <f>IF(E36="","",E58)</f>
        <v>31685</v>
      </c>
      <c r="F150" s="2">
        <f>IF(F36="","",F58)</f>
        <v>32677</v>
      </c>
      <c r="G150" s="2">
        <f>IF(G36="","",G58)</f>
        <v>33761</v>
      </c>
      <c r="H150" s="2">
        <f>IF(H36="","",H58)</f>
        <v>35272</v>
      </c>
      <c r="I150" s="2">
        <f>IF(I36="","",I58)</f>
        <v>40972</v>
      </c>
      <c r="J150" s="2">
        <f>IF(J36="","",J58)</f>
        <v>48094</v>
      </c>
    </row>
    <row r="151" spans="1:10" ht="14.5" customHeight="1">
      <c r="A151" s="4" t="s">
        <v>159</v>
      </c>
      <c r="B151" s="5" t="str">
        <f>IF(B36="","",B43-B58)</f>
        <v/>
      </c>
      <c r="C151" s="5" t="str">
        <f>IF(C36="","",C43-C58)</f>
        <v/>
      </c>
      <c r="D151" s="5" t="str">
        <f>IF(D36="","",D43-D58)</f>
        <v/>
      </c>
      <c r="E151" s="5">
        <f>IF(E36="","",E43-E58)</f>
        <v>2468</v>
      </c>
      <c r="F151" s="5">
        <f>IF(F36="","",F43-F58)</f>
        <v>1259</v>
      </c>
      <c r="G151" s="5">
        <f>IF(G36="","",G43-G58)</f>
        <v>948</v>
      </c>
      <c r="H151" s="5">
        <f>IF(H36="","",H43-H58)</f>
        <v>1006</v>
      </c>
      <c r="I151" s="5">
        <f>IF(I36="","",I43-I58)</f>
        <v>-756</v>
      </c>
      <c r="J151" s="5">
        <f>IF(J36="","",J43-J58)</f>
        <v>-5125</v>
      </c>
    </row>
    <row r="152" spans="1:10" ht="14.5" customHeight="1">
      <c r="A152" s="4" t="s">
        <v>160</v>
      </c>
      <c r="B152" s="11" t="str">
        <f>IF(B36="","",IFERROR(B43/B58,""))</f>
        <v/>
      </c>
      <c r="C152" s="11" t="str">
        <f>IF(C36="","",IFERROR(C43/C58,""))</f>
        <v/>
      </c>
      <c r="D152" s="11" t="str">
        <f>IF(D36="","",IFERROR(D43/D58,""))</f>
        <v/>
      </c>
      <c r="E152" s="11">
        <f>IF(E36="","",IFERROR(E43/E58,""))</f>
        <v>1.0778917468833833</v>
      </c>
      <c r="F152" s="11">
        <f>IF(F36="","",IFERROR(F43/F58,""))</f>
        <v>1.0385286286990849</v>
      </c>
      <c r="G152" s="11">
        <f>IF(G36="","",IFERROR(G43/G58,""))</f>
        <v>1.0280797369746157</v>
      </c>
      <c r="H152" s="11">
        <f>IF(H36="","",IFERROR(H43/H58,""))</f>
        <v>1.0285212066228169</v>
      </c>
      <c r="I152" s="11">
        <f>IF(I36="","",IFERROR(I43/I58,""))</f>
        <v>0.98154837449965826</v>
      </c>
      <c r="J152" s="11">
        <f>IF(J36="","",IFERROR(J43/J58,""))</f>
        <v>0.89343785087536909</v>
      </c>
    </row>
    <row r="153" spans="1:10" ht="14.5" customHeight="1">
      <c r="A153" s="1" t="s">
        <v>74</v>
      </c>
      <c r="B153" s="2" t="str">
        <f>IF(B36="","",B59)</f>
        <v/>
      </c>
      <c r="C153" s="2" t="str">
        <f>IF(C36="","",C59)</f>
        <v/>
      </c>
      <c r="D153" s="2" t="str">
        <f>IF(D36="","",D59)</f>
        <v/>
      </c>
      <c r="E153" s="2">
        <f>IF(E36="","",E59)</f>
        <v>0</v>
      </c>
      <c r="F153" s="2">
        <f>IF(F36="","",F59)</f>
        <v>0</v>
      </c>
      <c r="G153" s="2">
        <f>IF(G36="","",G59)</f>
        <v>0</v>
      </c>
      <c r="H153" s="2">
        <f>IF(H36="","",H59)</f>
        <v>0</v>
      </c>
      <c r="I153" s="2">
        <f>IF(I36="","",I59)</f>
        <v>265</v>
      </c>
      <c r="J153" s="2">
        <f>IF(J36="","",J59)</f>
        <v>2806</v>
      </c>
    </row>
    <row r="154" spans="1:10" ht="14.5" customHeight="1">
      <c r="A154" s="4" t="s">
        <v>161</v>
      </c>
      <c r="B154" s="5" t="str">
        <f>IF(B36="","",B36-B59)</f>
        <v/>
      </c>
      <c r="C154" s="5" t="str">
        <f>IF(C36="","",C36-C59)</f>
        <v/>
      </c>
      <c r="D154" s="5" t="str">
        <f>IF(D36="","",D36-D59)</f>
        <v/>
      </c>
      <c r="E154" s="5">
        <f>IF(E36="","",E36-E59)</f>
        <v>8205</v>
      </c>
      <c r="F154" s="5">
        <f>IF(F36="","",F36-F59)</f>
        <v>8107</v>
      </c>
      <c r="G154" s="5">
        <f>IF(G36="","",G36-G59)</f>
        <v>7892</v>
      </c>
      <c r="H154" s="5">
        <f>IF(H36="","",H36-H59)</f>
        <v>7945</v>
      </c>
      <c r="I154" s="5">
        <f>IF(I36="","",I36-I59)</f>
        <v>8583</v>
      </c>
      <c r="J154" s="5">
        <f>IF(J36="","",J36-J59)</f>
        <v>7366</v>
      </c>
    </row>
    <row r="155" spans="1:10" ht="14.5" customHeight="1">
      <c r="A155" s="4" t="s">
        <v>162</v>
      </c>
      <c r="B155" s="10" t="str">
        <f>IF(B36="","",IFERROR(B59/(B59+B74),""))</f>
        <v/>
      </c>
      <c r="C155" s="10" t="str">
        <f>IF(C36="","",IFERROR(C59/(C59+C74),""))</f>
        <v/>
      </c>
      <c r="D155" s="10" t="str">
        <f>IF(D36="","",IFERROR(D59/(D59+D74),""))</f>
        <v/>
      </c>
      <c r="E155" s="10">
        <f>IF(E36="","",IFERROR(E59/(E59+E74),""))</f>
        <v>0</v>
      </c>
      <c r="F155" s="10">
        <f>IF(F36="","",IFERROR(F59/(F59+F74),""))</f>
        <v>0</v>
      </c>
      <c r="G155" s="10">
        <f>IF(G36="","",IFERROR(G59/(G59+G74),""))</f>
        <v>0</v>
      </c>
      <c r="H155" s="10">
        <f>IF(H36="","",IFERROR(H59/(H59+H74),""))</f>
        <v>0</v>
      </c>
      <c r="I155" s="10">
        <f>IF(I36="","",IFERROR(I59/(I59+I74),""))</f>
        <v>2.1097046413502109E-2</v>
      </c>
      <c r="J155" s="10">
        <f>IF(J36="","",IFERROR(J59/(J59+J74),""))</f>
        <v>0.15701415701415702</v>
      </c>
    </row>
    <row r="156" spans="1:10" ht="14.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4.5" customHeight="1">
      <c r="A157" s="3" t="s">
        <v>163</v>
      </c>
      <c r="E157" s="12">
        <f>E74+E59-E36</f>
        <v>2388</v>
      </c>
      <c r="F157" s="12">
        <f t="shared" ref="F157:J157" si="24">F74+F59-F36</f>
        <v>1565</v>
      </c>
      <c r="G157" s="12">
        <f t="shared" si="24"/>
        <v>2055</v>
      </c>
      <c r="H157" s="12">
        <f t="shared" si="24"/>
        <v>1784</v>
      </c>
      <c r="I157" s="12">
        <f t="shared" si="24"/>
        <v>3713</v>
      </c>
      <c r="J157" s="12">
        <f t="shared" si="24"/>
        <v>7699</v>
      </c>
    </row>
    <row r="158" spans="1:10" ht="14.5" customHeight="1">
      <c r="A158" s="3" t="s">
        <v>164</v>
      </c>
      <c r="B158" s="13">
        <f>(B18+B17)*(1-B132)</f>
        <v>-319.10416666666669</v>
      </c>
      <c r="C158" s="13">
        <f t="shared" ref="C158:J158" si="25">(C18+C17)*(1-C132)</f>
        <v>421.07365792759049</v>
      </c>
      <c r="D158" s="13">
        <f t="shared" si="25"/>
        <v>-290.50819672131149</v>
      </c>
      <c r="E158" s="13">
        <f t="shared" si="25"/>
        <v>258.07540394973068</v>
      </c>
      <c r="F158" s="13">
        <f t="shared" si="25"/>
        <v>34.192771084337352</v>
      </c>
      <c r="G158" s="13">
        <f t="shared" si="25"/>
        <v>287.57209302325577</v>
      </c>
      <c r="H158" s="13">
        <f t="shared" si="25"/>
        <v>222.24932975871317</v>
      </c>
      <c r="I158" s="13">
        <f t="shared" si="25"/>
        <v>1999.4027149321269</v>
      </c>
      <c r="J158" s="13">
        <f t="shared" si="25"/>
        <v>166.58259847148736</v>
      </c>
    </row>
    <row r="159" spans="1:10" ht="14.5" customHeight="1">
      <c r="A159" s="3" t="s">
        <v>165</v>
      </c>
      <c r="E159" s="14">
        <f>SUM(B158:E158)</f>
        <v>69.536698489342996</v>
      </c>
      <c r="F159" s="14">
        <f t="shared" ref="F159:J159" si="26">SUM(C158:F158)</f>
        <v>422.833636240347</v>
      </c>
      <c r="G159" s="14">
        <f t="shared" si="26"/>
        <v>289.33207133601229</v>
      </c>
      <c r="H159" s="14">
        <f t="shared" si="26"/>
        <v>802.08959781603699</v>
      </c>
      <c r="I159" s="14">
        <f t="shared" si="26"/>
        <v>2543.4169087984333</v>
      </c>
      <c r="J159" s="14">
        <f t="shared" si="26"/>
        <v>2675.8067361855833</v>
      </c>
    </row>
    <row r="160" spans="1:10" ht="14.5" customHeight="1">
      <c r="A160" s="3" t="s">
        <v>166</v>
      </c>
      <c r="E160" s="15">
        <f>E159/E157</f>
        <v>2.9119220472924201E-2</v>
      </c>
      <c r="F160" s="15">
        <f t="shared" ref="F160:J160" si="27">F159/F157</f>
        <v>0.27018123721427922</v>
      </c>
      <c r="G160" s="15">
        <f t="shared" si="27"/>
        <v>0.14079419529732959</v>
      </c>
      <c r="H160" s="15">
        <f t="shared" si="27"/>
        <v>0.4496017924977786</v>
      </c>
      <c r="I160" s="15">
        <f t="shared" si="27"/>
        <v>0.68500320732519071</v>
      </c>
      <c r="J160" s="15">
        <f t="shared" si="27"/>
        <v>0.34755250502475427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Foltin, Thomas J.</cp:lastModifiedBy>
  <dcterms:modified xsi:type="dcterms:W3CDTF">2026-07-08T01:15:21Z</dcterms:modified>
</cp:coreProperties>
</file>