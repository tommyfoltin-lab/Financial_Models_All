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8C630DFC-AB3E-45CB-A1BF-E08077892C32}" xr6:coauthVersionLast="47" xr6:coauthVersionMax="47" xr10:uidLastSave="{00000000-0000-0000-0000-000000000000}"/>
  <bookViews>
    <workbookView xWindow="-120" yWindow="-120" windowWidth="29040" windowHeight="15720" tabRatio="876" xr2:uid="{00000000-000D-0000-FFFF-FFFF00000000}"/>
  </bookViews>
  <sheets>
    <sheet name="Income Statement" sheetId="1" r:id="rId1"/>
    <sheet name="Balance Sheet" sheetId="2" r:id="rId2"/>
    <sheet name="Cash Flow Statement" sheetId="3" r:id="rId3"/>
    <sheet name="Segment &amp; Volume" sheetId="4" r:id="rId4"/>
    <sheet name="Profitability &amp; Returns" sheetId="5" r:id="rId5"/>
    <sheet name="Cash Flow &amp; Capital" sheetId="6" r:id="rId6"/>
    <sheet name="Capital Structure &amp; Per Share" sheetId="7" r:id="rId7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5" l="1"/>
  <c r="D36" i="5"/>
  <c r="E36" i="5"/>
  <c r="F36" i="5"/>
  <c r="B36" i="5"/>
  <c r="C35" i="5"/>
  <c r="D35" i="5"/>
  <c r="E35" i="5"/>
  <c r="F35" i="5"/>
  <c r="B35" i="5"/>
  <c r="F8" i="6"/>
  <c r="E8" i="6"/>
  <c r="D8" i="6"/>
  <c r="C8" i="6"/>
  <c r="B8" i="6"/>
  <c r="D43" i="3"/>
  <c r="E42" i="3"/>
  <c r="E43" i="3" s="1"/>
  <c r="D42" i="3"/>
  <c r="C42" i="3"/>
  <c r="C43" i="3" s="1"/>
  <c r="B42" i="3"/>
  <c r="B43" i="3" s="1"/>
  <c r="F39" i="3"/>
  <c r="F42" i="3" s="1"/>
  <c r="F43" i="3" s="1"/>
  <c r="E39" i="3"/>
  <c r="D39" i="3"/>
  <c r="C39" i="3"/>
  <c r="B39" i="3"/>
  <c r="F28" i="3"/>
  <c r="E28" i="3"/>
  <c r="D28" i="3"/>
  <c r="C28" i="3"/>
  <c r="B28" i="3"/>
  <c r="F21" i="3"/>
  <c r="E21" i="3"/>
  <c r="D21" i="3"/>
  <c r="C21" i="3"/>
  <c r="B21" i="3"/>
  <c r="F36" i="2"/>
  <c r="F38" i="2" s="1"/>
  <c r="E36" i="2"/>
  <c r="E38" i="2" s="1"/>
  <c r="D36" i="2"/>
  <c r="D38" i="2" s="1"/>
  <c r="C36" i="2"/>
  <c r="C38" i="2" s="1"/>
  <c r="B36" i="2"/>
  <c r="B38" i="2" s="1"/>
  <c r="F25" i="2"/>
  <c r="F29" i="2" s="1"/>
  <c r="F39" i="2" s="1"/>
  <c r="E25" i="2"/>
  <c r="E29" i="2" s="1"/>
  <c r="E39" i="2" s="1"/>
  <c r="D25" i="2"/>
  <c r="D29" i="2" s="1"/>
  <c r="D39" i="2" s="1"/>
  <c r="C25" i="2"/>
  <c r="C29" i="2" s="1"/>
  <c r="C39" i="2" s="1"/>
  <c r="B25" i="2"/>
  <c r="B29" i="2" s="1"/>
  <c r="B39" i="2" s="1"/>
  <c r="F11" i="2"/>
  <c r="F18" i="2" s="1"/>
  <c r="E11" i="2"/>
  <c r="E18" i="2" s="1"/>
  <c r="D11" i="2"/>
  <c r="D18" i="2" s="1"/>
  <c r="C11" i="2"/>
  <c r="C18" i="2" s="1"/>
  <c r="B11" i="2"/>
  <c r="B18" i="2" s="1"/>
  <c r="F15" i="1"/>
  <c r="E15" i="1"/>
  <c r="D15" i="1"/>
  <c r="C15" i="1"/>
  <c r="B15" i="1"/>
  <c r="F11" i="1"/>
  <c r="F12" i="1" s="1"/>
  <c r="F16" i="1" s="1"/>
  <c r="F19" i="1" s="1"/>
  <c r="F21" i="1" s="1"/>
  <c r="E11" i="1"/>
  <c r="E12" i="1" s="1"/>
  <c r="E16" i="1" s="1"/>
  <c r="E19" i="1" s="1"/>
  <c r="E21" i="1" s="1"/>
  <c r="D11" i="1"/>
  <c r="D12" i="1" s="1"/>
  <c r="D16" i="1" s="1"/>
  <c r="D19" i="1" s="1"/>
  <c r="D21" i="1" s="1"/>
  <c r="C11" i="1"/>
  <c r="C12" i="1" s="1"/>
  <c r="C16" i="1" s="1"/>
  <c r="C19" i="1" s="1"/>
  <c r="C21" i="1" s="1"/>
  <c r="B11" i="1"/>
  <c r="B12" i="1" s="1"/>
  <c r="B16" i="1" s="1"/>
  <c r="B19" i="1" s="1"/>
  <c r="B21" i="1" s="1"/>
  <c r="F7" i="1"/>
  <c r="E7" i="1"/>
  <c r="D7" i="1"/>
  <c r="C7" i="1"/>
  <c r="B7" i="1"/>
</calcChain>
</file>

<file path=xl/sharedStrings.xml><?xml version="1.0" encoding="utf-8"?>
<sst xmlns="http://schemas.openxmlformats.org/spreadsheetml/2006/main" count="286" uniqueCount="215">
  <si>
    <t>Quest Diagnostics Incorporated</t>
  </si>
  <si>
    <t>Consolidated Statements of Operations</t>
  </si>
  <si>
    <t>In Millions, Except Per Share Amounts</t>
  </si>
  <si>
    <t>FY2021</t>
  </si>
  <si>
    <t>FY2022</t>
  </si>
  <si>
    <t>FY2023</t>
  </si>
  <si>
    <t>FY2024</t>
  </si>
  <si>
    <t>FY2025</t>
  </si>
  <si>
    <t>Net revenues</t>
  </si>
  <si>
    <t>Cost of services</t>
  </si>
  <si>
    <t>Gross profit</t>
  </si>
  <si>
    <t>Selling, general and administrative</t>
  </si>
  <si>
    <t>Amortization of intangible assets</t>
  </si>
  <si>
    <t>Other operating expense (income), net</t>
  </si>
  <si>
    <t>Total operating costs and expenses, net</t>
  </si>
  <si>
    <t>Operating income</t>
  </si>
  <si>
    <t>Interest expense, net</t>
  </si>
  <si>
    <t>Other income (expense), net</t>
  </si>
  <si>
    <t>Total non-operating income (expense), net</t>
  </si>
  <si>
    <t>Income before income taxes and equity in earnings of equity method investees</t>
  </si>
  <si>
    <t>Income tax expense</t>
  </si>
  <si>
    <t>Equity in earnings of equity method investees, net of taxes</t>
  </si>
  <si>
    <t>Net income</t>
  </si>
  <si>
    <t>Less: Net income attributable to noncontrolling interests</t>
  </si>
  <si>
    <t>Net income attributable to Quest Diagnostics</t>
  </si>
  <si>
    <t>Earnings per share attributable to Quest Diagnostics common stockholders:</t>
  </si>
  <si>
    <t>Basic ($)</t>
  </si>
  <si>
    <t>Diluted ($)</t>
  </si>
  <si>
    <t>Weighted average shares outstanding (millions):</t>
  </si>
  <si>
    <t>Basic</t>
  </si>
  <si>
    <t>Diluted</t>
  </si>
  <si>
    <t>Consolidated Balance Sheets</t>
  </si>
  <si>
    <t>In Millions</t>
  </si>
  <si>
    <t>ASSETS</t>
  </si>
  <si>
    <t>Current assets:</t>
  </si>
  <si>
    <t>Cash and cash equivalents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</si>
  <si>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</si>
  <si>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</si>
  <si>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</si>
  <si>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</si>
  <si>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</si>
  <si>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Operating lease right-of-use assets</t>
  </si>
  <si>
    <t>Goodwill</t>
  </si>
  <si>
    <t>Intangible assets, net</t>
  </si>
  <si>
    <t>Investments in equity method investees</t>
  </si>
  <si>
    <t>Other assets</t>
  </si>
  <si>
    <t>Total assets</t>
  </si>
  <si>
    <t>LIABILITIES AND STOCKHOLDERS' EQUITY</t>
  </si>
  <si>
    <t>Current liabilities:</t>
  </si>
  <si>
    <t>Accounts payable and accrued expenses</t>
  </si>
  <si>
    <t>Current portion of long-term debt</t>
  </si>
  <si>
    <t>Current portion of long-term operating lease liabilities</t>
  </si>
  <si>
    <t>Total current liabilities</t>
  </si>
  <si>
    <t>Long-term debt</t>
  </si>
  <si>
    <t>Long-term operating lease liabilities</t>
  </si>
  <si>
    <t>Other liabilities</t>
  </si>
  <si>
    <t>Total liabilities</t>
  </si>
  <si>
    <t>Redeemable noncontrolling interest (mezzanine)</t>
  </si>
  <si>
    <t>Stockholders' equity:</t>
  </si>
  <si>
    <t>Common stock and additional paid-in capital</t>
  </si>
  <si>
    <t>Retained earnings</t>
  </si>
  <si>
    <t>Accumulated other comprehensive loss</t>
  </si>
  <si>
    <t>Treasury stock, at cost</t>
  </si>
  <si>
    <t>Total Quest Diagnostics stockholders' equity</t>
  </si>
  <si>
    <t>Noncontrolling interests</t>
  </si>
  <si>
    <t>Total stockholders' equity</t>
  </si>
  <si>
    <t>Total liabilities and stockholders' equity</t>
  </si>
  <si>
    <t>Consolidated Statements of Cash Flows</t>
  </si>
  <si>
    <t>Cash and cash equivalents, beginning of year</t>
  </si>
  <si>
    <t>OPERATING ACTIVITIES</t>
  </si>
  <si>
    <t>Adjustments to reconcile net income to net cash provided by operating activities:</t>
  </si>
  <si>
    <t>Depreciation and amortization</t>
  </si>
  <si>
    <t>Provision for credit losses</t>
  </si>
  <si>
    <t>Deferred income tax provision (benefit)</t>
  </si>
  <si>
    <t>Stock-based compensation expense</t>
  </si>
  <si>
    <t>Gain on disposition of joint venture</t>
  </si>
  <si>
    <t>Other, net</t>
  </si>
  <si>
    <t>Accounts receivable</t>
  </si>
  <si>
    <t>Income taxes payable</t>
  </si>
  <si>
    <t>Termination of interest rate swap agreements</t>
  </si>
  <si>
    <t>Other assets and liabilities, net</t>
  </si>
  <si>
    <t>Net cash provided by operating activities</t>
  </si>
  <si>
    <t>INVESTING ACTIVITIES</t>
  </si>
  <si>
    <t>Business acquisitions, net of cash acquired</t>
  </si>
  <si>
    <t>Proceeds from disposition of joint venture</t>
  </si>
  <si>
    <t>Capital expenditures</t>
  </si>
  <si>
    <t>Other investing activities, net</t>
  </si>
  <si>
    <t>Net cash provided by (used in) investing activities</t>
  </si>
  <si>
    <t>FINANCING ACTIVITIES</t>
  </si>
  <si>
    <t>Proceeds from borrowings</t>
  </si>
  <si>
    <t>Repayments of debt</t>
  </si>
  <si>
    <t>Purchases of treasury stock</t>
  </si>
  <si>
    <t>Exercise of stock options</t>
  </si>
  <si>
    <t>Employee payroll tax withholdings on stock issued under stock-based compensation plans</t>
  </si>
  <si>
    <t>Dividends paid</t>
  </si>
  <si>
    <t>Distributions to noncontrolling interest partners</t>
  </si>
  <si>
    <t>Other financing activities, net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</si>
  <si>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</si>
  <si>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</si>
  <si>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</si>
  <si>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equivalents, end of year</t>
  </si>
  <si>
    <t>Segment Revenue, Volume and Payer Mix</t>
  </si>
  <si>
    <t>In Millions unless stated otherwise</t>
  </si>
  <si>
    <t>SEGMENT REVENUE ($mm)</t>
  </si>
  <si>
    <t>Diagnostic Information Services</t>
  </si>
  <si>
    <t xml:space="preserve">  of which: COVID-19 testing revenues</t>
  </si>
  <si>
    <t>Diagnostic Solutions</t>
  </si>
  <si>
    <t>Total Net Revenues</t>
  </si>
  <si>
    <t>Source: MD&amp;A highlights table in each year's 10-K filing. COVID-19 testing revenues discontinued as a separately reported metric from FY2023.</t>
  </si>
  <si>
    <t>DIAGNOSTIC INFORMATION SERVICES VOLUME METRICS (Year-over-Year % Change)</t>
  </si>
  <si>
    <t>Source: MD&amp;A highlights table. Changes are as disclosed; absolute volumes stated below.</t>
  </si>
  <si>
    <t>Requisition volume change</t>
  </si>
  <si>
    <t>Organic requisition volume change</t>
  </si>
  <si>
    <t>Revenue per requisition change</t>
  </si>
  <si>
    <t>APPROXIMATE TEST REQUISITION VOLUMES (millions)</t>
  </si>
  <si>
    <t>Source: Business section and MD&amp;A of each 10-K filing. FY2021 back-calculated from FY2022 volume and disclosed change rate.</t>
  </si>
  <si>
    <t>Total test requisitions processed (approximate, millions)</t>
  </si>
  <si>
    <t>PAYER MIX - % OF DIAGNOSTIC INFORMATION SERVICES VOLUME</t>
  </si>
  <si>
    <t>Source: Critical Accounting Policies table in each 10-K filing. FY2021 not separately disclosed in filings provided.</t>
  </si>
  <si>
    <t>Healthcare insurers</t>
  </si>
  <si>
    <t>n/a</t>
  </si>
  <si>
    <t>Government payers</t>
  </si>
  <si>
    <t>Client payers</t>
  </si>
  <si>
    <t>Patients</t>
  </si>
  <si>
    <t>PAYER MIX - % OF CONSOLIDATED NET REVENUES</t>
  </si>
  <si>
    <t>INVIGORATE PROGRAM AND RESTRUCTURING PRE-TAX CHARGES ($mm)</t>
  </si>
  <si>
    <t>Source: Restructuring Activities note and MD&amp;A in each 10-K filing. FY2022 total includes $69mm from restructuring note plus $19mm from Invigorate integration costs.</t>
  </si>
  <si>
    <t>Employee separation costs</t>
  </si>
  <si>
    <t>Facility-related costs</t>
  </si>
  <si>
    <t>Asset impairment charges</t>
  </si>
  <si>
    <t>Other integration and restructuring costs</t>
  </si>
  <si>
    <t>Total Invigorate and Restructuring Charges (pre-tax)</t>
  </si>
  <si>
    <t>Profitability and Returns</t>
  </si>
  <si>
    <t>INCOME STATEMENT SUMMARY ($mm)</t>
  </si>
  <si>
    <t>Net Revenues</t>
  </si>
  <si>
    <t>Year-over-Year Revenue Growth</t>
  </si>
  <si>
    <t>Gross Profit</t>
  </si>
  <si>
    <t>Earnings Before Interest, Taxes, Depreciation and Amortization</t>
  </si>
  <si>
    <t>Operating Income</t>
  </si>
  <si>
    <t>Net Income</t>
  </si>
  <si>
    <t>Net Income Attributable to Quest Diagnostics</t>
  </si>
  <si>
    <t>MARGIN ANALYSIS (% of Net Revenues)</t>
  </si>
  <si>
    <t>Gross Margin</t>
  </si>
  <si>
    <t>Selling, General and Administrative as % of Revenue</t>
  </si>
  <si>
    <t>Research and Development Expense</t>
  </si>
  <si>
    <t>Quest Diagnostics does not separately report a research and development expense line item; development costs are embedded in cost of services and selling, general and administrative.</t>
  </si>
  <si>
    <t>Earnings Before Interest, Taxes, Depreciation and Amortization Margin</t>
  </si>
  <si>
    <t>Operating Margin</t>
  </si>
  <si>
    <t>Net Margin (Consolidated)</t>
  </si>
  <si>
    <t>Net Margin (Quest Attributable)</t>
  </si>
  <si>
    <t>Effective Tax Rate</t>
  </si>
  <si>
    <t>RETURN METRICS</t>
  </si>
  <si>
    <t>Return on Assets (Net Income / Total Assets)</t>
  </si>
  <si>
    <t>Return on Equity (Quest Attributable Net Income / Quest Equity)</t>
  </si>
  <si>
    <t>HEADCOUNT AND PRODUCTIVITY</t>
  </si>
  <si>
    <t>Source: Human Capital section of each 10-K. FY2021 not separately disclosed as a year-end figure in filings provided.</t>
  </si>
  <si>
    <t>Total Employees (approximate, year-end)</t>
  </si>
  <si>
    <t>Revenue per Employee ($K)</t>
  </si>
  <si>
    <t>Operating Income per Employee ($K)</t>
  </si>
  <si>
    <t>Cash Flow and Capital Intensity</t>
  </si>
  <si>
    <t>CASH FLOW SUMMARY ($mm)</t>
  </si>
  <si>
    <t>Net Cash from Operating Activities</t>
  </si>
  <si>
    <t>Capital Expenditures</t>
  </si>
  <si>
    <t>Free Cash Flow (Operating Cash Flow + Capital Expenditures)</t>
  </si>
  <si>
    <t>Business Acquisitions, Net of Cash</t>
  </si>
  <si>
    <t>Dividends Paid</t>
  </si>
  <si>
    <t>Purchases of Treasury Stock</t>
  </si>
  <si>
    <t>DEPRECIATION, AMORTIZATION AND STOCK-BASED COMPENSATION ($mm)</t>
  </si>
  <si>
    <t>Depreciation and Amortization</t>
  </si>
  <si>
    <t xml:space="preserve">  of which: Amortization of intangible assets (income statement line)</t>
  </si>
  <si>
    <t xml:space="preserve">  of which: Depreciation (implied)</t>
  </si>
  <si>
    <t>Stock-Based Compensation Expense</t>
  </si>
  <si>
    <t>CAPITAL INTENSITY METRICS</t>
  </si>
  <si>
    <t>Capital Expenditures / Revenue</t>
  </si>
  <si>
    <t>Depreciation and Amortization / Revenue</t>
  </si>
  <si>
    <t>Depreciation and Amortization / Property, Plant and Equipment (Net)</t>
  </si>
  <si>
    <t>Goodwill + Intangible Assets / Total Assets</t>
  </si>
  <si>
    <t>ACQUISITION ACTIVITY SUMMARY ($mm)</t>
  </si>
  <si>
    <t>Source: Investing activities and business acquisition note in each 10-K filing.</t>
  </si>
  <si>
    <t>FY2024 includes LifeLabs acquisition (~$1.4B) and IQVIA laboratory services assets (~$741M). FY2023 includes multiple tuck-in acquisitions.</t>
  </si>
  <si>
    <t>Capital Structure, Working Capital and Per Share Metrics</t>
  </si>
  <si>
    <t>LIQUIDITY ($mm)</t>
  </si>
  <si>
    <t>Cash and Cash Equivalents</t>
  </si>
  <si>
    <t>Quest Diagnostics does not hold a material short-term investment portfolio; liquidity is primarily cash.</t>
  </si>
  <si>
    <t>CAPITAL STRUCTURE ($mm)</t>
  </si>
  <si>
    <t>Total Debt</t>
  </si>
  <si>
    <t>Net Debt (Total Debt minus Cash)</t>
  </si>
  <si>
    <t>Total Quest Diagnostics Stockholders' Equity</t>
  </si>
  <si>
    <t>Noncontrolling Interests</t>
  </si>
  <si>
    <t>Redeemable Noncontrolling Interest (mezzanine)</t>
  </si>
  <si>
    <t>Total Stockholders' Equity (incl. all noncontrolling interests)</t>
  </si>
  <si>
    <t>LEVERAGE METRICS</t>
  </si>
  <si>
    <t>Earnings Before Interest, Taxes, Depreciation and Amortization: FY2021 $2,789mm, FY2022 $1,865mm, FY2023 $1,701mm, FY2024 $1,839mm, FY2025 $2,126mm.</t>
  </si>
  <si>
    <t>Total Debt / Earnings Before Interest, Taxes, Depreciation and Amortization</t>
  </si>
  <si>
    <t>Net Debt / Earnings Before Interest, Taxes, Depreciation and Amortization</t>
  </si>
  <si>
    <t>Total Debt / Total Quest Diagnostics Stockholders' Equity</t>
  </si>
  <si>
    <t>LIQUIDITY RATIOS</t>
  </si>
  <si>
    <t>Current Ratio (Current Assets / Current Liabilities)</t>
  </si>
  <si>
    <t>Quick Ratio ((Current Assets minus Inventories) / Current Liabilities)</t>
  </si>
  <si>
    <t>WORKING CAPITAL EFFICIENCY (Days)</t>
  </si>
  <si>
    <t>Days Sales Outstanding = Accounts Receivable / Net Revenues x 365. Days Inventory Outstanding = Inventories / Cost of Services x 365. Days Payable Outstanding = Accounts Payable and Accrued Expenses / Cost of Services x 365.</t>
  </si>
  <si>
    <t>Days Sales Outstanding</t>
  </si>
  <si>
    <t>Days Inventory Outstanding</t>
  </si>
  <si>
    <t>Days Payable Outstanding</t>
  </si>
  <si>
    <t>Cash Conversion Cycle (Days Sales Outstanding + Days Inventory Outstanding minus Days Payable Outstanding)</t>
  </si>
  <si>
    <t>PER SHARE METRICS</t>
  </si>
  <si>
    <t>Earnings Per Share - Basic ($)</t>
  </si>
  <si>
    <t>Earnings Per Share - Diluted ($)</t>
  </si>
  <si>
    <t>Dividends Per Share ($)</t>
  </si>
  <si>
    <t>Dividends per share not directly disclosed in the 10-K filings uploaded; total dividends paid: FY2021 $309mm, FY2022 $305mm, FY2023 $314mm, FY2024 $331mm, FY2025 $353mm.</t>
  </si>
  <si>
    <t>Book Value per Share - Quest Equity ($)</t>
  </si>
  <si>
    <t>Weighted Average Shares Outstanding - Diluted (millions)</t>
  </si>
  <si>
    <t>Shares Outstanding (period-end, approximate, millions)</t>
  </si>
  <si>
    <t>EBIT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</si>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</sst>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#,##0;\(#,##0\);0"/>
    <numFmt numFmtId="165" formatCode="0.00;\(0.00\);0.00"/>
    <numFmt numFmtId="166" formatCode="0.0"/>
    <numFmt numFmtId="167" formatCode="0.0%;\(0.0%\);0.0%"/>
    <numFmt numFmtId="168" formatCode="0.0\x"/>
    <numFmt numFmtId="169" formatCode="0.0;\(0.0\);0.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8"/>
      <color rgb="FF808080"/>
      <name val="Arial"/>
      <family val="2"/>
    </font>
    <font>
      <i/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E1F2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164" fontId="7" fillId="3" borderId="0" xfId="0" applyNumberFormat="1" applyFont="1" applyFill="1" applyAlignment="1">
      <alignment horizontal="right"/>
    </xf>
    <xf numFmtId="0" fontId="4" fillId="3" borderId="1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left"/>
    </xf>
    <xf numFmtId="0" fontId="4" fillId="4" borderId="2" xfId="0" applyFont="1" applyFill="1" applyBorder="1" applyAlignment="1">
      <alignment horizontal="left"/>
    </xf>
    <xf numFmtId="164" fontId="7" fillId="4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4" fillId="2" borderId="0" xfId="0" applyFont="1" applyFill="1"/>
    <xf numFmtId="0" fontId="5" fillId="0" borderId="0" xfId="0" applyFont="1" applyAlignment="1">
      <alignment horizontal="left" indent="2"/>
    </xf>
    <xf numFmtId="164" fontId="6" fillId="3" borderId="0" xfId="0" applyNumberFormat="1" applyFont="1" applyFill="1" applyAlignment="1">
      <alignment horizontal="right"/>
    </xf>
    <xf numFmtId="164" fontId="6" fillId="4" borderId="2" xfId="0" applyNumberFormat="1" applyFont="1" applyFill="1" applyBorder="1" applyAlignment="1">
      <alignment horizontal="right"/>
    </xf>
    <xf numFmtId="0" fontId="8" fillId="0" borderId="0" xfId="0" applyFont="1"/>
    <xf numFmtId="167" fontId="6" fillId="3" borderId="0" xfId="0" applyNumberFormat="1" applyFont="1" applyFill="1" applyAlignment="1">
      <alignment horizontal="right"/>
    </xf>
    <xf numFmtId="0" fontId="9" fillId="3" borderId="0" xfId="0" applyFont="1" applyFill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166" fontId="6" fillId="3" borderId="0" xfId="0" applyNumberFormat="1" applyFont="1" applyFill="1" applyAlignment="1">
      <alignment horizontal="right"/>
    </xf>
    <xf numFmtId="0" fontId="8" fillId="3" borderId="1" xfId="0" applyFont="1" applyFill="1" applyBorder="1" applyAlignment="1">
      <alignment horizontal="left"/>
    </xf>
    <xf numFmtId="168" fontId="6" fillId="3" borderId="0" xfId="0" applyNumberFormat="1" applyFont="1" applyFill="1" applyAlignment="1">
      <alignment horizontal="right"/>
    </xf>
    <xf numFmtId="169" fontId="6" fillId="3" borderId="0" xfId="0" applyNumberFormat="1" applyFont="1" applyFill="1" applyAlignment="1">
      <alignment horizontal="right"/>
    </xf>
    <xf numFmtId="169" fontId="6" fillId="4" borderId="2" xfId="0" applyNumberFormat="1" applyFont="1" applyFill="1" applyBorder="1" applyAlignment="1">
      <alignment horizontal="right"/>
    </xf>
    <xf numFmtId="165" fontId="6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left"/>
    </xf>
    <xf numFmtId="165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activeCell="G27" sqref="G24:J27"/>
    </sheetView>
  </sheetViews>
  <sheetFormatPr defaultColWidth="8.7109375" defaultRowHeight="15" x14ac:dyDescent="0.25"/>
  <cols>
    <col min="1" max="1" width="72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1</v>
      </c>
    </row>
    <row r="3" spans="1:6" x14ac:dyDescent="0.25">
      <c r="A3" s="2" t="s">
        <v>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>
        <v>10788</v>
      </c>
      <c r="C5" s="5">
        <v>9883</v>
      </c>
      <c r="D5" s="5">
        <v>9252</v>
      </c>
      <c r="E5" s="5">
        <v>9872</v>
      </c>
      <c r="F5" s="5">
        <v>11035</v>
      </c>
    </row>
    <row r="6" spans="1:6" x14ac:dyDescent="0.25">
      <c r="A6" s="6" t="s">
        <v>9</v>
      </c>
      <c r="B6" s="7">
        <v>6579</v>
      </c>
      <c r="C6" s="7">
        <v>6450</v>
      </c>
      <c r="D6" s="7">
        <v>6199</v>
      </c>
      <c r="E6" s="7">
        <v>6628</v>
      </c>
      <c r="F6" s="7">
        <v>7370</v>
      </c>
    </row>
    <row r="7" spans="1:6" x14ac:dyDescent="0.25">
      <c r="A7" s="8" t="s">
        <v>10</v>
      </c>
      <c r="B7" s="9">
        <f>B5-B6</f>
        <v>4209</v>
      </c>
      <c r="C7" s="9">
        <f>C5-C6</f>
        <v>3433</v>
      </c>
      <c r="D7" s="9">
        <f>D5-D6</f>
        <v>3053</v>
      </c>
      <c r="E7" s="9">
        <f>E5-E6</f>
        <v>3244</v>
      </c>
      <c r="F7" s="9">
        <f>F5-F6</f>
        <v>3665</v>
      </c>
    </row>
    <row r="8" spans="1:6" x14ac:dyDescent="0.25">
      <c r="A8" s="4" t="s">
        <v>11</v>
      </c>
      <c r="B8" s="5">
        <v>1727</v>
      </c>
      <c r="C8" s="5">
        <v>1874</v>
      </c>
      <c r="D8" s="5">
        <v>1642</v>
      </c>
      <c r="E8" s="5">
        <v>1770</v>
      </c>
      <c r="F8" s="5">
        <v>1967</v>
      </c>
    </row>
    <row r="9" spans="1:6" x14ac:dyDescent="0.25">
      <c r="A9" s="4" t="s">
        <v>12</v>
      </c>
      <c r="B9" s="5">
        <v>103</v>
      </c>
      <c r="C9" s="5">
        <v>120</v>
      </c>
      <c r="D9" s="5">
        <v>108</v>
      </c>
      <c r="E9" s="5">
        <v>127</v>
      </c>
      <c r="F9" s="5">
        <v>154</v>
      </c>
    </row>
    <row r="10" spans="1:6" x14ac:dyDescent="0.25">
      <c r="A10" s="6" t="s">
        <v>13</v>
      </c>
      <c r="B10" s="7">
        <v>-2</v>
      </c>
      <c r="C10" s="7">
        <v>11</v>
      </c>
      <c r="D10" s="7">
        <v>41</v>
      </c>
      <c r="E10" s="7">
        <v>1</v>
      </c>
      <c r="F10" s="7">
        <v>-12</v>
      </c>
    </row>
    <row r="11" spans="1:6" x14ac:dyDescent="0.25">
      <c r="A11" s="8" t="s">
        <v>14</v>
      </c>
      <c r="B11" s="9">
        <f>B6+B8+B9+B10</f>
        <v>8407</v>
      </c>
      <c r="C11" s="9">
        <f>C6+C8+C9+C10</f>
        <v>8455</v>
      </c>
      <c r="D11" s="9">
        <f>D6+D8+D9+D10</f>
        <v>7990</v>
      </c>
      <c r="E11" s="9">
        <f>E6+E8+E9+E10</f>
        <v>8526</v>
      </c>
      <c r="F11" s="9">
        <f>F6+F8+F9+F10</f>
        <v>9479</v>
      </c>
    </row>
    <row r="12" spans="1:6" x14ac:dyDescent="0.25">
      <c r="A12" s="10" t="s">
        <v>15</v>
      </c>
      <c r="B12" s="11">
        <f>B5-B11</f>
        <v>2381</v>
      </c>
      <c r="C12" s="11">
        <f>C5-C11</f>
        <v>1428</v>
      </c>
      <c r="D12" s="11">
        <f>D5-D11</f>
        <v>1262</v>
      </c>
      <c r="E12" s="11">
        <f>E5-E11</f>
        <v>1346</v>
      </c>
      <c r="F12" s="11">
        <f>F5-F11</f>
        <v>1556</v>
      </c>
    </row>
    <row r="13" spans="1:6" x14ac:dyDescent="0.25">
      <c r="A13" s="4" t="s">
        <v>16</v>
      </c>
      <c r="B13" s="5">
        <v>-151</v>
      </c>
      <c r="C13" s="5">
        <v>-138</v>
      </c>
      <c r="D13" s="5">
        <v>-152</v>
      </c>
      <c r="E13" s="5">
        <v>-201</v>
      </c>
      <c r="F13" s="5">
        <v>-264</v>
      </c>
    </row>
    <row r="14" spans="1:6" x14ac:dyDescent="0.25">
      <c r="A14" s="6" t="s">
        <v>17</v>
      </c>
      <c r="B14" s="7">
        <v>369</v>
      </c>
      <c r="C14" s="7">
        <v>-55</v>
      </c>
      <c r="D14" s="7">
        <v>20</v>
      </c>
      <c r="E14" s="7">
        <v>30</v>
      </c>
      <c r="F14" s="7">
        <v>26</v>
      </c>
    </row>
    <row r="15" spans="1:6" x14ac:dyDescent="0.25">
      <c r="A15" s="8" t="s">
        <v>18</v>
      </c>
      <c r="B15" s="9">
        <f>B13+B14</f>
        <v>218</v>
      </c>
      <c r="C15" s="9">
        <f>C13+C14</f>
        <v>-193</v>
      </c>
      <c r="D15" s="9">
        <f>D13+D14</f>
        <v>-132</v>
      </c>
      <c r="E15" s="9">
        <f>E13+E14</f>
        <v>-171</v>
      </c>
      <c r="F15" s="9">
        <f>F13+F14</f>
        <v>-238</v>
      </c>
    </row>
    <row r="16" spans="1:6" x14ac:dyDescent="0.25">
      <c r="A16" s="12" t="s">
        <v>19</v>
      </c>
      <c r="B16" s="9">
        <f>B12+B15</f>
        <v>2599</v>
      </c>
      <c r="C16" s="9">
        <f>C12+C15</f>
        <v>1235</v>
      </c>
      <c r="D16" s="9">
        <f>D12+D15</f>
        <v>1130</v>
      </c>
      <c r="E16" s="9">
        <f>E12+E15</f>
        <v>1175</v>
      </c>
      <c r="F16" s="9">
        <f>F12+F15</f>
        <v>1318</v>
      </c>
    </row>
    <row r="17" spans="1:10" x14ac:dyDescent="0.25">
      <c r="A17" s="4" t="s">
        <v>20</v>
      </c>
      <c r="B17" s="5">
        <v>-597</v>
      </c>
      <c r="C17" s="5">
        <v>-264</v>
      </c>
      <c r="D17" s="5">
        <v>-248</v>
      </c>
      <c r="E17" s="5">
        <v>-273</v>
      </c>
      <c r="F17" s="5">
        <v>-314</v>
      </c>
    </row>
    <row r="18" spans="1:10" x14ac:dyDescent="0.25">
      <c r="A18" s="4" t="s">
        <v>21</v>
      </c>
      <c r="B18" s="5">
        <v>78</v>
      </c>
      <c r="C18" s="5">
        <v>44</v>
      </c>
      <c r="D18" s="5">
        <v>26</v>
      </c>
      <c r="E18" s="5">
        <v>19</v>
      </c>
      <c r="F18" s="5">
        <v>42</v>
      </c>
    </row>
    <row r="19" spans="1:10" x14ac:dyDescent="0.25">
      <c r="A19" s="10" t="s">
        <v>22</v>
      </c>
      <c r="B19" s="11">
        <f>B16+B17+B18</f>
        <v>2080</v>
      </c>
      <c r="C19" s="11">
        <f>C16+C17+C18</f>
        <v>1015</v>
      </c>
      <c r="D19" s="11">
        <f>D16+D17+D18</f>
        <v>908</v>
      </c>
      <c r="E19" s="11">
        <f>E16+E17+E18</f>
        <v>921</v>
      </c>
      <c r="F19" s="11">
        <f>F16+F17+F18</f>
        <v>1046</v>
      </c>
    </row>
    <row r="20" spans="1:10" x14ac:dyDescent="0.25">
      <c r="A20" s="4" t="s">
        <v>23</v>
      </c>
      <c r="B20" s="5">
        <v>85</v>
      </c>
      <c r="C20" s="5">
        <v>69</v>
      </c>
      <c r="D20" s="5">
        <v>54</v>
      </c>
      <c r="E20" s="5">
        <v>50</v>
      </c>
      <c r="F20" s="5">
        <v>54</v>
      </c>
    </row>
    <row r="21" spans="1:10" ht="15.75" thickBot="1" x14ac:dyDescent="0.3">
      <c r="A21" s="13" t="s">
        <v>24</v>
      </c>
      <c r="B21" s="14">
        <f>B19-B20</f>
        <v>1995</v>
      </c>
      <c r="C21" s="14">
        <f>C19-C20</f>
        <v>946</v>
      </c>
      <c r="D21" s="14">
        <f>D19-D20</f>
        <v>854</v>
      </c>
      <c r="E21" s="14">
        <f>E19-E20</f>
        <v>871</v>
      </c>
      <c r="F21" s="14">
        <f>F19-F20</f>
        <v>992</v>
      </c>
    </row>
    <row r="23" spans="1:10" x14ac:dyDescent="0.25">
      <c r="A23" s="15" t="s">
        <v>25</v>
      </c>
    </row>
    <row r="24" spans="1:10" x14ac:dyDescent="0.25">
      <c r="A24" s="4" t="s">
        <v>26</v>
      </c>
      <c r="B24" s="16">
        <v>15.85</v>
      </c>
      <c r="C24" s="16">
        <v>8.1</v>
      </c>
      <c r="D24" s="16">
        <v>7.59</v>
      </c>
      <c r="E24" s="16">
        <v>7.78</v>
      </c>
      <c r="F24" s="16">
        <v>8.8699999999999992</v>
      </c>
      <c r="G24" s="16"/>
      <c r="H24" s="16"/>
      <c r="I24" s="16"/>
      <c r="J24" s="16"/>
    </row>
    <row r="25" spans="1:10" x14ac:dyDescent="0.25">
      <c r="A25" s="4" t="s">
        <v>27</v>
      </c>
      <c r="B25" s="16">
        <v>15.55</v>
      </c>
      <c r="C25" s="16">
        <v>7.97</v>
      </c>
      <c r="D25" s="16">
        <v>7.49</v>
      </c>
      <c r="E25" s="16">
        <v>7.69</v>
      </c>
      <c r="F25" s="16">
        <v>8.75</v>
      </c>
    </row>
    <row r="27" spans="1:10" x14ac:dyDescent="0.25">
      <c r="A27" s="15" t="s">
        <v>28</v>
      </c>
      <c r="G27" s="35"/>
      <c r="H27" s="35"/>
      <c r="I27" s="35"/>
      <c r="J27" s="35"/>
    </row>
    <row r="28" spans="1:10" x14ac:dyDescent="0.25">
      <c r="A28" s="4" t="s">
        <v>29</v>
      </c>
      <c r="B28" s="17">
        <v>125.9</v>
      </c>
      <c r="C28" s="17">
        <v>116.8</v>
      </c>
      <c r="D28" s="17">
        <v>112.5</v>
      </c>
      <c r="E28" s="17">
        <v>112</v>
      </c>
      <c r="F28" s="17">
        <v>111.8</v>
      </c>
    </row>
    <row r="29" spans="1:10" x14ac:dyDescent="0.25">
      <c r="A29" s="4" t="s">
        <v>30</v>
      </c>
      <c r="B29" s="17">
        <v>128.30000000000001</v>
      </c>
      <c r="C29" s="17">
        <v>118.7</v>
      </c>
      <c r="D29" s="17">
        <v>114</v>
      </c>
      <c r="E29" s="17">
        <v>113.3</v>
      </c>
      <c r="F29" s="17">
        <v>113.4</v>
      </c>
    </row>
    <row r="31" spans="1:10" x14ac:dyDescent="0.25">
      <c r="G31" s="3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Normal="100" workbookViewId="0">
      <selection activeCell="I9" sqref="I9"/>
    </sheetView>
  </sheetViews>
  <sheetFormatPr defaultColWidth="8.7109375" defaultRowHeight="15" x14ac:dyDescent="0.25"/>
  <cols>
    <col min="1" max="1" width="72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31</v>
      </c>
    </row>
    <row r="3" spans="1:6" x14ac:dyDescent="0.25">
      <c r="A3" s="2" t="s">
        <v>32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18" t="s">
        <v>33</v>
      </c>
      <c r="B5" s="19"/>
      <c r="C5" s="19"/>
      <c r="D5" s="19"/>
      <c r="E5" s="19"/>
      <c r="F5" s="19"/>
    </row>
    <row r="6" spans="1:6" x14ac:dyDescent="0.25">
      <c r="A6" s="15" t="s">
        <v>34</v>
      </c>
    </row>
    <row r="7" spans="1:6" x14ac:dyDescent="0.25">
      <c r="A7" s="4" t="s">
        <v>35</v>
      </c>
      <c r="B7" s="5">
        <v>872</v>
      </c>
      <c r="C7" s="5">
        <v>315</v>
      </c>
      <c r="D7" s="5">
        <v>686</v>
      </c>
      <c r="E7" s="5">
        <v>549</v>
      </c>
      <c r="F7" s="5">
        <v>420</v>
      </c>
    </row>
    <row r="8" spans="1:6" x14ac:dyDescent="0.25">
      <c r="A8" s="4" t="s">
        <v>36</v>
      </c>
      <c r="B8" s="5">
        <v>1438</v>
      </c>
      <c r="C8" s="5">
        <v>1195</v>
      </c>
      <c r="D8" s="5">
        <v>1210</v>
      </c>
      <c r="E8" s="5">
        <v>1304</v>
      </c>
      <c r="F8" s="5">
        <v>1408</v>
      </c>
    </row>
    <row r="9" spans="1:6" x14ac:dyDescent="0.25">
      <c r="A9" s="4" t="s">
        <v>37</v>
      </c>
      <c r="B9" s="5">
        <v>208</v>
      </c>
      <c r="C9" s="5">
        <v>192</v>
      </c>
      <c r="D9" s="5">
        <v>190</v>
      </c>
      <c r="E9" s="5">
        <v>188</v>
      </c>
      <c r="F9" s="5">
        <v>189</v>
      </c>
    </row>
    <row r="10" spans="1:6" x14ac:dyDescent="0.25">
      <c r="A10" s="4" t="s">
        <v>38</v>
      </c>
      <c r="B10" s="5">
        <v>223</v>
      </c>
      <c r="C10" s="5">
        <v>196</v>
      </c>
      <c r="D10" s="5">
        <v>286</v>
      </c>
      <c r="E10" s="5">
        <v>351</v>
      </c>
      <c r="F10" s="5">
        <v>361</v>
      </c>
    </row>
    <row r="11" spans="1:6" x14ac:dyDescent="0.25">
      <c r="A11" s="10" t="s">
        <v>39</v>
      </c>
      <c r="B11" s="11">
        <f>B7+B8+B9+B10</f>
        <v>2741</v>
      </c>
      <c r="C11" s="11">
        <f>C7+C8+C9+C10</f>
        <v>1898</v>
      </c>
      <c r="D11" s="11">
        <f>D7+D8+D9+D10</f>
        <v>2372</v>
      </c>
      <c r="E11" s="11">
        <f>E7+E8+E9+E10</f>
        <v>2392</v>
      </c>
      <c r="F11" s="11">
        <f>F7+F8+F9+F10</f>
        <v>2378</v>
      </c>
    </row>
    <row r="12" spans="1:6" x14ac:dyDescent="0.25">
      <c r="A12" s="4" t="s">
        <v>40</v>
      </c>
      <c r="B12" s="5">
        <v>1707</v>
      </c>
      <c r="C12" s="5">
        <v>1766</v>
      </c>
      <c r="D12" s="5">
        <v>1816</v>
      </c>
      <c r="E12" s="5">
        <v>2113</v>
      </c>
      <c r="F12" s="5">
        <v>2203</v>
      </c>
    </row>
    <row r="13" spans="1:6" x14ac:dyDescent="0.25">
      <c r="A13" s="4" t="s">
        <v>41</v>
      </c>
      <c r="B13" s="5">
        <v>597</v>
      </c>
      <c r="C13" s="5">
        <v>585</v>
      </c>
      <c r="D13" s="5">
        <v>602</v>
      </c>
      <c r="E13" s="5">
        <v>651</v>
      </c>
      <c r="F13" s="5">
        <v>657</v>
      </c>
    </row>
    <row r="14" spans="1:6" x14ac:dyDescent="0.25">
      <c r="A14" s="4" t="s">
        <v>42</v>
      </c>
      <c r="B14" s="5">
        <v>7095</v>
      </c>
      <c r="C14" s="5">
        <v>7220</v>
      </c>
      <c r="D14" s="5">
        <v>7733</v>
      </c>
      <c r="E14" s="5">
        <v>8856</v>
      </c>
      <c r="F14" s="5">
        <v>8945</v>
      </c>
    </row>
    <row r="15" spans="1:6" x14ac:dyDescent="0.25">
      <c r="A15" s="4" t="s">
        <v>43</v>
      </c>
      <c r="B15" s="5">
        <v>1167</v>
      </c>
      <c r="C15" s="5">
        <v>1092</v>
      </c>
      <c r="D15" s="5">
        <v>1166</v>
      </c>
      <c r="E15" s="5">
        <v>1763</v>
      </c>
      <c r="F15" s="5">
        <v>1636</v>
      </c>
    </row>
    <row r="16" spans="1:6" x14ac:dyDescent="0.25">
      <c r="A16" s="4" t="s">
        <v>44</v>
      </c>
      <c r="B16" s="5">
        <v>141</v>
      </c>
      <c r="C16" s="5">
        <v>132</v>
      </c>
      <c r="D16" s="5">
        <v>135</v>
      </c>
      <c r="E16" s="5">
        <v>123</v>
      </c>
      <c r="F16" s="5">
        <v>136</v>
      </c>
    </row>
    <row r="17" spans="1:6" x14ac:dyDescent="0.25">
      <c r="A17" s="4" t="s">
        <v>45</v>
      </c>
      <c r="B17" s="5">
        <v>163</v>
      </c>
      <c r="C17" s="5">
        <v>144</v>
      </c>
      <c r="D17" s="5">
        <v>198</v>
      </c>
      <c r="E17" s="5">
        <v>255</v>
      </c>
      <c r="F17" s="5">
        <v>270</v>
      </c>
    </row>
    <row r="18" spans="1:6" ht="15.75" thickBot="1" x14ac:dyDescent="0.3">
      <c r="A18" s="13" t="s">
        <v>46</v>
      </c>
      <c r="B18" s="14">
        <f>B11+B12+B13+B14+B15+B16+B17</f>
        <v>13611</v>
      </c>
      <c r="C18" s="14">
        <f>C11+C12+C13+C14+C15+C16+C17</f>
        <v>12837</v>
      </c>
      <c r="D18" s="14">
        <f>D11+D12+D13+D14+D15+D16+D17</f>
        <v>14022</v>
      </c>
      <c r="E18" s="14">
        <f>E11+E12+E13+E14+E15+E16+E17</f>
        <v>16153</v>
      </c>
      <c r="F18" s="14">
        <f>F11+F12+F13+F14+F15+F16+F17</f>
        <v>16225</v>
      </c>
    </row>
    <row r="20" spans="1:6" x14ac:dyDescent="0.25">
      <c r="A20" s="18" t="s">
        <v>47</v>
      </c>
      <c r="B20" s="19"/>
      <c r="C20" s="19"/>
      <c r="D20" s="19"/>
      <c r="E20" s="19"/>
      <c r="F20" s="19"/>
    </row>
    <row r="21" spans="1:6" x14ac:dyDescent="0.25">
      <c r="A21" s="15" t="s">
        <v>48</v>
      </c>
    </row>
    <row r="22" spans="1:6" x14ac:dyDescent="0.25">
      <c r="A22" s="4" t="s">
        <v>49</v>
      </c>
      <c r="B22" s="5">
        <v>1600</v>
      </c>
      <c r="C22" s="5">
        <v>1396</v>
      </c>
      <c r="D22" s="5">
        <v>1359</v>
      </c>
      <c r="E22" s="5">
        <v>1394</v>
      </c>
      <c r="F22" s="5">
        <v>1600</v>
      </c>
    </row>
    <row r="23" spans="1:6" x14ac:dyDescent="0.25">
      <c r="A23" s="4" t="s">
        <v>50</v>
      </c>
      <c r="B23" s="5">
        <v>2</v>
      </c>
      <c r="C23" s="5">
        <v>2</v>
      </c>
      <c r="D23" s="5">
        <v>303</v>
      </c>
      <c r="E23" s="5">
        <v>602</v>
      </c>
      <c r="F23" s="5">
        <v>504</v>
      </c>
    </row>
    <row r="24" spans="1:6" x14ac:dyDescent="0.25">
      <c r="A24" s="4" t="s">
        <v>51</v>
      </c>
      <c r="B24" s="5">
        <v>151</v>
      </c>
      <c r="C24" s="5">
        <v>153</v>
      </c>
      <c r="D24" s="5">
        <v>153</v>
      </c>
      <c r="E24" s="5">
        <v>173</v>
      </c>
      <c r="F24" s="5">
        <v>174</v>
      </c>
    </row>
    <row r="25" spans="1:6" x14ac:dyDescent="0.25">
      <c r="A25" s="10" t="s">
        <v>52</v>
      </c>
      <c r="B25" s="11">
        <f>B22+B23+B24</f>
        <v>1753</v>
      </c>
      <c r="C25" s="11">
        <f>C22+C23+C24</f>
        <v>1551</v>
      </c>
      <c r="D25" s="11">
        <f>D22+D23+D24</f>
        <v>1815</v>
      </c>
      <c r="E25" s="11">
        <f>E22+E23+E24</f>
        <v>2169</v>
      </c>
      <c r="F25" s="11">
        <f>F22+F23+F24</f>
        <v>2278</v>
      </c>
    </row>
    <row r="26" spans="1:6" x14ac:dyDescent="0.25">
      <c r="A26" s="4" t="s">
        <v>53</v>
      </c>
      <c r="B26" s="5">
        <v>4010</v>
      </c>
      <c r="C26" s="5">
        <v>3978</v>
      </c>
      <c r="D26" s="5">
        <v>4410</v>
      </c>
      <c r="E26" s="5">
        <v>5615</v>
      </c>
      <c r="F26" s="5">
        <v>5167</v>
      </c>
    </row>
    <row r="27" spans="1:6" x14ac:dyDescent="0.25">
      <c r="A27" s="4" t="s">
        <v>54</v>
      </c>
      <c r="B27" s="5">
        <v>494</v>
      </c>
      <c r="C27" s="5">
        <v>489</v>
      </c>
      <c r="D27" s="5">
        <v>503</v>
      </c>
      <c r="E27" s="5">
        <v>535</v>
      </c>
      <c r="F27" s="5">
        <v>537</v>
      </c>
    </row>
    <row r="28" spans="1:6" x14ac:dyDescent="0.25">
      <c r="A28" s="4" t="s">
        <v>55</v>
      </c>
      <c r="B28" s="5">
        <v>792</v>
      </c>
      <c r="C28" s="5">
        <v>812</v>
      </c>
      <c r="D28" s="5">
        <v>876</v>
      </c>
      <c r="E28" s="5">
        <v>938</v>
      </c>
      <c r="F28" s="5">
        <v>957</v>
      </c>
    </row>
    <row r="29" spans="1:6" x14ac:dyDescent="0.25">
      <c r="A29" s="10" t="s">
        <v>56</v>
      </c>
      <c r="B29" s="11">
        <f>B25+B26+B27+B28</f>
        <v>7049</v>
      </c>
      <c r="C29" s="11">
        <f>C25+C26+C27+C28</f>
        <v>6830</v>
      </c>
      <c r="D29" s="11">
        <f>D25+D26+D27+D28</f>
        <v>7604</v>
      </c>
      <c r="E29" s="11">
        <f>E25+E26+E27+E28</f>
        <v>9257</v>
      </c>
      <c r="F29" s="11">
        <f>F25+F26+F27+F28</f>
        <v>8939</v>
      </c>
    </row>
    <row r="30" spans="1:6" x14ac:dyDescent="0.25">
      <c r="A30" s="4" t="s">
        <v>57</v>
      </c>
      <c r="B30" s="5">
        <v>79</v>
      </c>
      <c r="C30" s="5">
        <v>77</v>
      </c>
      <c r="D30" s="5">
        <v>76</v>
      </c>
      <c r="E30" s="5">
        <v>83</v>
      </c>
      <c r="F30" s="5">
        <v>80</v>
      </c>
    </row>
    <row r="31" spans="1:6" x14ac:dyDescent="0.25">
      <c r="A31" s="15" t="s">
        <v>58</v>
      </c>
    </row>
    <row r="32" spans="1:6" x14ac:dyDescent="0.25">
      <c r="A32" s="4" t="s">
        <v>59</v>
      </c>
      <c r="B32" s="5">
        <v>2262</v>
      </c>
      <c r="C32" s="5">
        <v>2297</v>
      </c>
      <c r="D32" s="5">
        <v>2322</v>
      </c>
      <c r="E32" s="5">
        <v>2363</v>
      </c>
      <c r="F32" s="5">
        <v>2383</v>
      </c>
    </row>
    <row r="33" spans="1:6" x14ac:dyDescent="0.25">
      <c r="A33" s="4" t="s">
        <v>60</v>
      </c>
      <c r="B33" s="5">
        <v>7649</v>
      </c>
      <c r="C33" s="5">
        <v>8290</v>
      </c>
      <c r="D33" s="5">
        <v>8825</v>
      </c>
      <c r="E33" s="5">
        <v>9360</v>
      </c>
      <c r="F33" s="5">
        <v>9994</v>
      </c>
    </row>
    <row r="34" spans="1:6" x14ac:dyDescent="0.25">
      <c r="A34" s="4" t="s">
        <v>61</v>
      </c>
      <c r="B34" s="5">
        <v>-14</v>
      </c>
      <c r="C34" s="5">
        <v>-21</v>
      </c>
      <c r="D34" s="5">
        <v>-14</v>
      </c>
      <c r="E34" s="5">
        <v>-88</v>
      </c>
      <c r="F34" s="5">
        <v>-27</v>
      </c>
    </row>
    <row r="35" spans="1:6" x14ac:dyDescent="0.25">
      <c r="A35" s="4" t="s">
        <v>62</v>
      </c>
      <c r="B35" s="5">
        <v>-3453</v>
      </c>
      <c r="C35" s="5">
        <v>-4673</v>
      </c>
      <c r="D35" s="5">
        <v>-4826</v>
      </c>
      <c r="E35" s="5">
        <v>-4857</v>
      </c>
      <c r="F35" s="5">
        <v>-5180</v>
      </c>
    </row>
    <row r="36" spans="1:6" x14ac:dyDescent="0.25">
      <c r="A36" s="10" t="s">
        <v>63</v>
      </c>
      <c r="B36" s="11">
        <f>B32+B33+B34+B35</f>
        <v>6444</v>
      </c>
      <c r="C36" s="11">
        <f>C32+C33+C34+C35</f>
        <v>5893</v>
      </c>
      <c r="D36" s="11">
        <f>D32+D33+D34+D35</f>
        <v>6307</v>
      </c>
      <c r="E36" s="11">
        <f>E32+E33+E34+E35</f>
        <v>6778</v>
      </c>
      <c r="F36" s="11">
        <f>F32+F33+F34+F35</f>
        <v>7170</v>
      </c>
    </row>
    <row r="37" spans="1:6" x14ac:dyDescent="0.25">
      <c r="A37" s="4" t="s">
        <v>64</v>
      </c>
      <c r="B37" s="5">
        <v>39</v>
      </c>
      <c r="C37" s="5">
        <v>37</v>
      </c>
      <c r="D37" s="5">
        <v>35</v>
      </c>
      <c r="E37" s="5">
        <v>35</v>
      </c>
      <c r="F37" s="5">
        <v>36</v>
      </c>
    </row>
    <row r="38" spans="1:6" x14ac:dyDescent="0.25">
      <c r="A38" s="10" t="s">
        <v>65</v>
      </c>
      <c r="B38" s="11">
        <f>B36+B37</f>
        <v>6483</v>
      </c>
      <c r="C38" s="11">
        <f>C36+C37</f>
        <v>5930</v>
      </c>
      <c r="D38" s="11">
        <f>D36+D37</f>
        <v>6342</v>
      </c>
      <c r="E38" s="11">
        <f>E36+E37</f>
        <v>6813</v>
      </c>
      <c r="F38" s="11">
        <f>F36+F37</f>
        <v>7206</v>
      </c>
    </row>
    <row r="39" spans="1:6" ht="15.75" thickBot="1" x14ac:dyDescent="0.3">
      <c r="A39" s="13" t="s">
        <v>66</v>
      </c>
      <c r="B39" s="14">
        <f>B29+B30+B38</f>
        <v>13611</v>
      </c>
      <c r="C39" s="14">
        <f>C29+C30+C38</f>
        <v>12837</v>
      </c>
      <c r="D39" s="14">
        <f>D29+D30+D38</f>
        <v>14022</v>
      </c>
      <c r="E39" s="14">
        <f>E29+E30+E38</f>
        <v>16153</v>
      </c>
      <c r="F39" s="14">
        <f>F29+F30+F38</f>
        <v>16225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zoomScaleNormal="100" workbookViewId="0">
      <selection activeCell="G1" sqref="G1:G1048576"/>
    </sheetView>
  </sheetViews>
  <sheetFormatPr defaultColWidth="8.7109375" defaultRowHeight="15" x14ac:dyDescent="0.25"/>
  <cols>
    <col min="1" max="1" width="76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67</v>
      </c>
    </row>
    <row r="3" spans="1:6" x14ac:dyDescent="0.25">
      <c r="A3" s="2" t="s">
        <v>32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68</v>
      </c>
      <c r="B5" s="5">
        <v>1158</v>
      </c>
      <c r="C5" s="5">
        <v>872</v>
      </c>
      <c r="D5" s="5">
        <v>315</v>
      </c>
      <c r="E5" s="5">
        <v>686</v>
      </c>
      <c r="F5" s="5">
        <v>549</v>
      </c>
    </row>
    <row r="7" spans="1:6" x14ac:dyDescent="0.25">
      <c r="A7" s="20" t="s">
        <v>69</v>
      </c>
      <c r="B7" s="19"/>
      <c r="C7" s="19"/>
      <c r="D7" s="19"/>
      <c r="E7" s="19"/>
      <c r="F7" s="19"/>
    </row>
    <row r="8" spans="1:6" x14ac:dyDescent="0.25">
      <c r="A8" s="4" t="s">
        <v>22</v>
      </c>
      <c r="B8" s="5">
        <v>2080</v>
      </c>
      <c r="C8" s="5">
        <v>1015</v>
      </c>
      <c r="D8" s="5">
        <v>908</v>
      </c>
      <c r="E8" s="5">
        <v>921</v>
      </c>
      <c r="F8" s="5">
        <v>1046</v>
      </c>
    </row>
    <row r="9" spans="1:6" x14ac:dyDescent="0.25">
      <c r="A9" s="21" t="s">
        <v>70</v>
      </c>
    </row>
    <row r="10" spans="1:6" x14ac:dyDescent="0.25">
      <c r="A10" s="4" t="s">
        <v>71</v>
      </c>
      <c r="B10" s="5">
        <v>408</v>
      </c>
      <c r="C10" s="5">
        <v>437</v>
      </c>
      <c r="D10" s="5">
        <v>439</v>
      </c>
      <c r="E10" s="5">
        <v>493</v>
      </c>
      <c r="F10" s="5">
        <v>570</v>
      </c>
    </row>
    <row r="11" spans="1:6" x14ac:dyDescent="0.25">
      <c r="A11" s="4" t="s">
        <v>72</v>
      </c>
      <c r="B11" s="5">
        <v>4</v>
      </c>
      <c r="C11" s="5">
        <v>3</v>
      </c>
      <c r="D11" s="5">
        <v>1</v>
      </c>
      <c r="E11" s="5">
        <v>5</v>
      </c>
      <c r="F11" s="5">
        <v>3</v>
      </c>
    </row>
    <row r="12" spans="1:6" x14ac:dyDescent="0.25">
      <c r="A12" s="4" t="s">
        <v>73</v>
      </c>
      <c r="B12" s="5">
        <v>-57</v>
      </c>
      <c r="C12" s="5">
        <v>1</v>
      </c>
      <c r="D12" s="5">
        <v>-49</v>
      </c>
      <c r="E12" s="5">
        <v>13</v>
      </c>
      <c r="F12" s="5">
        <v>105</v>
      </c>
    </row>
    <row r="13" spans="1:6" x14ac:dyDescent="0.25">
      <c r="A13" s="4" t="s">
        <v>74</v>
      </c>
      <c r="B13" s="5">
        <v>79</v>
      </c>
      <c r="C13" s="5">
        <v>77</v>
      </c>
      <c r="D13" s="5">
        <v>77</v>
      </c>
      <c r="E13" s="5">
        <v>88</v>
      </c>
      <c r="F13" s="5">
        <v>88</v>
      </c>
    </row>
    <row r="14" spans="1:6" x14ac:dyDescent="0.25">
      <c r="A14" s="4" t="s">
        <v>75</v>
      </c>
      <c r="B14" s="5">
        <v>-314</v>
      </c>
      <c r="C14" s="5">
        <v>0</v>
      </c>
      <c r="D14" s="5">
        <v>0</v>
      </c>
      <c r="E14" s="5">
        <v>0</v>
      </c>
      <c r="F14" s="5">
        <v>0</v>
      </c>
    </row>
    <row r="15" spans="1:6" x14ac:dyDescent="0.25">
      <c r="A15" s="4" t="s">
        <v>76</v>
      </c>
      <c r="B15" s="5">
        <v>-54</v>
      </c>
      <c r="C15" s="5">
        <v>66</v>
      </c>
      <c r="D15" s="5">
        <v>41</v>
      </c>
      <c r="E15" s="5">
        <v>15</v>
      </c>
      <c r="F15" s="5">
        <v>24</v>
      </c>
    </row>
    <row r="16" spans="1:6" x14ac:dyDescent="0.25">
      <c r="A16" s="4" t="s">
        <v>77</v>
      </c>
      <c r="B16" s="5">
        <v>81</v>
      </c>
      <c r="C16" s="5">
        <v>246</v>
      </c>
      <c r="D16" s="5">
        <v>-15</v>
      </c>
      <c r="E16" s="5">
        <v>-71</v>
      </c>
      <c r="F16" s="5">
        <v>-106</v>
      </c>
    </row>
    <row r="17" spans="1:6" x14ac:dyDescent="0.25">
      <c r="A17" s="4" t="s">
        <v>49</v>
      </c>
      <c r="B17" s="5">
        <v>35</v>
      </c>
      <c r="C17" s="5">
        <v>-149</v>
      </c>
      <c r="D17" s="5">
        <v>-55</v>
      </c>
      <c r="E17" s="5">
        <v>-67</v>
      </c>
      <c r="F17" s="5">
        <v>129</v>
      </c>
    </row>
    <row r="18" spans="1:6" x14ac:dyDescent="0.25">
      <c r="A18" s="4" t="s">
        <v>78</v>
      </c>
      <c r="B18" s="5">
        <v>-20</v>
      </c>
      <c r="C18" s="5">
        <v>-31</v>
      </c>
      <c r="D18" s="5">
        <v>-2</v>
      </c>
      <c r="E18" s="5">
        <v>16</v>
      </c>
      <c r="F18" s="5">
        <v>24</v>
      </c>
    </row>
    <row r="19" spans="1:6" x14ac:dyDescent="0.25">
      <c r="A19" s="4" t="s">
        <v>79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</row>
    <row r="20" spans="1:6" x14ac:dyDescent="0.25">
      <c r="A20" s="4" t="s">
        <v>80</v>
      </c>
      <c r="B20" s="5">
        <v>-9</v>
      </c>
      <c r="C20" s="5">
        <v>53</v>
      </c>
      <c r="D20" s="5">
        <v>-73</v>
      </c>
      <c r="E20" s="5">
        <v>-79</v>
      </c>
      <c r="F20" s="5">
        <v>3</v>
      </c>
    </row>
    <row r="21" spans="1:6" x14ac:dyDescent="0.25">
      <c r="A21" s="10" t="s">
        <v>81</v>
      </c>
      <c r="B21" s="11">
        <f>B8+B10+B11+B12+B13+B14+B15+B16+B17+B18+B19+B20</f>
        <v>2233</v>
      </c>
      <c r="C21" s="11">
        <f>C8+C10+C11+C12+C13+C14+C15+C16+C17+C18+C19+C20</f>
        <v>1718</v>
      </c>
      <c r="D21" s="11">
        <f>D8+D10+D11+D12+D13+D14+D15+D16+D17+D18+D19+D20</f>
        <v>1272</v>
      </c>
      <c r="E21" s="11">
        <f>E8+E10+E11+E12+E13+E14+E15+E16+E17+E18+E19+E20</f>
        <v>1334</v>
      </c>
      <c r="F21" s="11">
        <f>F8+F10+F11+F12+F13+F14+F15+F16+F17+F18+F19+F20</f>
        <v>1886</v>
      </c>
    </row>
    <row r="23" spans="1:6" x14ac:dyDescent="0.25">
      <c r="A23" s="20" t="s">
        <v>82</v>
      </c>
      <c r="B23" s="19"/>
      <c r="C23" s="19"/>
      <c r="D23" s="19"/>
      <c r="E23" s="19"/>
      <c r="F23" s="19"/>
    </row>
    <row r="24" spans="1:6" x14ac:dyDescent="0.25">
      <c r="A24" s="4" t="s">
        <v>83</v>
      </c>
      <c r="B24" s="5">
        <v>-331</v>
      </c>
      <c r="C24" s="5">
        <v>-144</v>
      </c>
      <c r="D24" s="5">
        <v>-611</v>
      </c>
      <c r="E24" s="5">
        <v>-2164</v>
      </c>
      <c r="F24" s="5">
        <v>-101</v>
      </c>
    </row>
    <row r="25" spans="1:6" x14ac:dyDescent="0.25">
      <c r="A25" s="4" t="s">
        <v>84</v>
      </c>
      <c r="B25" s="5">
        <v>755</v>
      </c>
      <c r="C25" s="5">
        <v>0</v>
      </c>
      <c r="D25" s="5">
        <v>0</v>
      </c>
      <c r="E25" s="5">
        <v>0</v>
      </c>
      <c r="F25" s="5">
        <v>0</v>
      </c>
    </row>
    <row r="26" spans="1:6" x14ac:dyDescent="0.25">
      <c r="A26" s="4" t="s">
        <v>85</v>
      </c>
      <c r="B26" s="5">
        <v>-403</v>
      </c>
      <c r="C26" s="5">
        <v>-404</v>
      </c>
      <c r="D26" s="5">
        <v>-408</v>
      </c>
      <c r="E26" s="5">
        <v>-425</v>
      </c>
      <c r="F26" s="5">
        <v>-527</v>
      </c>
    </row>
    <row r="27" spans="1:6" x14ac:dyDescent="0.25">
      <c r="A27" s="4" t="s">
        <v>86</v>
      </c>
      <c r="B27" s="5">
        <v>0</v>
      </c>
      <c r="C27" s="5">
        <v>5</v>
      </c>
      <c r="D27" s="5">
        <v>-42</v>
      </c>
      <c r="E27" s="5">
        <v>41</v>
      </c>
      <c r="F27" s="5">
        <v>-3</v>
      </c>
    </row>
    <row r="28" spans="1:6" x14ac:dyDescent="0.25">
      <c r="A28" s="10" t="s">
        <v>87</v>
      </c>
      <c r="B28" s="11">
        <f>B24+B25+B26+B27</f>
        <v>21</v>
      </c>
      <c r="C28" s="11">
        <f>C24+C25+C26+C27</f>
        <v>-543</v>
      </c>
      <c r="D28" s="11">
        <f>D24+D25+D26+D27</f>
        <v>-1061</v>
      </c>
      <c r="E28" s="11">
        <f>E24+E25+E26+E27</f>
        <v>-2548</v>
      </c>
      <c r="F28" s="11">
        <f>F24+F25+F26+F27</f>
        <v>-631</v>
      </c>
    </row>
    <row r="30" spans="1:6" x14ac:dyDescent="0.25">
      <c r="A30" s="20" t="s">
        <v>88</v>
      </c>
      <c r="B30" s="19"/>
      <c r="C30" s="19"/>
      <c r="D30" s="19"/>
      <c r="E30" s="19"/>
      <c r="F30" s="19"/>
    </row>
    <row r="31" spans="1:6" x14ac:dyDescent="0.25">
      <c r="A31" s="4" t="s">
        <v>89</v>
      </c>
      <c r="B31" s="5">
        <v>0</v>
      </c>
      <c r="C31" s="5">
        <v>0</v>
      </c>
      <c r="D31" s="5">
        <v>2592</v>
      </c>
      <c r="E31" s="5">
        <v>1846</v>
      </c>
      <c r="F31" s="5">
        <v>410</v>
      </c>
    </row>
    <row r="32" spans="1:6" x14ac:dyDescent="0.25">
      <c r="A32" s="4" t="s">
        <v>90</v>
      </c>
      <c r="B32" s="5">
        <v>-2</v>
      </c>
      <c r="C32" s="5">
        <v>-2</v>
      </c>
      <c r="D32" s="5">
        <v>-1844</v>
      </c>
      <c r="E32" s="5">
        <v>-303</v>
      </c>
      <c r="F32" s="5">
        <v>-1012</v>
      </c>
    </row>
    <row r="33" spans="1:6" x14ac:dyDescent="0.25">
      <c r="A33" s="4" t="s">
        <v>91</v>
      </c>
      <c r="B33" s="5">
        <v>-2199</v>
      </c>
      <c r="C33" s="5">
        <v>-1408</v>
      </c>
      <c r="D33" s="5">
        <v>-275</v>
      </c>
      <c r="E33" s="5">
        <v>-151</v>
      </c>
      <c r="F33" s="5">
        <v>-450</v>
      </c>
    </row>
    <row r="34" spans="1:6" x14ac:dyDescent="0.25">
      <c r="A34" s="4" t="s">
        <v>92</v>
      </c>
      <c r="B34" s="5">
        <v>129</v>
      </c>
      <c r="C34" s="5">
        <v>123</v>
      </c>
      <c r="D34" s="5">
        <v>72</v>
      </c>
      <c r="E34" s="5">
        <v>73</v>
      </c>
      <c r="F34" s="5">
        <v>79</v>
      </c>
    </row>
    <row r="35" spans="1:6" x14ac:dyDescent="0.25">
      <c r="A35" s="4" t="s">
        <v>93</v>
      </c>
      <c r="B35" s="5">
        <v>-22</v>
      </c>
      <c r="C35" s="5">
        <v>-28</v>
      </c>
      <c r="D35" s="5">
        <v>-28</v>
      </c>
      <c r="E35" s="5">
        <v>-24</v>
      </c>
      <c r="F35" s="5">
        <v>-45</v>
      </c>
    </row>
    <row r="36" spans="1:6" x14ac:dyDescent="0.25">
      <c r="A36" s="4" t="s">
        <v>94</v>
      </c>
      <c r="B36" s="5">
        <v>-309</v>
      </c>
      <c r="C36" s="5">
        <v>-305</v>
      </c>
      <c r="D36" s="5">
        <v>-314</v>
      </c>
      <c r="E36" s="5">
        <v>-331</v>
      </c>
      <c r="F36" s="5">
        <v>-353</v>
      </c>
    </row>
    <row r="37" spans="1:6" x14ac:dyDescent="0.25">
      <c r="A37" s="4" t="s">
        <v>95</v>
      </c>
      <c r="B37" s="5">
        <v>-99</v>
      </c>
      <c r="C37" s="5">
        <v>-73</v>
      </c>
      <c r="D37" s="5">
        <v>-57</v>
      </c>
      <c r="E37" s="5">
        <v>-47</v>
      </c>
      <c r="F37" s="5">
        <v>-56</v>
      </c>
    </row>
    <row r="38" spans="1:6" x14ac:dyDescent="0.25">
      <c r="A38" s="4" t="s">
        <v>96</v>
      </c>
      <c r="B38" s="5">
        <v>-38</v>
      </c>
      <c r="C38" s="5">
        <v>-39</v>
      </c>
      <c r="D38" s="5">
        <v>14</v>
      </c>
      <c r="E38" s="5">
        <v>21</v>
      </c>
      <c r="F38" s="5">
        <v>39</v>
      </c>
    </row>
    <row r="39" spans="1:6" x14ac:dyDescent="0.25">
      <c r="A39" s="10" t="s">
        <v>97</v>
      </c>
      <c r="B39" s="11">
        <f>B31+B32+B33+B34+B35+B36+B37+B38</f>
        <v>-2540</v>
      </c>
      <c r="C39" s="11">
        <f>C31+C32+C33+C34+C35+C36+C37+C38</f>
        <v>-1732</v>
      </c>
      <c r="D39" s="11">
        <f>D31+D32+D33+D34+D35+D36+D37+D38</f>
        <v>160</v>
      </c>
      <c r="E39" s="11">
        <f>E31+E32+E33+E34+E35+E36+E37+E38</f>
        <v>1084</v>
      </c>
      <c r="F39" s="11">
        <f>F31+F32+F33+F34+F35+F36+F37+F38</f>
        <v>-1388</v>
      </c>
    </row>
    <row r="40" spans="1:6" x14ac:dyDescent="0.25">
      <c r="A40" s="4" t="s">
        <v>98</v>
      </c>
      <c r="B40" s="5">
        <v>0</v>
      </c>
      <c r="C40" s="5">
        <v>0</v>
      </c>
      <c r="D40" s="5">
        <v>0</v>
      </c>
      <c r="E40" s="5">
        <v>-7</v>
      </c>
      <c r="F40" s="5">
        <v>4</v>
      </c>
    </row>
    <row r="42" spans="1:6" x14ac:dyDescent="0.25">
      <c r="A42" s="10" t="s">
        <v>99</v>
      </c>
      <c r="B42" s="11">
        <f>B21+B28+B39+B40</f>
        <v>-286</v>
      </c>
      <c r="C42" s="11">
        <f>C21+C28+C39+C40</f>
        <v>-557</v>
      </c>
      <c r="D42" s="11">
        <f>D21+D28+D39+D40</f>
        <v>371</v>
      </c>
      <c r="E42" s="11">
        <f>E21+E28+E39+E40</f>
        <v>-137</v>
      </c>
      <c r="F42" s="11">
        <f>F21+F28+F39+F40</f>
        <v>-129</v>
      </c>
    </row>
    <row r="43" spans="1:6" ht="15.75" thickBot="1" x14ac:dyDescent="0.3">
      <c r="A43" s="13" t="s">
        <v>100</v>
      </c>
      <c r="B43" s="14">
        <f>B5+B42</f>
        <v>872</v>
      </c>
      <c r="C43" s="14">
        <f>C5+C42</f>
        <v>315</v>
      </c>
      <c r="D43" s="14">
        <f>D5+D42</f>
        <v>686</v>
      </c>
      <c r="E43" s="14">
        <f>E5+E42</f>
        <v>549</v>
      </c>
      <c r="F43" s="14">
        <f>F5+F42</f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12" zoomScaleNormal="100" workbookViewId="0">
      <selection activeCell="G1" sqref="G1:G1048576"/>
    </sheetView>
  </sheetViews>
  <sheetFormatPr defaultColWidth="8.7109375" defaultRowHeight="15" x14ac:dyDescent="0.25"/>
  <cols>
    <col min="1" max="1" width="76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101</v>
      </c>
    </row>
    <row r="3" spans="1:6" x14ac:dyDescent="0.25">
      <c r="A3" s="2" t="s">
        <v>102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20" t="s">
        <v>103</v>
      </c>
      <c r="B5" s="19"/>
      <c r="C5" s="19"/>
      <c r="D5" s="19"/>
      <c r="E5" s="19"/>
      <c r="F5" s="19"/>
    </row>
    <row r="6" spans="1:6" x14ac:dyDescent="0.25">
      <c r="A6" s="12" t="s">
        <v>104</v>
      </c>
      <c r="B6" s="22">
        <v>10494</v>
      </c>
      <c r="C6" s="22">
        <v>9609</v>
      </c>
      <c r="D6" s="22">
        <v>8976</v>
      </c>
      <c r="E6" s="22">
        <v>9614</v>
      </c>
      <c r="F6" s="22">
        <v>10785</v>
      </c>
    </row>
    <row r="7" spans="1:6" x14ac:dyDescent="0.25">
      <c r="A7" s="12" t="s">
        <v>105</v>
      </c>
      <c r="B7" s="22">
        <v>2770</v>
      </c>
      <c r="C7" s="22">
        <v>1454</v>
      </c>
      <c r="D7" s="22">
        <v>0</v>
      </c>
      <c r="E7" s="22">
        <v>0</v>
      </c>
      <c r="F7" s="22">
        <v>0</v>
      </c>
    </row>
    <row r="8" spans="1:6" x14ac:dyDescent="0.25">
      <c r="A8" s="12" t="s">
        <v>106</v>
      </c>
      <c r="B8" s="22">
        <v>294</v>
      </c>
      <c r="C8" s="22">
        <v>274</v>
      </c>
      <c r="D8" s="22">
        <v>276</v>
      </c>
      <c r="E8" s="22">
        <v>258</v>
      </c>
      <c r="F8" s="22">
        <v>250</v>
      </c>
    </row>
    <row r="9" spans="1:6" ht="15.75" thickBot="1" x14ac:dyDescent="0.3">
      <c r="A9" s="13" t="s">
        <v>107</v>
      </c>
      <c r="B9" s="23">
        <v>10788</v>
      </c>
      <c r="C9" s="23">
        <v>9883</v>
      </c>
      <c r="D9" s="23">
        <v>9252</v>
      </c>
      <c r="E9" s="23">
        <v>9872</v>
      </c>
      <c r="F9" s="23">
        <v>11035</v>
      </c>
    </row>
    <row r="10" spans="1:6" ht="15.75" thickTop="1" x14ac:dyDescent="0.25">
      <c r="A10" s="24" t="s">
        <v>108</v>
      </c>
    </row>
    <row r="12" spans="1:6" x14ac:dyDescent="0.25">
      <c r="A12" s="20" t="s">
        <v>109</v>
      </c>
      <c r="B12" s="19"/>
      <c r="C12" s="19"/>
      <c r="D12" s="19"/>
      <c r="E12" s="19"/>
      <c r="F12" s="19"/>
    </row>
    <row r="13" spans="1:6" x14ac:dyDescent="0.25">
      <c r="A13" s="24" t="s">
        <v>110</v>
      </c>
    </row>
    <row r="14" spans="1:6" x14ac:dyDescent="0.25">
      <c r="A14" s="12" t="s">
        <v>111</v>
      </c>
      <c r="B14" s="25">
        <v>-1.6E-2</v>
      </c>
      <c r="C14" s="25">
        <v>-4.4999999999999998E-2</v>
      </c>
      <c r="D14" s="25">
        <v>-6.0000000000000001E-3</v>
      </c>
      <c r="E14" s="25">
        <v>5.5E-2</v>
      </c>
      <c r="F14" s="25">
        <v>0.123</v>
      </c>
    </row>
    <row r="15" spans="1:6" x14ac:dyDescent="0.25">
      <c r="A15" s="12" t="s">
        <v>112</v>
      </c>
      <c r="B15" s="25">
        <v>0.13600000000000001</v>
      </c>
      <c r="C15" s="25">
        <v>-5.0999999999999997E-2</v>
      </c>
      <c r="D15" s="25">
        <v>-0.01</v>
      </c>
      <c r="E15" s="25">
        <v>7.0000000000000001E-3</v>
      </c>
      <c r="F15" s="25">
        <v>3.4000000000000002E-2</v>
      </c>
    </row>
    <row r="16" spans="1:6" x14ac:dyDescent="0.25">
      <c r="A16" s="12" t="s">
        <v>113</v>
      </c>
      <c r="B16" s="25">
        <v>-1.6E-2</v>
      </c>
      <c r="C16" s="25">
        <v>-4.4999999999999998E-2</v>
      </c>
      <c r="D16" s="25">
        <v>-5.8999999999999997E-2</v>
      </c>
      <c r="E16" s="25">
        <v>1.2999999999999999E-2</v>
      </c>
      <c r="F16" s="25">
        <v>1E-3</v>
      </c>
    </row>
    <row r="18" spans="1:6" x14ac:dyDescent="0.25">
      <c r="A18" s="20" t="s">
        <v>114</v>
      </c>
      <c r="B18" s="19"/>
      <c r="C18" s="19"/>
      <c r="D18" s="19"/>
      <c r="E18" s="19"/>
      <c r="F18" s="19"/>
    </row>
    <row r="19" spans="1:6" x14ac:dyDescent="0.25">
      <c r="A19" s="24" t="s">
        <v>115</v>
      </c>
    </row>
    <row r="20" spans="1:6" x14ac:dyDescent="0.25">
      <c r="A20" s="12" t="s">
        <v>116</v>
      </c>
      <c r="B20" s="22">
        <v>218</v>
      </c>
      <c r="C20" s="22">
        <v>208</v>
      </c>
      <c r="D20" s="22">
        <v>206</v>
      </c>
      <c r="E20" s="22">
        <v>217</v>
      </c>
      <c r="F20" s="22">
        <v>244</v>
      </c>
    </row>
    <row r="22" spans="1:6" x14ac:dyDescent="0.25">
      <c r="A22" s="20" t="s">
        <v>117</v>
      </c>
      <c r="B22" s="19"/>
      <c r="C22" s="19"/>
      <c r="D22" s="19"/>
      <c r="E22" s="19"/>
      <c r="F22" s="19"/>
    </row>
    <row r="23" spans="1:6" x14ac:dyDescent="0.25">
      <c r="A23" s="24" t="s">
        <v>118</v>
      </c>
    </row>
    <row r="24" spans="1:6" x14ac:dyDescent="0.25">
      <c r="A24" s="12" t="s">
        <v>119</v>
      </c>
      <c r="B24" s="26" t="s">
        <v>120</v>
      </c>
      <c r="C24" s="25">
        <v>0.47</v>
      </c>
      <c r="D24" s="25">
        <v>0.47</v>
      </c>
      <c r="E24" s="25">
        <v>0.46</v>
      </c>
      <c r="F24" s="25">
        <v>0.43</v>
      </c>
    </row>
    <row r="25" spans="1:6" x14ac:dyDescent="0.25">
      <c r="A25" s="12" t="s">
        <v>121</v>
      </c>
      <c r="B25" s="26" t="s">
        <v>120</v>
      </c>
      <c r="C25" s="25">
        <v>0.1</v>
      </c>
      <c r="D25" s="25">
        <v>0.1</v>
      </c>
      <c r="E25" s="25">
        <v>0.12</v>
      </c>
      <c r="F25" s="25">
        <v>0.17</v>
      </c>
    </row>
    <row r="26" spans="1:6" x14ac:dyDescent="0.25">
      <c r="A26" s="12" t="s">
        <v>122</v>
      </c>
      <c r="B26" s="26" t="s">
        <v>120</v>
      </c>
      <c r="C26" s="25">
        <v>0.4</v>
      </c>
      <c r="D26" s="25">
        <v>0.42</v>
      </c>
      <c r="E26" s="25">
        <v>0.39</v>
      </c>
      <c r="F26" s="25">
        <v>0.37</v>
      </c>
    </row>
    <row r="27" spans="1:6" x14ac:dyDescent="0.25">
      <c r="A27" s="12" t="s">
        <v>123</v>
      </c>
      <c r="B27" s="26" t="s">
        <v>120</v>
      </c>
      <c r="C27" s="25">
        <v>0.01</v>
      </c>
      <c r="D27" s="25">
        <v>0.01</v>
      </c>
      <c r="E27" s="25">
        <v>0.01</v>
      </c>
      <c r="F27" s="25">
        <v>0.01</v>
      </c>
    </row>
    <row r="29" spans="1:6" x14ac:dyDescent="0.25">
      <c r="A29" s="20" t="s">
        <v>124</v>
      </c>
      <c r="B29" s="19"/>
      <c r="C29" s="19"/>
      <c r="D29" s="19"/>
      <c r="E29" s="19"/>
      <c r="F29" s="19"/>
    </row>
    <row r="30" spans="1:6" x14ac:dyDescent="0.25">
      <c r="A30" s="24" t="s">
        <v>118</v>
      </c>
    </row>
    <row r="31" spans="1:6" x14ac:dyDescent="0.25">
      <c r="A31" s="12" t="s">
        <v>119</v>
      </c>
      <c r="B31" s="26" t="s">
        <v>120</v>
      </c>
      <c r="C31" s="25">
        <v>0.41</v>
      </c>
      <c r="D31" s="25">
        <v>0.4</v>
      </c>
      <c r="E31" s="25">
        <v>0.4</v>
      </c>
      <c r="F31" s="25">
        <v>0.39</v>
      </c>
    </row>
    <row r="32" spans="1:6" x14ac:dyDescent="0.25">
      <c r="A32" s="12" t="s">
        <v>121</v>
      </c>
      <c r="B32" s="26" t="s">
        <v>120</v>
      </c>
      <c r="C32" s="25">
        <v>0.11</v>
      </c>
      <c r="D32" s="25">
        <v>0.11</v>
      </c>
      <c r="E32" s="25">
        <v>0.13</v>
      </c>
      <c r="F32" s="25">
        <v>0.16</v>
      </c>
    </row>
    <row r="33" spans="1:6" x14ac:dyDescent="0.25">
      <c r="A33" s="12" t="s">
        <v>122</v>
      </c>
      <c r="B33" s="26" t="s">
        <v>120</v>
      </c>
      <c r="C33" s="25">
        <v>0.33</v>
      </c>
      <c r="D33" s="25">
        <v>0.34</v>
      </c>
      <c r="E33" s="25">
        <v>0.33</v>
      </c>
      <c r="F33" s="25">
        <v>0.31</v>
      </c>
    </row>
    <row r="34" spans="1:6" x14ac:dyDescent="0.25">
      <c r="A34" s="12" t="s">
        <v>123</v>
      </c>
      <c r="B34" s="26" t="s">
        <v>120</v>
      </c>
      <c r="C34" s="25">
        <v>0.12</v>
      </c>
      <c r="D34" s="25">
        <v>0.12</v>
      </c>
      <c r="E34" s="25">
        <v>0.11</v>
      </c>
      <c r="F34" s="25">
        <v>0.12</v>
      </c>
    </row>
    <row r="36" spans="1:6" x14ac:dyDescent="0.25">
      <c r="A36" s="20" t="s">
        <v>125</v>
      </c>
      <c r="B36" s="19"/>
      <c r="C36" s="19"/>
      <c r="D36" s="19"/>
      <c r="E36" s="19"/>
      <c r="F36" s="19"/>
    </row>
    <row r="37" spans="1:6" x14ac:dyDescent="0.25">
      <c r="A37" s="24" t="s">
        <v>126</v>
      </c>
    </row>
    <row r="38" spans="1:6" x14ac:dyDescent="0.25">
      <c r="A38" s="12" t="s">
        <v>127</v>
      </c>
      <c r="B38" s="22">
        <v>11</v>
      </c>
      <c r="C38" s="22">
        <v>55</v>
      </c>
      <c r="D38" s="22">
        <v>25</v>
      </c>
      <c r="E38" s="22">
        <v>28</v>
      </c>
      <c r="F38" s="22">
        <v>28</v>
      </c>
    </row>
    <row r="39" spans="1:6" x14ac:dyDescent="0.25">
      <c r="A39" s="12" t="s">
        <v>128</v>
      </c>
      <c r="B39" s="22">
        <v>1</v>
      </c>
      <c r="C39" s="22">
        <v>0</v>
      </c>
      <c r="D39" s="22">
        <v>0</v>
      </c>
      <c r="E39" s="22">
        <v>0</v>
      </c>
      <c r="F39" s="22">
        <v>0</v>
      </c>
    </row>
    <row r="40" spans="1:6" x14ac:dyDescent="0.25">
      <c r="A40" s="12" t="s">
        <v>129</v>
      </c>
      <c r="B40" s="22">
        <v>0</v>
      </c>
      <c r="C40" s="22">
        <v>14</v>
      </c>
      <c r="D40" s="22">
        <v>29</v>
      </c>
      <c r="E40" s="22">
        <v>0</v>
      </c>
      <c r="F40" s="22">
        <v>29</v>
      </c>
    </row>
    <row r="41" spans="1:6" x14ac:dyDescent="0.25">
      <c r="A41" s="12" t="s">
        <v>130</v>
      </c>
      <c r="B41" s="22">
        <v>0</v>
      </c>
      <c r="C41" s="22">
        <v>19</v>
      </c>
      <c r="D41" s="22">
        <v>18</v>
      </c>
      <c r="E41" s="22">
        <v>34</v>
      </c>
      <c r="F41" s="22">
        <v>25</v>
      </c>
    </row>
    <row r="42" spans="1:6" ht="15.75" thickBot="1" x14ac:dyDescent="0.3">
      <c r="A42" s="13" t="s">
        <v>131</v>
      </c>
      <c r="B42" s="23">
        <v>12</v>
      </c>
      <c r="C42" s="23">
        <v>88</v>
      </c>
      <c r="D42" s="23">
        <v>43</v>
      </c>
      <c r="E42" s="23">
        <v>62</v>
      </c>
      <c r="F42" s="23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topLeftCell="A9" zoomScaleNormal="100" workbookViewId="0">
      <selection activeCell="F39" sqref="F38:F39"/>
    </sheetView>
  </sheetViews>
  <sheetFormatPr defaultColWidth="8.7109375" defaultRowHeight="15" x14ac:dyDescent="0.25"/>
  <cols>
    <col min="1" max="1" width="68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132</v>
      </c>
    </row>
    <row r="3" spans="1:6" x14ac:dyDescent="0.25">
      <c r="A3" s="2" t="s">
        <v>102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20" t="s">
        <v>133</v>
      </c>
      <c r="B5" s="19"/>
      <c r="C5" s="19"/>
      <c r="D5" s="19"/>
      <c r="E5" s="19"/>
      <c r="F5" s="19"/>
    </row>
    <row r="6" spans="1:6" x14ac:dyDescent="0.25">
      <c r="A6" s="12" t="s">
        <v>134</v>
      </c>
      <c r="B6" s="22">
        <v>10788</v>
      </c>
      <c r="C6" s="22">
        <v>9883</v>
      </c>
      <c r="D6" s="22">
        <v>9252</v>
      </c>
      <c r="E6" s="22">
        <v>9872</v>
      </c>
      <c r="F6" s="22">
        <v>11035</v>
      </c>
    </row>
    <row r="7" spans="1:6" x14ac:dyDescent="0.25">
      <c r="A7" s="12" t="s">
        <v>135</v>
      </c>
      <c r="B7" s="26" t="s">
        <v>120</v>
      </c>
      <c r="C7" s="25">
        <v>-8.3889506859473495E-2</v>
      </c>
      <c r="D7" s="25">
        <v>-6.3847010017201306E-2</v>
      </c>
      <c r="E7" s="25">
        <v>6.7012537829658506E-2</v>
      </c>
      <c r="F7" s="25">
        <v>0.117807941653161</v>
      </c>
    </row>
    <row r="8" spans="1:6" x14ac:dyDescent="0.25">
      <c r="A8" s="12" t="s">
        <v>136</v>
      </c>
      <c r="B8" s="22">
        <v>4209</v>
      </c>
      <c r="C8" s="22">
        <v>3433</v>
      </c>
      <c r="D8" s="22">
        <v>3053</v>
      </c>
      <c r="E8" s="22">
        <v>3244</v>
      </c>
      <c r="F8" s="22">
        <v>3665</v>
      </c>
    </row>
    <row r="9" spans="1:6" x14ac:dyDescent="0.25">
      <c r="A9" s="10" t="s">
        <v>137</v>
      </c>
      <c r="B9" s="27">
        <v>2789</v>
      </c>
      <c r="C9" s="27">
        <v>1865</v>
      </c>
      <c r="D9" s="27">
        <v>1701</v>
      </c>
      <c r="E9" s="27">
        <v>1839</v>
      </c>
      <c r="F9" s="27">
        <v>2126</v>
      </c>
    </row>
    <row r="10" spans="1:6" x14ac:dyDescent="0.25">
      <c r="A10" s="12" t="s">
        <v>138</v>
      </c>
      <c r="B10" s="22">
        <v>2381</v>
      </c>
      <c r="C10" s="22">
        <v>1428</v>
      </c>
      <c r="D10" s="22">
        <v>1262</v>
      </c>
      <c r="E10" s="22">
        <v>1346</v>
      </c>
      <c r="F10" s="22">
        <v>1556</v>
      </c>
    </row>
    <row r="11" spans="1:6" x14ac:dyDescent="0.25">
      <c r="A11" s="12" t="s">
        <v>139</v>
      </c>
      <c r="B11" s="22">
        <v>2080</v>
      </c>
      <c r="C11" s="22">
        <v>1015</v>
      </c>
      <c r="D11" s="22">
        <v>908</v>
      </c>
      <c r="E11" s="22">
        <v>921</v>
      </c>
      <c r="F11" s="22">
        <v>1046</v>
      </c>
    </row>
    <row r="12" spans="1:6" x14ac:dyDescent="0.25">
      <c r="A12" s="12" t="s">
        <v>140</v>
      </c>
      <c r="B12" s="22">
        <v>1995</v>
      </c>
      <c r="C12" s="22">
        <v>946</v>
      </c>
      <c r="D12" s="22">
        <v>854</v>
      </c>
      <c r="E12" s="22">
        <v>871</v>
      </c>
      <c r="F12" s="22">
        <v>992</v>
      </c>
    </row>
    <row r="14" spans="1:6" x14ac:dyDescent="0.25">
      <c r="A14" s="20" t="s">
        <v>141</v>
      </c>
      <c r="B14" s="19"/>
      <c r="C14" s="19"/>
      <c r="D14" s="19"/>
      <c r="E14" s="19"/>
      <c r="F14" s="19"/>
    </row>
    <row r="15" spans="1:6" x14ac:dyDescent="0.25">
      <c r="A15" s="12" t="s">
        <v>142</v>
      </c>
      <c r="B15" s="25">
        <v>0.39015572858731901</v>
      </c>
      <c r="C15" s="25">
        <v>0.34736416067995601</v>
      </c>
      <c r="D15" s="25">
        <v>0.32998270644185002</v>
      </c>
      <c r="E15" s="25">
        <v>0.32860615883306299</v>
      </c>
      <c r="F15" s="25">
        <v>0.33212505663796998</v>
      </c>
    </row>
    <row r="16" spans="1:6" x14ac:dyDescent="0.25">
      <c r="A16" s="12" t="s">
        <v>143</v>
      </c>
      <c r="B16" s="25">
        <v>0.16008527994067501</v>
      </c>
      <c r="C16" s="25">
        <v>0.189618536881514</v>
      </c>
      <c r="D16" s="25">
        <v>0.17747514051016</v>
      </c>
      <c r="E16" s="25">
        <v>0.179294975688817</v>
      </c>
      <c r="F16" s="25">
        <v>0.178251019483462</v>
      </c>
    </row>
    <row r="17" spans="1:6" x14ac:dyDescent="0.25">
      <c r="A17" s="12" t="s">
        <v>144</v>
      </c>
      <c r="B17" s="26" t="s">
        <v>120</v>
      </c>
      <c r="C17" s="26" t="s">
        <v>120</v>
      </c>
      <c r="D17" s="26" t="s">
        <v>120</v>
      </c>
      <c r="E17" s="26" t="s">
        <v>120</v>
      </c>
      <c r="F17" s="26" t="s">
        <v>120</v>
      </c>
    </row>
    <row r="18" spans="1:6" x14ac:dyDescent="0.25">
      <c r="A18" s="24" t="s">
        <v>145</v>
      </c>
    </row>
    <row r="19" spans="1:6" x14ac:dyDescent="0.25">
      <c r="A19" s="8" t="s">
        <v>146</v>
      </c>
      <c r="B19" s="25">
        <v>0.258527994067482</v>
      </c>
      <c r="C19" s="25">
        <v>0.188707882221997</v>
      </c>
      <c r="D19" s="25">
        <v>0.183852140077821</v>
      </c>
      <c r="E19" s="25">
        <v>0.186284440842788</v>
      </c>
      <c r="F19" s="25">
        <v>0.19265971907566801</v>
      </c>
    </row>
    <row r="20" spans="1:6" x14ac:dyDescent="0.25">
      <c r="A20" s="12" t="s">
        <v>147</v>
      </c>
      <c r="B20" s="25">
        <v>0.220708194289952</v>
      </c>
      <c r="C20" s="25">
        <v>0.144490539309926</v>
      </c>
      <c r="D20" s="25">
        <v>0.136402939904885</v>
      </c>
      <c r="E20" s="25">
        <v>0.13634521880064801</v>
      </c>
      <c r="F20" s="25">
        <v>0.14100589034889</v>
      </c>
    </row>
    <row r="21" spans="1:6" x14ac:dyDescent="0.25">
      <c r="A21" s="12" t="s">
        <v>148</v>
      </c>
      <c r="B21" s="25">
        <v>0.19280682239525401</v>
      </c>
      <c r="C21" s="25">
        <v>0.102701608823232</v>
      </c>
      <c r="D21" s="25">
        <v>9.8140942498919206E-2</v>
      </c>
      <c r="E21" s="25">
        <v>9.3294165316045397E-2</v>
      </c>
      <c r="F21" s="25">
        <v>9.4789306751246E-2</v>
      </c>
    </row>
    <row r="22" spans="1:6" x14ac:dyDescent="0.25">
      <c r="A22" s="12" t="s">
        <v>149</v>
      </c>
      <c r="B22" s="25">
        <v>0.18492769744160201</v>
      </c>
      <c r="C22" s="25">
        <v>9.5719923100273205E-2</v>
      </c>
      <c r="D22" s="25">
        <v>9.2304366623432804E-2</v>
      </c>
      <c r="E22" s="25">
        <v>8.8229335494327404E-2</v>
      </c>
      <c r="F22" s="25">
        <v>8.9895786135024899E-2</v>
      </c>
    </row>
    <row r="23" spans="1:6" x14ac:dyDescent="0.25">
      <c r="A23" s="12" t="s">
        <v>150</v>
      </c>
      <c r="B23" s="25">
        <v>0.22970373220469401</v>
      </c>
      <c r="C23" s="25">
        <v>0.213765182186235</v>
      </c>
      <c r="D23" s="25">
        <v>0.21946902654867301</v>
      </c>
      <c r="E23" s="25">
        <v>0.232340425531915</v>
      </c>
      <c r="F23" s="25">
        <v>0.23823975720789101</v>
      </c>
    </row>
    <row r="25" spans="1:6" x14ac:dyDescent="0.25">
      <c r="A25" s="20" t="s">
        <v>151</v>
      </c>
      <c r="B25" s="19"/>
      <c r="C25" s="19"/>
      <c r="D25" s="19"/>
      <c r="E25" s="19"/>
      <c r="F25" s="19"/>
    </row>
    <row r="26" spans="1:6" x14ac:dyDescent="0.25">
      <c r="A26" s="12" t="s">
        <v>152</v>
      </c>
      <c r="B26" s="25">
        <v>0.15281757402101201</v>
      </c>
      <c r="C26" s="25">
        <v>7.9068318142868299E-2</v>
      </c>
      <c r="D26" s="25">
        <v>6.4755384395949203E-2</v>
      </c>
      <c r="E26" s="25">
        <v>5.7017272333312698E-2</v>
      </c>
      <c r="F26" s="25">
        <v>6.4468412942989203E-2</v>
      </c>
    </row>
    <row r="27" spans="1:6" x14ac:dyDescent="0.25">
      <c r="A27" s="12" t="s">
        <v>153</v>
      </c>
      <c r="B27" s="25">
        <v>0.30959031657355701</v>
      </c>
      <c r="C27" s="25">
        <v>0.16052944171050401</v>
      </c>
      <c r="D27" s="25">
        <v>0.13540510543840201</v>
      </c>
      <c r="E27" s="25">
        <v>0.12850398347595199</v>
      </c>
      <c r="F27" s="25">
        <v>0.13835425383542499</v>
      </c>
    </row>
    <row r="29" spans="1:6" x14ac:dyDescent="0.25">
      <c r="A29" s="20" t="s">
        <v>154</v>
      </c>
      <c r="B29" s="19"/>
      <c r="C29" s="19"/>
      <c r="D29" s="19"/>
      <c r="E29" s="19"/>
      <c r="F29" s="19"/>
    </row>
    <row r="30" spans="1:6" x14ac:dyDescent="0.25">
      <c r="A30" s="24" t="s">
        <v>155</v>
      </c>
    </row>
    <row r="31" spans="1:6" x14ac:dyDescent="0.25">
      <c r="A31" s="12" t="s">
        <v>156</v>
      </c>
      <c r="B31" s="26" t="s">
        <v>120</v>
      </c>
      <c r="C31" s="22">
        <v>49000</v>
      </c>
      <c r="D31" s="22">
        <v>48000</v>
      </c>
      <c r="E31" s="22">
        <v>56000</v>
      </c>
      <c r="F31" s="22">
        <v>57000</v>
      </c>
    </row>
    <row r="32" spans="1:6" x14ac:dyDescent="0.25">
      <c r="A32" s="12" t="s">
        <v>157</v>
      </c>
      <c r="B32" s="26" t="s">
        <v>120</v>
      </c>
      <c r="C32" s="28">
        <v>0.20169387755102</v>
      </c>
      <c r="D32" s="28">
        <v>0.19275</v>
      </c>
      <c r="E32" s="28">
        <v>0.17628571428571399</v>
      </c>
      <c r="F32" s="28">
        <v>0.19359649122806999</v>
      </c>
    </row>
    <row r="33" spans="1:6" x14ac:dyDescent="0.25">
      <c r="A33" s="12" t="s">
        <v>158</v>
      </c>
      <c r="B33" s="26" t="s">
        <v>120</v>
      </c>
      <c r="C33" s="28">
        <v>2.9142857142857099E-2</v>
      </c>
      <c r="D33" s="28">
        <v>2.6291666666666699E-2</v>
      </c>
      <c r="E33" s="28">
        <v>2.4035714285714299E-2</v>
      </c>
      <c r="F33" s="28">
        <v>2.7298245614035099E-2</v>
      </c>
    </row>
    <row r="35" spans="1:6" x14ac:dyDescent="0.25">
      <c r="A35" s="34" t="s">
        <v>213</v>
      </c>
      <c r="B35">
        <f>'Income Statement'!B7-'Income Statement'!B8-'Income Statement'!B9</f>
        <v>2379</v>
      </c>
      <c r="C35">
        <f>'Income Statement'!C7-'Income Statement'!C8-'Income Statement'!C9</f>
        <v>1439</v>
      </c>
      <c r="D35">
        <f>'Income Statement'!D7-'Income Statement'!D8-'Income Statement'!D9</f>
        <v>1303</v>
      </c>
      <c r="E35">
        <f>'Income Statement'!E7-'Income Statement'!E8-'Income Statement'!E9</f>
        <v>1347</v>
      </c>
      <c r="F35">
        <f>'Income Statement'!F7-'Income Statement'!F8-'Income Statement'!F9</f>
        <v>1544</v>
      </c>
    </row>
    <row r="36" spans="1:6" x14ac:dyDescent="0.25">
      <c r="A36" s="34" t="s">
        <v>214</v>
      </c>
      <c r="B36">
        <f>B35+'Cash Flow Statement'!B10</f>
        <v>2787</v>
      </c>
      <c r="C36">
        <f>C35+'Cash Flow Statement'!C10</f>
        <v>1876</v>
      </c>
      <c r="D36">
        <f>D35+'Cash Flow Statement'!D10</f>
        <v>1742</v>
      </c>
      <c r="E36">
        <f>E35+'Cash Flow Statement'!E10</f>
        <v>1840</v>
      </c>
      <c r="F36">
        <f>F35+'Cash Flow Statement'!F10</f>
        <v>2114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zoomScaleNormal="100" workbookViewId="0">
      <selection activeCell="G1" sqref="G1:G1048576"/>
    </sheetView>
  </sheetViews>
  <sheetFormatPr defaultColWidth="8.7109375" defaultRowHeight="15" x14ac:dyDescent="0.25"/>
  <cols>
    <col min="1" max="1" width="76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159</v>
      </c>
    </row>
    <row r="3" spans="1:6" x14ac:dyDescent="0.25">
      <c r="A3" s="2" t="s">
        <v>102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20" t="s">
        <v>160</v>
      </c>
      <c r="B5" s="19"/>
      <c r="C5" s="19"/>
      <c r="D5" s="19"/>
      <c r="E5" s="19"/>
      <c r="F5" s="19"/>
    </row>
    <row r="6" spans="1:6" x14ac:dyDescent="0.25">
      <c r="A6" s="12" t="s">
        <v>161</v>
      </c>
      <c r="B6" s="22">
        <v>2233</v>
      </c>
      <c r="C6" s="22">
        <v>1718</v>
      </c>
      <c r="D6" s="22">
        <v>1272</v>
      </c>
      <c r="E6" s="22">
        <v>1334</v>
      </c>
      <c r="F6" s="22">
        <v>1886</v>
      </c>
    </row>
    <row r="7" spans="1:6" x14ac:dyDescent="0.25">
      <c r="A7" s="12" t="s">
        <v>162</v>
      </c>
      <c r="B7" s="22">
        <v>-403</v>
      </c>
      <c r="C7" s="22">
        <v>-404</v>
      </c>
      <c r="D7" s="22">
        <v>-408</v>
      </c>
      <c r="E7" s="22">
        <v>-425</v>
      </c>
      <c r="F7" s="22">
        <v>-527</v>
      </c>
    </row>
    <row r="8" spans="1:6" x14ac:dyDescent="0.25">
      <c r="A8" s="10" t="s">
        <v>163</v>
      </c>
      <c r="B8" s="11">
        <f>B6+B7</f>
        <v>1830</v>
      </c>
      <c r="C8" s="11">
        <f>C6+C7</f>
        <v>1314</v>
      </c>
      <c r="D8" s="11">
        <f>D6+D7</f>
        <v>864</v>
      </c>
      <c r="E8" s="11">
        <f>E6+E7</f>
        <v>909</v>
      </c>
      <c r="F8" s="11">
        <f>F6+F7</f>
        <v>1359</v>
      </c>
    </row>
    <row r="9" spans="1:6" x14ac:dyDescent="0.25">
      <c r="A9" s="12" t="s">
        <v>164</v>
      </c>
      <c r="B9" s="22">
        <v>-331</v>
      </c>
      <c r="C9" s="22">
        <v>-144</v>
      </c>
      <c r="D9" s="22">
        <v>-611</v>
      </c>
      <c r="E9" s="22">
        <v>-2164</v>
      </c>
      <c r="F9" s="22">
        <v>-101</v>
      </c>
    </row>
    <row r="10" spans="1:6" x14ac:dyDescent="0.25">
      <c r="A10" s="12" t="s">
        <v>165</v>
      </c>
      <c r="B10" s="22">
        <v>-309</v>
      </c>
      <c r="C10" s="22">
        <v>-305</v>
      </c>
      <c r="D10" s="22">
        <v>-314</v>
      </c>
      <c r="E10" s="22">
        <v>-331</v>
      </c>
      <c r="F10" s="22">
        <v>-353</v>
      </c>
    </row>
    <row r="11" spans="1:6" x14ac:dyDescent="0.25">
      <c r="A11" s="12" t="s">
        <v>166</v>
      </c>
      <c r="B11" s="22">
        <v>-2199</v>
      </c>
      <c r="C11" s="22">
        <v>-1408</v>
      </c>
      <c r="D11" s="22">
        <v>-275</v>
      </c>
      <c r="E11" s="22">
        <v>-151</v>
      </c>
      <c r="F11" s="22">
        <v>-450</v>
      </c>
    </row>
    <row r="13" spans="1:6" x14ac:dyDescent="0.25">
      <c r="A13" s="20" t="s">
        <v>167</v>
      </c>
      <c r="B13" s="19"/>
      <c r="C13" s="19"/>
      <c r="D13" s="19"/>
      <c r="E13" s="19"/>
      <c r="F13" s="19"/>
    </row>
    <row r="14" spans="1:6" x14ac:dyDescent="0.25">
      <c r="A14" s="12" t="s">
        <v>168</v>
      </c>
      <c r="B14" s="22">
        <v>408</v>
      </c>
      <c r="C14" s="22">
        <v>437</v>
      </c>
      <c r="D14" s="22">
        <v>439</v>
      </c>
      <c r="E14" s="22">
        <v>493</v>
      </c>
      <c r="F14" s="22">
        <v>570</v>
      </c>
    </row>
    <row r="15" spans="1:6" x14ac:dyDescent="0.25">
      <c r="A15" s="12" t="s">
        <v>169</v>
      </c>
      <c r="B15" s="22">
        <v>103</v>
      </c>
      <c r="C15" s="22">
        <v>120</v>
      </c>
      <c r="D15" s="22">
        <v>108</v>
      </c>
      <c r="E15" s="22">
        <v>127</v>
      </c>
      <c r="F15" s="22">
        <v>154</v>
      </c>
    </row>
    <row r="16" spans="1:6" x14ac:dyDescent="0.25">
      <c r="A16" s="12" t="s">
        <v>170</v>
      </c>
      <c r="B16" s="22">
        <v>305</v>
      </c>
      <c r="C16" s="22">
        <v>317</v>
      </c>
      <c r="D16" s="22">
        <v>331</v>
      </c>
      <c r="E16" s="22">
        <v>366</v>
      </c>
      <c r="F16" s="22">
        <v>416</v>
      </c>
    </row>
    <row r="17" spans="1:6" x14ac:dyDescent="0.25">
      <c r="A17" s="12" t="s">
        <v>171</v>
      </c>
      <c r="B17" s="22">
        <v>79</v>
      </c>
      <c r="C17" s="22">
        <v>77</v>
      </c>
      <c r="D17" s="22">
        <v>77</v>
      </c>
      <c r="E17" s="22">
        <v>88</v>
      </c>
      <c r="F17" s="22">
        <v>88</v>
      </c>
    </row>
    <row r="19" spans="1:6" x14ac:dyDescent="0.25">
      <c r="A19" s="20" t="s">
        <v>172</v>
      </c>
      <c r="B19" s="19"/>
      <c r="C19" s="19"/>
      <c r="D19" s="19"/>
      <c r="E19" s="19"/>
      <c r="F19" s="19"/>
    </row>
    <row r="20" spans="1:6" x14ac:dyDescent="0.25">
      <c r="A20" s="12" t="s">
        <v>173</v>
      </c>
      <c r="B20" s="25">
        <v>3.7356321839080497E-2</v>
      </c>
      <c r="C20" s="25">
        <v>4.0878275827177998E-2</v>
      </c>
      <c r="D20" s="25">
        <v>4.4098573281452703E-2</v>
      </c>
      <c r="E20" s="25">
        <v>4.3051053484602898E-2</v>
      </c>
      <c r="F20" s="25">
        <v>4.7757136384231999E-2</v>
      </c>
    </row>
    <row r="21" spans="1:6" x14ac:dyDescent="0.25">
      <c r="A21" s="12" t="s">
        <v>174</v>
      </c>
      <c r="B21" s="25">
        <v>3.7819799777530597E-2</v>
      </c>
      <c r="C21" s="25">
        <v>4.4217342912071203E-2</v>
      </c>
      <c r="D21" s="25">
        <v>4.74492001729356E-2</v>
      </c>
      <c r="E21" s="25">
        <v>4.9939222042139401E-2</v>
      </c>
      <c r="F21" s="25">
        <v>5.16538287267784E-2</v>
      </c>
    </row>
    <row r="22" spans="1:6" x14ac:dyDescent="0.25">
      <c r="A22" s="12" t="s">
        <v>175</v>
      </c>
      <c r="B22" s="25">
        <v>0.23901581722319901</v>
      </c>
      <c r="C22" s="25">
        <v>0.247451868629672</v>
      </c>
      <c r="D22" s="25">
        <v>0.241740088105727</v>
      </c>
      <c r="E22" s="25">
        <v>0.23331755797444401</v>
      </c>
      <c r="F22" s="25">
        <v>0.25873808443032198</v>
      </c>
    </row>
    <row r="23" spans="1:6" x14ac:dyDescent="0.25">
      <c r="A23" s="12" t="s">
        <v>176</v>
      </c>
      <c r="B23" s="25">
        <v>0.60700903680846396</v>
      </c>
      <c r="C23" s="25">
        <v>0.64750331074238499</v>
      </c>
      <c r="D23" s="25">
        <v>0.63464555698188596</v>
      </c>
      <c r="E23" s="25">
        <v>0.65740110196248402</v>
      </c>
      <c r="F23" s="25">
        <v>0.65214175654853601</v>
      </c>
    </row>
    <row r="25" spans="1:6" x14ac:dyDescent="0.25">
      <c r="A25" s="20" t="s">
        <v>177</v>
      </c>
      <c r="B25" s="19"/>
      <c r="C25" s="19"/>
      <c r="D25" s="19"/>
      <c r="E25" s="19"/>
      <c r="F25" s="19"/>
    </row>
    <row r="26" spans="1:6" x14ac:dyDescent="0.25">
      <c r="A26" s="24" t="s">
        <v>178</v>
      </c>
    </row>
    <row r="27" spans="1:6" x14ac:dyDescent="0.25">
      <c r="A27" s="12" t="s">
        <v>164</v>
      </c>
      <c r="B27" s="22">
        <v>-331</v>
      </c>
      <c r="C27" s="22">
        <v>-144</v>
      </c>
      <c r="D27" s="22">
        <v>-611</v>
      </c>
      <c r="E27" s="22">
        <v>-2164</v>
      </c>
      <c r="F27" s="22">
        <v>-101</v>
      </c>
    </row>
    <row r="28" spans="1:6" x14ac:dyDescent="0.25">
      <c r="A28" s="24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zoomScaleNormal="100" workbookViewId="0">
      <selection activeCell="B10" sqref="B10"/>
    </sheetView>
  </sheetViews>
  <sheetFormatPr defaultColWidth="8.7109375" defaultRowHeight="15" x14ac:dyDescent="0.25"/>
  <cols>
    <col min="1" max="1" width="68" customWidth="1"/>
    <col min="2" max="6" width="13" customWidth="1"/>
  </cols>
  <sheetData>
    <row r="1" spans="1:6" ht="15.75" x14ac:dyDescent="0.25">
      <c r="A1" s="1" t="s">
        <v>0</v>
      </c>
    </row>
    <row r="2" spans="1:6" ht="15.75" x14ac:dyDescent="0.25">
      <c r="A2" s="1" t="s">
        <v>180</v>
      </c>
    </row>
    <row r="3" spans="1:6" x14ac:dyDescent="0.25">
      <c r="A3" s="2" t="s">
        <v>102</v>
      </c>
    </row>
    <row r="4" spans="1:6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20" t="s">
        <v>181</v>
      </c>
      <c r="B5" s="19"/>
      <c r="C5" s="19"/>
      <c r="D5" s="19"/>
      <c r="E5" s="19"/>
      <c r="F5" s="19"/>
    </row>
    <row r="6" spans="1:6" x14ac:dyDescent="0.25">
      <c r="A6" s="12" t="s">
        <v>182</v>
      </c>
      <c r="B6" s="22">
        <v>872</v>
      </c>
      <c r="C6" s="22">
        <v>315</v>
      </c>
      <c r="D6" s="22">
        <v>686</v>
      </c>
      <c r="E6" s="22">
        <v>549</v>
      </c>
      <c r="F6" s="22">
        <v>420</v>
      </c>
    </row>
    <row r="7" spans="1:6" x14ac:dyDescent="0.25">
      <c r="A7" s="29" t="s">
        <v>183</v>
      </c>
      <c r="B7" s="27">
        <v>872</v>
      </c>
      <c r="C7" s="27">
        <v>315</v>
      </c>
      <c r="D7" s="27">
        <v>686</v>
      </c>
      <c r="E7" s="27">
        <v>549</v>
      </c>
      <c r="F7" s="27">
        <v>420</v>
      </c>
    </row>
    <row r="9" spans="1:6" x14ac:dyDescent="0.25">
      <c r="A9" s="20" t="s">
        <v>184</v>
      </c>
      <c r="B9" s="19"/>
      <c r="C9" s="19"/>
      <c r="D9" s="19"/>
      <c r="E9" s="19"/>
      <c r="F9" s="19"/>
    </row>
    <row r="10" spans="1:6" x14ac:dyDescent="0.25">
      <c r="A10" s="12" t="s">
        <v>50</v>
      </c>
      <c r="B10" s="22">
        <v>2</v>
      </c>
      <c r="C10" s="22">
        <v>2</v>
      </c>
      <c r="D10" s="22">
        <v>303</v>
      </c>
      <c r="E10" s="22">
        <v>602</v>
      </c>
      <c r="F10" s="22">
        <v>504</v>
      </c>
    </row>
    <row r="11" spans="1:6" x14ac:dyDescent="0.25">
      <c r="A11" s="12" t="s">
        <v>53</v>
      </c>
      <c r="B11" s="22">
        <v>4010</v>
      </c>
      <c r="C11" s="22">
        <v>3978</v>
      </c>
      <c r="D11" s="22">
        <v>4410</v>
      </c>
      <c r="E11" s="22">
        <v>5615</v>
      </c>
      <c r="F11" s="22">
        <v>5167</v>
      </c>
    </row>
    <row r="12" spans="1:6" x14ac:dyDescent="0.25">
      <c r="A12" s="10" t="s">
        <v>185</v>
      </c>
      <c r="B12" s="27">
        <v>4012</v>
      </c>
      <c r="C12" s="27">
        <v>3980</v>
      </c>
      <c r="D12" s="27">
        <v>4713</v>
      </c>
      <c r="E12" s="27">
        <v>6217</v>
      </c>
      <c r="F12" s="27">
        <v>5671</v>
      </c>
    </row>
    <row r="13" spans="1:6" x14ac:dyDescent="0.25">
      <c r="A13" s="10" t="s">
        <v>186</v>
      </c>
      <c r="B13" s="27">
        <v>3140</v>
      </c>
      <c r="C13" s="27">
        <v>3665</v>
      </c>
      <c r="D13" s="27">
        <v>4027</v>
      </c>
      <c r="E13" s="27">
        <v>5668</v>
      </c>
      <c r="F13" s="27">
        <v>5251</v>
      </c>
    </row>
    <row r="14" spans="1:6" x14ac:dyDescent="0.25">
      <c r="A14" s="12" t="s">
        <v>187</v>
      </c>
      <c r="B14" s="22">
        <v>6444</v>
      </c>
      <c r="C14" s="22">
        <v>5893</v>
      </c>
      <c r="D14" s="22">
        <v>6307</v>
      </c>
      <c r="E14" s="22">
        <v>6778</v>
      </c>
      <c r="F14" s="22">
        <v>7170</v>
      </c>
    </row>
    <row r="15" spans="1:6" x14ac:dyDescent="0.25">
      <c r="A15" s="12" t="s">
        <v>188</v>
      </c>
      <c r="B15" s="22">
        <v>39</v>
      </c>
      <c r="C15" s="22">
        <v>37</v>
      </c>
      <c r="D15" s="22">
        <v>35</v>
      </c>
      <c r="E15" s="22">
        <v>35</v>
      </c>
      <c r="F15" s="22">
        <v>36</v>
      </c>
    </row>
    <row r="16" spans="1:6" x14ac:dyDescent="0.25">
      <c r="A16" s="12" t="s">
        <v>189</v>
      </c>
      <c r="B16" s="22">
        <v>79</v>
      </c>
      <c r="C16" s="22">
        <v>77</v>
      </c>
      <c r="D16" s="22">
        <v>76</v>
      </c>
      <c r="E16" s="22">
        <v>83</v>
      </c>
      <c r="F16" s="22">
        <v>80</v>
      </c>
    </row>
    <row r="17" spans="1:6" x14ac:dyDescent="0.25">
      <c r="A17" s="10" t="s">
        <v>190</v>
      </c>
      <c r="B17" s="27">
        <v>6562</v>
      </c>
      <c r="C17" s="27">
        <v>6007</v>
      </c>
      <c r="D17" s="27">
        <v>6418</v>
      </c>
      <c r="E17" s="27">
        <v>6896</v>
      </c>
      <c r="F17" s="27">
        <v>7286</v>
      </c>
    </row>
    <row r="19" spans="1:6" x14ac:dyDescent="0.25">
      <c r="A19" s="20" t="s">
        <v>191</v>
      </c>
      <c r="B19" s="19"/>
      <c r="C19" s="19"/>
      <c r="D19" s="19"/>
      <c r="E19" s="19"/>
      <c r="F19" s="19"/>
    </row>
    <row r="20" spans="1:6" x14ac:dyDescent="0.25">
      <c r="A20" s="24" t="s">
        <v>192</v>
      </c>
    </row>
    <row r="21" spans="1:6" x14ac:dyDescent="0.25">
      <c r="A21" s="12" t="s">
        <v>193</v>
      </c>
      <c r="B21" s="30">
        <v>1.4385084259591301</v>
      </c>
      <c r="C21" s="30">
        <v>2.1340482573726498</v>
      </c>
      <c r="D21" s="30">
        <v>2.7707231040564402</v>
      </c>
      <c r="E21" s="30">
        <v>3.38064165307232</v>
      </c>
      <c r="F21" s="30">
        <v>2.6674506114769501</v>
      </c>
    </row>
    <row r="22" spans="1:6" x14ac:dyDescent="0.25">
      <c r="A22" s="12" t="s">
        <v>194</v>
      </c>
      <c r="B22" s="30">
        <v>1.1258515596988199</v>
      </c>
      <c r="C22" s="30">
        <v>1.9651474530831099</v>
      </c>
      <c r="D22" s="30">
        <v>2.3674309229864798</v>
      </c>
      <c r="E22" s="30">
        <v>3.0821098423055999</v>
      </c>
      <c r="F22" s="30">
        <v>2.4698965192850402</v>
      </c>
    </row>
    <row r="23" spans="1:6" x14ac:dyDescent="0.25">
      <c r="A23" s="12" t="s">
        <v>195</v>
      </c>
      <c r="B23" s="30">
        <v>0.62259466170080702</v>
      </c>
      <c r="C23" s="30">
        <v>0.67537756660444603</v>
      </c>
      <c r="D23" s="30">
        <v>0.74726494371333396</v>
      </c>
      <c r="E23" s="30">
        <v>0.91723222189436404</v>
      </c>
      <c r="F23" s="30">
        <v>0.79093444909344501</v>
      </c>
    </row>
    <row r="25" spans="1:6" x14ac:dyDescent="0.25">
      <c r="A25" s="20" t="s">
        <v>196</v>
      </c>
      <c r="B25" s="19"/>
      <c r="C25" s="19"/>
      <c r="D25" s="19"/>
      <c r="E25" s="19"/>
      <c r="F25" s="19"/>
    </row>
    <row r="26" spans="1:6" x14ac:dyDescent="0.25">
      <c r="A26" s="12" t="s">
        <v>197</v>
      </c>
      <c r="B26" s="30">
        <v>1.5636052481460401</v>
      </c>
      <c r="C26" s="30">
        <v>1.2237266279819501</v>
      </c>
      <c r="D26" s="30">
        <v>1.3068870523416001</v>
      </c>
      <c r="E26" s="30">
        <v>1.1028123559243901</v>
      </c>
      <c r="F26" s="30">
        <v>1.0438981562774401</v>
      </c>
    </row>
    <row r="27" spans="1:6" x14ac:dyDescent="0.25">
      <c r="A27" s="12" t="s">
        <v>198</v>
      </c>
      <c r="B27" s="30">
        <v>1.44495151169424</v>
      </c>
      <c r="C27" s="30">
        <v>1.0999355254674399</v>
      </c>
      <c r="D27" s="30">
        <v>1.2022038567493101</v>
      </c>
      <c r="E27" s="30">
        <v>1.01613646841863</v>
      </c>
      <c r="F27" s="30">
        <v>0.960930640913082</v>
      </c>
    </row>
    <row r="29" spans="1:6" x14ac:dyDescent="0.25">
      <c r="A29" s="20" t="s">
        <v>199</v>
      </c>
      <c r="B29" s="19"/>
      <c r="C29" s="19"/>
      <c r="D29" s="19"/>
      <c r="E29" s="19"/>
      <c r="F29" s="19"/>
    </row>
    <row r="30" spans="1:6" x14ac:dyDescent="0.25">
      <c r="A30" s="24" t="s">
        <v>200</v>
      </c>
    </row>
    <row r="31" spans="1:6" x14ac:dyDescent="0.25">
      <c r="A31" s="12" t="s">
        <v>201</v>
      </c>
      <c r="B31" s="31">
        <v>48.653133110863898</v>
      </c>
      <c r="C31" s="31">
        <v>44.133866234948897</v>
      </c>
      <c r="D31" s="31">
        <v>47.735624729788199</v>
      </c>
      <c r="E31" s="31">
        <v>48.213128038897899</v>
      </c>
      <c r="F31" s="31">
        <v>46.571816946080702</v>
      </c>
    </row>
    <row r="32" spans="1:6" x14ac:dyDescent="0.25">
      <c r="A32" s="12" t="s">
        <v>202</v>
      </c>
      <c r="B32" s="31">
        <v>11.539747682018501</v>
      </c>
      <c r="C32" s="31">
        <v>10.865116279069801</v>
      </c>
      <c r="D32" s="31">
        <v>11.187288272302</v>
      </c>
      <c r="E32" s="31">
        <v>10.353047676523801</v>
      </c>
      <c r="F32" s="31">
        <v>9.3602442333785607</v>
      </c>
    </row>
    <row r="33" spans="1:6" x14ac:dyDescent="0.25">
      <c r="A33" s="12" t="s">
        <v>203</v>
      </c>
      <c r="B33" s="31">
        <v>88.767289861681107</v>
      </c>
      <c r="C33" s="31">
        <v>78.998449612403107</v>
      </c>
      <c r="D33" s="31">
        <v>80.018551379254703</v>
      </c>
      <c r="E33" s="31">
        <v>76.766747133373599</v>
      </c>
      <c r="F33" s="31">
        <v>79.240162822252401</v>
      </c>
    </row>
    <row r="34" spans="1:6" ht="15.75" thickBot="1" x14ac:dyDescent="0.3">
      <c r="A34" s="13" t="s">
        <v>204</v>
      </c>
      <c r="B34" s="32">
        <v>-28.574409068798602</v>
      </c>
      <c r="C34" s="32">
        <v>-23.9994670983844</v>
      </c>
      <c r="D34" s="32">
        <v>-21.095638377164601</v>
      </c>
      <c r="E34" s="32">
        <v>-18.200571417951799</v>
      </c>
      <c r="F34" s="32">
        <v>-23.308101642793201</v>
      </c>
    </row>
    <row r="36" spans="1:6" x14ac:dyDescent="0.25">
      <c r="A36" s="20" t="s">
        <v>205</v>
      </c>
      <c r="B36" s="19"/>
      <c r="C36" s="19"/>
      <c r="D36" s="19"/>
      <c r="E36" s="19"/>
      <c r="F36" s="19"/>
    </row>
    <row r="37" spans="1:6" x14ac:dyDescent="0.25">
      <c r="A37" s="12" t="s">
        <v>206</v>
      </c>
      <c r="B37" s="33">
        <v>15.85</v>
      </c>
      <c r="C37" s="33">
        <v>8.1</v>
      </c>
      <c r="D37" s="33">
        <v>7.59</v>
      </c>
      <c r="E37" s="33">
        <v>7.78</v>
      </c>
      <c r="F37" s="33">
        <v>8.8699999999999992</v>
      </c>
    </row>
    <row r="38" spans="1:6" x14ac:dyDescent="0.25">
      <c r="A38" s="12" t="s">
        <v>207</v>
      </c>
      <c r="B38" s="33">
        <v>15.55</v>
      </c>
      <c r="C38" s="33">
        <v>7.97</v>
      </c>
      <c r="D38" s="33">
        <v>7.49</v>
      </c>
      <c r="E38" s="33">
        <v>7.69</v>
      </c>
      <c r="F38" s="33">
        <v>8.75</v>
      </c>
    </row>
    <row r="39" spans="1:6" x14ac:dyDescent="0.25">
      <c r="A39" s="12" t="s">
        <v>208</v>
      </c>
      <c r="B39" s="26" t="s">
        <v>120</v>
      </c>
      <c r="C39" s="26" t="s">
        <v>120</v>
      </c>
      <c r="D39" s="26" t="s">
        <v>120</v>
      </c>
      <c r="E39" s="26" t="s">
        <v>120</v>
      </c>
      <c r="F39" s="26" t="s">
        <v>120</v>
      </c>
    </row>
    <row r="40" spans="1:6" x14ac:dyDescent="0.25">
      <c r="A40" s="24" t="s">
        <v>209</v>
      </c>
    </row>
    <row r="41" spans="1:6" x14ac:dyDescent="0.25">
      <c r="A41" s="12" t="s">
        <v>210</v>
      </c>
      <c r="B41" s="33">
        <v>50.227669172932302</v>
      </c>
      <c r="C41" s="33">
        <v>49.648213530655397</v>
      </c>
      <c r="D41" s="33">
        <v>55.315491803278697</v>
      </c>
      <c r="E41" s="33">
        <v>59.842502870264099</v>
      </c>
      <c r="F41" s="33">
        <v>63.243447580645203</v>
      </c>
    </row>
    <row r="42" spans="1:6" x14ac:dyDescent="0.25">
      <c r="A42" s="12" t="s">
        <v>211</v>
      </c>
      <c r="B42" s="28">
        <v>128.30000000000001</v>
      </c>
      <c r="C42" s="28">
        <v>118.7</v>
      </c>
      <c r="D42" s="28">
        <v>114</v>
      </c>
      <c r="E42" s="28">
        <v>113.3</v>
      </c>
      <c r="F42" s="28">
        <v>113.4</v>
      </c>
    </row>
    <row r="43" spans="1:6" x14ac:dyDescent="0.25">
      <c r="A43" s="12" t="s">
        <v>212</v>
      </c>
      <c r="B43" s="28">
        <v>119</v>
      </c>
      <c r="C43" s="28">
        <v>111</v>
      </c>
      <c r="D43" s="28">
        <v>111</v>
      </c>
      <c r="E43" s="28">
        <v>111</v>
      </c>
      <c r="F43" s="28">
        <v>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Cash Flow Statement</vt:lpstr>
      <vt:lpstr>Segment &amp; Volume</vt:lpstr>
      <vt:lpstr>Profitability &amp; Returns</vt:lpstr>
      <vt:lpstr>Cash Flow &amp; Capital</vt:lpstr>
      <vt:lpstr>Capital Structure &amp; Per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0</cp:revision>
  <dcterms:created xsi:type="dcterms:W3CDTF">2026-04-14T21:38:55Z</dcterms:created>
  <dcterms:modified xsi:type="dcterms:W3CDTF">2026-04-17T15:24:25Z</dcterms:modified>
  <dc:language>en-US</dc:language>
</cp:coreProperties>
</file>