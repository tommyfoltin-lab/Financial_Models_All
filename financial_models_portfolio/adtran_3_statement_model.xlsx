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A481A7AE-E015-40DA-A083-685251800697}" xr6:coauthVersionLast="47" xr6:coauthVersionMax="47" xr10:uidLastSave="{00000000-0000-0000-0000-000000000000}"/>
  <bookViews>
    <workbookView xWindow="-105" yWindow="0" windowWidth="29010" windowHeight="15585" activeTab="2" xr2:uid="{00000000-000D-0000-FFFF-FFFF00000000}"/>
  </bookViews>
  <sheets>
    <sheet name="Income Statement" sheetId="1" r:id="rId1"/>
    <sheet name="Balance Sheet" sheetId="2" r:id="rId2"/>
    <sheet name="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3" l="1"/>
  <c r="D60" i="3"/>
  <c r="C61" i="3"/>
  <c r="D61" i="3"/>
  <c r="C62" i="3"/>
  <c r="D62" i="3"/>
  <c r="B61" i="3"/>
  <c r="B60" i="3"/>
  <c r="B62" i="3" s="1"/>
  <c r="C57" i="3"/>
  <c r="C53" i="3"/>
  <c r="C55" i="3" s="1"/>
  <c r="C58" i="3" s="1"/>
  <c r="D57" i="3" s="1"/>
  <c r="D53" i="3"/>
  <c r="B53" i="3"/>
  <c r="C37" i="3"/>
  <c r="D37" i="3"/>
  <c r="B37" i="3"/>
  <c r="C6" i="3"/>
  <c r="D6" i="3"/>
  <c r="D29" i="3" s="1"/>
  <c r="B6" i="3"/>
  <c r="B29" i="3" s="1"/>
  <c r="C29" i="3"/>
  <c r="B15" i="2"/>
  <c r="B22" i="2" s="1"/>
  <c r="B32" i="2"/>
  <c r="B41" i="2"/>
  <c r="B51" i="2"/>
  <c r="D54" i="2"/>
  <c r="C54" i="2"/>
  <c r="D52" i="2"/>
  <c r="C52" i="2"/>
  <c r="D51" i="2"/>
  <c r="C51" i="2"/>
  <c r="D41" i="2"/>
  <c r="C41" i="2"/>
  <c r="D32" i="2"/>
  <c r="C32" i="2"/>
  <c r="D22" i="2"/>
  <c r="C22" i="2"/>
  <c r="D15" i="2"/>
  <c r="C15" i="2"/>
  <c r="B31" i="1"/>
  <c r="C31" i="1"/>
  <c r="D31" i="1"/>
  <c r="C30" i="1"/>
  <c r="D30" i="1"/>
  <c r="B30" i="1"/>
  <c r="C8" i="1"/>
  <c r="C14" i="1" s="1"/>
  <c r="C19" i="1" s="1"/>
  <c r="C25" i="1" s="1"/>
  <c r="C27" i="1" s="1"/>
  <c r="C29" i="1" s="1"/>
  <c r="D8" i="1"/>
  <c r="D14" i="1" s="1"/>
  <c r="D19" i="1" s="1"/>
  <c r="D25" i="1" s="1"/>
  <c r="D27" i="1" s="1"/>
  <c r="D29" i="1" s="1"/>
  <c r="B8" i="1"/>
  <c r="B14" i="1" s="1"/>
  <c r="B19" i="1" s="1"/>
  <c r="B25" i="1" s="1"/>
  <c r="B27" i="1" s="1"/>
  <c r="B29" i="1" s="1"/>
  <c r="D55" i="3" l="1"/>
  <c r="D58" i="3" s="1"/>
  <c r="B55" i="3"/>
  <c r="B52" i="2"/>
  <c r="B54" i="2" s="1"/>
</calcChain>
</file>

<file path=xl/sharedStrings.xml><?xml version="1.0" encoding="utf-8"?>
<sst xmlns="http://schemas.openxmlformats.org/spreadsheetml/2006/main" count="143" uniqueCount="127">
  <si>
    <t>ADTRAN Holdings, Inc. - Consolidated Statements of Loss</t>
  </si>
  <si>
    <t>As reported, in thousands. Raw figures copied from filing. Zeros shown as 0.</t>
  </si>
  <si>
    <t>Line Item</t>
  </si>
  <si>
    <t>2023</t>
  </si>
  <si>
    <t>2024</t>
  </si>
  <si>
    <t>2025</t>
  </si>
  <si>
    <t>Revenue</t>
  </si>
  <si>
    <t>Network Solutions</t>
  </si>
  <si>
    <t>Services &amp; Support</t>
  </si>
  <si>
    <t>Total Revenue</t>
  </si>
  <si>
    <t>Cost of Revenue</t>
  </si>
  <si>
    <t>Network Solutions - charges and inventory write-down</t>
  </si>
  <si>
    <t>Gross Profit</t>
  </si>
  <si>
    <t>Selling, general and administrative expenses</t>
  </si>
  <si>
    <t>Research and development expenses</t>
  </si>
  <si>
    <t>Goodwill impairment</t>
  </si>
  <si>
    <t>Operating Loss</t>
  </si>
  <si>
    <t>Interest and dividend income</t>
  </si>
  <si>
    <t>Interest expense</t>
  </si>
  <si>
    <t>Net investment gain</t>
  </si>
  <si>
    <t>Other (expense) income, net</t>
  </si>
  <si>
    <t>Loss Before Income Taxes</t>
  </si>
  <si>
    <t>Income tax expense</t>
  </si>
  <si>
    <t>Net Loss</t>
  </si>
  <si>
    <t>Net Income attributable to non-controlling interest</t>
  </si>
  <si>
    <t>Net Loss attributable to ADTRAN Holdings, Inc.</t>
  </si>
  <si>
    <t>ADTRAN Holdings, Inc. - Consolidated Balance Sheets</t>
  </si>
  <si>
    <t>ASSETS</t>
  </si>
  <si>
    <t>Current Assets</t>
  </si>
  <si>
    <t>Cash and cash equivalents</t>
  </si>
  <si>
    <t>Accounts receivable, less allowance for credit losses</t>
  </si>
  <si>
    <t>Other receivables</t>
  </si>
  <si>
    <t>Inventory, net</t>
  </si>
  <si>
    <t>Income tax receivable</t>
  </si>
  <si>
    <t>Prepaid expenses and other current assets</t>
  </si>
  <si>
    <t>Short-term investments - deferred compensation</t>
  </si>
  <si>
    <t>Assets held for sale</t>
  </si>
  <si>
    <t>Total Current Assets</t>
  </si>
  <si>
    <t>Property, plant and equipment, net</t>
  </si>
  <si>
    <t>Goodwill</t>
  </si>
  <si>
    <t>Intangibles, net</t>
  </si>
  <si>
    <t>Deferred tax assets</t>
  </si>
  <si>
    <t>Other non-current assets</t>
  </si>
  <si>
    <t>Long-term investments</t>
  </si>
  <si>
    <t>Total Assets</t>
  </si>
  <si>
    <t>LIABILITIES AND EQUITY</t>
  </si>
  <si>
    <t>Current Liabilities</t>
  </si>
  <si>
    <t>Accounts payable</t>
  </si>
  <si>
    <t>Unearned revenue</t>
  </si>
  <si>
    <t>Accrued expenses and other liabilities</t>
  </si>
  <si>
    <t>Accrued wages and benefits</t>
  </si>
  <si>
    <t>Deferred compensation liability</t>
  </si>
  <si>
    <t>Income tax payable</t>
  </si>
  <si>
    <t>Total Current Liabilities</t>
  </si>
  <si>
    <t>Non-current revolving credit agreement outstanding</t>
  </si>
  <si>
    <t>Non-current convertible senior notes, net of debt issuance costs</t>
  </si>
  <si>
    <t>Deferred tax liabilities</t>
  </si>
  <si>
    <t>Non-current unearned revenue</t>
  </si>
  <si>
    <t>Non-current pension liability</t>
  </si>
  <si>
    <t>Non-current deferred compensation liability</t>
  </si>
  <si>
    <t>Non-current lease obligations</t>
  </si>
  <si>
    <t>Other non-current liabilities</t>
  </si>
  <si>
    <t>Total Liabilities</t>
  </si>
  <si>
    <t>Redeemable Non-Controlling Interest</t>
  </si>
  <si>
    <t>Equity</t>
  </si>
  <si>
    <t>Common stock</t>
  </si>
  <si>
    <t>Additional paid-in capital</t>
  </si>
  <si>
    <t>Accumulated other comprehensive income</t>
  </si>
  <si>
    <t>Retained deficit</t>
  </si>
  <si>
    <t>Less treasury stock at cost</t>
  </si>
  <si>
    <t>Total Equity</t>
  </si>
  <si>
    <t>Total Liabilities and Equity</t>
  </si>
  <si>
    <t>ADTRAN Holdings, Inc. - Consolidated Statements of Cash Flows</t>
  </si>
  <si>
    <t>Cash flows from operating activities</t>
  </si>
  <si>
    <t>Adjustments to reconcile net loss to net cash provided by (used in) operating activities</t>
  </si>
  <si>
    <t>Depreciation and amortization</t>
  </si>
  <si>
    <t>Amortization of revolving credit facility issuance costs</t>
  </si>
  <si>
    <t>Amortization of convertible notes issuance costs</t>
  </si>
  <si>
    <t>Accretion on available-for-sale investments, net</t>
  </si>
  <si>
    <t>Gain on investments</t>
  </si>
  <si>
    <t>Net loss on disposal of property, plant and equipment</t>
  </si>
  <si>
    <t>Stock-based compensation expense</t>
  </si>
  <si>
    <t>Deferred income taxes</t>
  </si>
  <si>
    <t>Inventory write down - business efficiency program</t>
  </si>
  <si>
    <t>Inventory reserves</t>
  </si>
  <si>
    <t>Other, net</t>
  </si>
  <si>
    <t>Change in operating assets and liabilities</t>
  </si>
  <si>
    <t>Accounts receivable, net</t>
  </si>
  <si>
    <t>Income taxes receivable</t>
  </si>
  <si>
    <t>Inventory</t>
  </si>
  <si>
    <t>Prepaid expenses, other current assets and other assets</t>
  </si>
  <si>
    <t>Income taxes payable</t>
  </si>
  <si>
    <t>Net cash provided by (used in) operating activities</t>
  </si>
  <si>
    <t>Cash flows from investing activities</t>
  </si>
  <si>
    <t>Purchases of property, plant and equipment</t>
  </si>
  <si>
    <t>Purchases of intangibles - developed technology</t>
  </si>
  <si>
    <t>Proceeds from sales and maturities of available-for-sale investments</t>
  </si>
  <si>
    <t>Purchases of available-for-sale investments</t>
  </si>
  <si>
    <t>(Payments for) proceeds from beneficial interests in securitized accounts receivable</t>
  </si>
  <si>
    <t>Net cash used in investing activities</t>
  </si>
  <si>
    <t>Cash flows from financing activities</t>
  </si>
  <si>
    <t>Tax withholdings related to stock-based compensation settlements</t>
  </si>
  <si>
    <t>Proceeds from stock option exercises</t>
  </si>
  <si>
    <t>Dividend payments</t>
  </si>
  <si>
    <t>Proceeds from receivables purchase agreement</t>
  </si>
  <si>
    <t>Repayments on receivables purchase agreement</t>
  </si>
  <si>
    <t>Proceeds from draw on revolving credit agreement</t>
  </si>
  <si>
    <t>Repayment of revolving credit agreement</t>
  </si>
  <si>
    <t>Redemption of redeemable non-controlling interest</t>
  </si>
  <si>
    <t>Payment of annual recurring compensation to non-controlling interest</t>
  </si>
  <si>
    <t>Payment of debt issuance cost</t>
  </si>
  <si>
    <t>Proceeds from issuance of senior convertible notes</t>
  </si>
  <si>
    <t>Payments for capped call transactions related to convertible senior notes</t>
  </si>
  <si>
    <t>Repayment of notes payable</t>
  </si>
  <si>
    <t>Net cash (used in) provided by financing activities</t>
  </si>
  <si>
    <t>Net increase (decrease) in cash and cash equivalents</t>
  </si>
  <si>
    <t>Effect of exchange rate changes</t>
  </si>
  <si>
    <t>Cash and cash equivalents, beginning of year</t>
  </si>
  <si>
    <t>Cash and cash equivalents, end of year</t>
  </si>
  <si>
    <t>Basic WASO</t>
  </si>
  <si>
    <t>Diluted WASO</t>
  </si>
  <si>
    <t>Basic EPS</t>
  </si>
  <si>
    <t>Diluted EPS</t>
  </si>
  <si>
    <t>Balance</t>
  </si>
  <si>
    <t>CaapEx</t>
  </si>
  <si>
    <t>Intangible Inv</t>
  </si>
  <si>
    <t>Total Investment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</si>
</sst>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ajor"/>
    </font>
    <font>
      <sz val="12"/>
      <color theme="1"/>
      <name val="Calibri"/>
      <family val="2"/>
      <scheme val="major"/>
    </font>
    <font>
      <i/>
      <sz val="12"/>
      <color rgb="FF444444"/>
      <name val="Calibri"/>
      <family val="2"/>
      <scheme val="major"/>
    </font>
    <font>
      <b/>
      <sz val="12"/>
      <name val="Calibri"/>
      <family val="2"/>
      <scheme val="major"/>
    </font>
    <font>
      <b/>
      <sz val="12"/>
      <color theme="1"/>
      <name val="Calibri"/>
      <family val="2"/>
      <scheme val="major"/>
    </font>
    <font>
      <b/>
      <sz val="12"/>
      <color rgb="FF000000"/>
      <name val="Calibri"/>
      <family val="2"/>
      <scheme val="major"/>
    </font>
    <font>
      <b/>
      <i/>
      <sz val="12"/>
      <name val="Calibri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D9EAF7"/>
      </patternFill>
    </fill>
    <fill>
      <patternFill patternType="solid">
        <fgColor rgb="FFEEF5FB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 style="medium">
        <color rgb="FF1F4E78"/>
      </top>
      <bottom style="thin">
        <color rgb="FFBFBFBF"/>
      </bottom>
      <diagonal/>
    </border>
    <border>
      <left/>
      <right/>
      <top style="medium">
        <color rgb="FF1F4E78"/>
      </top>
      <bottom style="medium">
        <color rgb="FF1F4E7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/>
    <xf numFmtId="0" fontId="4" fillId="0" borderId="0" xfId="0" applyFont="1"/>
    <xf numFmtId="0" fontId="5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4" borderId="2" xfId="0" applyFont="1" applyFill="1" applyBorder="1"/>
    <xf numFmtId="0" fontId="3" fillId="4" borderId="0" xfId="0" applyFont="1" applyFill="1"/>
    <xf numFmtId="166" fontId="3" fillId="0" borderId="0" xfId="1" applyNumberFormat="1" applyFont="1" applyAlignment="1">
      <alignment horizontal="right"/>
    </xf>
    <xf numFmtId="0" fontId="5" fillId="0" borderId="1" xfId="0" applyFont="1" applyBorder="1"/>
    <xf numFmtId="166" fontId="6" fillId="0" borderId="1" xfId="1" applyNumberFormat="1" applyFont="1" applyBorder="1" applyAlignment="1">
      <alignment horizontal="right"/>
    </xf>
    <xf numFmtId="166" fontId="3" fillId="0" borderId="0" xfId="1" applyNumberFormat="1" applyFont="1"/>
    <xf numFmtId="166" fontId="3" fillId="4" borderId="0" xfId="1" applyNumberFormat="1" applyFont="1" applyFill="1"/>
    <xf numFmtId="0" fontId="7" fillId="0" borderId="3" xfId="0" applyFont="1" applyBorder="1"/>
    <xf numFmtId="166" fontId="6" fillId="0" borderId="3" xfId="1" applyNumberFormat="1" applyFont="1" applyBorder="1" applyAlignment="1">
      <alignment horizontal="right"/>
    </xf>
    <xf numFmtId="43" fontId="3" fillId="0" borderId="0" xfId="1" applyFont="1"/>
    <xf numFmtId="0" fontId="8" fillId="5" borderId="0" xfId="0" applyFont="1" applyFill="1"/>
    <xf numFmtId="166" fontId="3" fillId="5" borderId="0" xfId="1" applyNumberFormat="1" applyFont="1" applyFill="1"/>
    <xf numFmtId="0" fontId="5" fillId="4" borderId="0" xfId="0" applyFont="1" applyFill="1" applyBorder="1"/>
    <xf numFmtId="0" fontId="3" fillId="5" borderId="0" xfId="0" applyFont="1" applyFill="1"/>
    <xf numFmtId="43" fontId="3" fillId="4" borderId="0" xfId="1" applyFont="1" applyFill="1"/>
    <xf numFmtId="43" fontId="3" fillId="0" borderId="0" xfId="1" applyFont="1" applyAlignment="1">
      <alignment horizontal="right"/>
    </xf>
    <xf numFmtId="166" fontId="3" fillId="0" borderId="0" xfId="0" applyNumberFormat="1" applyFont="1"/>
    <xf numFmtId="0" fontId="6" fillId="0" borderId="0" xfId="0" applyFont="1"/>
    <xf numFmtId="166" fontId="6" fillId="0" borderId="0" xfId="1" applyNumberFormat="1" applyFont="1" applyAlignment="1">
      <alignment horizontal="right"/>
    </xf>
    <xf numFmtId="166" fontId="6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selection activeCell="H27" sqref="H27"/>
    </sheetView>
  </sheetViews>
  <sheetFormatPr defaultRowHeight="15.75" x14ac:dyDescent="0.25"/>
  <cols>
    <col min="1" max="1" width="62" style="3" customWidth="1"/>
    <col min="2" max="4" width="16" style="3" customWidth="1"/>
    <col min="5" max="16384" width="9.140625" style="3"/>
  </cols>
  <sheetData>
    <row r="1" spans="1:4" ht="20.100000000000001" customHeight="1" x14ac:dyDescent="0.25">
      <c r="A1" s="1" t="s">
        <v>0</v>
      </c>
      <c r="B1" s="2"/>
      <c r="C1" s="2"/>
      <c r="D1" s="2"/>
    </row>
    <row r="2" spans="1:4" ht="20.100000000000001" customHeight="1" x14ac:dyDescent="0.25">
      <c r="A2" s="4" t="s">
        <v>1</v>
      </c>
      <c r="B2" s="2"/>
      <c r="C2" s="2"/>
      <c r="D2" s="2"/>
    </row>
    <row r="3" spans="1:4" ht="20.100000000000001" customHeight="1" x14ac:dyDescent="0.25"/>
    <row r="4" spans="1:4" ht="20.100000000000001" customHeight="1" x14ac:dyDescent="0.25">
      <c r="A4" s="5" t="s">
        <v>2</v>
      </c>
      <c r="B4" s="6" t="s">
        <v>3</v>
      </c>
      <c r="C4" s="6" t="s">
        <v>4</v>
      </c>
      <c r="D4" s="6" t="s">
        <v>5</v>
      </c>
    </row>
    <row r="5" spans="1:4" ht="20.100000000000001" customHeight="1" x14ac:dyDescent="0.25">
      <c r="A5" s="7" t="s">
        <v>6</v>
      </c>
      <c r="B5" s="8"/>
      <c r="C5" s="8"/>
      <c r="D5" s="8"/>
    </row>
    <row r="6" spans="1:4" ht="20.100000000000001" customHeight="1" x14ac:dyDescent="0.25">
      <c r="A6" s="3" t="s">
        <v>7</v>
      </c>
      <c r="B6" s="9">
        <v>974389</v>
      </c>
      <c r="C6" s="9">
        <v>738964</v>
      </c>
      <c r="D6" s="9">
        <v>896911</v>
      </c>
    </row>
    <row r="7" spans="1:4" ht="20.100000000000001" customHeight="1" x14ac:dyDescent="0.25">
      <c r="A7" s="3" t="s">
        <v>8</v>
      </c>
      <c r="B7" s="9">
        <v>174711</v>
      </c>
      <c r="C7" s="9">
        <v>183756</v>
      </c>
      <c r="D7" s="9">
        <v>186896</v>
      </c>
    </row>
    <row r="8" spans="1:4" ht="20.100000000000001" customHeight="1" x14ac:dyDescent="0.25">
      <c r="A8" s="10" t="s">
        <v>9</v>
      </c>
      <c r="B8" s="11">
        <f>SUM(B6:B7)</f>
        <v>1149100</v>
      </c>
      <c r="C8" s="11">
        <f t="shared" ref="C8:D8" si="0">SUM(C6:C7)</f>
        <v>922720</v>
      </c>
      <c r="D8" s="11">
        <f t="shared" si="0"/>
        <v>1083807</v>
      </c>
    </row>
    <row r="9" spans="1:4" ht="20.100000000000001" customHeight="1" x14ac:dyDescent="0.25">
      <c r="B9" s="12"/>
      <c r="C9" s="12"/>
      <c r="D9" s="12"/>
    </row>
    <row r="10" spans="1:4" ht="20.100000000000001" customHeight="1" x14ac:dyDescent="0.25">
      <c r="A10" s="7" t="s">
        <v>10</v>
      </c>
      <c r="B10" s="13"/>
      <c r="C10" s="13"/>
      <c r="D10" s="13"/>
    </row>
    <row r="11" spans="1:4" ht="20.100000000000001" customHeight="1" x14ac:dyDescent="0.25">
      <c r="A11" s="3" t="s">
        <v>7</v>
      </c>
      <c r="B11" s="9">
        <v>724518</v>
      </c>
      <c r="C11" s="9">
        <v>517220</v>
      </c>
      <c r="D11" s="9">
        <v>592141</v>
      </c>
    </row>
    <row r="12" spans="1:4" ht="20.100000000000001" customHeight="1" x14ac:dyDescent="0.25">
      <c r="A12" s="3" t="s">
        <v>11</v>
      </c>
      <c r="B12" s="9">
        <v>24313</v>
      </c>
      <c r="C12" s="9">
        <v>8597</v>
      </c>
      <c r="D12" s="9">
        <v>0</v>
      </c>
    </row>
    <row r="13" spans="1:4" ht="20.100000000000001" customHeight="1" x14ac:dyDescent="0.25">
      <c r="A13" s="3" t="s">
        <v>8</v>
      </c>
      <c r="B13" s="9">
        <v>69142</v>
      </c>
      <c r="C13" s="9">
        <v>72739</v>
      </c>
      <c r="D13" s="9">
        <v>76711</v>
      </c>
    </row>
    <row r="14" spans="1:4" ht="20.100000000000001" customHeight="1" x14ac:dyDescent="0.25">
      <c r="A14" s="10" t="s">
        <v>12</v>
      </c>
      <c r="B14" s="11">
        <f>B8-B11-B12-B13</f>
        <v>331127</v>
      </c>
      <c r="C14" s="11">
        <f t="shared" ref="C14:D14" si="1">C8-C11-C12-C13</f>
        <v>324164</v>
      </c>
      <c r="D14" s="11">
        <f t="shared" si="1"/>
        <v>414955</v>
      </c>
    </row>
    <row r="15" spans="1:4" ht="20.100000000000001" customHeight="1" x14ac:dyDescent="0.25">
      <c r="B15" s="12"/>
      <c r="C15" s="12"/>
      <c r="D15" s="12"/>
    </row>
    <row r="16" spans="1:4" ht="20.100000000000001" customHeight="1" x14ac:dyDescent="0.25">
      <c r="A16" s="3" t="s">
        <v>13</v>
      </c>
      <c r="B16" s="9">
        <v>258610</v>
      </c>
      <c r="C16" s="9">
        <v>232918</v>
      </c>
      <c r="D16" s="9">
        <v>226275</v>
      </c>
    </row>
    <row r="17" spans="1:4" ht="20.100000000000001" customHeight="1" x14ac:dyDescent="0.25">
      <c r="A17" s="3" t="s">
        <v>14</v>
      </c>
      <c r="B17" s="9">
        <v>258311</v>
      </c>
      <c r="C17" s="9">
        <v>221458</v>
      </c>
      <c r="D17" s="9">
        <v>204276</v>
      </c>
    </row>
    <row r="18" spans="1:4" ht="20.100000000000001" customHeight="1" x14ac:dyDescent="0.25">
      <c r="A18" s="3" t="s">
        <v>15</v>
      </c>
      <c r="B18" s="9">
        <v>37874</v>
      </c>
      <c r="C18" s="9">
        <v>297353</v>
      </c>
      <c r="D18" s="9">
        <v>0</v>
      </c>
    </row>
    <row r="19" spans="1:4" ht="20.100000000000001" customHeight="1" x14ac:dyDescent="0.25">
      <c r="A19" s="10" t="s">
        <v>16</v>
      </c>
      <c r="B19" s="11">
        <f>B14-B16-B17-B18</f>
        <v>-223668</v>
      </c>
      <c r="C19" s="11">
        <f t="shared" ref="C19:D19" si="2">C14-C16-C17-C18</f>
        <v>-427565</v>
      </c>
      <c r="D19" s="11">
        <f t="shared" si="2"/>
        <v>-15596</v>
      </c>
    </row>
    <row r="20" spans="1:4" ht="20.100000000000001" customHeight="1" x14ac:dyDescent="0.25">
      <c r="B20" s="12"/>
      <c r="C20" s="12"/>
      <c r="D20" s="12"/>
    </row>
    <row r="21" spans="1:4" ht="20.100000000000001" customHeight="1" x14ac:dyDescent="0.25">
      <c r="A21" s="3" t="s">
        <v>17</v>
      </c>
      <c r="B21" s="9">
        <v>2340</v>
      </c>
      <c r="C21" s="9">
        <v>3058</v>
      </c>
      <c r="D21" s="9">
        <v>2321</v>
      </c>
    </row>
    <row r="22" spans="1:4" ht="20.100000000000001" customHeight="1" x14ac:dyDescent="0.25">
      <c r="A22" s="3" t="s">
        <v>18</v>
      </c>
      <c r="B22" s="9">
        <v>-16299</v>
      </c>
      <c r="C22" s="9">
        <v>-22053</v>
      </c>
      <c r="D22" s="9">
        <v>-19344</v>
      </c>
    </row>
    <row r="23" spans="1:4" ht="20.100000000000001" customHeight="1" x14ac:dyDescent="0.25">
      <c r="A23" s="3" t="s">
        <v>19</v>
      </c>
      <c r="B23" s="9">
        <v>2754</v>
      </c>
      <c r="C23" s="9">
        <v>3587</v>
      </c>
      <c r="D23" s="9">
        <v>3001</v>
      </c>
    </row>
    <row r="24" spans="1:4" ht="20.100000000000001" customHeight="1" x14ac:dyDescent="0.25">
      <c r="A24" s="3" t="s">
        <v>20</v>
      </c>
      <c r="B24" s="9">
        <v>1266</v>
      </c>
      <c r="C24" s="9">
        <v>246</v>
      </c>
      <c r="D24" s="9">
        <v>-1632</v>
      </c>
    </row>
    <row r="25" spans="1:4" ht="20.100000000000001" customHeight="1" x14ac:dyDescent="0.25">
      <c r="A25" s="10" t="s">
        <v>21</v>
      </c>
      <c r="B25" s="11">
        <f>SUM(B19:B24)</f>
        <v>-233607</v>
      </c>
      <c r="C25" s="11">
        <f t="shared" ref="C25:D25" si="3">SUM(C19:C24)</f>
        <v>-442727</v>
      </c>
      <c r="D25" s="11">
        <f t="shared" si="3"/>
        <v>-31250</v>
      </c>
    </row>
    <row r="26" spans="1:4" ht="20.100000000000001" customHeight="1" x14ac:dyDescent="0.25">
      <c r="A26" s="3" t="s">
        <v>22</v>
      </c>
      <c r="B26" s="9">
        <v>-28299</v>
      </c>
      <c r="C26" s="9">
        <v>-7340</v>
      </c>
      <c r="D26" s="9">
        <v>-4993</v>
      </c>
    </row>
    <row r="27" spans="1:4" ht="20.100000000000001" customHeight="1" x14ac:dyDescent="0.25">
      <c r="A27" s="10" t="s">
        <v>23</v>
      </c>
      <c r="B27" s="11">
        <f>SUM(B25:B26)</f>
        <v>-261906</v>
      </c>
      <c r="C27" s="11">
        <f t="shared" ref="C27:D27" si="4">SUM(C25:C26)</f>
        <v>-450067</v>
      </c>
      <c r="D27" s="11">
        <f t="shared" si="4"/>
        <v>-36243</v>
      </c>
    </row>
    <row r="28" spans="1:4" ht="20.100000000000001" customHeight="1" x14ac:dyDescent="0.25">
      <c r="A28" s="3" t="s">
        <v>24</v>
      </c>
      <c r="B28" s="9">
        <v>6946</v>
      </c>
      <c r="C28" s="9">
        <v>9824</v>
      </c>
      <c r="D28" s="9">
        <v>9413</v>
      </c>
    </row>
    <row r="29" spans="1:4" ht="20.100000000000001" customHeight="1" x14ac:dyDescent="0.25">
      <c r="A29" s="14" t="s">
        <v>25</v>
      </c>
      <c r="B29" s="15">
        <f>B27-B28</f>
        <v>-268852</v>
      </c>
      <c r="C29" s="15">
        <f t="shared" ref="C29:D29" si="5">C27-C28</f>
        <v>-459891</v>
      </c>
      <c r="D29" s="15">
        <f t="shared" si="5"/>
        <v>-45656</v>
      </c>
    </row>
    <row r="30" spans="1:4" ht="20.100000000000001" customHeight="1" x14ac:dyDescent="0.25">
      <c r="A30" s="3" t="s">
        <v>121</v>
      </c>
      <c r="B30" s="16">
        <f>B$29/B32</f>
        <v>-3.4285349928586002</v>
      </c>
      <c r="C30" s="16">
        <f t="shared" ref="C30:D31" si="6">C$29/C32</f>
        <v>-5.8267154875329412</v>
      </c>
      <c r="D30" s="16">
        <f t="shared" si="6"/>
        <v>-0.57254646234104989</v>
      </c>
    </row>
    <row r="31" spans="1:4" x14ac:dyDescent="0.25">
      <c r="A31" s="3" t="s">
        <v>122</v>
      </c>
      <c r="B31" s="16">
        <f>B$29/B33</f>
        <v>-3.4285349928586002</v>
      </c>
      <c r="C31" s="16">
        <f t="shared" si="6"/>
        <v>-5.8267154875329412</v>
      </c>
      <c r="D31" s="16">
        <f t="shared" si="6"/>
        <v>-0.57254646234104989</v>
      </c>
    </row>
    <row r="32" spans="1:4" x14ac:dyDescent="0.25">
      <c r="A32" s="3" t="s">
        <v>119</v>
      </c>
      <c r="B32" s="12">
        <v>78416</v>
      </c>
      <c r="C32" s="12">
        <v>78928</v>
      </c>
      <c r="D32" s="12">
        <v>79742</v>
      </c>
    </row>
    <row r="33" spans="1:4" x14ac:dyDescent="0.25">
      <c r="A33" s="3" t="s">
        <v>120</v>
      </c>
      <c r="B33" s="12">
        <v>78416</v>
      </c>
      <c r="C33" s="12">
        <v>78928</v>
      </c>
      <c r="D33" s="12">
        <v>79742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"/>
  <sheetViews>
    <sheetView showGridLines="0" workbookViewId="0">
      <selection activeCell="F15" sqref="F15"/>
    </sheetView>
  </sheetViews>
  <sheetFormatPr defaultRowHeight="15.75" x14ac:dyDescent="0.25"/>
  <cols>
    <col min="1" max="1" width="62" style="3" customWidth="1"/>
    <col min="2" max="2" width="14" style="3" customWidth="1"/>
    <col min="3" max="4" width="16" style="3" customWidth="1"/>
    <col min="5" max="16384" width="9.140625" style="3"/>
  </cols>
  <sheetData>
    <row r="1" spans="1:4" ht="20.100000000000001" customHeight="1" x14ac:dyDescent="0.25">
      <c r="A1" s="1" t="s">
        <v>26</v>
      </c>
      <c r="B1" s="1"/>
      <c r="C1" s="2"/>
      <c r="D1" s="2"/>
    </row>
    <row r="2" spans="1:4" ht="20.100000000000001" customHeight="1" x14ac:dyDescent="0.25">
      <c r="A2" s="4" t="s">
        <v>1</v>
      </c>
      <c r="B2" s="4"/>
      <c r="C2" s="2"/>
      <c r="D2" s="2"/>
    </row>
    <row r="3" spans="1:4" ht="20.100000000000001" customHeight="1" x14ac:dyDescent="0.25"/>
    <row r="4" spans="1:4" ht="20.100000000000001" customHeight="1" x14ac:dyDescent="0.25">
      <c r="A4" s="5" t="s">
        <v>2</v>
      </c>
      <c r="B4" s="5">
        <v>2023</v>
      </c>
      <c r="C4" s="6" t="s">
        <v>4</v>
      </c>
      <c r="D4" s="6" t="s">
        <v>5</v>
      </c>
    </row>
    <row r="5" spans="1:4" ht="20.100000000000001" customHeight="1" x14ac:dyDescent="0.25">
      <c r="A5" s="7" t="s">
        <v>27</v>
      </c>
      <c r="B5" s="19"/>
      <c r="C5" s="8"/>
      <c r="D5" s="8"/>
    </row>
    <row r="6" spans="1:4" ht="20.100000000000001" customHeight="1" x14ac:dyDescent="0.25">
      <c r="A6" s="17" t="s">
        <v>28</v>
      </c>
      <c r="B6" s="17"/>
      <c r="C6" s="20"/>
      <c r="D6" s="20"/>
    </row>
    <row r="7" spans="1:4" ht="20.100000000000001" customHeight="1" x14ac:dyDescent="0.25">
      <c r="A7" s="3" t="s">
        <v>29</v>
      </c>
      <c r="C7" s="9">
        <v>76021</v>
      </c>
      <c r="D7" s="9">
        <v>95696</v>
      </c>
    </row>
    <row r="8" spans="1:4" ht="20.100000000000001" customHeight="1" x14ac:dyDescent="0.25">
      <c r="A8" s="3" t="s">
        <v>30</v>
      </c>
      <c r="C8" s="9">
        <v>178030</v>
      </c>
      <c r="D8" s="9">
        <v>210687</v>
      </c>
    </row>
    <row r="9" spans="1:4" ht="20.100000000000001" customHeight="1" x14ac:dyDescent="0.25">
      <c r="A9" s="3" t="s">
        <v>31</v>
      </c>
      <c r="C9" s="9">
        <v>9775</v>
      </c>
      <c r="D9" s="9">
        <v>7046</v>
      </c>
    </row>
    <row r="10" spans="1:4" ht="20.100000000000001" customHeight="1" x14ac:dyDescent="0.25">
      <c r="A10" s="3" t="s">
        <v>32</v>
      </c>
      <c r="C10" s="9">
        <v>261557</v>
      </c>
      <c r="D10" s="9">
        <v>215736</v>
      </c>
    </row>
    <row r="11" spans="1:4" ht="20.100000000000001" customHeight="1" x14ac:dyDescent="0.25">
      <c r="A11" s="3" t="s">
        <v>33</v>
      </c>
      <c r="C11" s="9">
        <v>5461</v>
      </c>
      <c r="D11" s="9">
        <v>3667</v>
      </c>
    </row>
    <row r="12" spans="1:4" ht="20.100000000000001" customHeight="1" x14ac:dyDescent="0.25">
      <c r="A12" s="3" t="s">
        <v>34</v>
      </c>
      <c r="C12" s="9">
        <v>56395</v>
      </c>
      <c r="D12" s="9">
        <v>55317</v>
      </c>
    </row>
    <row r="13" spans="1:4" ht="20.100000000000001" customHeight="1" x14ac:dyDescent="0.25">
      <c r="A13" s="3" t="s">
        <v>35</v>
      </c>
      <c r="C13" s="9">
        <v>0</v>
      </c>
      <c r="D13" s="9">
        <v>35174</v>
      </c>
    </row>
    <row r="14" spans="1:4" ht="20.100000000000001" customHeight="1" x14ac:dyDescent="0.25">
      <c r="A14" s="3" t="s">
        <v>36</v>
      </c>
      <c r="C14" s="9">
        <v>11901</v>
      </c>
      <c r="D14" s="9">
        <v>11901</v>
      </c>
    </row>
    <row r="15" spans="1:4" ht="20.100000000000001" customHeight="1" x14ac:dyDescent="0.25">
      <c r="A15" s="10" t="s">
        <v>37</v>
      </c>
      <c r="B15" s="11">
        <f>SUM(B7:B14)</f>
        <v>0</v>
      </c>
      <c r="C15" s="11">
        <f>SUM(C7:C14)</f>
        <v>599140</v>
      </c>
      <c r="D15" s="11">
        <f>SUM(D7:D14)</f>
        <v>635224</v>
      </c>
    </row>
    <row r="16" spans="1:4" ht="20.100000000000001" customHeight="1" x14ac:dyDescent="0.25">
      <c r="A16" s="3" t="s">
        <v>38</v>
      </c>
      <c r="C16" s="9">
        <v>106454</v>
      </c>
      <c r="D16" s="9">
        <v>124384</v>
      </c>
    </row>
    <row r="17" spans="1:4" ht="20.100000000000001" customHeight="1" x14ac:dyDescent="0.25">
      <c r="A17" s="3" t="s">
        <v>39</v>
      </c>
      <c r="C17" s="9">
        <v>52918</v>
      </c>
      <c r="D17" s="9">
        <v>59983</v>
      </c>
    </row>
    <row r="18" spans="1:4" ht="20.100000000000001" customHeight="1" x14ac:dyDescent="0.25">
      <c r="A18" s="3" t="s">
        <v>40</v>
      </c>
      <c r="C18" s="9">
        <v>284893</v>
      </c>
      <c r="D18" s="9">
        <v>294047</v>
      </c>
    </row>
    <row r="19" spans="1:4" ht="20.100000000000001" customHeight="1" x14ac:dyDescent="0.25">
      <c r="A19" s="3" t="s">
        <v>41</v>
      </c>
      <c r="C19" s="9">
        <v>17826</v>
      </c>
      <c r="D19" s="9">
        <v>16481</v>
      </c>
    </row>
    <row r="20" spans="1:4" ht="20.100000000000001" customHeight="1" x14ac:dyDescent="0.25">
      <c r="A20" s="3" t="s">
        <v>42</v>
      </c>
      <c r="C20" s="9">
        <v>78128</v>
      </c>
      <c r="D20" s="9">
        <v>73352</v>
      </c>
    </row>
    <row r="21" spans="1:4" ht="20.100000000000001" customHeight="1" x14ac:dyDescent="0.25">
      <c r="A21" s="3" t="s">
        <v>43</v>
      </c>
      <c r="C21" s="9">
        <v>32060</v>
      </c>
      <c r="D21" s="9">
        <v>1022</v>
      </c>
    </row>
    <row r="22" spans="1:4" ht="20.100000000000001" customHeight="1" x14ac:dyDescent="0.25">
      <c r="A22" s="14" t="s">
        <v>44</v>
      </c>
      <c r="B22" s="15">
        <f>SUM(B15:B21)</f>
        <v>0</v>
      </c>
      <c r="C22" s="15">
        <f>SUM(C15:C21)</f>
        <v>1171419</v>
      </c>
      <c r="D22" s="15">
        <f>SUM(D15:D21)</f>
        <v>1204493</v>
      </c>
    </row>
    <row r="23" spans="1:4" ht="20.100000000000001" customHeight="1" x14ac:dyDescent="0.25">
      <c r="C23" s="12"/>
      <c r="D23" s="12"/>
    </row>
    <row r="24" spans="1:4" ht="20.100000000000001" customHeight="1" x14ac:dyDescent="0.25">
      <c r="A24" s="7" t="s">
        <v>45</v>
      </c>
      <c r="B24" s="19"/>
      <c r="C24" s="13"/>
      <c r="D24" s="13"/>
    </row>
    <row r="25" spans="1:4" ht="20.100000000000001" customHeight="1" x14ac:dyDescent="0.25">
      <c r="A25" s="17" t="s">
        <v>46</v>
      </c>
      <c r="B25" s="17"/>
      <c r="C25" s="18"/>
      <c r="D25" s="18"/>
    </row>
    <row r="26" spans="1:4" ht="20.100000000000001" customHeight="1" x14ac:dyDescent="0.25">
      <c r="A26" s="3" t="s">
        <v>47</v>
      </c>
      <c r="C26" s="9">
        <v>171825</v>
      </c>
      <c r="D26" s="9">
        <v>167337</v>
      </c>
    </row>
    <row r="27" spans="1:4" ht="20.100000000000001" customHeight="1" x14ac:dyDescent="0.25">
      <c r="A27" s="3" t="s">
        <v>48</v>
      </c>
      <c r="C27" s="9">
        <v>52701</v>
      </c>
      <c r="D27" s="9">
        <v>87541</v>
      </c>
    </row>
    <row r="28" spans="1:4" ht="20.100000000000001" customHeight="1" x14ac:dyDescent="0.25">
      <c r="A28" s="3" t="s">
        <v>49</v>
      </c>
      <c r="C28" s="9">
        <v>34158</v>
      </c>
      <c r="D28" s="9">
        <v>33690</v>
      </c>
    </row>
    <row r="29" spans="1:4" ht="20.100000000000001" customHeight="1" x14ac:dyDescent="0.25">
      <c r="A29" s="3" t="s">
        <v>50</v>
      </c>
      <c r="C29" s="9">
        <v>32853</v>
      </c>
      <c r="D29" s="9">
        <v>32203</v>
      </c>
    </row>
    <row r="30" spans="1:4" ht="20.100000000000001" customHeight="1" x14ac:dyDescent="0.25">
      <c r="A30" s="3" t="s">
        <v>51</v>
      </c>
      <c r="C30" s="9">
        <v>0</v>
      </c>
      <c r="D30" s="22">
        <v>37447</v>
      </c>
    </row>
    <row r="31" spans="1:4" ht="20.100000000000001" customHeight="1" x14ac:dyDescent="0.25">
      <c r="A31" s="3" t="s">
        <v>52</v>
      </c>
      <c r="C31" s="9">
        <v>1936</v>
      </c>
      <c r="D31" s="22">
        <v>3642</v>
      </c>
    </row>
    <row r="32" spans="1:4" ht="20.100000000000001" customHeight="1" x14ac:dyDescent="0.25">
      <c r="A32" s="10" t="s">
        <v>53</v>
      </c>
      <c r="B32" s="11">
        <f>SUM(B26:B31)</f>
        <v>0</v>
      </c>
      <c r="C32" s="11">
        <f>SUM(C26:C31)</f>
        <v>293473</v>
      </c>
      <c r="D32" s="11">
        <f>SUM(D26:D31)</f>
        <v>361860</v>
      </c>
    </row>
    <row r="33" spans="1:4" ht="20.100000000000001" customHeight="1" x14ac:dyDescent="0.25">
      <c r="A33" s="3" t="s">
        <v>54</v>
      </c>
      <c r="C33" s="9">
        <v>189576</v>
      </c>
      <c r="D33" s="9">
        <v>25000</v>
      </c>
    </row>
    <row r="34" spans="1:4" ht="20.100000000000001" customHeight="1" x14ac:dyDescent="0.25">
      <c r="A34" s="3" t="s">
        <v>55</v>
      </c>
      <c r="C34" s="9">
        <v>0</v>
      </c>
      <c r="D34" s="9">
        <v>193038</v>
      </c>
    </row>
    <row r="35" spans="1:4" ht="20.100000000000001" customHeight="1" x14ac:dyDescent="0.25">
      <c r="A35" s="3" t="s">
        <v>56</v>
      </c>
      <c r="C35" s="9">
        <v>30372</v>
      </c>
      <c r="D35" s="9">
        <v>27453</v>
      </c>
    </row>
    <row r="36" spans="1:4" ht="20.100000000000001" customHeight="1" x14ac:dyDescent="0.25">
      <c r="A36" s="3" t="s">
        <v>57</v>
      </c>
      <c r="C36" s="9">
        <v>22065</v>
      </c>
      <c r="D36" s="9">
        <v>27143</v>
      </c>
    </row>
    <row r="37" spans="1:4" ht="20.100000000000001" customHeight="1" x14ac:dyDescent="0.25">
      <c r="A37" s="3" t="s">
        <v>58</v>
      </c>
      <c r="C37" s="9">
        <v>8983</v>
      </c>
      <c r="D37" s="9">
        <v>6277</v>
      </c>
    </row>
    <row r="38" spans="1:4" ht="20.100000000000001" customHeight="1" x14ac:dyDescent="0.25">
      <c r="A38" s="3" t="s">
        <v>59</v>
      </c>
      <c r="C38" s="9">
        <v>33203</v>
      </c>
      <c r="D38" s="9">
        <v>0</v>
      </c>
    </row>
    <row r="39" spans="1:4" ht="20.100000000000001" customHeight="1" x14ac:dyDescent="0.25">
      <c r="A39" s="3" t="s">
        <v>60</v>
      </c>
      <c r="C39" s="9">
        <v>25925</v>
      </c>
      <c r="D39" s="9">
        <v>27000</v>
      </c>
    </row>
    <row r="40" spans="1:4" ht="20.100000000000001" customHeight="1" x14ac:dyDescent="0.25">
      <c r="A40" s="3" t="s">
        <v>61</v>
      </c>
      <c r="C40" s="9">
        <v>17928</v>
      </c>
      <c r="D40" s="9">
        <v>17564</v>
      </c>
    </row>
    <row r="41" spans="1:4" ht="20.100000000000001" customHeight="1" x14ac:dyDescent="0.25">
      <c r="A41" s="10" t="s">
        <v>62</v>
      </c>
      <c r="B41" s="11">
        <f>SUM(B32:B40)</f>
        <v>0</v>
      </c>
      <c r="C41" s="11">
        <f>SUM(C32:C40)</f>
        <v>621525</v>
      </c>
      <c r="D41" s="11">
        <f>SUM(D32:D40)</f>
        <v>685335</v>
      </c>
    </row>
    <row r="42" spans="1:4" ht="20.100000000000001" customHeight="1" x14ac:dyDescent="0.25">
      <c r="C42" s="12"/>
      <c r="D42" s="12"/>
    </row>
    <row r="43" spans="1:4" ht="20.100000000000001" customHeight="1" x14ac:dyDescent="0.25">
      <c r="A43" s="3" t="s">
        <v>63</v>
      </c>
      <c r="C43" s="9">
        <v>422943</v>
      </c>
      <c r="D43" s="9">
        <v>373328</v>
      </c>
    </row>
    <row r="44" spans="1:4" ht="20.100000000000001" customHeight="1" x14ac:dyDescent="0.25">
      <c r="C44" s="12"/>
      <c r="D44" s="12"/>
    </row>
    <row r="45" spans="1:4" ht="20.100000000000001" customHeight="1" x14ac:dyDescent="0.25">
      <c r="A45" s="17" t="s">
        <v>64</v>
      </c>
      <c r="B45" s="17"/>
      <c r="C45" s="18"/>
      <c r="D45" s="18"/>
    </row>
    <row r="46" spans="1:4" ht="20.100000000000001" customHeight="1" x14ac:dyDescent="0.25">
      <c r="A46" s="3" t="s">
        <v>65</v>
      </c>
      <c r="C46" s="9">
        <v>795</v>
      </c>
      <c r="D46" s="9">
        <v>802</v>
      </c>
    </row>
    <row r="47" spans="1:4" ht="20.100000000000001" customHeight="1" x14ac:dyDescent="0.25">
      <c r="A47" s="3" t="s">
        <v>66</v>
      </c>
      <c r="C47" s="9">
        <v>808913</v>
      </c>
      <c r="D47" s="9">
        <v>801269</v>
      </c>
    </row>
    <row r="48" spans="1:4" ht="20.100000000000001" customHeight="1" x14ac:dyDescent="0.25">
      <c r="A48" s="3" t="s">
        <v>67</v>
      </c>
      <c r="C48" s="9">
        <v>11254</v>
      </c>
      <c r="D48" s="9">
        <v>78877</v>
      </c>
    </row>
    <row r="49" spans="1:4" ht="20.100000000000001" customHeight="1" x14ac:dyDescent="0.25">
      <c r="A49" s="3" t="s">
        <v>68</v>
      </c>
      <c r="C49" s="9">
        <v>-688813</v>
      </c>
      <c r="D49" s="9">
        <v>-730010</v>
      </c>
    </row>
    <row r="50" spans="1:4" ht="20.100000000000001" customHeight="1" x14ac:dyDescent="0.25">
      <c r="A50" s="3" t="s">
        <v>69</v>
      </c>
      <c r="C50" s="9">
        <v>-5198</v>
      </c>
      <c r="D50" s="9">
        <v>-5108</v>
      </c>
    </row>
    <row r="51" spans="1:4" ht="20.100000000000001" customHeight="1" x14ac:dyDescent="0.25">
      <c r="A51" s="10" t="s">
        <v>70</v>
      </c>
      <c r="B51" s="11">
        <f>SUM(B46:B50)</f>
        <v>0</v>
      </c>
      <c r="C51" s="11">
        <f>SUM(C46:C50)</f>
        <v>126951</v>
      </c>
      <c r="D51" s="11">
        <f>SUM(D46:D50)</f>
        <v>145830</v>
      </c>
    </row>
    <row r="52" spans="1:4" ht="20.100000000000001" customHeight="1" x14ac:dyDescent="0.25">
      <c r="A52" s="14" t="s">
        <v>71</v>
      </c>
      <c r="B52" s="15">
        <f>B51+B43+B41</f>
        <v>0</v>
      </c>
      <c r="C52" s="15">
        <f>C51+C43+C41</f>
        <v>1171419</v>
      </c>
      <c r="D52" s="15">
        <f>D51+D43+D41</f>
        <v>1204493</v>
      </c>
    </row>
    <row r="53" spans="1:4" ht="20.100000000000001" customHeight="1" x14ac:dyDescent="0.25"/>
    <row r="54" spans="1:4" x14ac:dyDescent="0.25">
      <c r="A54" s="3" t="s">
        <v>123</v>
      </c>
      <c r="B54" s="23">
        <f>B52-B22</f>
        <v>0</v>
      </c>
      <c r="C54" s="23">
        <f>C52-C22</f>
        <v>0</v>
      </c>
      <c r="D54" s="23">
        <f>D52-D22</f>
        <v>0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2"/>
  <sheetViews>
    <sheetView showGridLines="0" tabSelected="1" workbookViewId="0">
      <selection activeCell="A64" sqref="A64"/>
    </sheetView>
  </sheetViews>
  <sheetFormatPr defaultRowHeight="15.75" x14ac:dyDescent="0.25"/>
  <cols>
    <col min="1" max="1" width="78" style="3" customWidth="1"/>
    <col min="2" max="4" width="16" style="3" customWidth="1"/>
    <col min="5" max="16384" width="9.140625" style="3"/>
  </cols>
  <sheetData>
    <row r="1" spans="1:4" ht="20.100000000000001" customHeight="1" x14ac:dyDescent="0.25">
      <c r="A1" s="1" t="s">
        <v>72</v>
      </c>
      <c r="B1" s="2"/>
      <c r="C1" s="2"/>
      <c r="D1" s="2"/>
    </row>
    <row r="2" spans="1:4" ht="20.100000000000001" customHeight="1" x14ac:dyDescent="0.25">
      <c r="A2" s="4" t="s">
        <v>1</v>
      </c>
      <c r="B2" s="2"/>
      <c r="C2" s="2"/>
      <c r="D2" s="2"/>
    </row>
    <row r="3" spans="1:4" ht="20.100000000000001" customHeight="1" x14ac:dyDescent="0.25"/>
    <row r="4" spans="1:4" ht="20.100000000000001" customHeight="1" x14ac:dyDescent="0.25">
      <c r="A4" s="5" t="s">
        <v>2</v>
      </c>
      <c r="B4" s="6" t="s">
        <v>3</v>
      </c>
      <c r="C4" s="6" t="s">
        <v>4</v>
      </c>
      <c r="D4" s="6" t="s">
        <v>5</v>
      </c>
    </row>
    <row r="5" spans="1:4" ht="20.100000000000001" customHeight="1" x14ac:dyDescent="0.25">
      <c r="A5" s="7" t="s">
        <v>73</v>
      </c>
      <c r="B5" s="8"/>
      <c r="C5" s="8"/>
      <c r="D5" s="8"/>
    </row>
    <row r="6" spans="1:4" s="24" customFormat="1" ht="20.100000000000001" customHeight="1" x14ac:dyDescent="0.25">
      <c r="A6" s="24" t="s">
        <v>23</v>
      </c>
      <c r="B6" s="25">
        <f>'Income Statement'!B27</f>
        <v>-261906</v>
      </c>
      <c r="C6" s="25">
        <f>'Income Statement'!C27</f>
        <v>-450067</v>
      </c>
      <c r="D6" s="25">
        <f>'Income Statement'!D27</f>
        <v>-36243</v>
      </c>
    </row>
    <row r="7" spans="1:4" ht="20.100000000000001" customHeight="1" x14ac:dyDescent="0.25">
      <c r="A7" s="17" t="s">
        <v>74</v>
      </c>
      <c r="B7" s="18"/>
      <c r="C7" s="18"/>
      <c r="D7" s="18"/>
    </row>
    <row r="8" spans="1:4" ht="20.100000000000001" customHeight="1" x14ac:dyDescent="0.25">
      <c r="A8" s="3" t="s">
        <v>75</v>
      </c>
      <c r="B8" s="9">
        <v>112949</v>
      </c>
      <c r="C8" s="9">
        <v>90529</v>
      </c>
      <c r="D8" s="9">
        <v>92546</v>
      </c>
    </row>
    <row r="9" spans="1:4" ht="20.100000000000001" customHeight="1" x14ac:dyDescent="0.25">
      <c r="A9" s="3" t="s">
        <v>15</v>
      </c>
      <c r="B9" s="9">
        <v>37874</v>
      </c>
      <c r="C9" s="9">
        <v>297353</v>
      </c>
      <c r="D9" s="9">
        <v>0</v>
      </c>
    </row>
    <row r="10" spans="1:4" ht="20.100000000000001" customHeight="1" x14ac:dyDescent="0.25">
      <c r="A10" s="3" t="s">
        <v>76</v>
      </c>
      <c r="B10" s="9">
        <v>862</v>
      </c>
      <c r="C10" s="9">
        <v>3950</v>
      </c>
      <c r="D10" s="9">
        <v>1351</v>
      </c>
    </row>
    <row r="11" spans="1:4" ht="20.100000000000001" customHeight="1" x14ac:dyDescent="0.25">
      <c r="A11" s="3" t="s">
        <v>77</v>
      </c>
      <c r="B11" s="9">
        <v>0</v>
      </c>
      <c r="C11" s="9">
        <v>0</v>
      </c>
      <c r="D11" s="9">
        <v>441</v>
      </c>
    </row>
    <row r="12" spans="1:4" ht="20.100000000000001" customHeight="1" x14ac:dyDescent="0.25">
      <c r="A12" s="3" t="s">
        <v>78</v>
      </c>
      <c r="B12" s="9">
        <v>-22</v>
      </c>
      <c r="C12" s="9">
        <v>0</v>
      </c>
      <c r="D12" s="9">
        <v>0</v>
      </c>
    </row>
    <row r="13" spans="1:4" ht="20.100000000000001" customHeight="1" x14ac:dyDescent="0.25">
      <c r="A13" s="3" t="s">
        <v>79</v>
      </c>
      <c r="B13" s="9">
        <v>-2900</v>
      </c>
      <c r="C13" s="9">
        <v>-5030</v>
      </c>
      <c r="D13" s="9">
        <v>-4740</v>
      </c>
    </row>
    <row r="14" spans="1:4" ht="20.100000000000001" customHeight="1" x14ac:dyDescent="0.25">
      <c r="A14" s="3" t="s">
        <v>80</v>
      </c>
      <c r="B14" s="9">
        <v>458</v>
      </c>
      <c r="C14" s="9">
        <v>1371</v>
      </c>
      <c r="D14" s="9">
        <v>228</v>
      </c>
    </row>
    <row r="15" spans="1:4" ht="20.100000000000001" customHeight="1" x14ac:dyDescent="0.25">
      <c r="A15" s="3" t="s">
        <v>81</v>
      </c>
      <c r="B15" s="9">
        <v>16381</v>
      </c>
      <c r="C15" s="9">
        <v>15988</v>
      </c>
      <c r="D15" s="9">
        <v>10062</v>
      </c>
    </row>
    <row r="16" spans="1:4" ht="20.100000000000001" customHeight="1" x14ac:dyDescent="0.25">
      <c r="A16" s="3" t="s">
        <v>82</v>
      </c>
      <c r="B16" s="9">
        <v>15724</v>
      </c>
      <c r="C16" s="9">
        <v>5576</v>
      </c>
      <c r="D16" s="9">
        <v>-3847</v>
      </c>
    </row>
    <row r="17" spans="1:4" ht="20.100000000000001" customHeight="1" x14ac:dyDescent="0.25">
      <c r="A17" s="3" t="s">
        <v>83</v>
      </c>
      <c r="B17" s="9">
        <v>24313</v>
      </c>
      <c r="C17" s="9">
        <v>4135</v>
      </c>
      <c r="D17" s="9">
        <v>0</v>
      </c>
    </row>
    <row r="18" spans="1:4" ht="20.100000000000001" customHeight="1" x14ac:dyDescent="0.25">
      <c r="A18" s="3" t="s">
        <v>84</v>
      </c>
      <c r="B18" s="9">
        <v>25546</v>
      </c>
      <c r="C18" s="9">
        <v>5316</v>
      </c>
      <c r="D18" s="9">
        <v>-2541</v>
      </c>
    </row>
    <row r="19" spans="1:4" ht="20.100000000000001" customHeight="1" x14ac:dyDescent="0.25">
      <c r="A19" s="3" t="s">
        <v>85</v>
      </c>
      <c r="B19" s="9">
        <v>-2942</v>
      </c>
      <c r="C19" s="9">
        <v>0</v>
      </c>
      <c r="D19" s="9">
        <v>0</v>
      </c>
    </row>
    <row r="20" spans="1:4" ht="20.100000000000001" customHeight="1" x14ac:dyDescent="0.25">
      <c r="A20" s="17" t="s">
        <v>86</v>
      </c>
      <c r="B20" s="18"/>
      <c r="C20" s="18"/>
      <c r="D20" s="18"/>
    </row>
    <row r="21" spans="1:4" ht="20.100000000000001" customHeight="1" x14ac:dyDescent="0.25">
      <c r="A21" s="3" t="s">
        <v>87</v>
      </c>
      <c r="B21" s="9">
        <v>72320</v>
      </c>
      <c r="C21" s="9">
        <v>46108</v>
      </c>
      <c r="D21" s="9">
        <v>-18301</v>
      </c>
    </row>
    <row r="22" spans="1:4" ht="20.100000000000001" customHeight="1" x14ac:dyDescent="0.25">
      <c r="A22" s="3" t="s">
        <v>31</v>
      </c>
      <c r="B22" s="9">
        <v>10315</v>
      </c>
      <c r="C22" s="9">
        <v>10713</v>
      </c>
      <c r="D22" s="9">
        <v>5767</v>
      </c>
    </row>
    <row r="23" spans="1:4" ht="20.100000000000001" customHeight="1" x14ac:dyDescent="0.25">
      <c r="A23" s="3" t="s">
        <v>88</v>
      </c>
      <c r="B23" s="9">
        <v>2098</v>
      </c>
      <c r="C23" s="9">
        <v>648</v>
      </c>
      <c r="D23" s="9">
        <v>2034</v>
      </c>
    </row>
    <row r="24" spans="1:4" ht="20.100000000000001" customHeight="1" x14ac:dyDescent="0.25">
      <c r="A24" s="3" t="s">
        <v>89</v>
      </c>
      <c r="B24" s="9">
        <v>22408</v>
      </c>
      <c r="C24" s="9">
        <v>79985</v>
      </c>
      <c r="D24" s="9">
        <v>64494</v>
      </c>
    </row>
    <row r="25" spans="1:4" ht="20.100000000000001" customHeight="1" x14ac:dyDescent="0.25">
      <c r="A25" s="3" t="s">
        <v>90</v>
      </c>
      <c r="B25" s="9">
        <v>-31964</v>
      </c>
      <c r="C25" s="9">
        <v>-13445</v>
      </c>
      <c r="D25" s="9">
        <v>19223</v>
      </c>
    </row>
    <row r="26" spans="1:4" ht="20.100000000000001" customHeight="1" x14ac:dyDescent="0.25">
      <c r="A26" s="3" t="s">
        <v>47</v>
      </c>
      <c r="B26" s="9">
        <v>-91907</v>
      </c>
      <c r="C26" s="9">
        <v>10238</v>
      </c>
      <c r="D26" s="9">
        <v>17982</v>
      </c>
    </row>
    <row r="27" spans="1:4" ht="20.100000000000001" customHeight="1" x14ac:dyDescent="0.25">
      <c r="A27" s="3" t="s">
        <v>49</v>
      </c>
      <c r="B27" s="9">
        <v>11317</v>
      </c>
      <c r="C27" s="9">
        <v>4873</v>
      </c>
      <c r="D27" s="9">
        <v>-17967</v>
      </c>
    </row>
    <row r="28" spans="1:4" ht="20.100000000000001" customHeight="1" x14ac:dyDescent="0.25">
      <c r="A28" s="3" t="s">
        <v>91</v>
      </c>
      <c r="B28" s="9">
        <v>-3939</v>
      </c>
      <c r="C28" s="9">
        <v>-4670</v>
      </c>
      <c r="D28" s="9">
        <v>-722</v>
      </c>
    </row>
    <row r="29" spans="1:4" ht="20.100000000000001" customHeight="1" x14ac:dyDescent="0.25">
      <c r="A29" s="10" t="s">
        <v>92</v>
      </c>
      <c r="B29" s="11">
        <f>SUM(B6:B28)</f>
        <v>-43015</v>
      </c>
      <c r="C29" s="11">
        <f t="shared" ref="C29:D29" si="0">SUM(C6:C28)</f>
        <v>103571</v>
      </c>
      <c r="D29" s="11">
        <f t="shared" si="0"/>
        <v>129767</v>
      </c>
    </row>
    <row r="30" spans="1:4" ht="20.100000000000001" customHeight="1" x14ac:dyDescent="0.25">
      <c r="B30" s="12"/>
      <c r="C30" s="12"/>
      <c r="D30" s="16"/>
    </row>
    <row r="31" spans="1:4" ht="20.100000000000001" customHeight="1" x14ac:dyDescent="0.25">
      <c r="A31" s="7" t="s">
        <v>93</v>
      </c>
      <c r="B31" s="13"/>
      <c r="C31" s="13"/>
      <c r="D31" s="21"/>
    </row>
    <row r="32" spans="1:4" ht="20.100000000000001" customHeight="1" x14ac:dyDescent="0.25">
      <c r="A32" s="3" t="s">
        <v>94</v>
      </c>
      <c r="B32" s="9">
        <v>-36337</v>
      </c>
      <c r="C32" s="9">
        <v>-34501</v>
      </c>
      <c r="D32" s="9">
        <v>-31737</v>
      </c>
    </row>
    <row r="33" spans="1:4" ht="20.100000000000001" customHeight="1" x14ac:dyDescent="0.25">
      <c r="A33" s="3" t="s">
        <v>95</v>
      </c>
      <c r="B33" s="9">
        <v>-9438</v>
      </c>
      <c r="C33" s="9">
        <v>-30671</v>
      </c>
      <c r="D33" s="9">
        <v>-37528</v>
      </c>
    </row>
    <row r="34" spans="1:4" ht="20.100000000000001" customHeight="1" x14ac:dyDescent="0.25">
      <c r="A34" s="3" t="s">
        <v>96</v>
      </c>
      <c r="B34" s="9">
        <v>10567</v>
      </c>
      <c r="C34" s="9">
        <v>1240</v>
      </c>
      <c r="D34" s="9">
        <v>1019</v>
      </c>
    </row>
    <row r="35" spans="1:4" ht="20.100000000000001" customHeight="1" x14ac:dyDescent="0.25">
      <c r="A35" s="3" t="s">
        <v>97</v>
      </c>
      <c r="B35" s="9">
        <v>-868</v>
      </c>
      <c r="C35" s="9">
        <v>-268</v>
      </c>
      <c r="D35" s="9">
        <v>-383</v>
      </c>
    </row>
    <row r="36" spans="1:4" ht="20.100000000000001" customHeight="1" x14ac:dyDescent="0.25">
      <c r="A36" s="3" t="s">
        <v>98</v>
      </c>
      <c r="B36" s="9">
        <v>1218</v>
      </c>
      <c r="C36" s="9">
        <v>-55</v>
      </c>
      <c r="D36" s="9">
        <v>-539</v>
      </c>
    </row>
    <row r="37" spans="1:4" ht="20.100000000000001" customHeight="1" x14ac:dyDescent="0.25">
      <c r="A37" s="10" t="s">
        <v>99</v>
      </c>
      <c r="B37" s="11">
        <f>SUM(B32:B36)</f>
        <v>-34858</v>
      </c>
      <c r="C37" s="11">
        <f t="shared" ref="C37:D37" si="1">SUM(C32:C36)</f>
        <v>-64255</v>
      </c>
      <c r="D37" s="11">
        <f t="shared" si="1"/>
        <v>-69168</v>
      </c>
    </row>
    <row r="38" spans="1:4" ht="20.100000000000001" customHeight="1" x14ac:dyDescent="0.25">
      <c r="B38" s="12"/>
      <c r="C38" s="12"/>
      <c r="D38" s="12"/>
    </row>
    <row r="39" spans="1:4" ht="20.100000000000001" customHeight="1" x14ac:dyDescent="0.25">
      <c r="A39" s="7" t="s">
        <v>100</v>
      </c>
      <c r="B39" s="13"/>
      <c r="C39" s="13"/>
      <c r="D39" s="13"/>
    </row>
    <row r="40" spans="1:4" ht="20.100000000000001" customHeight="1" x14ac:dyDescent="0.25">
      <c r="A40" s="3" t="s">
        <v>101</v>
      </c>
      <c r="B40" s="9">
        <v>-6458</v>
      </c>
      <c r="C40" s="9">
        <v>-1143</v>
      </c>
      <c r="D40" s="9">
        <v>-1478</v>
      </c>
    </row>
    <row r="41" spans="1:4" ht="20.100000000000001" customHeight="1" x14ac:dyDescent="0.25">
      <c r="A41" s="3" t="s">
        <v>102</v>
      </c>
      <c r="B41" s="9">
        <v>540</v>
      </c>
      <c r="C41" s="9">
        <v>824</v>
      </c>
      <c r="D41" s="9">
        <v>1829</v>
      </c>
    </row>
    <row r="42" spans="1:4" ht="20.100000000000001" customHeight="1" x14ac:dyDescent="0.25">
      <c r="A42" s="3" t="s">
        <v>103</v>
      </c>
      <c r="B42" s="9">
        <v>-21237</v>
      </c>
      <c r="C42" s="9">
        <v>0</v>
      </c>
      <c r="D42" s="9">
        <v>0</v>
      </c>
    </row>
    <row r="43" spans="1:4" ht="20.100000000000001" customHeight="1" x14ac:dyDescent="0.25">
      <c r="A43" s="3" t="s">
        <v>104</v>
      </c>
      <c r="B43" s="9">
        <v>14099</v>
      </c>
      <c r="C43" s="9">
        <v>68556</v>
      </c>
      <c r="D43" s="9">
        <v>0</v>
      </c>
    </row>
    <row r="44" spans="1:4" ht="20.100000000000001" customHeight="1" x14ac:dyDescent="0.25">
      <c r="A44" s="3" t="s">
        <v>105</v>
      </c>
      <c r="B44" s="9">
        <v>0</v>
      </c>
      <c r="C44" s="9">
        <v>-83772</v>
      </c>
      <c r="D44" s="9">
        <v>0</v>
      </c>
    </row>
    <row r="45" spans="1:4" ht="20.100000000000001" customHeight="1" x14ac:dyDescent="0.25">
      <c r="A45" s="3" t="s">
        <v>106</v>
      </c>
      <c r="B45" s="9">
        <v>163733</v>
      </c>
      <c r="C45" s="9">
        <v>26000</v>
      </c>
      <c r="D45" s="9">
        <v>49000</v>
      </c>
    </row>
    <row r="46" spans="1:4" ht="20.100000000000001" customHeight="1" x14ac:dyDescent="0.25">
      <c r="A46" s="3" t="s">
        <v>107</v>
      </c>
      <c r="B46" s="9">
        <v>-64987</v>
      </c>
      <c r="C46" s="9">
        <v>-31000</v>
      </c>
      <c r="D46" s="9">
        <v>-214000</v>
      </c>
    </row>
    <row r="47" spans="1:4" ht="20.100000000000001" customHeight="1" x14ac:dyDescent="0.25">
      <c r="A47" s="3" t="s">
        <v>108</v>
      </c>
      <c r="B47" s="9">
        <v>-1224</v>
      </c>
      <c r="C47" s="9">
        <v>-17398</v>
      </c>
      <c r="D47" s="9">
        <v>-46575</v>
      </c>
    </row>
    <row r="48" spans="1:4" ht="20.100000000000001" customHeight="1" x14ac:dyDescent="0.25">
      <c r="A48" s="3" t="s">
        <v>109</v>
      </c>
      <c r="B48" s="9">
        <v>0</v>
      </c>
      <c r="C48" s="9">
        <v>-10084</v>
      </c>
      <c r="D48" s="9">
        <v>-10053</v>
      </c>
    </row>
    <row r="49" spans="1:4" ht="20.100000000000001" customHeight="1" x14ac:dyDescent="0.25">
      <c r="A49" s="3" t="s">
        <v>110</v>
      </c>
      <c r="B49" s="9">
        <v>-708</v>
      </c>
      <c r="C49" s="9">
        <v>-1994</v>
      </c>
      <c r="D49" s="9">
        <v>-9003</v>
      </c>
    </row>
    <row r="50" spans="1:4" ht="20.100000000000001" customHeight="1" x14ac:dyDescent="0.25">
      <c r="A50" s="3" t="s">
        <v>111</v>
      </c>
      <c r="B50" s="9">
        <v>0</v>
      </c>
      <c r="C50" s="9">
        <v>0</v>
      </c>
      <c r="D50" s="9">
        <v>201250</v>
      </c>
    </row>
    <row r="51" spans="1:4" ht="20.100000000000001" customHeight="1" x14ac:dyDescent="0.25">
      <c r="A51" s="3" t="s">
        <v>112</v>
      </c>
      <c r="B51" s="9">
        <v>0</v>
      </c>
      <c r="C51" s="9">
        <v>0</v>
      </c>
      <c r="D51" s="9">
        <v>-17650</v>
      </c>
    </row>
    <row r="52" spans="1:4" ht="20.100000000000001" customHeight="1" x14ac:dyDescent="0.25">
      <c r="A52" s="3" t="s">
        <v>113</v>
      </c>
      <c r="B52" s="9">
        <v>0</v>
      </c>
      <c r="C52" s="9">
        <v>0</v>
      </c>
      <c r="D52" s="9">
        <v>0</v>
      </c>
    </row>
    <row r="53" spans="1:4" ht="20.100000000000001" customHeight="1" x14ac:dyDescent="0.25">
      <c r="A53" s="10" t="s">
        <v>114</v>
      </c>
      <c r="B53" s="11">
        <f>SUM(B40:B52)</f>
        <v>83758</v>
      </c>
      <c r="C53" s="11">
        <f t="shared" ref="C53:D53" si="2">SUM(C40:C52)</f>
        <v>-50011</v>
      </c>
      <c r="D53" s="11">
        <f t="shared" si="2"/>
        <v>-46680</v>
      </c>
    </row>
    <row r="54" spans="1:4" ht="20.100000000000001" customHeight="1" x14ac:dyDescent="0.25">
      <c r="B54" s="12"/>
      <c r="C54" s="12"/>
      <c r="D54" s="12"/>
    </row>
    <row r="55" spans="1:4" ht="20.100000000000001" customHeight="1" x14ac:dyDescent="0.25">
      <c r="A55" s="10" t="s">
        <v>115</v>
      </c>
      <c r="B55" s="11">
        <f>SUM(B53,B37,B29)</f>
        <v>5885</v>
      </c>
      <c r="C55" s="11">
        <f t="shared" ref="C55:D55" si="3">SUM(C53,C37,C29)</f>
        <v>-10695</v>
      </c>
      <c r="D55" s="11">
        <f t="shared" si="3"/>
        <v>13919</v>
      </c>
    </row>
    <row r="56" spans="1:4" ht="20.100000000000001" customHeight="1" x14ac:dyDescent="0.25">
      <c r="A56" s="3" t="s">
        <v>116</v>
      </c>
      <c r="B56" s="9">
        <v>-2471</v>
      </c>
      <c r="C56" s="9">
        <v>-451</v>
      </c>
      <c r="D56" s="9">
        <v>5756</v>
      </c>
    </row>
    <row r="57" spans="1:4" ht="20.100000000000001" customHeight="1" x14ac:dyDescent="0.25">
      <c r="A57" s="3" t="s">
        <v>117</v>
      </c>
      <c r="B57" s="9">
        <v>108644</v>
      </c>
      <c r="C57" s="9">
        <f>B58</f>
        <v>87167</v>
      </c>
      <c r="D57" s="9">
        <f>C58</f>
        <v>76021</v>
      </c>
    </row>
    <row r="58" spans="1:4" ht="20.100000000000001" customHeight="1" x14ac:dyDescent="0.25">
      <c r="A58" s="14" t="s">
        <v>118</v>
      </c>
      <c r="B58" s="15">
        <v>87167</v>
      </c>
      <c r="C58" s="15">
        <f>SUM(C55:C57)</f>
        <v>76021</v>
      </c>
      <c r="D58" s="15">
        <f>SUM(D55:D57)</f>
        <v>95696</v>
      </c>
    </row>
    <row r="59" spans="1:4" ht="20.100000000000001" customHeight="1" x14ac:dyDescent="0.25"/>
    <row r="60" spans="1:4" x14ac:dyDescent="0.25">
      <c r="A60" s="3" t="s">
        <v>124</v>
      </c>
      <c r="B60" s="23">
        <f>B32</f>
        <v>-36337</v>
      </c>
      <c r="C60" s="23">
        <f t="shared" ref="C60:D60" si="4">C32</f>
        <v>-34501</v>
      </c>
      <c r="D60" s="23">
        <f t="shared" si="4"/>
        <v>-31737</v>
      </c>
    </row>
    <row r="61" spans="1:4" x14ac:dyDescent="0.25">
      <c r="A61" s="3" t="s">
        <v>125</v>
      </c>
      <c r="B61" s="23">
        <f>B33</f>
        <v>-9438</v>
      </c>
      <c r="C61" s="23">
        <f t="shared" ref="C61:D61" si="5">C33</f>
        <v>-30671</v>
      </c>
      <c r="D61" s="23">
        <f t="shared" si="5"/>
        <v>-37528</v>
      </c>
    </row>
    <row r="62" spans="1:4" s="24" customFormat="1" x14ac:dyDescent="0.25">
      <c r="A62" s="24" t="s">
        <v>126</v>
      </c>
      <c r="B62" s="26">
        <f>SUM(B60:B61)</f>
        <v>-45775</v>
      </c>
      <c r="C62" s="26">
        <f>SUM(C60:C61)</f>
        <v>-65172</v>
      </c>
      <c r="D62" s="26">
        <f>SUM(D60:D61)</f>
        <v>-69265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Tomohawk WR</cp:lastModifiedBy>
  <dcterms:created xsi:type="dcterms:W3CDTF">2026-03-17T20:09:43Z</dcterms:created>
  <dcterms:modified xsi:type="dcterms:W3CDTF">2026-03-22T04:33:37Z</dcterms:modified>
</cp:coreProperties>
</file>