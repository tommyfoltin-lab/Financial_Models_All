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17F9AE80-0EE4-425D-9DA9-56997855DF03}" xr6:coauthVersionLast="47" xr6:coauthVersionMax="47" xr10:uidLastSave="{00000000-0000-0000-0000-000000000000}"/>
  <bookViews>
    <workbookView xWindow="420" yWindow="585" windowWidth="27915" windowHeight="15015" activeTab="2" xr2:uid="{00000000-000D-0000-FFFF-FFFF00000000}"/>
  </bookViews>
  <sheets>
    <sheet name="Summary" sheetId="1" r:id="rId1"/>
    <sheet name="Assumptions" sheetId="2" r:id="rId2"/>
    <sheet name="FCFF 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8" i="3" l="1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W53" i="3" s="1"/>
  <c r="V52" i="3"/>
  <c r="U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V51" i="3"/>
  <c r="V54" i="3" s="1"/>
  <c r="U51" i="3"/>
  <c r="U54" i="3" s="1"/>
  <c r="T51" i="3"/>
  <c r="S51" i="3"/>
  <c r="S54" i="3" s="1"/>
  <c r="R51" i="3"/>
  <c r="R54" i="3" s="1"/>
  <c r="Q51" i="3"/>
  <c r="Q54" i="3" s="1"/>
  <c r="P51" i="3"/>
  <c r="P54" i="3" s="1"/>
  <c r="O51" i="3"/>
  <c r="O54" i="3" s="1"/>
  <c r="N51" i="3"/>
  <c r="N54" i="3" s="1"/>
  <c r="M51" i="3"/>
  <c r="M54" i="3" s="1"/>
  <c r="L51" i="3"/>
  <c r="L54" i="3" s="1"/>
  <c r="K51" i="3"/>
  <c r="K54" i="3" s="1"/>
  <c r="J51" i="3"/>
  <c r="J54" i="3" s="1"/>
  <c r="I51" i="3"/>
  <c r="I54" i="3" s="1"/>
  <c r="H51" i="3"/>
  <c r="H54" i="3" s="1"/>
  <c r="G51" i="3"/>
  <c r="G54" i="3" s="1"/>
  <c r="F51" i="3"/>
  <c r="F54" i="3" s="1"/>
  <c r="E51" i="3"/>
  <c r="E54" i="3" s="1"/>
  <c r="D51" i="3"/>
  <c r="D54" i="3" s="1"/>
  <c r="C51" i="3"/>
  <c r="V41" i="3"/>
  <c r="V42" i="3" s="1"/>
  <c r="V37" i="3"/>
  <c r="U37" i="3"/>
  <c r="C31" i="3"/>
  <c r="C35" i="3" s="1"/>
  <c r="C15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C11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C5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C59" i="2"/>
  <c r="C56" i="2"/>
  <c r="C60" i="2" s="1"/>
  <c r="C62" i="2" s="1"/>
  <c r="C50" i="2" s="1"/>
  <c r="C30" i="2"/>
  <c r="C17" i="2"/>
  <c r="C13" i="2"/>
  <c r="C11" i="2"/>
  <c r="C9" i="2"/>
  <c r="B15" i="1"/>
  <c r="E14" i="1"/>
  <c r="E13" i="1"/>
  <c r="E12" i="1"/>
  <c r="E11" i="1"/>
  <c r="E10" i="1"/>
  <c r="E9" i="1"/>
  <c r="E8" i="1"/>
  <c r="E7" i="1"/>
  <c r="E6" i="1"/>
  <c r="E5" i="1"/>
  <c r="C54" i="3" l="1"/>
  <c r="W51" i="3"/>
  <c r="W12" i="3"/>
  <c r="V11" i="3"/>
  <c r="V9" i="3"/>
  <c r="U9" i="3"/>
  <c r="U11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V8" i="3"/>
  <c r="V31" i="3"/>
  <c r="V35" i="3" s="1"/>
  <c r="V13" i="3"/>
  <c r="V14" i="3" s="1"/>
  <c r="V47" i="3"/>
  <c r="U8" i="3"/>
  <c r="U13" i="3"/>
  <c r="U14" i="3" s="1"/>
  <c r="U47" i="3"/>
  <c r="U31" i="3"/>
  <c r="U35" i="3" s="1"/>
  <c r="T47" i="3"/>
  <c r="T8" i="3"/>
  <c r="S8" i="3"/>
  <c r="S47" i="3"/>
  <c r="R8" i="3"/>
  <c r="R47" i="3"/>
  <c r="Q47" i="3"/>
  <c r="Q8" i="3"/>
  <c r="P8" i="3"/>
  <c r="P47" i="3"/>
  <c r="O47" i="3"/>
  <c r="O8" i="3"/>
  <c r="N8" i="3"/>
  <c r="N47" i="3"/>
  <c r="M8" i="3"/>
  <c r="M47" i="3"/>
  <c r="L8" i="3"/>
  <c r="L47" i="3"/>
  <c r="K8" i="3"/>
  <c r="K47" i="3"/>
  <c r="J8" i="3"/>
  <c r="J47" i="3"/>
  <c r="I47" i="3"/>
  <c r="I8" i="3"/>
  <c r="H8" i="3"/>
  <c r="H13" i="3"/>
  <c r="H14" i="3" s="1"/>
  <c r="H47" i="3"/>
  <c r="G8" i="3"/>
  <c r="G13" i="3"/>
  <c r="G14" i="3" s="1"/>
  <c r="G4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E15" i="1"/>
  <c r="F5" i="3"/>
  <c r="E5" i="3"/>
  <c r="D5" i="3"/>
  <c r="H5" i="3"/>
  <c r="G5" i="3"/>
  <c r="F6" i="3"/>
  <c r="E6" i="3"/>
  <c r="C6" i="3"/>
  <c r="D6" i="3"/>
  <c r="V10" i="3" l="1"/>
  <c r="V18" i="3"/>
  <c r="U41" i="3"/>
  <c r="V20" i="3"/>
  <c r="V21" i="3"/>
  <c r="V23" i="3"/>
  <c r="V36" i="3"/>
  <c r="U20" i="3"/>
  <c r="U10" i="3"/>
  <c r="U21" i="3"/>
  <c r="U23" i="3"/>
  <c r="U18" i="3"/>
  <c r="T41" i="3"/>
  <c r="V15" i="3"/>
  <c r="U36" i="3"/>
  <c r="S41" i="3"/>
  <c r="T10" i="3"/>
  <c r="T18" i="3"/>
  <c r="T20" i="3"/>
  <c r="T21" i="3"/>
  <c r="T23" i="3"/>
  <c r="S21" i="3"/>
  <c r="S23" i="3"/>
  <c r="S10" i="3"/>
  <c r="S18" i="3"/>
  <c r="S20" i="3"/>
  <c r="R41" i="3"/>
  <c r="R20" i="3"/>
  <c r="R10" i="3"/>
  <c r="R21" i="3"/>
  <c r="R23" i="3"/>
  <c r="R18" i="3"/>
  <c r="Q41" i="3"/>
  <c r="Q20" i="3"/>
  <c r="P41" i="3"/>
  <c r="Q18" i="3"/>
  <c r="Q10" i="3"/>
  <c r="Q21" i="3"/>
  <c r="Q23" i="3"/>
  <c r="P20" i="3"/>
  <c r="P21" i="3"/>
  <c r="P23" i="3"/>
  <c r="P10" i="3"/>
  <c r="P18" i="3"/>
  <c r="O41" i="3"/>
  <c r="O10" i="3"/>
  <c r="O18" i="3"/>
  <c r="O21" i="3"/>
  <c r="O23" i="3"/>
  <c r="O20" i="3"/>
  <c r="N41" i="3"/>
  <c r="N10" i="3"/>
  <c r="N20" i="3"/>
  <c r="N21" i="3"/>
  <c r="N23" i="3"/>
  <c r="N18" i="3"/>
  <c r="M41" i="3"/>
  <c r="M20" i="3"/>
  <c r="L41" i="3"/>
  <c r="M10" i="3"/>
  <c r="M18" i="3"/>
  <c r="M21" i="3"/>
  <c r="M23" i="3"/>
  <c r="L10" i="3"/>
  <c r="L20" i="3"/>
  <c r="L23" i="3"/>
  <c r="L18" i="3"/>
  <c r="L21" i="3"/>
  <c r="K41" i="3"/>
  <c r="K10" i="3"/>
  <c r="K18" i="3"/>
  <c r="K23" i="3"/>
  <c r="K20" i="3"/>
  <c r="K21" i="3"/>
  <c r="J41" i="3"/>
  <c r="J18" i="3"/>
  <c r="J21" i="3"/>
  <c r="I41" i="3"/>
  <c r="J10" i="3"/>
  <c r="J20" i="3"/>
  <c r="J23" i="3"/>
  <c r="I10" i="3"/>
  <c r="I18" i="3"/>
  <c r="I23" i="3"/>
  <c r="I20" i="3"/>
  <c r="I21" i="3"/>
  <c r="H41" i="3"/>
  <c r="H10" i="3"/>
  <c r="H18" i="3"/>
  <c r="H20" i="3"/>
  <c r="H23" i="3"/>
  <c r="H21" i="3"/>
  <c r="G41" i="3"/>
  <c r="H36" i="3"/>
  <c r="G18" i="3"/>
  <c r="G20" i="3"/>
  <c r="G21" i="3"/>
  <c r="G10" i="3"/>
  <c r="G23" i="3"/>
  <c r="G36" i="3"/>
  <c r="H15" i="3"/>
  <c r="F13" i="3"/>
  <c r="F14" i="3" s="1"/>
  <c r="F47" i="3"/>
  <c r="F8" i="3"/>
  <c r="F41" i="3" s="1"/>
  <c r="E13" i="3"/>
  <c r="E14" i="3" s="1"/>
  <c r="E47" i="3"/>
  <c r="E8" i="3"/>
  <c r="C9" i="3"/>
  <c r="W9" i="3" s="1"/>
  <c r="C13" i="3"/>
  <c r="C47" i="3"/>
  <c r="C8" i="3"/>
  <c r="D13" i="3"/>
  <c r="D14" i="3" s="1"/>
  <c r="D8" i="3"/>
  <c r="D47" i="3"/>
  <c r="V19" i="3" l="1"/>
  <c r="V22" i="3"/>
  <c r="V24" i="3"/>
  <c r="U42" i="3"/>
  <c r="U22" i="3"/>
  <c r="U24" i="3"/>
  <c r="U19" i="3"/>
  <c r="U25" i="3" s="1"/>
  <c r="U26" i="3" s="1"/>
  <c r="T42" i="3"/>
  <c r="S42" i="3"/>
  <c r="T22" i="3"/>
  <c r="T24" i="3"/>
  <c r="T19" i="3"/>
  <c r="T25" i="3" s="1"/>
  <c r="S19" i="3"/>
  <c r="S22" i="3"/>
  <c r="S24" i="3"/>
  <c r="R42" i="3"/>
  <c r="R22" i="3"/>
  <c r="R24" i="3"/>
  <c r="R19" i="3"/>
  <c r="R25" i="3" s="1"/>
  <c r="Q42" i="3"/>
  <c r="P42" i="3"/>
  <c r="Q22" i="3"/>
  <c r="Q24" i="3"/>
  <c r="Q19" i="3"/>
  <c r="Q25" i="3" s="1"/>
  <c r="P19" i="3"/>
  <c r="P22" i="3"/>
  <c r="P24" i="3"/>
  <c r="O42" i="3"/>
  <c r="O19" i="3"/>
  <c r="O22" i="3"/>
  <c r="O24" i="3"/>
  <c r="N42" i="3"/>
  <c r="N19" i="3"/>
  <c r="N22" i="3"/>
  <c r="N24" i="3"/>
  <c r="M42" i="3"/>
  <c r="L42" i="3"/>
  <c r="M22" i="3"/>
  <c r="M24" i="3"/>
  <c r="M19" i="3"/>
  <c r="M25" i="3" s="1"/>
  <c r="L19" i="3"/>
  <c r="L22" i="3"/>
  <c r="L24" i="3"/>
  <c r="K42" i="3"/>
  <c r="K22" i="3"/>
  <c r="K24" i="3"/>
  <c r="K19" i="3"/>
  <c r="K25" i="3" s="1"/>
  <c r="J42" i="3"/>
  <c r="I42" i="3"/>
  <c r="J19" i="3"/>
  <c r="J22" i="3"/>
  <c r="J24" i="3"/>
  <c r="I22" i="3"/>
  <c r="I24" i="3"/>
  <c r="I19" i="3"/>
  <c r="I25" i="3" s="1"/>
  <c r="H42" i="3"/>
  <c r="H11" i="3"/>
  <c r="I11" i="3" s="1"/>
  <c r="H19" i="3"/>
  <c r="H22" i="3"/>
  <c r="H24" i="3"/>
  <c r="G42" i="3"/>
  <c r="F42" i="3"/>
  <c r="G11" i="3"/>
  <c r="G19" i="3"/>
  <c r="G22" i="3"/>
  <c r="G24" i="3"/>
  <c r="F36" i="3"/>
  <c r="G15" i="3"/>
  <c r="F10" i="3"/>
  <c r="F18" i="3"/>
  <c r="F23" i="3"/>
  <c r="F20" i="3"/>
  <c r="F21" i="3"/>
  <c r="E41" i="3"/>
  <c r="E36" i="3"/>
  <c r="F15" i="3"/>
  <c r="E10" i="3"/>
  <c r="E20" i="3"/>
  <c r="E21" i="3"/>
  <c r="E23" i="3"/>
  <c r="E18" i="3"/>
  <c r="D41" i="3"/>
  <c r="C14" i="3"/>
  <c r="W47" i="3"/>
  <c r="B21" i="1"/>
  <c r="C10" i="3"/>
  <c r="C21" i="3"/>
  <c r="W8" i="3"/>
  <c r="C23" i="3"/>
  <c r="C18" i="3"/>
  <c r="C20" i="3"/>
  <c r="D36" i="3"/>
  <c r="E15" i="3"/>
  <c r="D20" i="3"/>
  <c r="C41" i="3"/>
  <c r="D10" i="3"/>
  <c r="D18" i="3"/>
  <c r="D21" i="3"/>
  <c r="D23" i="3"/>
  <c r="H37" i="3"/>
  <c r="O25" i="3" l="1"/>
  <c r="S25" i="3"/>
  <c r="U32" i="3"/>
  <c r="U27" i="3"/>
  <c r="U33" i="3"/>
  <c r="U34" i="3"/>
  <c r="U38" i="3" s="1"/>
  <c r="U48" i="3" s="1"/>
  <c r="U57" i="3" s="1"/>
  <c r="U59" i="3" s="1"/>
  <c r="G37" i="3"/>
  <c r="F37" i="3"/>
  <c r="F11" i="3"/>
  <c r="F19" i="3"/>
  <c r="F22" i="3"/>
  <c r="F24" i="3"/>
  <c r="E42" i="3"/>
  <c r="E30" i="3"/>
  <c r="E11" i="3"/>
  <c r="E22" i="3"/>
  <c r="E24" i="3"/>
  <c r="E19" i="3"/>
  <c r="E25" i="3" s="1"/>
  <c r="E26" i="3" s="1"/>
  <c r="D42" i="3"/>
  <c r="W15" i="3"/>
  <c r="C36" i="3"/>
  <c r="D15" i="3"/>
  <c r="W10" i="3"/>
  <c r="C22" i="3"/>
  <c r="C24" i="3"/>
  <c r="C19" i="3"/>
  <c r="B20" i="1"/>
  <c r="W18" i="3"/>
  <c r="C25" i="3"/>
  <c r="C26" i="3" s="1"/>
  <c r="W41" i="3"/>
  <c r="C42" i="3"/>
  <c r="C45" i="3"/>
  <c r="D45" i="3"/>
  <c r="D46" i="3" s="1"/>
  <c r="D30" i="3" s="1"/>
  <c r="E45" i="3"/>
  <c r="E46" i="3" s="1"/>
  <c r="F45" i="3"/>
  <c r="F46" i="3" s="1"/>
  <c r="F30" i="3" s="1"/>
  <c r="G45" i="3"/>
  <c r="G46" i="3" s="1"/>
  <c r="G30" i="3" s="1"/>
  <c r="H45" i="3"/>
  <c r="H46" i="3" s="1"/>
  <c r="H30" i="3" s="1"/>
  <c r="I45" i="3"/>
  <c r="I46" i="3" s="1"/>
  <c r="I30" i="3" s="1"/>
  <c r="J45" i="3"/>
  <c r="J46" i="3" s="1"/>
  <c r="J30" i="3" s="1"/>
  <c r="K45" i="3"/>
  <c r="K46" i="3" s="1"/>
  <c r="K30" i="3" s="1"/>
  <c r="L45" i="3"/>
  <c r="L46" i="3" s="1"/>
  <c r="L30" i="3" s="1"/>
  <c r="M45" i="3"/>
  <c r="M46" i="3" s="1"/>
  <c r="M30" i="3" s="1"/>
  <c r="N45" i="3"/>
  <c r="N46" i="3" s="1"/>
  <c r="N30" i="3" s="1"/>
  <c r="O45" i="3"/>
  <c r="O46" i="3" s="1"/>
  <c r="O30" i="3" s="1"/>
  <c r="P45" i="3"/>
  <c r="P46" i="3" s="1"/>
  <c r="P30" i="3" s="1"/>
  <c r="Q45" i="3"/>
  <c r="Q46" i="3" s="1"/>
  <c r="Q30" i="3" s="1"/>
  <c r="R45" i="3"/>
  <c r="R46" i="3" s="1"/>
  <c r="R30" i="3" s="1"/>
  <c r="S45" i="3"/>
  <c r="S46" i="3" s="1"/>
  <c r="S30" i="3" s="1"/>
  <c r="T45" i="3"/>
  <c r="T46" i="3" s="1"/>
  <c r="T30" i="3" s="1"/>
  <c r="U45" i="3"/>
  <c r="U46" i="3" s="1"/>
  <c r="U30" i="3" s="1"/>
  <c r="V45" i="3"/>
  <c r="V46" i="3" s="1"/>
  <c r="V30" i="3" s="1"/>
  <c r="B11" i="1"/>
  <c r="D11" i="3"/>
  <c r="D19" i="3"/>
  <c r="D22" i="3"/>
  <c r="D24" i="3"/>
  <c r="V25" i="3"/>
  <c r="V26" i="3" s="1"/>
  <c r="P25" i="3"/>
  <c r="N25" i="3"/>
  <c r="L25" i="3"/>
  <c r="J25" i="3"/>
  <c r="G25" i="3"/>
  <c r="G26" i="3" s="1"/>
  <c r="W21" i="3"/>
  <c r="W20" i="3"/>
  <c r="H25" i="3"/>
  <c r="H26" i="3" s="1"/>
  <c r="E37" i="3"/>
  <c r="W23" i="3"/>
  <c r="J11" i="3"/>
  <c r="I13" i="3"/>
  <c r="W22" i="3" l="1"/>
  <c r="W24" i="3"/>
  <c r="W19" i="3"/>
  <c r="E27" i="3"/>
  <c r="D37" i="3"/>
  <c r="C37" i="3"/>
  <c r="C27" i="3"/>
  <c r="C32" i="3"/>
  <c r="W25" i="3"/>
  <c r="B22" i="1"/>
  <c r="W42" i="3"/>
  <c r="C66" i="2"/>
  <c r="W45" i="3"/>
  <c r="C46" i="3"/>
  <c r="V32" i="3"/>
  <c r="V27" i="3"/>
  <c r="G27" i="3"/>
  <c r="H27" i="3"/>
  <c r="J13" i="3"/>
  <c r="K11" i="3"/>
  <c r="I14" i="3"/>
  <c r="F25" i="3"/>
  <c r="F26" i="3" s="1"/>
  <c r="D25" i="3"/>
  <c r="D26" i="3" s="1"/>
  <c r="L11" i="3" l="1"/>
  <c r="W11" i="3"/>
  <c r="K13" i="3"/>
  <c r="C33" i="3"/>
  <c r="C34" i="3" s="1"/>
  <c r="C30" i="3"/>
  <c r="W46" i="3"/>
  <c r="V34" i="3"/>
  <c r="V38" i="3" s="1"/>
  <c r="V48" i="3" s="1"/>
  <c r="V57" i="3" s="1"/>
  <c r="V59" i="3" s="1"/>
  <c r="V33" i="3"/>
  <c r="I36" i="3"/>
  <c r="I37" i="3" s="1"/>
  <c r="I26" i="3"/>
  <c r="I15" i="3"/>
  <c r="F27" i="3"/>
  <c r="D27" i="3"/>
  <c r="J14" i="3"/>
  <c r="L13" i="3" l="1"/>
  <c r="L14" i="3" s="1"/>
  <c r="M11" i="3"/>
  <c r="K14" i="3"/>
  <c r="J15" i="3"/>
  <c r="C38" i="3"/>
  <c r="W30" i="3"/>
  <c r="P31" i="3"/>
  <c r="T31" i="3"/>
  <c r="S31" i="3"/>
  <c r="R31" i="3"/>
  <c r="O31" i="3"/>
  <c r="N31" i="3"/>
  <c r="M31" i="3"/>
  <c r="Q31" i="3"/>
  <c r="L31" i="3"/>
  <c r="K31" i="3"/>
  <c r="J31" i="3"/>
  <c r="J35" i="3" s="1"/>
  <c r="I31" i="3"/>
  <c r="H31" i="3"/>
  <c r="G31" i="3"/>
  <c r="D31" i="3"/>
  <c r="E31" i="3"/>
  <c r="F31" i="3"/>
  <c r="I27" i="3"/>
  <c r="K15" i="3"/>
  <c r="J26" i="3"/>
  <c r="J36" i="3"/>
  <c r="L26" i="3" l="1"/>
  <c r="L36" i="3"/>
  <c r="L37" i="3" s="1"/>
  <c r="M13" i="3"/>
  <c r="N11" i="3"/>
  <c r="L15" i="3"/>
  <c r="K26" i="3"/>
  <c r="K32" i="3" s="1"/>
  <c r="K36" i="3"/>
  <c r="K37" i="3" s="1"/>
  <c r="I35" i="3"/>
  <c r="I32" i="3"/>
  <c r="I33" i="3" s="1"/>
  <c r="I34" i="3" s="1"/>
  <c r="I38" i="3" s="1"/>
  <c r="I48" i="3" s="1"/>
  <c r="I57" i="3" s="1"/>
  <c r="I59" i="3" s="1"/>
  <c r="C48" i="3"/>
  <c r="P35" i="3"/>
  <c r="T35" i="3"/>
  <c r="S35" i="3"/>
  <c r="R35" i="3"/>
  <c r="O35" i="3"/>
  <c r="N35" i="3"/>
  <c r="M35" i="3"/>
  <c r="Q35" i="3"/>
  <c r="L35" i="3"/>
  <c r="K35" i="3"/>
  <c r="H32" i="3"/>
  <c r="H35" i="3"/>
  <c r="G32" i="3"/>
  <c r="G35" i="3"/>
  <c r="D32" i="3"/>
  <c r="D35" i="3"/>
  <c r="W31" i="3"/>
  <c r="E32" i="3"/>
  <c r="E35" i="3"/>
  <c r="F32" i="3"/>
  <c r="F35" i="3"/>
  <c r="J27" i="3"/>
  <c r="J32" i="3"/>
  <c r="J37" i="3"/>
  <c r="M14" i="3" l="1"/>
  <c r="N13" i="3"/>
  <c r="O11" i="3"/>
  <c r="K27" i="3"/>
  <c r="L27" i="3"/>
  <c r="L32" i="3"/>
  <c r="C57" i="3"/>
  <c r="K33" i="3"/>
  <c r="K34" i="3" s="1"/>
  <c r="K38" i="3" s="1"/>
  <c r="K48" i="3" s="1"/>
  <c r="K57" i="3" s="1"/>
  <c r="K59" i="3" s="1"/>
  <c r="H33" i="3"/>
  <c r="H34" i="3"/>
  <c r="H38" i="3" s="1"/>
  <c r="H48" i="3" s="1"/>
  <c r="H57" i="3" s="1"/>
  <c r="H59" i="3" s="1"/>
  <c r="G33" i="3"/>
  <c r="G34" i="3" s="1"/>
  <c r="G38" i="3" s="1"/>
  <c r="G48" i="3" s="1"/>
  <c r="G57" i="3" s="1"/>
  <c r="G59" i="3" s="1"/>
  <c r="D33" i="3"/>
  <c r="D34" i="3" s="1"/>
  <c r="E33" i="3"/>
  <c r="E34" i="3" s="1"/>
  <c r="E38" i="3" s="1"/>
  <c r="E48" i="3" s="1"/>
  <c r="E57" i="3" s="1"/>
  <c r="E59" i="3" s="1"/>
  <c r="F33" i="3"/>
  <c r="F34" i="3" s="1"/>
  <c r="F38" i="3" s="1"/>
  <c r="F48" i="3" s="1"/>
  <c r="F57" i="3" s="1"/>
  <c r="F59" i="3" s="1"/>
  <c r="J33" i="3"/>
  <c r="J34" i="3" s="1"/>
  <c r="J38" i="3" s="1"/>
  <c r="J48" i="3" s="1"/>
  <c r="J57" i="3" s="1"/>
  <c r="J59" i="3" s="1"/>
  <c r="W35" i="3"/>
  <c r="M15" i="3" l="1"/>
  <c r="M36" i="3"/>
  <c r="M37" i="3" s="1"/>
  <c r="N15" i="3"/>
  <c r="M26" i="3"/>
  <c r="O13" i="3"/>
  <c r="O14" i="3" s="1"/>
  <c r="P11" i="3"/>
  <c r="N14" i="3"/>
  <c r="L33" i="3"/>
  <c r="C60" i="3"/>
  <c r="C59" i="3"/>
  <c r="D38" i="3"/>
  <c r="M32" i="3" l="1"/>
  <c r="M27" i="3"/>
  <c r="O36" i="3"/>
  <c r="O26" i="3"/>
  <c r="P13" i="3"/>
  <c r="Q11" i="3"/>
  <c r="O15" i="3"/>
  <c r="N26" i="3"/>
  <c r="N36" i="3"/>
  <c r="N37" i="3" s="1"/>
  <c r="L34" i="3"/>
  <c r="C61" i="3"/>
  <c r="D48" i="3"/>
  <c r="M33" i="3" l="1"/>
  <c r="O32" i="3"/>
  <c r="O27" i="3"/>
  <c r="P14" i="3"/>
  <c r="Q13" i="3"/>
  <c r="Q14" i="3" s="1"/>
  <c r="R11" i="3"/>
  <c r="N32" i="3"/>
  <c r="N33" i="3" s="1"/>
  <c r="N34" i="3" s="1"/>
  <c r="N38" i="3" s="1"/>
  <c r="N48" i="3" s="1"/>
  <c r="N57" i="3" s="1"/>
  <c r="N59" i="3" s="1"/>
  <c r="N27" i="3"/>
  <c r="L38" i="3"/>
  <c r="O37" i="3"/>
  <c r="D57" i="3"/>
  <c r="M34" i="3" l="1"/>
  <c r="O33" i="3"/>
  <c r="P15" i="3"/>
  <c r="P26" i="3"/>
  <c r="P36" i="3"/>
  <c r="P37" i="3" s="1"/>
  <c r="Q15" i="3"/>
  <c r="Q36" i="3"/>
  <c r="Q37" i="3" s="1"/>
  <c r="Q26" i="3"/>
  <c r="R13" i="3"/>
  <c r="S11" i="3"/>
  <c r="L48" i="3"/>
  <c r="D60" i="3"/>
  <c r="D59" i="3"/>
  <c r="B18" i="1"/>
  <c r="M38" i="3" l="1"/>
  <c r="P32" i="3"/>
  <c r="P27" i="3"/>
  <c r="Q32" i="3"/>
  <c r="Q33" i="3" s="1"/>
  <c r="Q34" i="3" s="1"/>
  <c r="Q38" i="3" s="1"/>
  <c r="Q48" i="3" s="1"/>
  <c r="Q57" i="3" s="1"/>
  <c r="Q59" i="3" s="1"/>
  <c r="Q27" i="3"/>
  <c r="R14" i="3"/>
  <c r="S13" i="3"/>
  <c r="T11" i="3"/>
  <c r="T13" i="3" s="1"/>
  <c r="T14" i="3" s="1"/>
  <c r="L57" i="3"/>
  <c r="O34" i="3"/>
  <c r="E60" i="3"/>
  <c r="D61" i="3"/>
  <c r="M48" i="3" l="1"/>
  <c r="P33" i="3"/>
  <c r="P34" i="3"/>
  <c r="W14" i="3"/>
  <c r="R15" i="3"/>
  <c r="R36" i="3"/>
  <c r="R37" i="3" s="1"/>
  <c r="R26" i="3"/>
  <c r="S15" i="3"/>
  <c r="B12" i="1"/>
  <c r="U15" i="3"/>
  <c r="T26" i="3"/>
  <c r="T36" i="3"/>
  <c r="L59" i="3"/>
  <c r="S14" i="3"/>
  <c r="W13" i="3"/>
  <c r="O38" i="3"/>
  <c r="O48" i="3" s="1"/>
  <c r="O57" i="3" s="1"/>
  <c r="O59" i="3" s="1"/>
  <c r="F60" i="3"/>
  <c r="E61" i="3"/>
  <c r="M57" i="3" l="1"/>
  <c r="W26" i="3"/>
  <c r="W27" i="3" s="1"/>
  <c r="R32" i="3"/>
  <c r="R27" i="3"/>
  <c r="T32" i="3"/>
  <c r="T33" i="3" s="1"/>
  <c r="T34" i="3" s="1"/>
  <c r="T27" i="3"/>
  <c r="W36" i="3"/>
  <c r="T52" i="3"/>
  <c r="T15" i="3"/>
  <c r="S26" i="3"/>
  <c r="S36" i="3"/>
  <c r="P38" i="3"/>
  <c r="G60" i="3"/>
  <c r="F61" i="3"/>
  <c r="M59" i="3" l="1"/>
  <c r="R33" i="3"/>
  <c r="T54" i="3"/>
  <c r="W52" i="3"/>
  <c r="S32" i="3"/>
  <c r="S27" i="3"/>
  <c r="P48" i="3"/>
  <c r="P57" i="3" s="1"/>
  <c r="P59" i="3" s="1"/>
  <c r="S37" i="3"/>
  <c r="T37" i="3"/>
  <c r="H60" i="3"/>
  <c r="G61" i="3"/>
  <c r="W33" i="3" l="1"/>
  <c r="R34" i="3"/>
  <c r="B14" i="1"/>
  <c r="W54" i="3"/>
  <c r="C68" i="2"/>
  <c r="T38" i="3"/>
  <c r="T48" i="3" s="1"/>
  <c r="T57" i="3" s="1"/>
  <c r="T59" i="3" s="1"/>
  <c r="W37" i="3"/>
  <c r="S33" i="3"/>
  <c r="S34" i="3" s="1"/>
  <c r="S38" i="3" s="1"/>
  <c r="S48" i="3" s="1"/>
  <c r="S57" i="3" s="1"/>
  <c r="S59" i="3" s="1"/>
  <c r="W32" i="3"/>
  <c r="I60" i="3"/>
  <c r="H61" i="3"/>
  <c r="W34" i="3" l="1"/>
  <c r="R38" i="3"/>
  <c r="J60" i="3"/>
  <c r="I61" i="3"/>
  <c r="W38" i="3" l="1"/>
  <c r="R48" i="3"/>
  <c r="K60" i="3"/>
  <c r="J61" i="3"/>
  <c r="B13" i="1" l="1"/>
  <c r="W48" i="3"/>
  <c r="C67" i="2"/>
  <c r="C69" i="2" s="1"/>
  <c r="R57" i="3"/>
  <c r="L60" i="3"/>
  <c r="K61" i="3"/>
  <c r="B5" i="1" l="1"/>
  <c r="W57" i="3"/>
  <c r="B29" i="1"/>
  <c r="B6" i="1"/>
  <c r="B19" i="1" s="1"/>
  <c r="B31" i="1"/>
  <c r="B30" i="1"/>
  <c r="B27" i="1"/>
  <c r="B7" i="1"/>
  <c r="B28" i="1"/>
  <c r="R59" i="3"/>
  <c r="W59" i="3" s="1"/>
  <c r="M60" i="3"/>
  <c r="L61" i="3"/>
  <c r="N60" i="3" l="1"/>
  <c r="M61" i="3"/>
  <c r="O60" i="3" l="1"/>
  <c r="N61" i="3"/>
  <c r="P60" i="3" l="1"/>
  <c r="O61" i="3"/>
  <c r="Q60" i="3" l="1"/>
  <c r="P61" i="3"/>
  <c r="R60" i="3" l="1"/>
  <c r="Q61" i="3"/>
  <c r="S60" i="3" l="1"/>
  <c r="R61" i="3"/>
  <c r="T60" i="3" l="1"/>
  <c r="S61" i="3"/>
  <c r="U60" i="3" l="1"/>
  <c r="T61" i="3"/>
  <c r="V60" i="3" l="1"/>
  <c r="U62" i="3"/>
  <c r="U61" i="3"/>
  <c r="T62" i="3" l="1"/>
  <c r="P62" i="3"/>
  <c r="O62" i="3"/>
  <c r="N62" i="3"/>
  <c r="L62" i="3"/>
  <c r="M62" i="3"/>
  <c r="K62" i="3"/>
  <c r="J62" i="3"/>
  <c r="I62" i="3"/>
  <c r="H62" i="3"/>
  <c r="G62" i="3"/>
  <c r="F62" i="3"/>
  <c r="E62" i="3"/>
  <c r="D62" i="3"/>
  <c r="B10" i="1"/>
  <c r="C62" i="3"/>
  <c r="W60" i="3"/>
  <c r="B23" i="1"/>
  <c r="V62" i="3"/>
  <c r="V61" i="3"/>
  <c r="U63" i="3"/>
  <c r="Q62" i="3"/>
  <c r="R62" i="3"/>
  <c r="S62" i="3"/>
  <c r="T63" i="3"/>
  <c r="S63" i="3"/>
  <c r="Q63" i="3"/>
  <c r="R63" i="3" l="1"/>
  <c r="P63" i="3"/>
  <c r="W62" i="3"/>
  <c r="B8" i="1"/>
  <c r="N63" i="3"/>
  <c r="O63" i="3"/>
  <c r="M63" i="3"/>
  <c r="L63" i="3"/>
  <c r="K63" i="3"/>
  <c r="J63" i="3"/>
  <c r="I63" i="3"/>
  <c r="H63" i="3"/>
  <c r="G63" i="3"/>
  <c r="F63" i="3"/>
  <c r="E63" i="3"/>
  <c r="D63" i="3"/>
  <c r="C63" i="3"/>
  <c r="V63" i="3"/>
  <c r="W61" i="3"/>
  <c r="W63" i="3" l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tc={E5BD4836-D2A7-8220-A0E1-7E2F5388488E}</author>
    <author>tc={BE025118-53AD-E0A1-5171-C7E141975AC6}</author>
    <author>tc={23A43C35-96A9-A21F-FF37-13EF9C570702}</author>
    <author>tc={E64FA082-A9BD-6527-69BA-1B8A91E44F0D}</author>
  </authors>
  <commentList>
    <comment ref="C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Oracle FY2026 Form 10-K, Note 9. Oracle disclosed additional data-center lease commitments with terms of 15 to 19 years. Base case uses the 17-year midpoint.</t>
      </text>
    </comment>
    <comment ref="C18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Oracle FY2026 Form 10-K, Property, Plant and Equipment. Servers and networking equipment are primarily assigned a six-year useful life.</t>
      </text>
    </comment>
    <comment ref="C32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Underwriting assumption: post-contract revenue is not publicly disclosed or contracted in this model. Initial utilization is editable and should be sensitized.</t>
      </text>
    </comment>
    <comment ref="C62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Market-based project hurdle as of July 20, 2026. Built from Treasury yields, equity risk premium, an estimated funding mix and project-specific risk. See Sources sheet.</t>
      </text>
    </comment>
  </commentList>
</comments>
</file>

<file path=xl/sharedStrings.xml><?xml version="1.0" encoding="utf-8"?>
<sst xmlns="http://schemas.openxmlformats.org/spreadsheetml/2006/main" count="586" uniqueCount="240">
  <si>
    <t>Oracle–OpenAI AI Infrastructure Project | Investment Summary</t>
  </si>
  <si>
    <t>Base case extends through the full 17-year data-center lease. Post-2031 redeployment revenue is an underwriting assumption and is not treated as contracted backlog.</t>
  </si>
  <si>
    <t>Key Project Returns</t>
  </si>
  <si>
    <t>Full-Lease Project IRR</t>
  </si>
  <si>
    <t>Lease Term</t>
  </si>
  <si>
    <t>Full-Lease Project NPV ($mm)</t>
  </si>
  <si>
    <t>Contract End Year</t>
  </si>
  <si>
    <t>Project MOIC</t>
  </si>
  <si>
    <t>Total Capacity (GW)</t>
  </si>
  <si>
    <t>Sustained Payback Year</t>
  </si>
  <si>
    <t>Initial Cost / GW ($mm)</t>
  </si>
  <si>
    <t>Sustained Discounted Payback Year</t>
  </si>
  <si>
    <t>Contract Value ($mm)</t>
  </si>
  <si>
    <t>Peak Funding Requirement ($mm)</t>
  </si>
  <si>
    <t>Initial Tail Utilization</t>
  </si>
  <si>
    <t>Total Initial Hardware Capex ($mm)</t>
  </si>
  <si>
    <t>Stabilized Tail Utilization</t>
  </si>
  <si>
    <t>Total Revenue ($mm)</t>
  </si>
  <si>
    <t>Annual Revenue / GW Decline</t>
  </si>
  <si>
    <t>Total Operating FCFF ($mm)</t>
  </si>
  <si>
    <t>Refresh Interval</t>
  </si>
  <si>
    <t>Terminal Cash Flow ($mm)</t>
  </si>
  <si>
    <t>Refresh Cost</t>
  </si>
  <si>
    <t>Lease End Year</t>
  </si>
  <si>
    <t>Discount Rate</t>
  </si>
  <si>
    <t>Value Decomposition</t>
  </si>
  <si>
    <t>Contract-Period NPV Through 2031 ($mm)</t>
  </si>
  <si>
    <t>Critical underwriting point:
The OpenAI contract revenue ends in 2031, while the base lease continues through 2043. The model assumes the capacity is redeployed at 70% utilization in 2032, ramping to 85%, while revenue per utilized GW declines 10% annually. Major hardware refreshes occur every six years. Change these assumptions on the Assumptions sheet to test the lease-tail risk.</t>
  </si>
  <si>
    <t>Post-Contract / Lease-Tail PV Contribution ($mm)</t>
  </si>
  <si>
    <t>PV of Facility Lease Payments ($mm)</t>
  </si>
  <si>
    <t>PV of Major Refresh Capex ($mm)</t>
  </si>
  <si>
    <t>PV of Total Ongoing Expenses ($mm)</t>
  </si>
  <si>
    <t>Ending Cumulative FCFF ($mm)</t>
  </si>
  <si>
    <t>NPV Sensitivity to Discount Rate</t>
  </si>
  <si>
    <t>Project NPV ($mm)</t>
  </si>
  <si>
    <t>Oracle–OpenAI AI Infrastructure Project | Assumptions</t>
  </si>
  <si>
    <t>Nominal USD in $mm unless otherwise noted. Blue-font cells are editable inputs; formula cells are black. Public disclosures and underwriting assumptions are separately identified.</t>
  </si>
  <si>
    <t>Section</t>
  </si>
  <si>
    <t>Assumption</t>
  </si>
  <si>
    <t>Value</t>
  </si>
  <si>
    <t>Units</t>
  </si>
  <si>
    <t>Basis / Note</t>
  </si>
  <si>
    <t>Source ID</t>
  </si>
  <si>
    <t>Project Timing</t>
  </si>
  <si>
    <t>Valuation year</t>
  </si>
  <si>
    <t>year</t>
  </si>
  <si>
    <t>Initial project year</t>
  </si>
  <si>
    <t>[M]</t>
  </si>
  <si>
    <t>Lease start year</t>
  </si>
  <si>
    <t>First operating year</t>
  </si>
  <si>
    <t>[O1]/[M]</t>
  </si>
  <si>
    <t>Lease term</t>
  </si>
  <si>
    <t>years</t>
  </si>
  <si>
    <t>Midpoint of Oracle's disclosed 15–19 year range</t>
  </si>
  <si>
    <t>[O1]</t>
  </si>
  <si>
    <t>Lease end year</t>
  </si>
  <si>
    <t>Calculated from start year and lease term</t>
  </si>
  <si>
    <t>[F]</t>
  </si>
  <si>
    <t>Contract term</t>
  </si>
  <si>
    <t>OpenAI contract modeling period</t>
  </si>
  <si>
    <t>[U]</t>
  </si>
  <si>
    <t>Contract end year</t>
  </si>
  <si>
    <t>Calculated from start year and contract term</t>
  </si>
  <si>
    <t>Maximum modeled lease term</t>
  </si>
  <si>
    <t>Allows disclosed upper-end lease case</t>
  </si>
  <si>
    <t>Maximum modeled end year</t>
  </si>
  <si>
    <t>Lease start plus maximum modeled term</t>
  </si>
  <si>
    <t>Capacity &amp; Investment</t>
  </si>
  <si>
    <t>Total leased capacity</t>
  </si>
  <si>
    <t>GW</t>
  </si>
  <si>
    <t>Capacity assumption carried from source model</t>
  </si>
  <si>
    <t>Initial hardware cost / GW</t>
  </si>
  <si>
    <t>$mm/GW</t>
  </si>
  <si>
    <t>Oracle-funded hardware and fit-out assumption</t>
  </si>
  <si>
    <t>[U]/[M]</t>
  </si>
  <si>
    <t>Total initial hardware cost</t>
  </si>
  <si>
    <t>$mm</t>
  </si>
  <si>
    <t>Capacity multiplied by cost per GW</t>
  </si>
  <si>
    <t>Hardware useful life / refresh interval</t>
  </si>
  <si>
    <t>Oracle reports servers and networking at six years</t>
  </si>
  <si>
    <t>Annual maintenance capex</t>
  </si>
  <si>
    <t>% installed basis</t>
  </si>
  <si>
    <t>Routine sustaining capital; separate from major refresh</t>
  </si>
  <si>
    <t>Major refresh cost</t>
  </si>
  <si>
    <t>% initial cost</t>
  </si>
  <si>
    <t>Replaces compute-heavy portion each refresh cycle</t>
  </si>
  <si>
    <t>Residual hardware value</t>
  </si>
  <si>
    <t>Conservative end-of-lease salvage value</t>
  </si>
  <si>
    <t>Decommissioning / exit cost</t>
  </si>
  <si>
    <t>Removal, restoration and disposal allowance</t>
  </si>
  <si>
    <t>Contract Revenue</t>
  </si>
  <si>
    <t>Contract value</t>
  </si>
  <si>
    <t>Value and timing retained from source workbook</t>
  </si>
  <si>
    <t>2027 revenue mix</t>
  </si>
  <si>
    <t>% contract</t>
  </si>
  <si>
    <t>Contract-period revenue schedule</t>
  </si>
  <si>
    <t>2028 revenue mix</t>
  </si>
  <si>
    <t>2029 revenue mix</t>
  </si>
  <si>
    <t>2030 revenue mix</t>
  </si>
  <si>
    <t>2031 revenue mix</t>
  </si>
  <si>
    <t>Revenue mix check</t>
  </si>
  <si>
    <t>%</t>
  </si>
  <si>
    <t>Must equal 100.0%</t>
  </si>
  <si>
    <t>Post-Contract Redeployment</t>
  </si>
  <si>
    <t>Initial post-contract utilization</t>
  </si>
  <si>
    <t>% available GW</t>
  </si>
  <si>
    <t>Uncontracted underwriting assumption beginning 2032</t>
  </si>
  <si>
    <t>Stabilized post-contract utilization</t>
  </si>
  <si>
    <t>Uncontracted underwriting assumption</t>
  </si>
  <si>
    <t>Utilization ramp</t>
  </si>
  <si>
    <t>Linear ramp from initial to stabilized utilization</t>
  </si>
  <si>
    <t>Annual compute revenue / GW decline</t>
  </si>
  <si>
    <t>% per year</t>
  </si>
  <si>
    <t>Reflects technology price/performance deflation</t>
  </si>
  <si>
    <t>Operating Costs</t>
  </si>
  <si>
    <t>Facility lease / available GW</t>
  </si>
  <si>
    <t>Fixed while capacity is under lease</t>
  </si>
  <si>
    <t>Electricity and fuel / utilized GW</t>
  </si>
  <si>
    <t>Variable with utilized capacity</t>
  </si>
  <si>
    <t>Staffing and security / available GW</t>
  </si>
  <si>
    <t>Primarily fixed by available capacity</t>
  </si>
  <si>
    <t>Facility maintenance / available GW</t>
  </si>
  <si>
    <t>Networking / utilized GW</t>
  </si>
  <si>
    <t>Insurance, taxes and compliance / available GW</t>
  </si>
  <si>
    <t>Water / utilized GW</t>
  </si>
  <si>
    <t>Facility lease escalator</t>
  </si>
  <si>
    <t>Nominal escalation assumption</t>
  </si>
  <si>
    <t>Power price inflation</t>
  </si>
  <si>
    <t>Other operating-cost inflation</t>
  </si>
  <si>
    <t>FCFF &amp; Valuation</t>
  </si>
  <si>
    <t>Marginal cash tax rate</t>
  </si>
  <si>
    <t>% EBIT</t>
  </si>
  <si>
    <t>U.S. statutory rate; cash taxes floored at zero</t>
  </si>
  <si>
    <t>Net working capital</t>
  </si>
  <si>
    <t>% revenue</t>
  </si>
  <si>
    <t>Conservative positive project working-capital balance</t>
  </si>
  <si>
    <t>Discount rate</t>
  </si>
  <si>
    <t>Linked to the market-based build-up below</t>
  </si>
  <si>
    <t>Terminal NWC recovery</t>
  </si>
  <si>
    <t>% balance</t>
  </si>
  <si>
    <t>Working capital released at lease expiration</t>
  </si>
  <si>
    <t>Discount Rate Build-Up</t>
  </si>
  <si>
    <t>5-year U.S. Treasury yield</t>
  </si>
  <si>
    <t>Risk-free rate at the project investment horizon</t>
  </si>
  <si>
    <t>[DR]</t>
  </si>
  <si>
    <t>Implied equity risk premium</t>
  </si>
  <si>
    <t>Forward-looking U.S. market risk premium</t>
  </si>
  <si>
    <t>Project equity beta</t>
  </si>
  <si>
    <t>x</t>
  </si>
  <si>
    <t>Higher than mature software due to concentration and technology risk</t>
  </si>
  <si>
    <t>Cost of equity</t>
  </si>
  <si>
    <t>Risk-free rate plus beta multiplied by equity risk premium</t>
  </si>
  <si>
    <t>Pre-tax cost of debt</t>
  </si>
  <si>
    <t>Indicative long-dated Oracle project funding cost</t>
  </si>
  <si>
    <t>[DR]/[M]</t>
  </si>
  <si>
    <t>Debt weight</t>
  </si>
  <si>
    <t>% capital</t>
  </si>
  <si>
    <t>Conservative project funding mix</t>
  </si>
  <si>
    <t>Equity weight</t>
  </si>
  <si>
    <t>One minus debt weight</t>
  </si>
  <si>
    <t>Base WACC</t>
  </si>
  <si>
    <t>After-tax blended cost of capital</t>
  </si>
  <si>
    <t>Project execution / renewal premium</t>
  </si>
  <si>
    <t>Customer concentration, lease-tail and refresh risk</t>
  </si>
  <si>
    <t>Calculated project discount rate</t>
  </si>
  <si>
    <t>Base WACC plus project-specific premium</t>
  </si>
  <si>
    <t>ICF / OCF / TCF Cash Flow Framework</t>
  </si>
  <si>
    <t>Classification</t>
  </si>
  <si>
    <t>Cash Flow</t>
  </si>
  <si>
    <t>Total</t>
  </si>
  <si>
    <t>Components</t>
  </si>
  <si>
    <t>Model Reference</t>
  </si>
  <si>
    <t>ICF</t>
  </si>
  <si>
    <t>Initial Cash Flow</t>
  </si>
  <si>
    <t>Staged initial hardware build capex</t>
  </si>
  <si>
    <t>FCFF Model row 43</t>
  </si>
  <si>
    <t>OCF</t>
  </si>
  <si>
    <t>Operating FCFF</t>
  </si>
  <si>
    <t>NOPAT + depreciation - change in NWC - maintenance capex - major refresh capex</t>
  </si>
  <si>
    <t>FCFF Model row 49</t>
  </si>
  <si>
    <t>TCF</t>
  </si>
  <si>
    <t>Terminal Cash Flow</t>
  </si>
  <si>
    <t>Residual hardware value + NWC recovery - decommissioning and exit cost</t>
  </si>
  <si>
    <t>FCFF Model row 55</t>
  </si>
  <si>
    <t>Total FCFF</t>
  </si>
  <si>
    <t>Project Cash Flow</t>
  </si>
  <si>
    <t>ICF + OCF + TCF</t>
  </si>
  <si>
    <t>FCFF Model row 58</t>
  </si>
  <si>
    <t>Oracle–OpenAI AI Infrastructure Project | Lease-Term FCFF Model</t>
  </si>
  <si>
    <t>Year</t>
  </si>
  <si>
    <t>Project Year</t>
  </si>
  <si>
    <t>Phase</t>
  </si>
  <si>
    <t>Lease Active</t>
  </si>
  <si>
    <t>Contract Active</t>
  </si>
  <si>
    <t>Available / Leased GW</t>
  </si>
  <si>
    <t>Utilization</t>
  </si>
  <si>
    <t>Utilized GW</t>
  </si>
  <si>
    <t>Revenue / Utilized GW ($mm)</t>
  </si>
  <si>
    <t>Redeployment Revenue</t>
  </si>
  <si>
    <t>Total Revenue</t>
  </si>
  <si>
    <t>% Growth</t>
  </si>
  <si>
    <t>Ongoing Expenses</t>
  </si>
  <si>
    <t>Facility Lease</t>
  </si>
  <si>
    <t>Electricity and Fuel</t>
  </si>
  <si>
    <t>Staffing and Security</t>
  </si>
  <si>
    <t>Facility Maintenance</t>
  </si>
  <si>
    <t>Networking and Connectivity</t>
  </si>
  <si>
    <t>Insurance, Taxes and Compliance</t>
  </si>
  <si>
    <t>Water</t>
  </si>
  <si>
    <t>Total Ongoing Expenses</t>
  </si>
  <si>
    <t>EBITDA</t>
  </si>
  <si>
    <t>EBITDA Margin</t>
  </si>
  <si>
    <t>Taxes, Depreciation and Working Capital</t>
  </si>
  <si>
    <t>Depreciable Capital Additions</t>
  </si>
  <si>
    <t>Depreciation</t>
  </si>
  <si>
    <t>EBIT</t>
  </si>
  <si>
    <t>Cash Taxes</t>
  </si>
  <si>
    <t>NOPAT</t>
  </si>
  <si>
    <t>Add: Depreciation</t>
  </si>
  <si>
    <t>NWC Balance</t>
  </si>
  <si>
    <t>Change in NWC</t>
  </si>
  <si>
    <t>Operating Cash Flow Before Reinvestment</t>
  </si>
  <si>
    <t>Initial Cash Flow (ICF)</t>
  </si>
  <si>
    <t>Initial Hardware Build Capex</t>
  </si>
  <si>
    <t>Operating FCFF (OCF)</t>
  </si>
  <si>
    <t>Installed Initial Hardware Basis</t>
  </si>
  <si>
    <t>Maintenance Capex</t>
  </si>
  <si>
    <t>Major Refresh Capex</t>
  </si>
  <si>
    <t>Terminal Cash Flow (TCF)</t>
  </si>
  <si>
    <t>Residual Hardware Value</t>
  </si>
  <si>
    <t>NWC Recovery</t>
  </si>
  <si>
    <t>Decommissioning and Exit Cost</t>
  </si>
  <si>
    <t>Total Project FCFF</t>
  </si>
  <si>
    <t>Discount Factor</t>
  </si>
  <si>
    <t>Discounted FCFF</t>
  </si>
  <si>
    <t>Cumulative FCFF</t>
  </si>
  <si>
    <t>Cumulative Discounted FCFF</t>
  </si>
  <si>
    <t>Sustained Payback Flag</t>
  </si>
  <si>
    <t>Sustained Discounted Payback Flag</t>
  </si>
  <si>
    <t>Redep.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</si>
</sst>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;[Red]\(#,##0\);\-"/>
    <numFmt numFmtId="166" formatCode="0.0%;[Red]\(0.0%\);\-"/>
    <numFmt numFmtId="167" formatCode="#,##0.0;[Red]\(#,##0.0\);\-"/>
    <numFmt numFmtId="168" formatCode="0.00\x;[Red]\(0.00\x\);\-"/>
  </numFmts>
  <fonts count="9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00000"/>
      <name val="Carlito"/>
    </font>
    <font>
      <sz val="11"/>
      <color rgb="FF0000FF"/>
      <name val="Carlito"/>
    </font>
    <font>
      <b/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color rgb="FF008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/>
      <right style="thin">
        <color rgb="FF1F4E78"/>
      </right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1" fontId="4" fillId="6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164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6" fontId="4" fillId="6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167" fontId="4" fillId="6" borderId="0" xfId="0" applyNumberFormat="1" applyFont="1" applyFill="1" applyAlignment="1">
      <alignment vertical="center"/>
    </xf>
    <xf numFmtId="166" fontId="5" fillId="5" borderId="0" xfId="0" applyNumberFormat="1" applyFont="1" applyFill="1" applyAlignment="1">
      <alignment vertical="center"/>
    </xf>
    <xf numFmtId="168" fontId="4" fillId="6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0" fillId="3" borderId="4" xfId="0" applyFill="1" applyBorder="1" applyAlignment="1">
      <alignment vertical="center"/>
    </xf>
    <xf numFmtId="166" fontId="7" fillId="3" borderId="5" xfId="0" applyNumberFormat="1" applyFont="1" applyFill="1" applyBorder="1" applyAlignment="1">
      <alignment vertical="center"/>
    </xf>
    <xf numFmtId="1" fontId="7" fillId="3" borderId="5" xfId="0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5" fontId="7" fillId="3" borderId="7" xfId="0" applyNumberFormat="1" applyFont="1" applyFill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168" fontId="7" fillId="3" borderId="7" xfId="0" applyNumberFormat="1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166" fontId="7" fillId="3" borderId="7" xfId="0" applyNumberFormat="1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" fontId="7" fillId="3" borderId="10" xfId="0" applyNumberFormat="1" applyFont="1" applyFill="1" applyBorder="1" applyAlignment="1">
      <alignment vertical="center"/>
    </xf>
    <xf numFmtId="166" fontId="7" fillId="3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65" fontId="7" fillId="3" borderId="0" xfId="0" applyNumberFormat="1" applyFont="1" applyFill="1" applyAlignment="1">
      <alignment vertical="center"/>
    </xf>
    <xf numFmtId="0" fontId="3" fillId="0" borderId="2" xfId="0" applyFont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3" borderId="0" xfId="0" applyNumberFormat="1" applyFill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165" fontId="3" fillId="0" borderId="3" xfId="0" applyNumberFormat="1" applyFont="1" applyBorder="1" applyAlignment="1">
      <alignment horizontal="right" vertical="center"/>
    </xf>
    <xf numFmtId="165" fontId="3" fillId="3" borderId="3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1" fontId="0" fillId="3" borderId="0" xfId="0" applyNumberForma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6" fillId="6" borderId="4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1" fillId="5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2438400</xdr:colOff>
      <xdr:row>50</xdr:row>
      <xdr:rowOff>95250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7F21738-DE4A-6E16-A79B-48A5B70AE4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D19914F4-D9F2-4DA8-909E-224A3E3D7161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7-21T13:30:29.66" personId="{D19914F4-D9F2-4DA8-909E-224A3E3D7161}" id="{E5BD4836-D2A7-8220-A0E1-7E2F5388488E}">
    <text>Source: Oracle FY2026 Form 10-K, Note 9. Oracle disclosed additional data-center lease commitments with terms of 15 to 19 years. Base case uses the 17-year midpoint.</text>
  </threadedComment>
  <threadedComment ref="C18" dT="2026-07-21T13:30:29.66" personId="{D19914F4-D9F2-4DA8-909E-224A3E3D7161}" id="{BE025118-53AD-E0A1-5171-C7E141975AC6}">
    <text>Source: Oracle FY2026 Form 10-K, Property, Plant and Equipment. Servers and networking equipment are primarily assigned a six-year useful life.</text>
  </threadedComment>
  <threadedComment ref="C32" dT="2026-07-21T13:30:29.66" personId="{D19914F4-D9F2-4DA8-909E-224A3E3D7161}" id="{23A43C35-96A9-A21F-FF37-13EF9C570702}">
    <text>Underwriting assumption: post-contract revenue is not publicly disclosed or contracted in this model. Initial utilization is editable and should be sensitized.</text>
  </threadedComment>
  <threadedComment ref="C62" dT="2026-07-21T13:30:29.66" personId="{D19914F4-D9F2-4DA8-909E-224A3E3D7161}" id="{E64FA082-A9BD-6527-69BA-1B8A91E44F0D}">
    <text>Market-based project hurdle as of July 20, 2026. Built from Treasury yields, equity risk premium, an estimated funding mix and project-specific risk. See Sources sheet.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activeCell="B6" sqref="B6"/>
    </sheetView>
  </sheetViews>
  <sheetFormatPr defaultRowHeight="14.25"/>
  <cols>
    <col min="1" max="1" width="42" customWidth="1"/>
    <col min="2" max="2" width="20" customWidth="1"/>
    <col min="3" max="3" width="4" customWidth="1"/>
    <col min="4" max="4" width="33" customWidth="1"/>
    <col min="5" max="5" width="18" customWidth="1"/>
    <col min="6" max="8" width="15" customWidth="1"/>
  </cols>
  <sheetData>
    <row r="1" spans="1:8" ht="27.95" customHeight="1">
      <c r="A1" s="54" t="s">
        <v>0</v>
      </c>
      <c r="B1" s="54" t="s">
        <v>0</v>
      </c>
      <c r="C1" s="54" t="s">
        <v>0</v>
      </c>
      <c r="D1" s="54" t="s">
        <v>0</v>
      </c>
      <c r="E1" s="54" t="s">
        <v>0</v>
      </c>
      <c r="F1" s="54" t="s">
        <v>0</v>
      </c>
      <c r="G1" s="54" t="s">
        <v>0</v>
      </c>
      <c r="H1" s="54" t="s">
        <v>0</v>
      </c>
    </row>
    <row r="2" spans="1:8" ht="26.1" customHeight="1">
      <c r="A2" s="55" t="s">
        <v>1</v>
      </c>
      <c r="B2" s="55" t="s">
        <v>1</v>
      </c>
      <c r="C2" s="55" t="s">
        <v>1</v>
      </c>
      <c r="D2" s="55" t="s">
        <v>1</v>
      </c>
      <c r="E2" s="55" t="s">
        <v>1</v>
      </c>
      <c r="F2" s="55" t="s">
        <v>1</v>
      </c>
      <c r="G2" s="55" t="s">
        <v>1</v>
      </c>
      <c r="H2" s="55" t="s">
        <v>1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 ht="20.100000000000001" customHeight="1">
      <c r="A4" s="56" t="s">
        <v>2</v>
      </c>
      <c r="B4" s="56" t="s">
        <v>2</v>
      </c>
      <c r="C4" s="56" t="s">
        <v>2</v>
      </c>
      <c r="D4" s="56" t="s">
        <v>2</v>
      </c>
      <c r="E4" s="56" t="s">
        <v>2</v>
      </c>
      <c r="F4" s="56" t="s">
        <v>2</v>
      </c>
      <c r="G4" s="56" t="s">
        <v>2</v>
      </c>
      <c r="H4" s="56" t="s">
        <v>2</v>
      </c>
    </row>
    <row r="5" spans="1:8">
      <c r="A5" s="19" t="s">
        <v>3</v>
      </c>
      <c r="B5" s="20">
        <f>IRR('FCFF Model'!C57:V57)</f>
        <v>0.12191358343401038</v>
      </c>
      <c r="C5" s="3"/>
      <c r="D5" s="19" t="s">
        <v>4</v>
      </c>
      <c r="E5" s="21">
        <f>Assumptions!$C$8</f>
        <v>17</v>
      </c>
      <c r="F5" s="3"/>
      <c r="G5" s="3"/>
      <c r="H5" s="3"/>
    </row>
    <row r="6" spans="1:8">
      <c r="A6" s="22" t="s">
        <v>5</v>
      </c>
      <c r="B6" s="23">
        <f>NPV(Assumptions!$C$50,'FCFF Model'!D57:V57)+'FCFF Model'!C57</f>
        <v>671.14652097429644</v>
      </c>
      <c r="C6" s="3"/>
      <c r="D6" s="22" t="s">
        <v>6</v>
      </c>
      <c r="E6" s="24">
        <f>Assumptions!$C$11</f>
        <v>2031</v>
      </c>
      <c r="F6" s="3"/>
      <c r="G6" s="3"/>
      <c r="H6" s="3"/>
    </row>
    <row r="7" spans="1:8">
      <c r="A7" s="22" t="s">
        <v>7</v>
      </c>
      <c r="B7" s="25">
        <f>SUMIF('FCFF Model'!C57:V57,"&gt;0",'FCFF Model'!C57:V57)/-SUMIF('FCFF Model'!C57:V57,"&lt;0",'FCFF Model'!C57:V57)</f>
        <v>1.2077835814543265</v>
      </c>
      <c r="C7" s="3"/>
      <c r="D7" s="22" t="s">
        <v>8</v>
      </c>
      <c r="E7" s="26">
        <f>Assumptions!$C$15</f>
        <v>4.5</v>
      </c>
      <c r="F7" s="3"/>
      <c r="G7" s="3"/>
      <c r="H7" s="3"/>
    </row>
    <row r="8" spans="1:8">
      <c r="A8" s="22" t="s">
        <v>9</v>
      </c>
      <c r="B8" s="24">
        <f>INDEX('FCFF Model'!C3:V3,1,MATCH(1,'FCFF Model'!C62:V62,0))</f>
        <v>2033</v>
      </c>
      <c r="C8" s="3"/>
      <c r="D8" s="22" t="s">
        <v>10</v>
      </c>
      <c r="E8" s="23">
        <f>Assumptions!$C$16</f>
        <v>40000</v>
      </c>
      <c r="F8" s="3"/>
      <c r="G8" s="3"/>
      <c r="H8" s="3"/>
    </row>
    <row r="9" spans="1:8">
      <c r="A9" s="22" t="s">
        <v>11</v>
      </c>
      <c r="B9" s="24">
        <f>INDEX('FCFF Model'!C3:V3,1,MATCH(1,'FCFF Model'!C63:V63,0))</f>
        <v>2043</v>
      </c>
      <c r="C9" s="3"/>
      <c r="D9" s="22" t="s">
        <v>12</v>
      </c>
      <c r="E9" s="23">
        <f>Assumptions!$C$24</f>
        <v>340000</v>
      </c>
      <c r="F9" s="3"/>
      <c r="G9" s="3"/>
      <c r="H9" s="3"/>
    </row>
    <row r="10" spans="1:8">
      <c r="A10" s="22" t="s">
        <v>13</v>
      </c>
      <c r="B10" s="23">
        <f>-MIN('FCFF Model'!C60:V60)</f>
        <v>133784.77553458023</v>
      </c>
      <c r="C10" s="3"/>
      <c r="D10" s="22" t="s">
        <v>14</v>
      </c>
      <c r="E10" s="27">
        <f>Assumptions!$C$32</f>
        <v>0.7</v>
      </c>
      <c r="F10" s="3"/>
      <c r="G10" s="3"/>
      <c r="H10" s="3"/>
    </row>
    <row r="11" spans="1:8">
      <c r="A11" s="22" t="s">
        <v>15</v>
      </c>
      <c r="B11" s="23">
        <f>-SUM('FCFF Model'!C41:V41)</f>
        <v>180000</v>
      </c>
      <c r="C11" s="3"/>
      <c r="D11" s="22" t="s">
        <v>16</v>
      </c>
      <c r="E11" s="27">
        <f>Assumptions!$C$33</f>
        <v>0.85</v>
      </c>
      <c r="F11" s="3"/>
      <c r="G11" s="3"/>
      <c r="H11" s="3"/>
    </row>
    <row r="12" spans="1:8">
      <c r="A12" s="22" t="s">
        <v>17</v>
      </c>
      <c r="B12" s="23">
        <f>SUM('FCFF Model'!C14:V14)</f>
        <v>822358.66786426236</v>
      </c>
      <c r="C12" s="3"/>
      <c r="D12" s="22" t="s">
        <v>18</v>
      </c>
      <c r="E12" s="27">
        <f>Assumptions!$C$35</f>
        <v>0.1</v>
      </c>
      <c r="F12" s="3"/>
      <c r="G12" s="3"/>
      <c r="H12" s="3"/>
    </row>
    <row r="13" spans="1:8">
      <c r="A13" s="22" t="s">
        <v>19</v>
      </c>
      <c r="B13" s="23">
        <f>SUM('FCFF Model'!C48:V48)</f>
        <v>237261.95705076208</v>
      </c>
      <c r="C13" s="3"/>
      <c r="D13" s="22" t="s">
        <v>20</v>
      </c>
      <c r="E13" s="24">
        <f>Assumptions!$C$18</f>
        <v>6</v>
      </c>
      <c r="F13" s="3"/>
      <c r="G13" s="3"/>
      <c r="H13" s="3"/>
    </row>
    <row r="14" spans="1:8">
      <c r="A14" s="22" t="s">
        <v>21</v>
      </c>
      <c r="B14" s="23">
        <f>SUM('FCFF Model'!C54:V54)</f>
        <v>7637.4946491905284</v>
      </c>
      <c r="C14" s="3"/>
      <c r="D14" s="22" t="s">
        <v>22</v>
      </c>
      <c r="E14" s="27">
        <f>Assumptions!$C$20</f>
        <v>0.65</v>
      </c>
      <c r="F14" s="3"/>
      <c r="G14" s="3"/>
      <c r="H14" s="3"/>
    </row>
    <row r="15" spans="1:8">
      <c r="A15" s="28" t="s">
        <v>23</v>
      </c>
      <c r="B15" s="29">
        <f>Assumptions!$C$9</f>
        <v>2043</v>
      </c>
      <c r="C15" s="3"/>
      <c r="D15" s="28" t="s">
        <v>24</v>
      </c>
      <c r="E15" s="30">
        <f>Assumptions!$C$50</f>
        <v>0.12</v>
      </c>
      <c r="F15" s="3"/>
      <c r="G15" s="3"/>
      <c r="H15" s="3"/>
    </row>
    <row r="16" spans="1:8">
      <c r="A16" s="3"/>
      <c r="B16" s="31"/>
      <c r="C16" s="3"/>
      <c r="D16" s="3"/>
      <c r="E16" s="3"/>
      <c r="F16" s="3"/>
      <c r="G16" s="3"/>
      <c r="H16" s="3"/>
    </row>
    <row r="17" spans="1:8" ht="20.100000000000001" customHeight="1">
      <c r="A17" s="56" t="s">
        <v>25</v>
      </c>
      <c r="B17" s="57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56" t="s">
        <v>25</v>
      </c>
      <c r="H17" s="56" t="s">
        <v>25</v>
      </c>
    </row>
    <row r="18" spans="1:8">
      <c r="A18" s="3" t="s">
        <v>26</v>
      </c>
      <c r="B18" s="32">
        <f>NPV(Assumptions!$C$50,'FCFF Model'!D57:H57)+'FCFF Model'!C57</f>
        <v>1556.4554353961357</v>
      </c>
      <c r="C18" s="3"/>
      <c r="D18" s="58" t="s">
        <v>27</v>
      </c>
      <c r="E18" s="59" t="s">
        <v>27</v>
      </c>
      <c r="F18" s="59" t="s">
        <v>27</v>
      </c>
      <c r="G18" s="59" t="s">
        <v>27</v>
      </c>
      <c r="H18" s="60" t="s">
        <v>27</v>
      </c>
    </row>
    <row r="19" spans="1:8">
      <c r="A19" s="3" t="s">
        <v>28</v>
      </c>
      <c r="B19" s="32">
        <f>B6-B18</f>
        <v>-885.30891442183929</v>
      </c>
      <c r="C19" s="3"/>
      <c r="D19" s="61" t="s">
        <v>27</v>
      </c>
      <c r="E19" s="62" t="s">
        <v>27</v>
      </c>
      <c r="F19" s="62" t="s">
        <v>27</v>
      </c>
      <c r="G19" s="62" t="s">
        <v>27</v>
      </c>
      <c r="H19" s="63" t="s">
        <v>27</v>
      </c>
    </row>
    <row r="20" spans="1:8">
      <c r="A20" s="3" t="s">
        <v>29</v>
      </c>
      <c r="B20" s="32">
        <f>-SUMPRODUCT('FCFF Model'!C18:V18,'FCFF Model'!C58:V58)</f>
        <v>59718.187335033334</v>
      </c>
      <c r="C20" s="3"/>
      <c r="D20" s="61" t="s">
        <v>27</v>
      </c>
      <c r="E20" s="62" t="s">
        <v>27</v>
      </c>
      <c r="F20" s="62" t="s">
        <v>27</v>
      </c>
      <c r="G20" s="62" t="s">
        <v>27</v>
      </c>
      <c r="H20" s="63" t="s">
        <v>27</v>
      </c>
    </row>
    <row r="21" spans="1:8">
      <c r="A21" s="3" t="s">
        <v>30</v>
      </c>
      <c r="B21" s="32">
        <f>-SUMPRODUCT('FCFF Model'!C47:V47,'FCFF Model'!C58:V58)</f>
        <v>89306.827052357039</v>
      </c>
      <c r="C21" s="3"/>
      <c r="D21" s="61" t="s">
        <v>27</v>
      </c>
      <c r="E21" s="62" t="s">
        <v>27</v>
      </c>
      <c r="F21" s="62" t="s">
        <v>27</v>
      </c>
      <c r="G21" s="62" t="s">
        <v>27</v>
      </c>
      <c r="H21" s="63" t="s">
        <v>27</v>
      </c>
    </row>
    <row r="22" spans="1:8">
      <c r="A22" s="3" t="s">
        <v>31</v>
      </c>
      <c r="B22" s="32">
        <f>-SUMPRODUCT('FCFF Model'!C25:V25,'FCFF Model'!C58:V58)</f>
        <v>95956.153441391405</v>
      </c>
      <c r="C22" s="3"/>
      <c r="D22" s="61" t="s">
        <v>27</v>
      </c>
      <c r="E22" s="62" t="s">
        <v>27</v>
      </c>
      <c r="F22" s="62" t="s">
        <v>27</v>
      </c>
      <c r="G22" s="62" t="s">
        <v>27</v>
      </c>
      <c r="H22" s="63" t="s">
        <v>27</v>
      </c>
    </row>
    <row r="23" spans="1:8">
      <c r="A23" s="3" t="s">
        <v>32</v>
      </c>
      <c r="B23" s="32">
        <f>'FCFF Model'!V60</f>
        <v>64899.451699952544</v>
      </c>
      <c r="C23" s="3"/>
      <c r="D23" s="64" t="s">
        <v>27</v>
      </c>
      <c r="E23" s="65" t="s">
        <v>27</v>
      </c>
      <c r="F23" s="65" t="s">
        <v>27</v>
      </c>
      <c r="G23" s="65" t="s">
        <v>27</v>
      </c>
      <c r="H23" s="66" t="s">
        <v>27</v>
      </c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 ht="20.100000000000001" customHeight="1">
      <c r="A25" s="56" t="s">
        <v>33</v>
      </c>
      <c r="B25" s="56" t="s">
        <v>33</v>
      </c>
      <c r="C25" s="56" t="s">
        <v>33</v>
      </c>
      <c r="D25" s="56" t="s">
        <v>33</v>
      </c>
      <c r="E25" s="56" t="s">
        <v>33</v>
      </c>
      <c r="F25" s="56" t="s">
        <v>33</v>
      </c>
      <c r="G25" s="56" t="s">
        <v>33</v>
      </c>
      <c r="H25" s="56" t="s">
        <v>33</v>
      </c>
    </row>
    <row r="26" spans="1:8" ht="15">
      <c r="A26" s="1" t="s">
        <v>24</v>
      </c>
      <c r="B26" s="1" t="s">
        <v>34</v>
      </c>
      <c r="C26" s="3"/>
      <c r="D26" s="3"/>
      <c r="E26" s="3"/>
      <c r="F26" s="3"/>
      <c r="G26" s="3"/>
      <c r="H26" s="3"/>
    </row>
    <row r="27" spans="1:8">
      <c r="A27" s="33">
        <v>0.1</v>
      </c>
      <c r="B27" s="32">
        <f>NPV(A27,'FCFF Model'!D57:V57)+'FCFF Model'!C57</f>
        <v>8182.3921768771397</v>
      </c>
      <c r="C27" s="3"/>
      <c r="D27" s="3"/>
      <c r="E27" s="3"/>
      <c r="F27" s="3"/>
      <c r="G27" s="3"/>
      <c r="H27" s="3"/>
    </row>
    <row r="28" spans="1:8">
      <c r="A28" s="33">
        <v>0.11</v>
      </c>
      <c r="B28" s="32">
        <f>NPV(A28,'FCFF Model'!D57:V57)+'FCFF Model'!C57</f>
        <v>4310.1302281705939</v>
      </c>
      <c r="C28" s="3"/>
      <c r="D28" s="3"/>
      <c r="E28" s="3"/>
      <c r="F28" s="3"/>
      <c r="G28" s="3"/>
      <c r="H28" s="3"/>
    </row>
    <row r="29" spans="1:8">
      <c r="A29" s="33">
        <v>0.12</v>
      </c>
      <c r="B29" s="32">
        <f>NPV(A29,'FCFF Model'!D57:V57)+'FCFF Model'!C57</f>
        <v>671.14652097429644</v>
      </c>
      <c r="C29" s="3"/>
      <c r="D29" s="3"/>
      <c r="E29" s="3"/>
      <c r="F29" s="3"/>
      <c r="G29" s="3"/>
      <c r="H29" s="3"/>
    </row>
    <row r="30" spans="1:8">
      <c r="A30" s="33">
        <v>0.13</v>
      </c>
      <c r="B30" s="32">
        <f>NPV(A30,'FCFF Model'!D57:V57)+'FCFF Model'!C57</f>
        <v>-2750.9205576556124</v>
      </c>
      <c r="C30" s="3"/>
      <c r="D30" s="3"/>
      <c r="E30" s="3"/>
      <c r="F30" s="3"/>
      <c r="G30" s="3"/>
      <c r="H30" s="3"/>
    </row>
    <row r="31" spans="1:8">
      <c r="A31" s="33">
        <v>0.14000000000000001</v>
      </c>
      <c r="B31" s="32">
        <f>NPV(A31,'FCFF Model'!D57:V57)+'FCFF Model'!C57</f>
        <v>-5970.9955941363587</v>
      </c>
      <c r="C31" s="3"/>
      <c r="D31" s="3"/>
      <c r="E31" s="3"/>
      <c r="F31" s="3"/>
      <c r="G31" s="3"/>
      <c r="H31" s="3"/>
    </row>
  </sheetData>
  <mergeCells count="6">
    <mergeCell ref="A25:H25"/>
    <mergeCell ref="A1:H1"/>
    <mergeCell ref="A2:H2"/>
    <mergeCell ref="A4:H4"/>
    <mergeCell ref="A17:H17"/>
    <mergeCell ref="D18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showGridLines="0" workbookViewId="0">
      <selection activeCell="E75" sqref="E75"/>
    </sheetView>
  </sheetViews>
  <sheetFormatPr defaultRowHeight="14.25"/>
  <cols>
    <col min="1" max="1" width="19" customWidth="1"/>
    <col min="2" max="2" width="42" customWidth="1"/>
    <col min="3" max="3" width="15" customWidth="1"/>
    <col min="4" max="4" width="17" customWidth="1"/>
    <col min="5" max="5" width="58" customWidth="1"/>
    <col min="6" max="6" width="13" customWidth="1"/>
  </cols>
  <sheetData>
    <row r="1" spans="1:6" ht="27.95" customHeight="1">
      <c r="A1" s="54" t="s">
        <v>35</v>
      </c>
      <c r="B1" s="54" t="s">
        <v>35</v>
      </c>
      <c r="C1" s="54" t="s">
        <v>35</v>
      </c>
      <c r="D1" s="54" t="s">
        <v>35</v>
      </c>
      <c r="E1" s="54" t="s">
        <v>35</v>
      </c>
      <c r="F1" s="54" t="s">
        <v>35</v>
      </c>
    </row>
    <row r="2" spans="1:6" ht="26.1" customHeight="1">
      <c r="A2" s="55" t="s">
        <v>36</v>
      </c>
      <c r="B2" s="55" t="s">
        <v>36</v>
      </c>
      <c r="C2" s="55" t="s">
        <v>36</v>
      </c>
      <c r="D2" s="55" t="s">
        <v>36</v>
      </c>
      <c r="E2" s="55" t="s">
        <v>36</v>
      </c>
      <c r="F2" s="55" t="s">
        <v>36</v>
      </c>
    </row>
    <row r="3" spans="1:6">
      <c r="A3" s="3"/>
      <c r="B3" s="3"/>
      <c r="C3" s="3"/>
      <c r="D3" s="3"/>
      <c r="E3" s="3"/>
      <c r="F3" s="3"/>
    </row>
    <row r="4" spans="1:6" ht="1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</row>
    <row r="5" spans="1:6" ht="15">
      <c r="A5" s="2" t="s">
        <v>43</v>
      </c>
      <c r="B5" s="2"/>
      <c r="C5" s="2"/>
      <c r="D5" s="15"/>
      <c r="E5" s="15"/>
      <c r="F5" s="15"/>
    </row>
    <row r="6" spans="1:6">
      <c r="A6" s="3"/>
      <c r="B6" s="3" t="s">
        <v>44</v>
      </c>
      <c r="C6" s="4">
        <v>2026</v>
      </c>
      <c r="D6" s="16" t="s">
        <v>45</v>
      </c>
      <c r="E6" s="16" t="s">
        <v>46</v>
      </c>
      <c r="F6" s="16" t="s">
        <v>47</v>
      </c>
    </row>
    <row r="7" spans="1:6">
      <c r="A7" s="3"/>
      <c r="B7" s="3" t="s">
        <v>48</v>
      </c>
      <c r="C7" s="4">
        <v>2027</v>
      </c>
      <c r="D7" s="16" t="s">
        <v>45</v>
      </c>
      <c r="E7" s="16" t="s">
        <v>49</v>
      </c>
      <c r="F7" s="16" t="s">
        <v>50</v>
      </c>
    </row>
    <row r="8" spans="1:6">
      <c r="A8" s="3"/>
      <c r="B8" s="3" t="s">
        <v>51</v>
      </c>
      <c r="C8" s="4">
        <v>17</v>
      </c>
      <c r="D8" s="16" t="s">
        <v>52</v>
      </c>
      <c r="E8" s="16" t="s">
        <v>53</v>
      </c>
      <c r="F8" s="16" t="s">
        <v>54</v>
      </c>
    </row>
    <row r="9" spans="1:6">
      <c r="A9" s="3"/>
      <c r="B9" s="3" t="s">
        <v>55</v>
      </c>
      <c r="C9" s="5">
        <f>C7+C8-1</f>
        <v>2043</v>
      </c>
      <c r="D9" s="16" t="s">
        <v>45</v>
      </c>
      <c r="E9" s="16" t="s">
        <v>56</v>
      </c>
      <c r="F9" s="16" t="s">
        <v>57</v>
      </c>
    </row>
    <row r="10" spans="1:6">
      <c r="A10" s="3"/>
      <c r="B10" s="3" t="s">
        <v>58</v>
      </c>
      <c r="C10" s="4">
        <v>5</v>
      </c>
      <c r="D10" s="16" t="s">
        <v>52</v>
      </c>
      <c r="E10" s="16" t="s">
        <v>59</v>
      </c>
      <c r="F10" s="16" t="s">
        <v>60</v>
      </c>
    </row>
    <row r="11" spans="1:6">
      <c r="A11" s="3"/>
      <c r="B11" s="3" t="s">
        <v>61</v>
      </c>
      <c r="C11" s="5">
        <f>C7+C10-1</f>
        <v>2031</v>
      </c>
      <c r="D11" s="16" t="s">
        <v>45</v>
      </c>
      <c r="E11" s="16" t="s">
        <v>62</v>
      </c>
      <c r="F11" s="16" t="s">
        <v>57</v>
      </c>
    </row>
    <row r="12" spans="1:6">
      <c r="A12" s="3"/>
      <c r="B12" s="3" t="s">
        <v>63</v>
      </c>
      <c r="C12" s="4">
        <v>19</v>
      </c>
      <c r="D12" s="16" t="s">
        <v>52</v>
      </c>
      <c r="E12" s="16" t="s">
        <v>64</v>
      </c>
      <c r="F12" s="16" t="s">
        <v>54</v>
      </c>
    </row>
    <row r="13" spans="1:6">
      <c r="A13" s="3"/>
      <c r="B13" s="3" t="s">
        <v>65</v>
      </c>
      <c r="C13" s="5">
        <f>C7+C12-1</f>
        <v>2045</v>
      </c>
      <c r="D13" s="16" t="s">
        <v>45</v>
      </c>
      <c r="E13" s="16" t="s">
        <v>66</v>
      </c>
      <c r="F13" s="16" t="s">
        <v>57</v>
      </c>
    </row>
    <row r="14" spans="1:6" ht="15">
      <c r="A14" s="2" t="s">
        <v>67</v>
      </c>
      <c r="B14" s="2"/>
      <c r="C14" s="6"/>
      <c r="D14" s="15"/>
      <c r="E14" s="15"/>
      <c r="F14" s="15"/>
    </row>
    <row r="15" spans="1:6">
      <c r="A15" s="3"/>
      <c r="B15" s="3" t="s">
        <v>68</v>
      </c>
      <c r="C15" s="7">
        <v>4.5</v>
      </c>
      <c r="D15" s="16" t="s">
        <v>69</v>
      </c>
      <c r="E15" s="16" t="s">
        <v>70</v>
      </c>
      <c r="F15" s="16" t="s">
        <v>60</v>
      </c>
    </row>
    <row r="16" spans="1:6">
      <c r="A16" s="3"/>
      <c r="B16" s="3" t="s">
        <v>71</v>
      </c>
      <c r="C16" s="8">
        <v>40000</v>
      </c>
      <c r="D16" s="16" t="s">
        <v>72</v>
      </c>
      <c r="E16" s="16" t="s">
        <v>73</v>
      </c>
      <c r="F16" s="16" t="s">
        <v>74</v>
      </c>
    </row>
    <row r="17" spans="1:6">
      <c r="A17" s="3"/>
      <c r="B17" s="3" t="s">
        <v>75</v>
      </c>
      <c r="C17" s="9">
        <f>C15*C16</f>
        <v>180000</v>
      </c>
      <c r="D17" s="16" t="s">
        <v>76</v>
      </c>
      <c r="E17" s="16" t="s">
        <v>77</v>
      </c>
      <c r="F17" s="16" t="s">
        <v>57</v>
      </c>
    </row>
    <row r="18" spans="1:6">
      <c r="A18" s="3"/>
      <c r="B18" s="3" t="s">
        <v>78</v>
      </c>
      <c r="C18" s="4">
        <v>6</v>
      </c>
      <c r="D18" s="16" t="s">
        <v>52</v>
      </c>
      <c r="E18" s="16" t="s">
        <v>79</v>
      </c>
      <c r="F18" s="16" t="s">
        <v>54</v>
      </c>
    </row>
    <row r="19" spans="1:6">
      <c r="A19" s="3"/>
      <c r="B19" s="3" t="s">
        <v>80</v>
      </c>
      <c r="C19" s="10">
        <v>1.4999999999999999E-2</v>
      </c>
      <c r="D19" s="16" t="s">
        <v>81</v>
      </c>
      <c r="E19" s="16" t="s">
        <v>82</v>
      </c>
      <c r="F19" s="16" t="s">
        <v>47</v>
      </c>
    </row>
    <row r="20" spans="1:6">
      <c r="A20" s="3"/>
      <c r="B20" s="3" t="s">
        <v>83</v>
      </c>
      <c r="C20" s="10">
        <v>0.65</v>
      </c>
      <c r="D20" s="16" t="s">
        <v>84</v>
      </c>
      <c r="E20" s="16" t="s">
        <v>85</v>
      </c>
      <c r="F20" s="16" t="s">
        <v>47</v>
      </c>
    </row>
    <row r="21" spans="1:6">
      <c r="A21" s="3"/>
      <c r="B21" s="3" t="s">
        <v>86</v>
      </c>
      <c r="C21" s="10">
        <v>0.05</v>
      </c>
      <c r="D21" s="16" t="s">
        <v>84</v>
      </c>
      <c r="E21" s="16" t="s">
        <v>87</v>
      </c>
      <c r="F21" s="16" t="s">
        <v>47</v>
      </c>
    </row>
    <row r="22" spans="1:6">
      <c r="A22" s="3"/>
      <c r="B22" s="3" t="s">
        <v>88</v>
      </c>
      <c r="C22" s="10">
        <v>0.01</v>
      </c>
      <c r="D22" s="16" t="s">
        <v>84</v>
      </c>
      <c r="E22" s="16" t="s">
        <v>89</v>
      </c>
      <c r="F22" s="16" t="s">
        <v>47</v>
      </c>
    </row>
    <row r="23" spans="1:6" ht="15">
      <c r="A23" s="2" t="s">
        <v>90</v>
      </c>
      <c r="B23" s="2"/>
      <c r="C23" s="6"/>
      <c r="D23" s="15"/>
      <c r="E23" s="15"/>
      <c r="F23" s="15"/>
    </row>
    <row r="24" spans="1:6">
      <c r="A24" s="3"/>
      <c r="B24" s="3" t="s">
        <v>91</v>
      </c>
      <c r="C24" s="8">
        <v>340000</v>
      </c>
      <c r="D24" s="16" t="s">
        <v>76</v>
      </c>
      <c r="E24" s="16" t="s">
        <v>92</v>
      </c>
      <c r="F24" s="16" t="s">
        <v>60</v>
      </c>
    </row>
    <row r="25" spans="1:6">
      <c r="A25" s="3"/>
      <c r="B25" s="3" t="s">
        <v>93</v>
      </c>
      <c r="C25" s="10">
        <v>0.05</v>
      </c>
      <c r="D25" s="16" t="s">
        <v>94</v>
      </c>
      <c r="E25" s="16" t="s">
        <v>95</v>
      </c>
      <c r="F25" s="16" t="s">
        <v>60</v>
      </c>
    </row>
    <row r="26" spans="1:6">
      <c r="A26" s="3"/>
      <c r="B26" s="3" t="s">
        <v>96</v>
      </c>
      <c r="C26" s="10">
        <v>0.15</v>
      </c>
      <c r="D26" s="16" t="s">
        <v>94</v>
      </c>
      <c r="E26" s="16" t="s">
        <v>95</v>
      </c>
      <c r="F26" s="16" t="s">
        <v>60</v>
      </c>
    </row>
    <row r="27" spans="1:6">
      <c r="A27" s="3"/>
      <c r="B27" s="3" t="s">
        <v>97</v>
      </c>
      <c r="C27" s="10">
        <v>0.26600000000000001</v>
      </c>
      <c r="D27" s="16" t="s">
        <v>94</v>
      </c>
      <c r="E27" s="16" t="s">
        <v>95</v>
      </c>
      <c r="F27" s="16" t="s">
        <v>60</v>
      </c>
    </row>
    <row r="28" spans="1:6">
      <c r="A28" s="3"/>
      <c r="B28" s="3" t="s">
        <v>98</v>
      </c>
      <c r="C28" s="10">
        <v>0.26600000000000001</v>
      </c>
      <c r="D28" s="16" t="s">
        <v>94</v>
      </c>
      <c r="E28" s="16" t="s">
        <v>95</v>
      </c>
      <c r="F28" s="16" t="s">
        <v>60</v>
      </c>
    </row>
    <row r="29" spans="1:6">
      <c r="A29" s="3"/>
      <c r="B29" s="3" t="s">
        <v>99</v>
      </c>
      <c r="C29" s="10">
        <v>0.26800000000000002</v>
      </c>
      <c r="D29" s="16" t="s">
        <v>94</v>
      </c>
      <c r="E29" s="16" t="s">
        <v>95</v>
      </c>
      <c r="F29" s="16" t="s">
        <v>60</v>
      </c>
    </row>
    <row r="30" spans="1:6">
      <c r="A30" s="3"/>
      <c r="B30" s="3" t="s">
        <v>100</v>
      </c>
      <c r="C30" s="11">
        <f>SUM(C25:C29)</f>
        <v>1</v>
      </c>
      <c r="D30" s="16" t="s">
        <v>101</v>
      </c>
      <c r="E30" s="16" t="s">
        <v>102</v>
      </c>
      <c r="F30" s="16" t="s">
        <v>57</v>
      </c>
    </row>
    <row r="31" spans="1:6" ht="15">
      <c r="A31" s="2" t="s">
        <v>103</v>
      </c>
      <c r="B31" s="2"/>
      <c r="C31" s="6"/>
      <c r="D31" s="15"/>
      <c r="E31" s="15"/>
      <c r="F31" s="15"/>
    </row>
    <row r="32" spans="1:6">
      <c r="A32" s="3"/>
      <c r="B32" s="3" t="s">
        <v>104</v>
      </c>
      <c r="C32" s="10">
        <v>0.7</v>
      </c>
      <c r="D32" s="16" t="s">
        <v>105</v>
      </c>
      <c r="E32" s="16" t="s">
        <v>106</v>
      </c>
      <c r="F32" s="16" t="s">
        <v>47</v>
      </c>
    </row>
    <row r="33" spans="1:6">
      <c r="A33" s="3"/>
      <c r="B33" s="3" t="s">
        <v>107</v>
      </c>
      <c r="C33" s="10">
        <v>0.85</v>
      </c>
      <c r="D33" s="16" t="s">
        <v>105</v>
      </c>
      <c r="E33" s="16" t="s">
        <v>108</v>
      </c>
      <c r="F33" s="16" t="s">
        <v>47</v>
      </c>
    </row>
    <row r="34" spans="1:6">
      <c r="A34" s="3"/>
      <c r="B34" s="3" t="s">
        <v>109</v>
      </c>
      <c r="C34" s="4">
        <v>3</v>
      </c>
      <c r="D34" s="16" t="s">
        <v>52</v>
      </c>
      <c r="E34" s="16" t="s">
        <v>110</v>
      </c>
      <c r="F34" s="16" t="s">
        <v>47</v>
      </c>
    </row>
    <row r="35" spans="1:6">
      <c r="A35" s="3"/>
      <c r="B35" s="3" t="s">
        <v>111</v>
      </c>
      <c r="C35" s="10">
        <v>0.1</v>
      </c>
      <c r="D35" s="16" t="s">
        <v>112</v>
      </c>
      <c r="E35" s="16" t="s">
        <v>113</v>
      </c>
      <c r="F35" s="16" t="s">
        <v>47</v>
      </c>
    </row>
    <row r="36" spans="1:6" ht="15">
      <c r="A36" s="2" t="s">
        <v>114</v>
      </c>
      <c r="B36" s="2"/>
      <c r="C36" s="6"/>
      <c r="D36" s="15"/>
      <c r="E36" s="15"/>
      <c r="F36" s="15"/>
    </row>
    <row r="37" spans="1:6">
      <c r="A37" s="3"/>
      <c r="B37" s="3" t="s">
        <v>115</v>
      </c>
      <c r="C37" s="12">
        <v>1869.962</v>
      </c>
      <c r="D37" s="16" t="s">
        <v>72</v>
      </c>
      <c r="E37" s="16" t="s">
        <v>116</v>
      </c>
      <c r="F37" s="16" t="s">
        <v>60</v>
      </c>
    </row>
    <row r="38" spans="1:6">
      <c r="A38" s="3"/>
      <c r="B38" s="3" t="s">
        <v>117</v>
      </c>
      <c r="C38" s="12">
        <v>634.66200000000003</v>
      </c>
      <c r="D38" s="16" t="s">
        <v>72</v>
      </c>
      <c r="E38" s="16" t="s">
        <v>118</v>
      </c>
      <c r="F38" s="16" t="s">
        <v>60</v>
      </c>
    </row>
    <row r="39" spans="1:6">
      <c r="A39" s="3"/>
      <c r="B39" s="3" t="s">
        <v>119</v>
      </c>
      <c r="C39" s="12">
        <v>125</v>
      </c>
      <c r="D39" s="16" t="s">
        <v>72</v>
      </c>
      <c r="E39" s="16" t="s">
        <v>120</v>
      </c>
      <c r="F39" s="16" t="s">
        <v>60</v>
      </c>
    </row>
    <row r="40" spans="1:6">
      <c r="A40" s="3"/>
      <c r="B40" s="3" t="s">
        <v>121</v>
      </c>
      <c r="C40" s="12">
        <v>250</v>
      </c>
      <c r="D40" s="16" t="s">
        <v>72</v>
      </c>
      <c r="E40" s="16" t="s">
        <v>120</v>
      </c>
      <c r="F40" s="16" t="s">
        <v>60</v>
      </c>
    </row>
    <row r="41" spans="1:6">
      <c r="A41" s="3"/>
      <c r="B41" s="3" t="s">
        <v>122</v>
      </c>
      <c r="C41" s="12">
        <v>125</v>
      </c>
      <c r="D41" s="16" t="s">
        <v>72</v>
      </c>
      <c r="E41" s="16" t="s">
        <v>118</v>
      </c>
      <c r="F41" s="16" t="s">
        <v>60</v>
      </c>
    </row>
    <row r="42" spans="1:6">
      <c r="A42" s="3"/>
      <c r="B42" s="3" t="s">
        <v>123</v>
      </c>
      <c r="C42" s="12">
        <v>100</v>
      </c>
      <c r="D42" s="16" t="s">
        <v>72</v>
      </c>
      <c r="E42" s="16" t="s">
        <v>120</v>
      </c>
      <c r="F42" s="16" t="s">
        <v>60</v>
      </c>
    </row>
    <row r="43" spans="1:6">
      <c r="A43" s="3"/>
      <c r="B43" s="3" t="s">
        <v>124</v>
      </c>
      <c r="C43" s="12">
        <v>2.5</v>
      </c>
      <c r="D43" s="16" t="s">
        <v>72</v>
      </c>
      <c r="E43" s="16" t="s">
        <v>118</v>
      </c>
      <c r="F43" s="16" t="s">
        <v>60</v>
      </c>
    </row>
    <row r="44" spans="1:6">
      <c r="A44" s="3"/>
      <c r="B44" s="3" t="s">
        <v>125</v>
      </c>
      <c r="C44" s="10">
        <v>2.5000000000000001E-2</v>
      </c>
      <c r="D44" s="16" t="s">
        <v>112</v>
      </c>
      <c r="E44" s="16" t="s">
        <v>126</v>
      </c>
      <c r="F44" s="16" t="s">
        <v>47</v>
      </c>
    </row>
    <row r="45" spans="1:6">
      <c r="A45" s="3"/>
      <c r="B45" s="3" t="s">
        <v>127</v>
      </c>
      <c r="C45" s="10">
        <v>0.02</v>
      </c>
      <c r="D45" s="16" t="s">
        <v>112</v>
      </c>
      <c r="E45" s="16" t="s">
        <v>126</v>
      </c>
      <c r="F45" s="16" t="s">
        <v>47</v>
      </c>
    </row>
    <row r="46" spans="1:6">
      <c r="A46" s="3"/>
      <c r="B46" s="3" t="s">
        <v>128</v>
      </c>
      <c r="C46" s="10">
        <v>2.5000000000000001E-2</v>
      </c>
      <c r="D46" s="16" t="s">
        <v>112</v>
      </c>
      <c r="E46" s="16" t="s">
        <v>126</v>
      </c>
      <c r="F46" s="16" t="s">
        <v>47</v>
      </c>
    </row>
    <row r="47" spans="1:6" ht="15">
      <c r="A47" s="2" t="s">
        <v>129</v>
      </c>
      <c r="B47" s="2"/>
      <c r="C47" s="6"/>
      <c r="D47" s="15"/>
      <c r="E47" s="15"/>
      <c r="F47" s="15"/>
    </row>
    <row r="48" spans="1:6">
      <c r="A48" s="3"/>
      <c r="B48" s="3" t="s">
        <v>130</v>
      </c>
      <c r="C48" s="10">
        <v>0.21</v>
      </c>
      <c r="D48" s="16" t="s">
        <v>131</v>
      </c>
      <c r="E48" s="16" t="s">
        <v>132</v>
      </c>
      <c r="F48" s="16" t="s">
        <v>54</v>
      </c>
    </row>
    <row r="49" spans="1:6">
      <c r="A49" s="3"/>
      <c r="B49" s="3" t="s">
        <v>133</v>
      </c>
      <c r="C49" s="10">
        <v>0.02</v>
      </c>
      <c r="D49" s="16" t="s">
        <v>134</v>
      </c>
      <c r="E49" s="16" t="s">
        <v>135</v>
      </c>
      <c r="F49" s="16" t="s">
        <v>47</v>
      </c>
    </row>
    <row r="50" spans="1:6">
      <c r="A50" s="3"/>
      <c r="B50" s="3" t="s">
        <v>136</v>
      </c>
      <c r="C50" s="11">
        <f>C62</f>
        <v>0.12</v>
      </c>
      <c r="D50" s="16" t="s">
        <v>101</v>
      </c>
      <c r="E50" s="16" t="s">
        <v>137</v>
      </c>
      <c r="F50" s="16" t="s">
        <v>57</v>
      </c>
    </row>
    <row r="51" spans="1:6">
      <c r="A51" s="3"/>
      <c r="B51" s="3" t="s">
        <v>138</v>
      </c>
      <c r="C51" s="10">
        <v>1</v>
      </c>
      <c r="D51" s="16" t="s">
        <v>139</v>
      </c>
      <c r="E51" s="16" t="s">
        <v>140</v>
      </c>
      <c r="F51" s="16" t="s">
        <v>47</v>
      </c>
    </row>
    <row r="52" spans="1:6" ht="15">
      <c r="A52" s="2" t="s">
        <v>141</v>
      </c>
      <c r="B52" s="2"/>
      <c r="C52" s="13"/>
      <c r="D52" s="15"/>
      <c r="E52" s="15"/>
      <c r="F52" s="15"/>
    </row>
    <row r="53" spans="1:6">
      <c r="A53" s="3"/>
      <c r="B53" s="3" t="s">
        <v>142</v>
      </c>
      <c r="C53" s="10">
        <v>4.3299999999999998E-2</v>
      </c>
      <c r="D53" s="16" t="s">
        <v>101</v>
      </c>
      <c r="E53" s="16" t="s">
        <v>143</v>
      </c>
      <c r="F53" s="16" t="s">
        <v>144</v>
      </c>
    </row>
    <row r="54" spans="1:6">
      <c r="A54" s="3"/>
      <c r="B54" s="3" t="s">
        <v>145</v>
      </c>
      <c r="C54" s="10">
        <v>4.1799999999999997E-2</v>
      </c>
      <c r="D54" s="16" t="s">
        <v>101</v>
      </c>
      <c r="E54" s="16" t="s">
        <v>146</v>
      </c>
      <c r="F54" s="16" t="s">
        <v>144</v>
      </c>
    </row>
    <row r="55" spans="1:6" ht="28.5">
      <c r="A55" s="3"/>
      <c r="B55" s="3" t="s">
        <v>147</v>
      </c>
      <c r="C55" s="14">
        <v>1.45</v>
      </c>
      <c r="D55" s="16" t="s">
        <v>148</v>
      </c>
      <c r="E55" s="16" t="s">
        <v>149</v>
      </c>
      <c r="F55" s="16" t="s">
        <v>47</v>
      </c>
    </row>
    <row r="56" spans="1:6">
      <c r="A56" s="3"/>
      <c r="B56" s="3" t="s">
        <v>150</v>
      </c>
      <c r="C56" s="11">
        <f>C53+C54*C55</f>
        <v>0.10390999999999999</v>
      </c>
      <c r="D56" s="16" t="s">
        <v>101</v>
      </c>
      <c r="E56" s="16" t="s">
        <v>151</v>
      </c>
      <c r="F56" s="16" t="s">
        <v>57</v>
      </c>
    </row>
    <row r="57" spans="1:6">
      <c r="A57" s="3"/>
      <c r="B57" s="3" t="s">
        <v>152</v>
      </c>
      <c r="C57" s="10">
        <v>0.06</v>
      </c>
      <c r="D57" s="16" t="s">
        <v>101</v>
      </c>
      <c r="E57" s="16" t="s">
        <v>153</v>
      </c>
      <c r="F57" s="16" t="s">
        <v>154</v>
      </c>
    </row>
    <row r="58" spans="1:6">
      <c r="A58" s="3"/>
      <c r="B58" s="3" t="s">
        <v>155</v>
      </c>
      <c r="C58" s="10">
        <v>0.2</v>
      </c>
      <c r="D58" s="16" t="s">
        <v>156</v>
      </c>
      <c r="E58" s="16" t="s">
        <v>157</v>
      </c>
      <c r="F58" s="16" t="s">
        <v>47</v>
      </c>
    </row>
    <row r="59" spans="1:6">
      <c r="A59" s="3"/>
      <c r="B59" s="3" t="s">
        <v>158</v>
      </c>
      <c r="C59" s="11">
        <f>1-C58</f>
        <v>0.8</v>
      </c>
      <c r="D59" s="16" t="s">
        <v>156</v>
      </c>
      <c r="E59" s="16" t="s">
        <v>159</v>
      </c>
      <c r="F59" s="16" t="s">
        <v>57</v>
      </c>
    </row>
    <row r="60" spans="1:6">
      <c r="A60" s="3"/>
      <c r="B60" s="3" t="s">
        <v>160</v>
      </c>
      <c r="C60" s="11">
        <f>C56*C59+C57*(1-C48)*C58</f>
        <v>9.2607999999999996E-2</v>
      </c>
      <c r="D60" s="16" t="s">
        <v>101</v>
      </c>
      <c r="E60" s="16" t="s">
        <v>161</v>
      </c>
      <c r="F60" s="16" t="s">
        <v>57</v>
      </c>
    </row>
    <row r="61" spans="1:6">
      <c r="A61" s="3"/>
      <c r="B61" s="3" t="s">
        <v>162</v>
      </c>
      <c r="C61" s="10">
        <v>2.7392E-2</v>
      </c>
      <c r="D61" s="16" t="s">
        <v>101</v>
      </c>
      <c r="E61" s="16" t="s">
        <v>163</v>
      </c>
      <c r="F61" s="16" t="s">
        <v>47</v>
      </c>
    </row>
    <row r="62" spans="1:6">
      <c r="A62" s="3"/>
      <c r="B62" s="3" t="s">
        <v>164</v>
      </c>
      <c r="C62" s="11">
        <f>C60+C61</f>
        <v>0.12</v>
      </c>
      <c r="D62" s="16" t="s">
        <v>101</v>
      </c>
      <c r="E62" s="16" t="s">
        <v>165</v>
      </c>
      <c r="F62" s="16" t="s">
        <v>57</v>
      </c>
    </row>
    <row r="63" spans="1:6">
      <c r="A63" s="3"/>
      <c r="B63" s="3"/>
      <c r="C63" s="3"/>
      <c r="D63" s="3"/>
      <c r="E63" s="3"/>
      <c r="F63" s="3"/>
    </row>
    <row r="64" spans="1:6" ht="20.100000000000001" customHeight="1">
      <c r="A64" s="56" t="s">
        <v>166</v>
      </c>
      <c r="B64" s="56" t="s">
        <v>166</v>
      </c>
      <c r="C64" s="56" t="s">
        <v>166</v>
      </c>
      <c r="D64" s="56" t="s">
        <v>166</v>
      </c>
      <c r="E64" s="56" t="s">
        <v>166</v>
      </c>
      <c r="F64" s="56" t="s">
        <v>166</v>
      </c>
    </row>
    <row r="65" spans="1:6" ht="15">
      <c r="A65" s="1" t="s">
        <v>167</v>
      </c>
      <c r="B65" s="1" t="s">
        <v>168</v>
      </c>
      <c r="C65" s="1" t="s">
        <v>169</v>
      </c>
      <c r="D65" s="1" t="s">
        <v>40</v>
      </c>
      <c r="E65" s="1" t="s">
        <v>170</v>
      </c>
      <c r="F65" s="1" t="s">
        <v>171</v>
      </c>
    </row>
    <row r="66" spans="1:6" ht="28.5">
      <c r="A66" s="3" t="s">
        <v>172</v>
      </c>
      <c r="B66" s="3" t="s">
        <v>173</v>
      </c>
      <c r="C66" s="34">
        <f>SUM('FCFF Model'!C42:V42)</f>
        <v>-180000</v>
      </c>
      <c r="D66" s="16" t="s">
        <v>76</v>
      </c>
      <c r="E66" s="16" t="s">
        <v>174</v>
      </c>
      <c r="F66" s="16" t="s">
        <v>175</v>
      </c>
    </row>
    <row r="67" spans="1:6" ht="28.5">
      <c r="A67" s="3" t="s">
        <v>176</v>
      </c>
      <c r="B67" s="3" t="s">
        <v>177</v>
      </c>
      <c r="C67" s="34">
        <f>SUM('FCFF Model'!C48:V48)</f>
        <v>237261.95705076208</v>
      </c>
      <c r="D67" s="16" t="s">
        <v>76</v>
      </c>
      <c r="E67" s="16" t="s">
        <v>178</v>
      </c>
      <c r="F67" s="16" t="s">
        <v>179</v>
      </c>
    </row>
    <row r="68" spans="1:6" ht="28.5">
      <c r="A68" s="3" t="s">
        <v>180</v>
      </c>
      <c r="B68" s="3" t="s">
        <v>181</v>
      </c>
      <c r="C68" s="34">
        <f>SUM('FCFF Model'!C54:V54)</f>
        <v>7637.4946491905284</v>
      </c>
      <c r="D68" s="16" t="s">
        <v>76</v>
      </c>
      <c r="E68" s="16" t="s">
        <v>182</v>
      </c>
      <c r="F68" s="16" t="s">
        <v>183</v>
      </c>
    </row>
    <row r="69" spans="1:6" ht="30">
      <c r="A69" s="35" t="s">
        <v>184</v>
      </c>
      <c r="B69" s="35" t="s">
        <v>185</v>
      </c>
      <c r="C69" s="36">
        <f>SUM(C66:C68)</f>
        <v>64899.451699952609</v>
      </c>
      <c r="D69" s="37" t="s">
        <v>76</v>
      </c>
      <c r="E69" s="37" t="s">
        <v>186</v>
      </c>
      <c r="F69" s="37" t="s">
        <v>187</v>
      </c>
    </row>
  </sheetData>
  <mergeCells count="3">
    <mergeCell ref="A1:F1"/>
    <mergeCell ref="A2:F2"/>
    <mergeCell ref="A64:F6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3"/>
  <sheetViews>
    <sheetView showGridLines="0" tabSelected="1" topLeftCell="A3" workbookViewId="0">
      <selection activeCell="A18" sqref="A18"/>
    </sheetView>
  </sheetViews>
  <sheetFormatPr defaultRowHeight="14.25"/>
  <cols>
    <col min="1" max="1" width="3" customWidth="1"/>
    <col min="2" max="2" width="38" customWidth="1"/>
    <col min="3" max="22" width="12" customWidth="1"/>
    <col min="23" max="23" width="14" customWidth="1"/>
  </cols>
  <sheetData>
    <row r="1" spans="1:23" ht="27.95" customHeight="1">
      <c r="A1" s="54" t="s">
        <v>188</v>
      </c>
      <c r="B1" s="54" t="s">
        <v>188</v>
      </c>
      <c r="C1" s="54" t="s">
        <v>188</v>
      </c>
      <c r="D1" s="54" t="s">
        <v>188</v>
      </c>
      <c r="E1" s="54" t="s">
        <v>188</v>
      </c>
      <c r="F1" s="54" t="s">
        <v>188</v>
      </c>
      <c r="G1" s="54" t="s">
        <v>188</v>
      </c>
      <c r="H1" s="54" t="s">
        <v>188</v>
      </c>
      <c r="I1" s="54" t="s">
        <v>188</v>
      </c>
      <c r="J1" s="54" t="s">
        <v>188</v>
      </c>
      <c r="K1" s="54" t="s">
        <v>188</v>
      </c>
      <c r="L1" s="54" t="s">
        <v>188</v>
      </c>
      <c r="M1" s="54" t="s">
        <v>188</v>
      </c>
      <c r="N1" s="54" t="s">
        <v>188</v>
      </c>
      <c r="O1" s="54" t="s">
        <v>188</v>
      </c>
      <c r="P1" s="54" t="s">
        <v>188</v>
      </c>
      <c r="Q1" s="54" t="s">
        <v>188</v>
      </c>
      <c r="R1" s="54" t="s">
        <v>188</v>
      </c>
      <c r="S1" s="54" t="s">
        <v>188</v>
      </c>
      <c r="T1" s="54" t="s">
        <v>188</v>
      </c>
      <c r="U1" s="54" t="s">
        <v>188</v>
      </c>
      <c r="V1" s="54" t="s">
        <v>188</v>
      </c>
      <c r="W1" s="54" t="s">
        <v>188</v>
      </c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>
      <c r="A3" s="1"/>
      <c r="B3" s="1" t="s">
        <v>189</v>
      </c>
      <c r="C3" s="17">
        <v>2026</v>
      </c>
      <c r="D3" s="17">
        <v>2027</v>
      </c>
      <c r="E3" s="17">
        <v>2028</v>
      </c>
      <c r="F3" s="17">
        <v>2029</v>
      </c>
      <c r="G3" s="17">
        <v>2030</v>
      </c>
      <c r="H3" s="17">
        <v>2031</v>
      </c>
      <c r="I3" s="17">
        <v>2032</v>
      </c>
      <c r="J3" s="17">
        <v>2033</v>
      </c>
      <c r="K3" s="17">
        <v>2034</v>
      </c>
      <c r="L3" s="17">
        <v>2035</v>
      </c>
      <c r="M3" s="17">
        <v>2036</v>
      </c>
      <c r="N3" s="17">
        <v>2037</v>
      </c>
      <c r="O3" s="17">
        <v>2038</v>
      </c>
      <c r="P3" s="17">
        <v>2039</v>
      </c>
      <c r="Q3" s="17">
        <v>2040</v>
      </c>
      <c r="R3" s="17">
        <v>2041</v>
      </c>
      <c r="S3" s="17">
        <v>2042</v>
      </c>
      <c r="T3" s="17">
        <v>2043</v>
      </c>
      <c r="U3" s="17">
        <v>2044</v>
      </c>
      <c r="V3" s="17">
        <v>2045</v>
      </c>
      <c r="W3" s="18" t="s">
        <v>169</v>
      </c>
    </row>
    <row r="4" spans="1:23">
      <c r="A4" s="3"/>
      <c r="B4" s="3" t="s">
        <v>190</v>
      </c>
      <c r="C4" s="38">
        <f>C$3-Assumptions!$C$6</f>
        <v>0</v>
      </c>
      <c r="D4" s="38">
        <f>D$3-Assumptions!$C$6</f>
        <v>1</v>
      </c>
      <c r="E4" s="38">
        <f>E$3-Assumptions!$C$6</f>
        <v>2</v>
      </c>
      <c r="F4" s="38">
        <f>F$3-Assumptions!$C$6</f>
        <v>3</v>
      </c>
      <c r="G4" s="38">
        <f>G$3-Assumptions!$C$6</f>
        <v>4</v>
      </c>
      <c r="H4" s="38">
        <f>H$3-Assumptions!$C$6</f>
        <v>5</v>
      </c>
      <c r="I4" s="38">
        <f>I$3-Assumptions!$C$6</f>
        <v>6</v>
      </c>
      <c r="J4" s="38">
        <f>J$3-Assumptions!$C$6</f>
        <v>7</v>
      </c>
      <c r="K4" s="38">
        <f>K$3-Assumptions!$C$6</f>
        <v>8</v>
      </c>
      <c r="L4" s="38">
        <f>L$3-Assumptions!$C$6</f>
        <v>9</v>
      </c>
      <c r="M4" s="38">
        <f>M$3-Assumptions!$C$6</f>
        <v>10</v>
      </c>
      <c r="N4" s="38">
        <f>N$3-Assumptions!$C$6</f>
        <v>11</v>
      </c>
      <c r="O4" s="38">
        <f>O$3-Assumptions!$C$6</f>
        <v>12</v>
      </c>
      <c r="P4" s="38">
        <f>P$3-Assumptions!$C$6</f>
        <v>13</v>
      </c>
      <c r="Q4" s="38">
        <f>Q$3-Assumptions!$C$6</f>
        <v>14</v>
      </c>
      <c r="R4" s="38">
        <f>R$3-Assumptions!$C$6</f>
        <v>15</v>
      </c>
      <c r="S4" s="38">
        <f>S$3-Assumptions!$C$6</f>
        <v>16</v>
      </c>
      <c r="T4" s="38">
        <f>T$3-Assumptions!$C$6</f>
        <v>17</v>
      </c>
      <c r="U4" s="38">
        <f>U$3-Assumptions!$C$6</f>
        <v>18</v>
      </c>
      <c r="V4" s="38">
        <f>V$3-Assumptions!$C$6</f>
        <v>19</v>
      </c>
      <c r="W4" s="39"/>
    </row>
    <row r="5" spans="1:23">
      <c r="A5" s="3"/>
      <c r="B5" s="3" t="s">
        <v>191</v>
      </c>
      <c r="C5" s="40" t="str">
        <f>IF(C$3&lt;Assumptions!$C$7,"Build",IF(C$3&lt;=Assumptions!$C$11,"Contract",IF(C$3&lt;=Assumptions!$C$9,"Redeployment","Post-Lease")))</f>
        <v>Build</v>
      </c>
      <c r="D5" s="40" t="str">
        <f>IF(D$3&lt;Assumptions!$C$7,"Build",IF(D$3&lt;=Assumptions!$C$11,"Contract",IF(D$3&lt;=Assumptions!$C$9,"Redeployment","Post-Lease")))</f>
        <v>Contract</v>
      </c>
      <c r="E5" s="40" t="str">
        <f>IF(E$3&lt;Assumptions!$C$7,"Build",IF(E$3&lt;=Assumptions!$C$11,"Contract",IF(E$3&lt;=Assumptions!$C$9,"Redeployment","Post-Lease")))</f>
        <v>Contract</v>
      </c>
      <c r="F5" s="40" t="str">
        <f>IF(F$3&lt;Assumptions!$C$7,"Build",IF(F$3&lt;=Assumptions!$C$11,"Contract",IF(F$3&lt;=Assumptions!$C$9,"Redeployment","Post-Lease")))</f>
        <v>Contract</v>
      </c>
      <c r="G5" s="40" t="str">
        <f>IF(G$3&lt;Assumptions!$C$7,"Build",IF(G$3&lt;=Assumptions!$C$11,"Contract",IF(G$3&lt;=Assumptions!$C$9,"Redeployment","Post-Lease")))</f>
        <v>Contract</v>
      </c>
      <c r="H5" s="40" t="str">
        <f>IF(H$3&lt;Assumptions!$C$7,"Build",IF(H$3&lt;=Assumptions!$C$11,"Contract",IF(H$3&lt;=Assumptions!$C$9,"Redeployment","Post-Lease")))</f>
        <v>Contract</v>
      </c>
      <c r="I5" s="40" t="s">
        <v>239</v>
      </c>
      <c r="J5" s="40" t="s">
        <v>239</v>
      </c>
      <c r="K5" s="40" t="s">
        <v>239</v>
      </c>
      <c r="L5" s="40" t="s">
        <v>239</v>
      </c>
      <c r="M5" s="40" t="s">
        <v>239</v>
      </c>
      <c r="N5" s="40" t="s">
        <v>239</v>
      </c>
      <c r="O5" s="40" t="s">
        <v>239</v>
      </c>
      <c r="P5" s="40" t="s">
        <v>239</v>
      </c>
      <c r="Q5" s="40" t="s">
        <v>239</v>
      </c>
      <c r="R5" s="40" t="s">
        <v>239</v>
      </c>
      <c r="S5" s="40" t="s">
        <v>239</v>
      </c>
      <c r="T5" s="40" t="s">
        <v>239</v>
      </c>
      <c r="U5" s="40" t="s">
        <v>239</v>
      </c>
      <c r="V5" s="40" t="s">
        <v>239</v>
      </c>
      <c r="W5" s="39"/>
    </row>
    <row r="6" spans="1:23">
      <c r="A6" s="3"/>
      <c r="B6" s="3" t="s">
        <v>192</v>
      </c>
      <c r="C6" s="38">
        <f>IF(AND(C$3&gt;=Assumptions!$C$7,C$3&lt;=Assumptions!$C$9),1,0)</f>
        <v>0</v>
      </c>
      <c r="D6" s="38">
        <f>IF(AND(D$3&gt;=Assumptions!$C$7,D$3&lt;=Assumptions!$C$9),1,0)</f>
        <v>1</v>
      </c>
      <c r="E6" s="38">
        <f>IF(AND(E$3&gt;=Assumptions!$C$7,E$3&lt;=Assumptions!$C$9),1,0)</f>
        <v>1</v>
      </c>
      <c r="F6" s="38">
        <f>IF(AND(F$3&gt;=Assumptions!$C$7,F$3&lt;=Assumptions!$C$9),1,0)</f>
        <v>1</v>
      </c>
      <c r="G6" s="38">
        <f>IF(AND(G$3&gt;=Assumptions!$C$7,G$3&lt;=Assumptions!$C$9),1,0)</f>
        <v>1</v>
      </c>
      <c r="H6" s="38">
        <f>IF(AND(H$3&gt;=Assumptions!$C$7,H$3&lt;=Assumptions!$C$9),1,0)</f>
        <v>1</v>
      </c>
      <c r="I6" s="38">
        <f>IF(AND(I$3&gt;=Assumptions!$C$7,I$3&lt;=Assumptions!$C$9),1,0)</f>
        <v>1</v>
      </c>
      <c r="J6" s="38">
        <f>IF(AND(J$3&gt;=Assumptions!$C$7,J$3&lt;=Assumptions!$C$9),1,0)</f>
        <v>1</v>
      </c>
      <c r="K6" s="38">
        <f>IF(AND(K$3&gt;=Assumptions!$C$7,K$3&lt;=Assumptions!$C$9),1,0)</f>
        <v>1</v>
      </c>
      <c r="L6" s="38">
        <f>IF(AND(L$3&gt;=Assumptions!$C$7,L$3&lt;=Assumptions!$C$9),1,0)</f>
        <v>1</v>
      </c>
      <c r="M6" s="38">
        <f>IF(AND(M$3&gt;=Assumptions!$C$7,M$3&lt;=Assumptions!$C$9),1,0)</f>
        <v>1</v>
      </c>
      <c r="N6" s="38">
        <f>IF(AND(N$3&gt;=Assumptions!$C$7,N$3&lt;=Assumptions!$C$9),1,0)</f>
        <v>1</v>
      </c>
      <c r="O6" s="38">
        <f>IF(AND(O$3&gt;=Assumptions!$C$7,O$3&lt;=Assumptions!$C$9),1,0)</f>
        <v>1</v>
      </c>
      <c r="P6" s="38">
        <f>IF(AND(P$3&gt;=Assumptions!$C$7,P$3&lt;=Assumptions!$C$9),1,0)</f>
        <v>1</v>
      </c>
      <c r="Q6" s="38">
        <f>IF(AND(Q$3&gt;=Assumptions!$C$7,Q$3&lt;=Assumptions!$C$9),1,0)</f>
        <v>1</v>
      </c>
      <c r="R6" s="38">
        <f>IF(AND(R$3&gt;=Assumptions!$C$7,R$3&lt;=Assumptions!$C$9),1,0)</f>
        <v>1</v>
      </c>
      <c r="S6" s="38">
        <f>IF(AND(S$3&gt;=Assumptions!$C$7,S$3&lt;=Assumptions!$C$9),1,0)</f>
        <v>1</v>
      </c>
      <c r="T6" s="38">
        <f>IF(AND(T$3&gt;=Assumptions!$C$7,T$3&lt;=Assumptions!$C$9),1,0)</f>
        <v>1</v>
      </c>
      <c r="U6" s="38">
        <f>IF(AND(U$3&gt;=Assumptions!$C$7,U$3&lt;=Assumptions!$C$9),1,0)</f>
        <v>0</v>
      </c>
      <c r="V6" s="38">
        <f>IF(AND(V$3&gt;=Assumptions!$C$7,V$3&lt;=Assumptions!$C$9),1,0)</f>
        <v>0</v>
      </c>
      <c r="W6" s="39"/>
    </row>
    <row r="7" spans="1:23">
      <c r="A7" s="3"/>
      <c r="B7" s="3" t="s">
        <v>193</v>
      </c>
      <c r="C7" s="38">
        <f>IF(AND(C$3&gt;=Assumptions!$C$7,C$3&lt;=Assumptions!$C$11),1,0)</f>
        <v>0</v>
      </c>
      <c r="D7" s="38">
        <f>IF(AND(D$3&gt;=Assumptions!$C$7,D$3&lt;=Assumptions!$C$11),1,0)</f>
        <v>1</v>
      </c>
      <c r="E7" s="38">
        <f>IF(AND(E$3&gt;=Assumptions!$C$7,E$3&lt;=Assumptions!$C$11),1,0)</f>
        <v>1</v>
      </c>
      <c r="F7" s="38">
        <f>IF(AND(F$3&gt;=Assumptions!$C$7,F$3&lt;=Assumptions!$C$11),1,0)</f>
        <v>1</v>
      </c>
      <c r="G7" s="38">
        <f>IF(AND(G$3&gt;=Assumptions!$C$7,G$3&lt;=Assumptions!$C$11),1,0)</f>
        <v>1</v>
      </c>
      <c r="H7" s="38">
        <f>IF(AND(H$3&gt;=Assumptions!$C$7,H$3&lt;=Assumptions!$C$11),1,0)</f>
        <v>1</v>
      </c>
      <c r="I7" s="38">
        <f>IF(AND(I$3&gt;=Assumptions!$C$7,I$3&lt;=Assumptions!$C$11),1,0)</f>
        <v>0</v>
      </c>
      <c r="J7" s="38">
        <f>IF(AND(J$3&gt;=Assumptions!$C$7,J$3&lt;=Assumptions!$C$11),1,0)</f>
        <v>0</v>
      </c>
      <c r="K7" s="38">
        <f>IF(AND(K$3&gt;=Assumptions!$C$7,K$3&lt;=Assumptions!$C$11),1,0)</f>
        <v>0</v>
      </c>
      <c r="L7" s="38">
        <f>IF(AND(L$3&gt;=Assumptions!$C$7,L$3&lt;=Assumptions!$C$11),1,0)</f>
        <v>0</v>
      </c>
      <c r="M7" s="38">
        <f>IF(AND(M$3&gt;=Assumptions!$C$7,M$3&lt;=Assumptions!$C$11),1,0)</f>
        <v>0</v>
      </c>
      <c r="N7" s="38">
        <f>IF(AND(N$3&gt;=Assumptions!$C$7,N$3&lt;=Assumptions!$C$11),1,0)</f>
        <v>0</v>
      </c>
      <c r="O7" s="38">
        <f>IF(AND(O$3&gt;=Assumptions!$C$7,O$3&lt;=Assumptions!$C$11),1,0)</f>
        <v>0</v>
      </c>
      <c r="P7" s="38">
        <f>IF(AND(P$3&gt;=Assumptions!$C$7,P$3&lt;=Assumptions!$C$11),1,0)</f>
        <v>0</v>
      </c>
      <c r="Q7" s="38">
        <f>IF(AND(Q$3&gt;=Assumptions!$C$7,Q$3&lt;=Assumptions!$C$11),1,0)</f>
        <v>0</v>
      </c>
      <c r="R7" s="38">
        <f>IF(AND(R$3&gt;=Assumptions!$C$7,R$3&lt;=Assumptions!$C$11),1,0)</f>
        <v>0</v>
      </c>
      <c r="S7" s="38">
        <f>IF(AND(S$3&gt;=Assumptions!$C$7,S$3&lt;=Assumptions!$C$11),1,0)</f>
        <v>0</v>
      </c>
      <c r="T7" s="38">
        <f>IF(AND(T$3&gt;=Assumptions!$C$7,T$3&lt;=Assumptions!$C$11),1,0)</f>
        <v>0</v>
      </c>
      <c r="U7" s="38">
        <f>IF(AND(U$3&gt;=Assumptions!$C$7,U$3&lt;=Assumptions!$C$11),1,0)</f>
        <v>0</v>
      </c>
      <c r="V7" s="38">
        <f>IF(AND(V$3&gt;=Assumptions!$C$7,V$3&lt;=Assumptions!$C$11),1,0)</f>
        <v>0</v>
      </c>
      <c r="W7" s="39"/>
    </row>
    <row r="8" spans="1:23">
      <c r="A8" s="3"/>
      <c r="B8" s="3" t="s">
        <v>194</v>
      </c>
      <c r="C8" s="41">
        <f>IF(C6=0,0,IF(C7=1,Assumptions!$C$15*C12/MAX($D$12:$H$12),Assumptions!$C$15))</f>
        <v>0</v>
      </c>
      <c r="D8" s="41">
        <f>IF(D6=0,0,IF(D7=1,Assumptions!$C$15*D12/MAX($D$12:$H$12),Assumptions!$C$15))</f>
        <v>0.83955223880597019</v>
      </c>
      <c r="E8" s="41">
        <f>IF(E6=0,0,IF(E7=1,Assumptions!$C$15*E12/MAX($D$12:$H$12),Assumptions!$C$15))</f>
        <v>2.5186567164179103</v>
      </c>
      <c r="F8" s="41">
        <f>IF(F6=0,0,IF(F7=1,Assumptions!$C$15*F12/MAX($D$12:$H$12),Assumptions!$C$15))</f>
        <v>4.4664179104477615</v>
      </c>
      <c r="G8" s="41">
        <f>IF(G6=0,0,IF(G7=1,Assumptions!$C$15*G12/MAX($D$12:$H$12),Assumptions!$C$15))</f>
        <v>4.4664179104477615</v>
      </c>
      <c r="H8" s="41">
        <f>IF(H6=0,0,IF(H7=1,Assumptions!$C$15*H12/MAX($D$12:$H$12),Assumptions!$C$15))</f>
        <v>4.5</v>
      </c>
      <c r="I8" s="41">
        <f>IF(I6=0,0,IF(I7=1,Assumptions!$C$15*I12/MAX($D$12:$H$12),Assumptions!$C$15))</f>
        <v>4.5</v>
      </c>
      <c r="J8" s="41">
        <f>IF(J6=0,0,IF(J7=1,Assumptions!$C$15*J12/MAX($D$12:$H$12),Assumptions!$C$15))</f>
        <v>4.5</v>
      </c>
      <c r="K8" s="41">
        <f>IF(K6=0,0,IF(K7=1,Assumptions!$C$15*K12/MAX($D$12:$H$12),Assumptions!$C$15))</f>
        <v>4.5</v>
      </c>
      <c r="L8" s="41">
        <f>IF(L6=0,0,IF(L7=1,Assumptions!$C$15*L12/MAX($D$12:$H$12),Assumptions!$C$15))</f>
        <v>4.5</v>
      </c>
      <c r="M8" s="41">
        <f>IF(M6=0,0,IF(M7=1,Assumptions!$C$15*M12/MAX($D$12:$H$12),Assumptions!$C$15))</f>
        <v>4.5</v>
      </c>
      <c r="N8" s="41">
        <f>IF(N6=0,0,IF(N7=1,Assumptions!$C$15*N12/MAX($D$12:$H$12),Assumptions!$C$15))</f>
        <v>4.5</v>
      </c>
      <c r="O8" s="41">
        <f>IF(O6=0,0,IF(O7=1,Assumptions!$C$15*O12/MAX($D$12:$H$12),Assumptions!$C$15))</f>
        <v>4.5</v>
      </c>
      <c r="P8" s="41">
        <f>IF(P6=0,0,IF(P7=1,Assumptions!$C$15*P12/MAX($D$12:$H$12),Assumptions!$C$15))</f>
        <v>4.5</v>
      </c>
      <c r="Q8" s="41">
        <f>IF(Q6=0,0,IF(Q7=1,Assumptions!$C$15*Q12/MAX($D$12:$H$12),Assumptions!$C$15))</f>
        <v>4.5</v>
      </c>
      <c r="R8" s="41">
        <f>IF(R6=0,0,IF(R7=1,Assumptions!$C$15*R12/MAX($D$12:$H$12),Assumptions!$C$15))</f>
        <v>4.5</v>
      </c>
      <c r="S8" s="41">
        <f>IF(S6=0,0,IF(S7=1,Assumptions!$C$15*S12/MAX($D$12:$H$12),Assumptions!$C$15))</f>
        <v>4.5</v>
      </c>
      <c r="T8" s="41">
        <f>IF(T6=0,0,IF(T7=1,Assumptions!$C$15*T12/MAX($D$12:$H$12),Assumptions!$C$15))</f>
        <v>4.5</v>
      </c>
      <c r="U8" s="41">
        <f>IF(U6=0,0,IF(U7=1,Assumptions!$C$15*U12/MAX($D$12:$H$12),Assumptions!$C$15))</f>
        <v>0</v>
      </c>
      <c r="V8" s="41">
        <f>IF(V6=0,0,IF(V7=1,Assumptions!$C$15*V12/MAX($D$12:$H$12),Assumptions!$C$15))</f>
        <v>0</v>
      </c>
      <c r="W8" s="42">
        <f>MAX(C8:V8)</f>
        <v>4.5</v>
      </c>
    </row>
    <row r="9" spans="1:23">
      <c r="A9" s="3"/>
      <c r="B9" s="3" t="s">
        <v>195</v>
      </c>
      <c r="C9" s="43">
        <f>IF(C7=1,100%,IF(C6=1,MIN(Assumptions!$C$33,Assumptions!$C$32+(C$3-Assumptions!$C$11-1)*(Assumptions!$C$33-Assumptions!$C$32)/(Assumptions!$C$34-1)),0))</f>
        <v>0</v>
      </c>
      <c r="D9" s="43">
        <f>IF(D7=1,100%,IF(D6=1,MIN(Assumptions!$C$33,Assumptions!$C$32+(D$3-Assumptions!$C$11-1)*(Assumptions!$C$33-Assumptions!$C$32)/(Assumptions!$C$34-1)),0))</f>
        <v>1</v>
      </c>
      <c r="E9" s="43">
        <f>IF(E7=1,100%,IF(E6=1,MIN(Assumptions!$C$33,Assumptions!$C$32+(E$3-Assumptions!$C$11-1)*(Assumptions!$C$33-Assumptions!$C$32)/(Assumptions!$C$34-1)),0))</f>
        <v>1</v>
      </c>
      <c r="F9" s="43">
        <f>IF(F7=1,100%,IF(F6=1,MIN(Assumptions!$C$33,Assumptions!$C$32+(F$3-Assumptions!$C$11-1)*(Assumptions!$C$33-Assumptions!$C$32)/(Assumptions!$C$34-1)),0))</f>
        <v>1</v>
      </c>
      <c r="G9" s="43">
        <f>IF(G7=1,100%,IF(G6=1,MIN(Assumptions!$C$33,Assumptions!$C$32+(G$3-Assumptions!$C$11-1)*(Assumptions!$C$33-Assumptions!$C$32)/(Assumptions!$C$34-1)),0))</f>
        <v>1</v>
      </c>
      <c r="H9" s="43">
        <f>IF(H7=1,100%,IF(H6=1,MIN(Assumptions!$C$33,Assumptions!$C$32+(H$3-Assumptions!$C$11-1)*(Assumptions!$C$33-Assumptions!$C$32)/(Assumptions!$C$34-1)),0))</f>
        <v>1</v>
      </c>
      <c r="I9" s="43">
        <f>IF(I7=1,100%,IF(I6=1,MIN(Assumptions!$C$33,Assumptions!$C$32+(I$3-Assumptions!$C$11-1)*(Assumptions!$C$33-Assumptions!$C$32)/(Assumptions!$C$34-1)),0))</f>
        <v>0.7</v>
      </c>
      <c r="J9" s="43">
        <f>IF(J7=1,100%,IF(J6=1,MIN(Assumptions!$C$33,Assumptions!$C$32+(J$3-Assumptions!$C$11-1)*(Assumptions!$C$33-Assumptions!$C$32)/(Assumptions!$C$34-1)),0))</f>
        <v>0.77499999999999991</v>
      </c>
      <c r="K9" s="43">
        <f>IF(K7=1,100%,IF(K6=1,MIN(Assumptions!$C$33,Assumptions!$C$32+(K$3-Assumptions!$C$11-1)*(Assumptions!$C$33-Assumptions!$C$32)/(Assumptions!$C$34-1)),0))</f>
        <v>0.85</v>
      </c>
      <c r="L9" s="43">
        <f>IF(L7=1,100%,IF(L6=1,MIN(Assumptions!$C$33,Assumptions!$C$32+(L$3-Assumptions!$C$11-1)*(Assumptions!$C$33-Assumptions!$C$32)/(Assumptions!$C$34-1)),0))</f>
        <v>0.85</v>
      </c>
      <c r="M9" s="43">
        <f>IF(M7=1,100%,IF(M6=1,MIN(Assumptions!$C$33,Assumptions!$C$32+(M$3-Assumptions!$C$11-1)*(Assumptions!$C$33-Assumptions!$C$32)/(Assumptions!$C$34-1)),0))</f>
        <v>0.85</v>
      </c>
      <c r="N9" s="43">
        <f>IF(N7=1,100%,IF(N6=1,MIN(Assumptions!$C$33,Assumptions!$C$32+(N$3-Assumptions!$C$11-1)*(Assumptions!$C$33-Assumptions!$C$32)/(Assumptions!$C$34-1)),0))</f>
        <v>0.85</v>
      </c>
      <c r="O9" s="43">
        <f>IF(O7=1,100%,IF(O6=1,MIN(Assumptions!$C$33,Assumptions!$C$32+(O$3-Assumptions!$C$11-1)*(Assumptions!$C$33-Assumptions!$C$32)/(Assumptions!$C$34-1)),0))</f>
        <v>0.85</v>
      </c>
      <c r="P9" s="43">
        <f>IF(P7=1,100%,IF(P6=1,MIN(Assumptions!$C$33,Assumptions!$C$32+(P$3-Assumptions!$C$11-1)*(Assumptions!$C$33-Assumptions!$C$32)/(Assumptions!$C$34-1)),0))</f>
        <v>0.85</v>
      </c>
      <c r="Q9" s="43">
        <f>IF(Q7=1,100%,IF(Q6=1,MIN(Assumptions!$C$33,Assumptions!$C$32+(Q$3-Assumptions!$C$11-1)*(Assumptions!$C$33-Assumptions!$C$32)/(Assumptions!$C$34-1)),0))</f>
        <v>0.85</v>
      </c>
      <c r="R9" s="43">
        <f>IF(R7=1,100%,IF(R6=1,MIN(Assumptions!$C$33,Assumptions!$C$32+(R$3-Assumptions!$C$11-1)*(Assumptions!$C$33-Assumptions!$C$32)/(Assumptions!$C$34-1)),0))</f>
        <v>0.85</v>
      </c>
      <c r="S9" s="43">
        <f>IF(S7=1,100%,IF(S6=1,MIN(Assumptions!$C$33,Assumptions!$C$32+(S$3-Assumptions!$C$11-1)*(Assumptions!$C$33-Assumptions!$C$32)/(Assumptions!$C$34-1)),0))</f>
        <v>0.85</v>
      </c>
      <c r="T9" s="43">
        <f>IF(T7=1,100%,IF(T6=1,MIN(Assumptions!$C$33,Assumptions!$C$32+(T$3-Assumptions!$C$11-1)*(Assumptions!$C$33-Assumptions!$C$32)/(Assumptions!$C$34-1)),0))</f>
        <v>0.85</v>
      </c>
      <c r="U9" s="43">
        <f>IF(U7=1,100%,IF(U6=1,MIN(Assumptions!$C$33,Assumptions!$C$32+(U$3-Assumptions!$C$11-1)*(Assumptions!$C$33-Assumptions!$C$32)/(Assumptions!$C$34-1)),0))</f>
        <v>0</v>
      </c>
      <c r="V9" s="43">
        <f>IF(V7=1,100%,IF(V6=1,MIN(Assumptions!$C$33,Assumptions!$C$32+(V$3-Assumptions!$C$11-1)*(Assumptions!$C$33-Assumptions!$C$32)/(Assumptions!$C$34-1)),0))</f>
        <v>0</v>
      </c>
      <c r="W9" s="44">
        <f>AVERAGEIF(C9:V9,"&gt;0")</f>
        <v>0.88088235294117623</v>
      </c>
    </row>
    <row r="10" spans="1:23">
      <c r="A10" s="3"/>
      <c r="B10" s="3" t="s">
        <v>196</v>
      </c>
      <c r="C10" s="41">
        <f t="shared" ref="C10:V10" si="0">C8*C9</f>
        <v>0</v>
      </c>
      <c r="D10" s="41">
        <f t="shared" si="0"/>
        <v>0.83955223880597019</v>
      </c>
      <c r="E10" s="41">
        <f t="shared" si="0"/>
        <v>2.5186567164179103</v>
      </c>
      <c r="F10" s="41">
        <f t="shared" si="0"/>
        <v>4.4664179104477615</v>
      </c>
      <c r="G10" s="41">
        <f t="shared" si="0"/>
        <v>4.4664179104477615</v>
      </c>
      <c r="H10" s="41">
        <f t="shared" si="0"/>
        <v>4.5</v>
      </c>
      <c r="I10" s="41">
        <f t="shared" si="0"/>
        <v>3.15</v>
      </c>
      <c r="J10" s="41">
        <f t="shared" si="0"/>
        <v>3.4874999999999998</v>
      </c>
      <c r="K10" s="41">
        <f t="shared" si="0"/>
        <v>3.8249999999999997</v>
      </c>
      <c r="L10" s="41">
        <f t="shared" si="0"/>
        <v>3.8249999999999997</v>
      </c>
      <c r="M10" s="41">
        <f t="shared" si="0"/>
        <v>3.8249999999999997</v>
      </c>
      <c r="N10" s="41">
        <f t="shared" si="0"/>
        <v>3.8249999999999997</v>
      </c>
      <c r="O10" s="41">
        <f t="shared" si="0"/>
        <v>3.8249999999999997</v>
      </c>
      <c r="P10" s="41">
        <f t="shared" si="0"/>
        <v>3.8249999999999997</v>
      </c>
      <c r="Q10" s="41">
        <f t="shared" si="0"/>
        <v>3.8249999999999997</v>
      </c>
      <c r="R10" s="41">
        <f t="shared" si="0"/>
        <v>3.8249999999999997</v>
      </c>
      <c r="S10" s="41">
        <f t="shared" si="0"/>
        <v>3.8249999999999997</v>
      </c>
      <c r="T10" s="41">
        <f t="shared" si="0"/>
        <v>3.8249999999999997</v>
      </c>
      <c r="U10" s="41">
        <f t="shared" si="0"/>
        <v>0</v>
      </c>
      <c r="V10" s="41">
        <f t="shared" si="0"/>
        <v>0</v>
      </c>
      <c r="W10" s="42">
        <f>MAX(C10:V10)</f>
        <v>4.5</v>
      </c>
    </row>
    <row r="11" spans="1:23">
      <c r="A11" s="3"/>
      <c r="B11" s="3" t="s">
        <v>197</v>
      </c>
      <c r="C11" s="45">
        <f>0</f>
        <v>0</v>
      </c>
      <c r="D11" s="45">
        <f>IF(D7=1,IFERROR(D12/D10,0),IF(D6=1,C11*(1-Assumptions!$C$35),0))</f>
        <v>20248.888888888887</v>
      </c>
      <c r="E11" s="45">
        <f>IF(E7=1,IFERROR(E12/E10,0),IF(E6=1,D11*(1-Assumptions!$C$35),0))</f>
        <v>20248.888888888891</v>
      </c>
      <c r="F11" s="45">
        <f>IF(F7=1,IFERROR(F12/F10,0),IF(F6=1,E11*(1-Assumptions!$C$35),0))</f>
        <v>20248.888888888887</v>
      </c>
      <c r="G11" s="45">
        <f>IF(G7=1,IFERROR(G12/G10,0),IF(G6=1,F11*(1-Assumptions!$C$35),0))</f>
        <v>20248.888888888887</v>
      </c>
      <c r="H11" s="45">
        <f>IF(H7=1,IFERROR(H12/H10,0),IF(H6=1,G11*(1-Assumptions!$C$35),0))</f>
        <v>20248.888888888891</v>
      </c>
      <c r="I11" s="45">
        <f>IF(I7=1,IFERROR(I12/I10,0),IF(I6=1,H11*(1-Assumptions!$C$35),0))</f>
        <v>18224.000000000004</v>
      </c>
      <c r="J11" s="45">
        <f>IF(J7=1,IFERROR(J12/J10,0),IF(J6=1,I11*(1-Assumptions!$C$35),0))</f>
        <v>16401.600000000002</v>
      </c>
      <c r="K11" s="45">
        <f>IF(K7=1,IFERROR(K12/K10,0),IF(K6=1,J11*(1-Assumptions!$C$35),0))</f>
        <v>14761.440000000002</v>
      </c>
      <c r="L11" s="45">
        <f>IF(L7=1,IFERROR(L12/L10,0),IF(L6=1,K11*(1-Assumptions!$C$35),0))</f>
        <v>13285.296000000002</v>
      </c>
      <c r="M11" s="45">
        <f>IF(M7=1,IFERROR(M12/M10,0),IF(M6=1,L11*(1-Assumptions!$C$35),0))</f>
        <v>11956.766400000002</v>
      </c>
      <c r="N11" s="45">
        <f>IF(N7=1,IFERROR(N12/N10,0),IF(N6=1,M11*(1-Assumptions!$C$35),0))</f>
        <v>10761.089760000003</v>
      </c>
      <c r="O11" s="45">
        <f>IF(O7=1,IFERROR(O12/O10,0),IF(O6=1,N11*(1-Assumptions!$C$35),0))</f>
        <v>9684.980784000003</v>
      </c>
      <c r="P11" s="45">
        <f>IF(P7=1,IFERROR(P12/P10,0),IF(P6=1,O11*(1-Assumptions!$C$35),0))</f>
        <v>8716.4827056000031</v>
      </c>
      <c r="Q11" s="45">
        <f>IF(Q7=1,IFERROR(Q12/Q10,0),IF(Q6=1,P11*(1-Assumptions!$C$35),0))</f>
        <v>7844.834435040003</v>
      </c>
      <c r="R11" s="45">
        <f>IF(R7=1,IFERROR(R12/R10,0),IF(R6=1,Q11*(1-Assumptions!$C$35),0))</f>
        <v>7060.3509915360028</v>
      </c>
      <c r="S11" s="45">
        <f>IF(S7=1,IFERROR(S12/S10,0),IF(S6=1,R11*(1-Assumptions!$C$35),0))</f>
        <v>6354.315892382403</v>
      </c>
      <c r="T11" s="45">
        <f>IF(T7=1,IFERROR(T12/T10,0),IF(T6=1,S11*(1-Assumptions!$C$35),0))</f>
        <v>5718.8843031441629</v>
      </c>
      <c r="U11" s="45">
        <f>IF(U7=1,IFERROR(U12/U10,0),IF(U6=1,T11*(1-Assumptions!$C$35),0))</f>
        <v>0</v>
      </c>
      <c r="V11" s="45">
        <f>IF(V7=1,IFERROR(V12/V10,0),IF(V6=1,U11*(1-Assumptions!$C$35),0))</f>
        <v>0</v>
      </c>
      <c r="W11" s="46">
        <f>AVERAGEIF(C11:V11,"&gt;0")</f>
        <v>13647.910924479236</v>
      </c>
    </row>
    <row r="12" spans="1:23">
      <c r="A12" s="3"/>
      <c r="B12" s="3" t="s">
        <v>90</v>
      </c>
      <c r="C12" s="47">
        <f>0</f>
        <v>0</v>
      </c>
      <c r="D12" s="47">
        <f>Assumptions!$C$24*Assumptions!$C$25</f>
        <v>17000</v>
      </c>
      <c r="E12" s="47">
        <f>Assumptions!$C$24*Assumptions!$C$26</f>
        <v>51000</v>
      </c>
      <c r="F12" s="47">
        <f>Assumptions!$C$24*Assumptions!$C$27</f>
        <v>90440</v>
      </c>
      <c r="G12" s="47">
        <f>Assumptions!$C$24*Assumptions!$C$28</f>
        <v>90440</v>
      </c>
      <c r="H12" s="47">
        <f>Assumptions!$C$24*Assumptions!$C$29</f>
        <v>91120</v>
      </c>
      <c r="I12" s="45">
        <f>0</f>
        <v>0</v>
      </c>
      <c r="J12" s="45">
        <f>0</f>
        <v>0</v>
      </c>
      <c r="K12" s="45">
        <f>0</f>
        <v>0</v>
      </c>
      <c r="L12" s="45">
        <f>0</f>
        <v>0</v>
      </c>
      <c r="M12" s="45">
        <f>0</f>
        <v>0</v>
      </c>
      <c r="N12" s="45">
        <f>0</f>
        <v>0</v>
      </c>
      <c r="O12" s="45">
        <f>0</f>
        <v>0</v>
      </c>
      <c r="P12" s="45">
        <f>0</f>
        <v>0</v>
      </c>
      <c r="Q12" s="45">
        <f>0</f>
        <v>0</v>
      </c>
      <c r="R12" s="45">
        <f>0</f>
        <v>0</v>
      </c>
      <c r="S12" s="45">
        <f>0</f>
        <v>0</v>
      </c>
      <c r="T12" s="45">
        <f>0</f>
        <v>0</v>
      </c>
      <c r="U12" s="45">
        <f>0</f>
        <v>0</v>
      </c>
      <c r="V12" s="45">
        <f>0</f>
        <v>0</v>
      </c>
      <c r="W12" s="46">
        <f>SUM(C12:V12)</f>
        <v>340000</v>
      </c>
    </row>
    <row r="13" spans="1:23">
      <c r="A13" s="3"/>
      <c r="B13" s="3" t="s">
        <v>198</v>
      </c>
      <c r="C13" s="45">
        <f t="shared" ref="C13:V13" si="1">IF(AND(C6=1,C7=0),C10*C11,0)</f>
        <v>0</v>
      </c>
      <c r="D13" s="45">
        <f t="shared" si="1"/>
        <v>0</v>
      </c>
      <c r="E13" s="45">
        <f t="shared" si="1"/>
        <v>0</v>
      </c>
      <c r="F13" s="45">
        <f t="shared" si="1"/>
        <v>0</v>
      </c>
      <c r="G13" s="45">
        <f t="shared" si="1"/>
        <v>0</v>
      </c>
      <c r="H13" s="45">
        <f t="shared" si="1"/>
        <v>0</v>
      </c>
      <c r="I13" s="45">
        <f t="shared" si="1"/>
        <v>57405.600000000013</v>
      </c>
      <c r="J13" s="45">
        <f t="shared" si="1"/>
        <v>57200.58</v>
      </c>
      <c r="K13" s="45">
        <f t="shared" si="1"/>
        <v>56462.508000000002</v>
      </c>
      <c r="L13" s="45">
        <f t="shared" si="1"/>
        <v>50816.257200000007</v>
      </c>
      <c r="M13" s="45">
        <f t="shared" si="1"/>
        <v>45734.631480000004</v>
      </c>
      <c r="N13" s="45">
        <f t="shared" si="1"/>
        <v>41161.168332000008</v>
      </c>
      <c r="O13" s="45">
        <f t="shared" si="1"/>
        <v>37045.051498800007</v>
      </c>
      <c r="P13" s="45">
        <f t="shared" si="1"/>
        <v>33340.546348920012</v>
      </c>
      <c r="Q13" s="45">
        <f t="shared" si="1"/>
        <v>30006.491714028009</v>
      </c>
      <c r="R13" s="45">
        <f t="shared" si="1"/>
        <v>27005.842542625207</v>
      </c>
      <c r="S13" s="45">
        <f t="shared" si="1"/>
        <v>24305.258288362689</v>
      </c>
      <c r="T13" s="45">
        <f t="shared" si="1"/>
        <v>21874.732459526422</v>
      </c>
      <c r="U13" s="45">
        <f t="shared" si="1"/>
        <v>0</v>
      </c>
      <c r="V13" s="45">
        <f t="shared" si="1"/>
        <v>0</v>
      </c>
      <c r="W13" s="46">
        <f>SUM(C13:V13)</f>
        <v>482358.66786426236</v>
      </c>
    </row>
    <row r="14" spans="1:23" ht="15">
      <c r="A14" s="3"/>
      <c r="B14" s="48" t="s">
        <v>199</v>
      </c>
      <c r="C14" s="49">
        <f t="shared" ref="C14:V14" si="2">SUM(C12:C13)</f>
        <v>0</v>
      </c>
      <c r="D14" s="49">
        <f t="shared" si="2"/>
        <v>17000</v>
      </c>
      <c r="E14" s="49">
        <f t="shared" si="2"/>
        <v>51000</v>
      </c>
      <c r="F14" s="49">
        <f t="shared" si="2"/>
        <v>90440</v>
      </c>
      <c r="G14" s="49">
        <f t="shared" si="2"/>
        <v>90440</v>
      </c>
      <c r="H14" s="49">
        <f t="shared" si="2"/>
        <v>91120</v>
      </c>
      <c r="I14" s="49">
        <f t="shared" si="2"/>
        <v>57405.600000000013</v>
      </c>
      <c r="J14" s="49">
        <f t="shared" si="2"/>
        <v>57200.58</v>
      </c>
      <c r="K14" s="49">
        <f t="shared" si="2"/>
        <v>56462.508000000002</v>
      </c>
      <c r="L14" s="49">
        <f t="shared" si="2"/>
        <v>50816.257200000007</v>
      </c>
      <c r="M14" s="49">
        <f t="shared" si="2"/>
        <v>45734.631480000004</v>
      </c>
      <c r="N14" s="49">
        <f t="shared" si="2"/>
        <v>41161.168332000008</v>
      </c>
      <c r="O14" s="49">
        <f t="shared" si="2"/>
        <v>37045.051498800007</v>
      </c>
      <c r="P14" s="49">
        <f t="shared" si="2"/>
        <v>33340.546348920012</v>
      </c>
      <c r="Q14" s="49">
        <f t="shared" si="2"/>
        <v>30006.491714028009</v>
      </c>
      <c r="R14" s="49">
        <f t="shared" si="2"/>
        <v>27005.842542625207</v>
      </c>
      <c r="S14" s="49">
        <f t="shared" si="2"/>
        <v>24305.258288362689</v>
      </c>
      <c r="T14" s="49">
        <f t="shared" si="2"/>
        <v>21874.732459526422</v>
      </c>
      <c r="U14" s="49">
        <f t="shared" si="2"/>
        <v>0</v>
      </c>
      <c r="V14" s="49">
        <f t="shared" si="2"/>
        <v>0</v>
      </c>
      <c r="W14" s="50">
        <f>SUM(C14:V14)</f>
        <v>822358.66786426236</v>
      </c>
    </row>
    <row r="15" spans="1:23">
      <c r="A15" s="3"/>
      <c r="B15" s="3" t="s">
        <v>200</v>
      </c>
      <c r="C15" s="43">
        <f>0</f>
        <v>0</v>
      </c>
      <c r="D15" s="43">
        <f t="shared" ref="D15:V15" si="3">IF(C14=0,0,D14/C14-1)</f>
        <v>0</v>
      </c>
      <c r="E15" s="43">
        <f t="shared" si="3"/>
        <v>2</v>
      </c>
      <c r="F15" s="43">
        <f t="shared" si="3"/>
        <v>0.77333333333333343</v>
      </c>
      <c r="G15" s="43">
        <f t="shared" si="3"/>
        <v>0</v>
      </c>
      <c r="H15" s="43">
        <f t="shared" si="3"/>
        <v>7.5187969924812581E-3</v>
      </c>
      <c r="I15" s="43">
        <f t="shared" si="3"/>
        <v>-0.36999999999999988</v>
      </c>
      <c r="J15" s="43">
        <f t="shared" si="3"/>
        <v>-3.5714285714287808E-3</v>
      </c>
      <c r="K15" s="43">
        <f t="shared" si="3"/>
        <v>-1.2903225806451646E-2</v>
      </c>
      <c r="L15" s="43">
        <f t="shared" si="3"/>
        <v>-9.9999999999999867E-2</v>
      </c>
      <c r="M15" s="43">
        <f t="shared" si="3"/>
        <v>-0.10000000000000009</v>
      </c>
      <c r="N15" s="43">
        <f t="shared" si="3"/>
        <v>-9.9999999999999867E-2</v>
      </c>
      <c r="O15" s="43">
        <f t="shared" si="3"/>
        <v>-9.9999999999999978E-2</v>
      </c>
      <c r="P15" s="43">
        <f t="shared" si="3"/>
        <v>-9.9999999999999867E-2</v>
      </c>
      <c r="Q15" s="43">
        <f t="shared" si="3"/>
        <v>-0.10000000000000009</v>
      </c>
      <c r="R15" s="43">
        <f t="shared" si="3"/>
        <v>-9.9999999999999978E-2</v>
      </c>
      <c r="S15" s="43">
        <f t="shared" si="3"/>
        <v>-9.9999999999999867E-2</v>
      </c>
      <c r="T15" s="43">
        <f t="shared" si="3"/>
        <v>-9.9999999999999978E-2</v>
      </c>
      <c r="U15" s="43">
        <f t="shared" si="3"/>
        <v>-1</v>
      </c>
      <c r="V15" s="43">
        <f t="shared" si="3"/>
        <v>0</v>
      </c>
      <c r="W15" s="44">
        <f>IFERROR(V14/C14-1,0)</f>
        <v>0</v>
      </c>
    </row>
    <row r="16" spans="1:23">
      <c r="A16" s="3"/>
      <c r="B16" s="3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39"/>
    </row>
    <row r="17" spans="1:23" ht="20.100000000000001" customHeight="1">
      <c r="A17" s="56" t="s">
        <v>201</v>
      </c>
      <c r="B17" s="56" t="s">
        <v>201</v>
      </c>
      <c r="C17" s="67" t="s">
        <v>201</v>
      </c>
      <c r="D17" s="67" t="s">
        <v>201</v>
      </c>
      <c r="E17" s="67" t="s">
        <v>201</v>
      </c>
      <c r="F17" s="67" t="s">
        <v>201</v>
      </c>
      <c r="G17" s="67" t="s">
        <v>201</v>
      </c>
      <c r="H17" s="67" t="s">
        <v>201</v>
      </c>
      <c r="I17" s="67" t="s">
        <v>201</v>
      </c>
      <c r="J17" s="67" t="s">
        <v>201</v>
      </c>
      <c r="K17" s="67" t="s">
        <v>201</v>
      </c>
      <c r="L17" s="67" t="s">
        <v>201</v>
      </c>
      <c r="M17" s="67" t="s">
        <v>201</v>
      </c>
      <c r="N17" s="67" t="s">
        <v>201</v>
      </c>
      <c r="O17" s="67" t="s">
        <v>201</v>
      </c>
      <c r="P17" s="67" t="s">
        <v>201</v>
      </c>
      <c r="Q17" s="67" t="s">
        <v>201</v>
      </c>
      <c r="R17" s="67" t="s">
        <v>201</v>
      </c>
      <c r="S17" s="67" t="s">
        <v>201</v>
      </c>
      <c r="T17" s="67" t="s">
        <v>201</v>
      </c>
      <c r="U17" s="67" t="s">
        <v>201</v>
      </c>
      <c r="V17" s="67" t="s">
        <v>201</v>
      </c>
      <c r="W17" s="68" t="s">
        <v>201</v>
      </c>
    </row>
    <row r="18" spans="1:23">
      <c r="A18" s="3"/>
      <c r="B18" s="3" t="s">
        <v>202</v>
      </c>
      <c r="C18" s="45">
        <f>-C8*Assumptions!$C$37*(1+Assumptions!$C$44)^MAX(0,C$3-Assumptions!$C$7)</f>
        <v>0</v>
      </c>
      <c r="D18" s="45">
        <f>-D8*Assumptions!$C$37*(1+Assumptions!$C$44)^MAX(0,D$3-Assumptions!$C$7)</f>
        <v>-1569.9307835820896</v>
      </c>
      <c r="E18" s="45">
        <f>-E8*Assumptions!$C$37*(1+Assumptions!$C$44)^MAX(0,E$3-Assumptions!$C$7)</f>
        <v>-4827.5371595149245</v>
      </c>
      <c r="F18" s="45">
        <f>-F8*Assumptions!$C$37*(1+Assumptions!$C$44)^MAX(0,F$3-Assumptions!$C$7)</f>
        <v>-8774.8533769449641</v>
      </c>
      <c r="G18" s="45">
        <f>-G8*Assumptions!$C$37*(1+Assumptions!$C$44)^MAX(0,G$3-Assumptions!$C$7)</f>
        <v>-8994.224711368588</v>
      </c>
      <c r="H18" s="45">
        <f>-H8*Assumptions!$C$37*(1+Assumptions!$C$44)^MAX(0,H$3-Assumptions!$C$7)</f>
        <v>-9288.3967226050754</v>
      </c>
      <c r="I18" s="45">
        <f>-I8*Assumptions!$C$37*(1+Assumptions!$C$44)^MAX(0,I$3-Assumptions!$C$7)</f>
        <v>-9520.6066406702012</v>
      </c>
      <c r="J18" s="45">
        <f>-J8*Assumptions!$C$37*(1+Assumptions!$C$44)^MAX(0,J$3-Assumptions!$C$7)</f>
        <v>-9758.6218066869569</v>
      </c>
      <c r="K18" s="45">
        <f>-K8*Assumptions!$C$37*(1+Assumptions!$C$44)^MAX(0,K$3-Assumptions!$C$7)</f>
        <v>-10002.58735185413</v>
      </c>
      <c r="L18" s="45">
        <f>-L8*Assumptions!$C$37*(1+Assumptions!$C$44)^MAX(0,L$3-Assumptions!$C$7)</f>
        <v>-10252.652035650483</v>
      </c>
      <c r="M18" s="45">
        <f>-M8*Assumptions!$C$37*(1+Assumptions!$C$44)^MAX(0,M$3-Assumptions!$C$7)</f>
        <v>-10508.968336541744</v>
      </c>
      <c r="N18" s="45">
        <f>-N8*Assumptions!$C$37*(1+Assumptions!$C$44)^MAX(0,N$3-Assumptions!$C$7)</f>
        <v>-10771.692544955287</v>
      </c>
      <c r="O18" s="45">
        <f>-O8*Assumptions!$C$37*(1+Assumptions!$C$44)^MAX(0,O$3-Assumptions!$C$7)</f>
        <v>-11040.98485857917</v>
      </c>
      <c r="P18" s="45">
        <f>-P8*Assumptions!$C$37*(1+Assumptions!$C$44)^MAX(0,P$3-Assumptions!$C$7)</f>
        <v>-11317.009480043647</v>
      </c>
      <c r="Q18" s="45">
        <f>-Q8*Assumptions!$C$37*(1+Assumptions!$C$44)^MAX(0,Q$3-Assumptions!$C$7)</f>
        <v>-11599.934717044738</v>
      </c>
      <c r="R18" s="45">
        <f>-R8*Assumptions!$C$37*(1+Assumptions!$C$44)^MAX(0,R$3-Assumptions!$C$7)</f>
        <v>-11889.933084970855</v>
      </c>
      <c r="S18" s="45">
        <f>-S8*Assumptions!$C$37*(1+Assumptions!$C$44)^MAX(0,S$3-Assumptions!$C$7)</f>
        <v>-12187.181412095128</v>
      </c>
      <c r="T18" s="45">
        <f>-T8*Assumptions!$C$37*(1+Assumptions!$C$44)^MAX(0,T$3-Assumptions!$C$7)</f>
        <v>-12491.860947397505</v>
      </c>
      <c r="U18" s="45">
        <f>-U8*Assumptions!$C$37*(1+Assumptions!$C$44)^MAX(0,U$3-Assumptions!$C$7)</f>
        <v>0</v>
      </c>
      <c r="V18" s="45">
        <f>-V8*Assumptions!$C$37*(1+Assumptions!$C$44)^MAX(0,V$3-Assumptions!$C$7)</f>
        <v>0</v>
      </c>
      <c r="W18" s="46">
        <f t="shared" ref="W18:W26" si="4">SUM(C18:V18)</f>
        <v>-164796.9759705055</v>
      </c>
    </row>
    <row r="19" spans="1:23">
      <c r="A19" s="3"/>
      <c r="B19" s="3" t="s">
        <v>203</v>
      </c>
      <c r="C19" s="45">
        <f>-C10*Assumptions!$C$38*(1+Assumptions!$C$45)^MAX(0,C$3-Assumptions!$C$7)</f>
        <v>0</v>
      </c>
      <c r="D19" s="45">
        <f>-D10*Assumptions!$C$38*(1+Assumptions!$C$45)^MAX(0,D$3-Assumptions!$C$7)</f>
        <v>-532.83190298507463</v>
      </c>
      <c r="E19" s="45">
        <f>-E10*Assumptions!$C$38*(1+Assumptions!$C$45)^MAX(0,E$3-Assumptions!$C$7)</f>
        <v>-1630.4656231343283</v>
      </c>
      <c r="F19" s="45">
        <f>-F10*Assumptions!$C$38*(1+Assumptions!$C$45)^MAX(0,F$3-Assumptions!$C$7)</f>
        <v>-2949.1862191253736</v>
      </c>
      <c r="G19" s="45">
        <f>-G10*Assumptions!$C$38*(1+Assumptions!$C$45)^MAX(0,G$3-Assumptions!$C$7)</f>
        <v>-3008.1699435078808</v>
      </c>
      <c r="H19" s="45">
        <f>-H10*Assumptions!$C$38*(1+Assumptions!$C$45)^MAX(0,H$3-Assumptions!$C$7)</f>
        <v>-3091.4035178846402</v>
      </c>
      <c r="I19" s="45">
        <f>-I10*Assumptions!$C$38*(1+Assumptions!$C$45)^MAX(0,I$3-Assumptions!$C$7)</f>
        <v>-2207.2621117696331</v>
      </c>
      <c r="J19" s="45">
        <f>-J10*Assumptions!$C$38*(1+Assumptions!$C$45)^MAX(0,J$3-Assumptions!$C$7)</f>
        <v>-2492.6295705055645</v>
      </c>
      <c r="K19" s="45">
        <f>-K10*Assumptions!$C$38*(1+Assumptions!$C$45)^MAX(0,K$3-Assumptions!$C$7)</f>
        <v>-2788.5288227462243</v>
      </c>
      <c r="L19" s="45">
        <f>-L10*Assumptions!$C$38*(1+Assumptions!$C$45)^MAX(0,L$3-Assumptions!$C$7)</f>
        <v>-2844.2993992011493</v>
      </c>
      <c r="M19" s="45">
        <f>-M10*Assumptions!$C$38*(1+Assumptions!$C$45)^MAX(0,M$3-Assumptions!$C$7)</f>
        <v>-2901.1853871851722</v>
      </c>
      <c r="N19" s="45">
        <f>-N10*Assumptions!$C$38*(1+Assumptions!$C$45)^MAX(0,N$3-Assumptions!$C$7)</f>
        <v>-2959.2090949288759</v>
      </c>
      <c r="O19" s="45">
        <f>-O10*Assumptions!$C$38*(1+Assumptions!$C$45)^MAX(0,O$3-Assumptions!$C$7)</f>
        <v>-3018.3932768274526</v>
      </c>
      <c r="P19" s="45">
        <f>-P10*Assumptions!$C$38*(1+Assumptions!$C$45)^MAX(0,P$3-Assumptions!$C$7)</f>
        <v>-3078.7611423640024</v>
      </c>
      <c r="Q19" s="45">
        <f>-Q10*Assumptions!$C$38*(1+Assumptions!$C$45)^MAX(0,Q$3-Assumptions!$C$7)</f>
        <v>-3140.3363652112821</v>
      </c>
      <c r="R19" s="45">
        <f>-R10*Assumptions!$C$38*(1+Assumptions!$C$45)^MAX(0,R$3-Assumptions!$C$7)</f>
        <v>-3203.1430925155082</v>
      </c>
      <c r="S19" s="45">
        <f>-S10*Assumptions!$C$38*(1+Assumptions!$C$45)^MAX(0,S$3-Assumptions!$C$7)</f>
        <v>-3267.2059543658174</v>
      </c>
      <c r="T19" s="45">
        <f>-T10*Assumptions!$C$38*(1+Assumptions!$C$45)^MAX(0,T$3-Assumptions!$C$7)</f>
        <v>-3332.5500734531342</v>
      </c>
      <c r="U19" s="45">
        <f>-U10*Assumptions!$C$38*(1+Assumptions!$C$45)^MAX(0,U$3-Assumptions!$C$7)</f>
        <v>0</v>
      </c>
      <c r="V19" s="45">
        <f>-V10*Assumptions!$C$38*(1+Assumptions!$C$45)^MAX(0,V$3-Assumptions!$C$7)</f>
        <v>0</v>
      </c>
      <c r="W19" s="46">
        <f t="shared" si="4"/>
        <v>-46445.561497711111</v>
      </c>
    </row>
    <row r="20" spans="1:23">
      <c r="A20" s="3"/>
      <c r="B20" s="3" t="s">
        <v>204</v>
      </c>
      <c r="C20" s="45">
        <f>-C8*Assumptions!$C$39*(1+Assumptions!$C$46)^MAX(0,C$3-Assumptions!$C$7)</f>
        <v>0</v>
      </c>
      <c r="D20" s="45">
        <f>-D8*Assumptions!$C$39*(1+Assumptions!$C$46)^MAX(0,D$3-Assumptions!$C$7)</f>
        <v>-104.94402985074628</v>
      </c>
      <c r="E20" s="45">
        <f>-E8*Assumptions!$C$39*(1+Assumptions!$C$46)^MAX(0,E$3-Assumptions!$C$7)</f>
        <v>-322.70289179104475</v>
      </c>
      <c r="F20" s="45">
        <f>-F8*Assumptions!$C$39*(1+Assumptions!$C$46)^MAX(0,F$3-Assumptions!$C$7)</f>
        <v>-586.56628964552237</v>
      </c>
      <c r="G20" s="45">
        <f>-G8*Assumptions!$C$39*(1+Assumptions!$C$46)^MAX(0,G$3-Assumptions!$C$7)</f>
        <v>-601.23044688666039</v>
      </c>
      <c r="H20" s="45">
        <f>-H8*Assumptions!$C$39*(1+Assumptions!$C$46)^MAX(0,H$3-Assumptions!$C$7)</f>
        <v>-620.89475097656236</v>
      </c>
      <c r="I20" s="45">
        <f>-I8*Assumptions!$C$39*(1+Assumptions!$C$46)^MAX(0,I$3-Assumptions!$C$7)</f>
        <v>-636.41711975097633</v>
      </c>
      <c r="J20" s="45">
        <f>-J8*Assumptions!$C$39*(1+Assumptions!$C$46)^MAX(0,J$3-Assumptions!$C$7)</f>
        <v>-652.32754774475075</v>
      </c>
      <c r="K20" s="45">
        <f>-K8*Assumptions!$C$39*(1+Assumptions!$C$46)^MAX(0,K$3-Assumptions!$C$7)</f>
        <v>-668.63573643836958</v>
      </c>
      <c r="L20" s="45">
        <f>-L8*Assumptions!$C$39*(1+Assumptions!$C$46)^MAX(0,L$3-Assumptions!$C$7)</f>
        <v>-685.35162984932867</v>
      </c>
      <c r="M20" s="45">
        <f>-M8*Assumptions!$C$39*(1+Assumptions!$C$46)^MAX(0,M$3-Assumptions!$C$7)</f>
        <v>-702.48542059556178</v>
      </c>
      <c r="N20" s="45">
        <f>-N8*Assumptions!$C$39*(1+Assumptions!$C$46)^MAX(0,N$3-Assumptions!$C$7)</f>
        <v>-720.04755611045084</v>
      </c>
      <c r="O20" s="45">
        <f>-O8*Assumptions!$C$39*(1+Assumptions!$C$46)^MAX(0,O$3-Assumptions!$C$7)</f>
        <v>-738.04874501321217</v>
      </c>
      <c r="P20" s="45">
        <f>-P8*Assumptions!$C$39*(1+Assumptions!$C$46)^MAX(0,P$3-Assumptions!$C$7)</f>
        <v>-756.49996363854234</v>
      </c>
      <c r="Q20" s="45">
        <f>-Q8*Assumptions!$C$39*(1+Assumptions!$C$46)^MAX(0,Q$3-Assumptions!$C$7)</f>
        <v>-775.41246272950593</v>
      </c>
      <c r="R20" s="45">
        <f>-R8*Assumptions!$C$39*(1+Assumptions!$C$46)^MAX(0,R$3-Assumptions!$C$7)</f>
        <v>-794.79777429774344</v>
      </c>
      <c r="S20" s="45">
        <f>-S8*Assumptions!$C$39*(1+Assumptions!$C$46)^MAX(0,S$3-Assumptions!$C$7)</f>
        <v>-814.66771865518717</v>
      </c>
      <c r="T20" s="45">
        <f>-T8*Assumptions!$C$39*(1+Assumptions!$C$46)^MAX(0,T$3-Assumptions!$C$7)</f>
        <v>-835.03441162156673</v>
      </c>
      <c r="U20" s="45">
        <f>-U8*Assumptions!$C$39*(1+Assumptions!$C$46)^MAX(0,U$3-Assumptions!$C$7)</f>
        <v>0</v>
      </c>
      <c r="V20" s="45">
        <f>-V8*Assumptions!$C$39*(1+Assumptions!$C$46)^MAX(0,V$3-Assumptions!$C$7)</f>
        <v>0</v>
      </c>
      <c r="W20" s="46">
        <f t="shared" si="4"/>
        <v>-11016.064495595734</v>
      </c>
    </row>
    <row r="21" spans="1:23">
      <c r="A21" s="3"/>
      <c r="B21" s="3" t="s">
        <v>205</v>
      </c>
      <c r="C21" s="45">
        <f>-C8*Assumptions!$C$40*(1+Assumptions!$C$46)^MAX(0,C$3-Assumptions!$C$7)</f>
        <v>0</v>
      </c>
      <c r="D21" s="45">
        <f>-D8*Assumptions!$C$40*(1+Assumptions!$C$46)^MAX(0,D$3-Assumptions!$C$7)</f>
        <v>-209.88805970149255</v>
      </c>
      <c r="E21" s="45">
        <f>-E8*Assumptions!$C$40*(1+Assumptions!$C$46)^MAX(0,E$3-Assumptions!$C$7)</f>
        <v>-645.4057835820895</v>
      </c>
      <c r="F21" s="45">
        <f>-F8*Assumptions!$C$40*(1+Assumptions!$C$46)^MAX(0,F$3-Assumptions!$C$7)</f>
        <v>-1173.1325792910447</v>
      </c>
      <c r="G21" s="45">
        <f>-G8*Assumptions!$C$40*(1+Assumptions!$C$46)^MAX(0,G$3-Assumptions!$C$7)</f>
        <v>-1202.4608937733208</v>
      </c>
      <c r="H21" s="45">
        <f>-H8*Assumptions!$C$40*(1+Assumptions!$C$46)^MAX(0,H$3-Assumptions!$C$7)</f>
        <v>-1241.7895019531247</v>
      </c>
      <c r="I21" s="45">
        <f>-I8*Assumptions!$C$40*(1+Assumptions!$C$46)^MAX(0,I$3-Assumptions!$C$7)</f>
        <v>-1272.8342395019527</v>
      </c>
      <c r="J21" s="45">
        <f>-J8*Assumptions!$C$40*(1+Assumptions!$C$46)^MAX(0,J$3-Assumptions!$C$7)</f>
        <v>-1304.6550954895015</v>
      </c>
      <c r="K21" s="45">
        <f>-K8*Assumptions!$C$40*(1+Assumptions!$C$46)^MAX(0,K$3-Assumptions!$C$7)</f>
        <v>-1337.2714728767392</v>
      </c>
      <c r="L21" s="45">
        <f>-L8*Assumptions!$C$40*(1+Assumptions!$C$46)^MAX(0,L$3-Assumptions!$C$7)</f>
        <v>-1370.7032596986573</v>
      </c>
      <c r="M21" s="45">
        <f>-M8*Assumptions!$C$40*(1+Assumptions!$C$46)^MAX(0,M$3-Assumptions!$C$7)</f>
        <v>-1404.9708411911236</v>
      </c>
      <c r="N21" s="45">
        <f>-N8*Assumptions!$C$40*(1+Assumptions!$C$46)^MAX(0,N$3-Assumptions!$C$7)</f>
        <v>-1440.0951122209017</v>
      </c>
      <c r="O21" s="45">
        <f>-O8*Assumptions!$C$40*(1+Assumptions!$C$46)^MAX(0,O$3-Assumptions!$C$7)</f>
        <v>-1476.0974900264243</v>
      </c>
      <c r="P21" s="45">
        <f>-P8*Assumptions!$C$40*(1+Assumptions!$C$46)^MAX(0,P$3-Assumptions!$C$7)</f>
        <v>-1512.9999272770847</v>
      </c>
      <c r="Q21" s="45">
        <f>-Q8*Assumptions!$C$40*(1+Assumptions!$C$46)^MAX(0,Q$3-Assumptions!$C$7)</f>
        <v>-1550.8249254590119</v>
      </c>
      <c r="R21" s="45">
        <f>-R8*Assumptions!$C$40*(1+Assumptions!$C$46)^MAX(0,R$3-Assumptions!$C$7)</f>
        <v>-1589.5955485954869</v>
      </c>
      <c r="S21" s="45">
        <f>-S8*Assumptions!$C$40*(1+Assumptions!$C$46)^MAX(0,S$3-Assumptions!$C$7)</f>
        <v>-1629.3354373103743</v>
      </c>
      <c r="T21" s="45">
        <f>-T8*Assumptions!$C$40*(1+Assumptions!$C$46)^MAX(0,T$3-Assumptions!$C$7)</f>
        <v>-1670.0688232431335</v>
      </c>
      <c r="U21" s="45">
        <f>-U8*Assumptions!$C$40*(1+Assumptions!$C$46)^MAX(0,U$3-Assumptions!$C$7)</f>
        <v>0</v>
      </c>
      <c r="V21" s="45">
        <f>-V8*Assumptions!$C$40*(1+Assumptions!$C$46)^MAX(0,V$3-Assumptions!$C$7)</f>
        <v>0</v>
      </c>
      <c r="W21" s="46">
        <f t="shared" si="4"/>
        <v>-22032.128991191468</v>
      </c>
    </row>
    <row r="22" spans="1:23">
      <c r="A22" s="3"/>
      <c r="B22" s="3" t="s">
        <v>206</v>
      </c>
      <c r="C22" s="45">
        <f>-C10*Assumptions!$C$41*(1+Assumptions!$C$46)^MAX(0,C$3-Assumptions!$C$7)</f>
        <v>0</v>
      </c>
      <c r="D22" s="45">
        <f>-D10*Assumptions!$C$41*(1+Assumptions!$C$46)^MAX(0,D$3-Assumptions!$C$7)</f>
        <v>-104.94402985074628</v>
      </c>
      <c r="E22" s="45">
        <f>-E10*Assumptions!$C$41*(1+Assumptions!$C$46)^MAX(0,E$3-Assumptions!$C$7)</f>
        <v>-322.70289179104475</v>
      </c>
      <c r="F22" s="45">
        <f>-F10*Assumptions!$C$41*(1+Assumptions!$C$46)^MAX(0,F$3-Assumptions!$C$7)</f>
        <v>-586.56628964552237</v>
      </c>
      <c r="G22" s="45">
        <f>-G10*Assumptions!$C$41*(1+Assumptions!$C$46)^MAX(0,G$3-Assumptions!$C$7)</f>
        <v>-601.23044688666039</v>
      </c>
      <c r="H22" s="45">
        <f>-H10*Assumptions!$C$41*(1+Assumptions!$C$46)^MAX(0,H$3-Assumptions!$C$7)</f>
        <v>-620.89475097656236</v>
      </c>
      <c r="I22" s="45">
        <f>-I10*Assumptions!$C$41*(1+Assumptions!$C$46)^MAX(0,I$3-Assumptions!$C$7)</f>
        <v>-445.49198382568346</v>
      </c>
      <c r="J22" s="45">
        <f>-J10*Assumptions!$C$41*(1+Assumptions!$C$46)^MAX(0,J$3-Assumptions!$C$7)</f>
        <v>-505.55384950218183</v>
      </c>
      <c r="K22" s="45">
        <f>-K10*Assumptions!$C$41*(1+Assumptions!$C$46)^MAX(0,K$3-Assumptions!$C$7)</f>
        <v>-568.34037597261408</v>
      </c>
      <c r="L22" s="45">
        <f>-L10*Assumptions!$C$41*(1+Assumptions!$C$46)^MAX(0,L$3-Assumptions!$C$7)</f>
        <v>-582.54888537192937</v>
      </c>
      <c r="M22" s="45">
        <f>-M10*Assumptions!$C$41*(1+Assumptions!$C$46)^MAX(0,M$3-Assumptions!$C$7)</f>
        <v>-597.1126075062275</v>
      </c>
      <c r="N22" s="45">
        <f>-N10*Assumptions!$C$41*(1+Assumptions!$C$46)^MAX(0,N$3-Assumptions!$C$7)</f>
        <v>-612.04042269388322</v>
      </c>
      <c r="O22" s="45">
        <f>-O10*Assumptions!$C$41*(1+Assumptions!$C$46)^MAX(0,O$3-Assumptions!$C$7)</f>
        <v>-627.34143326123024</v>
      </c>
      <c r="P22" s="45">
        <f>-P10*Assumptions!$C$41*(1+Assumptions!$C$46)^MAX(0,P$3-Assumptions!$C$7)</f>
        <v>-643.0249690927609</v>
      </c>
      <c r="Q22" s="45">
        <f>-Q10*Assumptions!$C$41*(1+Assumptions!$C$46)^MAX(0,Q$3-Assumptions!$C$7)</f>
        <v>-659.10059332007995</v>
      </c>
      <c r="R22" s="45">
        <f>-R10*Assumptions!$C$41*(1+Assumptions!$C$46)^MAX(0,R$3-Assumptions!$C$7)</f>
        <v>-675.57810815308187</v>
      </c>
      <c r="S22" s="45">
        <f>-S10*Assumptions!$C$41*(1+Assumptions!$C$46)^MAX(0,S$3-Assumptions!$C$7)</f>
        <v>-692.46756085690902</v>
      </c>
      <c r="T22" s="45">
        <f>-T10*Assumptions!$C$41*(1+Assumptions!$C$46)^MAX(0,T$3-Assumptions!$C$7)</f>
        <v>-709.77924987833171</v>
      </c>
      <c r="U22" s="45">
        <f>-U10*Assumptions!$C$41*(1+Assumptions!$C$46)^MAX(0,U$3-Assumptions!$C$7)</f>
        <v>0</v>
      </c>
      <c r="V22" s="45">
        <f>-V10*Assumptions!$C$41*(1+Assumptions!$C$46)^MAX(0,V$3-Assumptions!$C$7)</f>
        <v>0</v>
      </c>
      <c r="W22" s="46">
        <f t="shared" si="4"/>
        <v>-9554.7184485854486</v>
      </c>
    </row>
    <row r="23" spans="1:23">
      <c r="A23" s="3"/>
      <c r="B23" s="3" t="s">
        <v>207</v>
      </c>
      <c r="C23" s="45">
        <f>-C8*Assumptions!$C$42*(1+Assumptions!$C$46)^MAX(0,C$3-Assumptions!$C$7)</f>
        <v>0</v>
      </c>
      <c r="D23" s="45">
        <f>-D8*Assumptions!$C$42*(1+Assumptions!$C$46)^MAX(0,D$3-Assumptions!$C$7)</f>
        <v>-83.955223880597018</v>
      </c>
      <c r="E23" s="45">
        <f>-E8*Assumptions!$C$42*(1+Assumptions!$C$46)^MAX(0,E$3-Assumptions!$C$7)</f>
        <v>-258.16231343283579</v>
      </c>
      <c r="F23" s="45">
        <f>-F8*Assumptions!$C$42*(1+Assumptions!$C$46)^MAX(0,F$3-Assumptions!$C$7)</f>
        <v>-469.25303171641792</v>
      </c>
      <c r="G23" s="45">
        <f>-G8*Assumptions!$C$42*(1+Assumptions!$C$46)^MAX(0,G$3-Assumptions!$C$7)</f>
        <v>-480.98435750932833</v>
      </c>
      <c r="H23" s="45">
        <f>-H8*Assumptions!$C$42*(1+Assumptions!$C$46)^MAX(0,H$3-Assumptions!$C$7)</f>
        <v>-496.71580078124987</v>
      </c>
      <c r="I23" s="45">
        <f>-I8*Assumptions!$C$42*(1+Assumptions!$C$46)^MAX(0,I$3-Assumptions!$C$7)</f>
        <v>-509.13369580078108</v>
      </c>
      <c r="J23" s="45">
        <f>-J8*Assumptions!$C$42*(1+Assumptions!$C$46)^MAX(0,J$3-Assumptions!$C$7)</f>
        <v>-521.86203819580055</v>
      </c>
      <c r="K23" s="45">
        <f>-K8*Assumptions!$C$42*(1+Assumptions!$C$46)^MAX(0,K$3-Assumptions!$C$7)</f>
        <v>-534.90858915069566</v>
      </c>
      <c r="L23" s="45">
        <f>-L8*Assumptions!$C$42*(1+Assumptions!$C$46)^MAX(0,L$3-Assumptions!$C$7)</f>
        <v>-548.28130387946294</v>
      </c>
      <c r="M23" s="45">
        <f>-M8*Assumptions!$C$42*(1+Assumptions!$C$46)^MAX(0,M$3-Assumptions!$C$7)</f>
        <v>-561.98833647644949</v>
      </c>
      <c r="N23" s="45">
        <f>-N8*Assumptions!$C$42*(1+Assumptions!$C$46)^MAX(0,N$3-Assumptions!$C$7)</f>
        <v>-576.03804488836067</v>
      </c>
      <c r="O23" s="45">
        <f>-O8*Assumptions!$C$42*(1+Assumptions!$C$46)^MAX(0,O$3-Assumptions!$C$7)</f>
        <v>-590.43899601056967</v>
      </c>
      <c r="P23" s="45">
        <f>-P8*Assumptions!$C$42*(1+Assumptions!$C$46)^MAX(0,P$3-Assumptions!$C$7)</f>
        <v>-605.19997091083394</v>
      </c>
      <c r="Q23" s="45">
        <f>-Q8*Assumptions!$C$42*(1+Assumptions!$C$46)^MAX(0,Q$3-Assumptions!$C$7)</f>
        <v>-620.3299701836047</v>
      </c>
      <c r="R23" s="45">
        <f>-R8*Assumptions!$C$42*(1+Assumptions!$C$46)^MAX(0,R$3-Assumptions!$C$7)</f>
        <v>-635.83821943819476</v>
      </c>
      <c r="S23" s="45">
        <f>-S8*Assumptions!$C$42*(1+Assumptions!$C$46)^MAX(0,S$3-Assumptions!$C$7)</f>
        <v>-651.73417492414967</v>
      </c>
      <c r="T23" s="45">
        <f>-T8*Assumptions!$C$42*(1+Assumptions!$C$46)^MAX(0,T$3-Assumptions!$C$7)</f>
        <v>-668.02752929725341</v>
      </c>
      <c r="U23" s="45">
        <f>-U8*Assumptions!$C$42*(1+Assumptions!$C$46)^MAX(0,U$3-Assumptions!$C$7)</f>
        <v>0</v>
      </c>
      <c r="V23" s="45">
        <f>-V8*Assumptions!$C$42*(1+Assumptions!$C$46)^MAX(0,V$3-Assumptions!$C$7)</f>
        <v>0</v>
      </c>
      <c r="W23" s="46">
        <f t="shared" si="4"/>
        <v>-8812.8515964765847</v>
      </c>
    </row>
    <row r="24" spans="1:23">
      <c r="A24" s="3"/>
      <c r="B24" s="3" t="s">
        <v>208</v>
      </c>
      <c r="C24" s="45">
        <f>-C10*Assumptions!$C$43*(1+Assumptions!$C$46)^MAX(0,C$3-Assumptions!$C$7)</f>
        <v>0</v>
      </c>
      <c r="D24" s="45">
        <f>-D10*Assumptions!$C$43*(1+Assumptions!$C$46)^MAX(0,D$3-Assumptions!$C$7)</f>
        <v>-2.0988805970149254</v>
      </c>
      <c r="E24" s="45">
        <f>-E10*Assumptions!$C$43*(1+Assumptions!$C$46)^MAX(0,E$3-Assumptions!$C$7)</f>
        <v>-6.4540578358208949</v>
      </c>
      <c r="F24" s="45">
        <f>-F10*Assumptions!$C$43*(1+Assumptions!$C$46)^MAX(0,F$3-Assumptions!$C$7)</f>
        <v>-11.731325792910447</v>
      </c>
      <c r="G24" s="45">
        <f>-G10*Assumptions!$C$43*(1+Assumptions!$C$46)^MAX(0,G$3-Assumptions!$C$7)</f>
        <v>-12.024608937733207</v>
      </c>
      <c r="H24" s="45">
        <f>-H10*Assumptions!$C$43*(1+Assumptions!$C$46)^MAX(0,H$3-Assumptions!$C$7)</f>
        <v>-12.417895019531247</v>
      </c>
      <c r="I24" s="45">
        <f>-I10*Assumptions!$C$43*(1+Assumptions!$C$46)^MAX(0,I$3-Assumptions!$C$7)</f>
        <v>-8.9098396765136698</v>
      </c>
      <c r="J24" s="45">
        <f>-J10*Assumptions!$C$43*(1+Assumptions!$C$46)^MAX(0,J$3-Assumptions!$C$7)</f>
        <v>-10.111076990043637</v>
      </c>
      <c r="K24" s="45">
        <f>-K10*Assumptions!$C$43*(1+Assumptions!$C$46)^MAX(0,K$3-Assumptions!$C$7)</f>
        <v>-11.366807519452282</v>
      </c>
      <c r="L24" s="45">
        <f>-L10*Assumptions!$C$43*(1+Assumptions!$C$46)^MAX(0,L$3-Assumptions!$C$7)</f>
        <v>-11.650977707438589</v>
      </c>
      <c r="M24" s="45">
        <f>-M10*Assumptions!$C$43*(1+Assumptions!$C$46)^MAX(0,M$3-Assumptions!$C$7)</f>
        <v>-11.942252150124551</v>
      </c>
      <c r="N24" s="45">
        <f>-N10*Assumptions!$C$43*(1+Assumptions!$C$46)^MAX(0,N$3-Assumptions!$C$7)</f>
        <v>-12.240808453877664</v>
      </c>
      <c r="O24" s="45">
        <f>-O10*Assumptions!$C$43*(1+Assumptions!$C$46)^MAX(0,O$3-Assumptions!$C$7)</f>
        <v>-12.546828665224606</v>
      </c>
      <c r="P24" s="45">
        <f>-P10*Assumptions!$C$43*(1+Assumptions!$C$46)^MAX(0,P$3-Assumptions!$C$7)</f>
        <v>-12.86049938185522</v>
      </c>
      <c r="Q24" s="45">
        <f>-Q10*Assumptions!$C$43*(1+Assumptions!$C$46)^MAX(0,Q$3-Assumptions!$C$7)</f>
        <v>-13.1820118664016</v>
      </c>
      <c r="R24" s="45">
        <f>-R10*Assumptions!$C$43*(1+Assumptions!$C$46)^MAX(0,R$3-Assumptions!$C$7)</f>
        <v>-13.511562163061638</v>
      </c>
      <c r="S24" s="45">
        <f>-S10*Assumptions!$C$43*(1+Assumptions!$C$46)^MAX(0,S$3-Assumptions!$C$7)</f>
        <v>-13.849351217138182</v>
      </c>
      <c r="T24" s="45">
        <f>-T10*Assumptions!$C$43*(1+Assumptions!$C$46)^MAX(0,T$3-Assumptions!$C$7)</f>
        <v>-14.195584997566636</v>
      </c>
      <c r="U24" s="45">
        <f>-U10*Assumptions!$C$43*(1+Assumptions!$C$46)^MAX(0,U$3-Assumptions!$C$7)</f>
        <v>0</v>
      </c>
      <c r="V24" s="45">
        <f>-V10*Assumptions!$C$43*(1+Assumptions!$C$46)^MAX(0,V$3-Assumptions!$C$7)</f>
        <v>0</v>
      </c>
      <c r="W24" s="46">
        <f t="shared" si="4"/>
        <v>-191.09436897170897</v>
      </c>
    </row>
    <row r="25" spans="1:23" ht="15">
      <c r="A25" s="3"/>
      <c r="B25" s="48" t="s">
        <v>209</v>
      </c>
      <c r="C25" s="49">
        <f t="shared" ref="C25:V25" si="5">SUM(C18:C24)</f>
        <v>0</v>
      </c>
      <c r="D25" s="49">
        <f t="shared" si="5"/>
        <v>-2608.5929104477609</v>
      </c>
      <c r="E25" s="49">
        <f t="shared" si="5"/>
        <v>-8013.4307210820889</v>
      </c>
      <c r="F25" s="49">
        <f t="shared" si="5"/>
        <v>-14551.289112161758</v>
      </c>
      <c r="G25" s="49">
        <f t="shared" si="5"/>
        <v>-14900.325408870172</v>
      </c>
      <c r="H25" s="49">
        <f t="shared" si="5"/>
        <v>-15372.512940196746</v>
      </c>
      <c r="I25" s="49">
        <f t="shared" si="5"/>
        <v>-14600.65563099574</v>
      </c>
      <c r="J25" s="49">
        <f t="shared" si="5"/>
        <v>-15245.760985114801</v>
      </c>
      <c r="K25" s="49">
        <f t="shared" si="5"/>
        <v>-15911.639156558225</v>
      </c>
      <c r="L25" s="49">
        <f t="shared" si="5"/>
        <v>-16295.487491358448</v>
      </c>
      <c r="M25" s="49">
        <f t="shared" si="5"/>
        <v>-16688.653181646405</v>
      </c>
      <c r="N25" s="49">
        <f t="shared" si="5"/>
        <v>-17091.363584251638</v>
      </c>
      <c r="O25" s="49">
        <f t="shared" si="5"/>
        <v>-17503.851628383283</v>
      </c>
      <c r="P25" s="49">
        <f t="shared" si="5"/>
        <v>-17926.355952708727</v>
      </c>
      <c r="Q25" s="49">
        <f t="shared" si="5"/>
        <v>-18359.121045814623</v>
      </c>
      <c r="R25" s="49">
        <f t="shared" si="5"/>
        <v>-18802.39739013393</v>
      </c>
      <c r="S25" s="49">
        <f t="shared" si="5"/>
        <v>-19256.441609424703</v>
      </c>
      <c r="T25" s="49">
        <f t="shared" si="5"/>
        <v>-19721.516619888494</v>
      </c>
      <c r="U25" s="49">
        <f t="shared" si="5"/>
        <v>0</v>
      </c>
      <c r="V25" s="49">
        <f t="shared" si="5"/>
        <v>0</v>
      </c>
      <c r="W25" s="50">
        <f t="shared" si="4"/>
        <v>-262849.39536903752</v>
      </c>
    </row>
    <row r="26" spans="1:23" ht="15">
      <c r="A26" s="3"/>
      <c r="B26" s="48" t="s">
        <v>210</v>
      </c>
      <c r="C26" s="49">
        <f t="shared" ref="C26:V26" si="6">SUM(C14,C25)</f>
        <v>0</v>
      </c>
      <c r="D26" s="49">
        <f t="shared" si="6"/>
        <v>14391.407089552238</v>
      </c>
      <c r="E26" s="49">
        <f t="shared" si="6"/>
        <v>42986.569278917908</v>
      </c>
      <c r="F26" s="49">
        <f t="shared" si="6"/>
        <v>75888.710887838242</v>
      </c>
      <c r="G26" s="49">
        <f t="shared" si="6"/>
        <v>75539.67459112982</v>
      </c>
      <c r="H26" s="49">
        <f t="shared" si="6"/>
        <v>75747.487059803258</v>
      </c>
      <c r="I26" s="49">
        <f t="shared" si="6"/>
        <v>42804.944369004275</v>
      </c>
      <c r="J26" s="49">
        <f t="shared" si="6"/>
        <v>41954.819014885201</v>
      </c>
      <c r="K26" s="49">
        <f t="shared" si="6"/>
        <v>40550.868843441778</v>
      </c>
      <c r="L26" s="49">
        <f t="shared" si="6"/>
        <v>34520.769708641557</v>
      </c>
      <c r="M26" s="49">
        <f t="shared" si="6"/>
        <v>29045.978298353599</v>
      </c>
      <c r="N26" s="49">
        <f t="shared" si="6"/>
        <v>24069.804747748371</v>
      </c>
      <c r="O26" s="49">
        <f t="shared" si="6"/>
        <v>19541.199870416724</v>
      </c>
      <c r="P26" s="49">
        <f t="shared" si="6"/>
        <v>15414.190396211285</v>
      </c>
      <c r="Q26" s="49">
        <f t="shared" si="6"/>
        <v>11647.370668213385</v>
      </c>
      <c r="R26" s="49">
        <f t="shared" si="6"/>
        <v>8203.4451524912765</v>
      </c>
      <c r="S26" s="49">
        <f t="shared" si="6"/>
        <v>5048.8166789379866</v>
      </c>
      <c r="T26" s="49">
        <f t="shared" si="6"/>
        <v>2153.2158396379273</v>
      </c>
      <c r="U26" s="49">
        <f t="shared" si="6"/>
        <v>0</v>
      </c>
      <c r="V26" s="49">
        <f t="shared" si="6"/>
        <v>0</v>
      </c>
      <c r="W26" s="50">
        <f t="shared" si="4"/>
        <v>559509.27249522484</v>
      </c>
    </row>
    <row r="27" spans="1:23">
      <c r="A27" s="3"/>
      <c r="B27" s="3" t="s">
        <v>211</v>
      </c>
      <c r="C27" s="43">
        <f t="shared" ref="C27:W27" si="7">IFERROR(C26/C14,0)</f>
        <v>0</v>
      </c>
      <c r="D27" s="43">
        <f t="shared" si="7"/>
        <v>0.84655335820895516</v>
      </c>
      <c r="E27" s="43">
        <f t="shared" si="7"/>
        <v>0.84287390742976287</v>
      </c>
      <c r="F27" s="43">
        <f t="shared" si="7"/>
        <v>0.8391056046864025</v>
      </c>
      <c r="G27" s="43">
        <f t="shared" si="7"/>
        <v>0.83524629136587591</v>
      </c>
      <c r="H27" s="43">
        <f t="shared" si="7"/>
        <v>0.8312937561435827</v>
      </c>
      <c r="I27" s="43">
        <f t="shared" si="7"/>
        <v>0.74565799101488817</v>
      </c>
      <c r="J27" s="43">
        <f t="shared" si="7"/>
        <v>0.73346841963639531</v>
      </c>
      <c r="K27" s="43">
        <f t="shared" si="7"/>
        <v>0.71819106660019028</v>
      </c>
      <c r="L27" s="43">
        <f t="shared" si="7"/>
        <v>0.67932531065356683</v>
      </c>
      <c r="M27" s="43">
        <f t="shared" si="7"/>
        <v>0.63509811620665535</v>
      </c>
      <c r="N27" s="43">
        <f t="shared" si="7"/>
        <v>0.5847697167778334</v>
      </c>
      <c r="O27" s="43">
        <f t="shared" si="7"/>
        <v>0.52749825090807922</v>
      </c>
      <c r="P27" s="43">
        <f t="shared" si="7"/>
        <v>0.46232566901863598</v>
      </c>
      <c r="Q27" s="43">
        <f t="shared" si="7"/>
        <v>0.38816169444987964</v>
      </c>
      <c r="R27" s="43">
        <f t="shared" si="7"/>
        <v>0.30376556997039461</v>
      </c>
      <c r="S27" s="43">
        <f t="shared" si="7"/>
        <v>0.20772528392982972</v>
      </c>
      <c r="T27" s="43">
        <f t="shared" si="7"/>
        <v>9.8433927986177686E-2</v>
      </c>
      <c r="U27" s="43">
        <f t="shared" si="7"/>
        <v>0</v>
      </c>
      <c r="V27" s="43">
        <f t="shared" si="7"/>
        <v>0</v>
      </c>
      <c r="W27" s="44">
        <f t="shared" si="7"/>
        <v>0.68037134447469194</v>
      </c>
    </row>
    <row r="28" spans="1:23">
      <c r="A28" s="3"/>
      <c r="B28" s="3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39"/>
    </row>
    <row r="29" spans="1:23" ht="20.100000000000001" customHeight="1">
      <c r="A29" s="56" t="s">
        <v>212</v>
      </c>
      <c r="B29" s="56" t="s">
        <v>212</v>
      </c>
      <c r="C29" s="67" t="s">
        <v>212</v>
      </c>
      <c r="D29" s="67" t="s">
        <v>212</v>
      </c>
      <c r="E29" s="67" t="s">
        <v>212</v>
      </c>
      <c r="F29" s="67" t="s">
        <v>212</v>
      </c>
      <c r="G29" s="67" t="s">
        <v>212</v>
      </c>
      <c r="H29" s="67" t="s">
        <v>212</v>
      </c>
      <c r="I29" s="67" t="s">
        <v>212</v>
      </c>
      <c r="J29" s="67" t="s">
        <v>212</v>
      </c>
      <c r="K29" s="67" t="s">
        <v>212</v>
      </c>
      <c r="L29" s="67" t="s">
        <v>212</v>
      </c>
      <c r="M29" s="67" t="s">
        <v>212</v>
      </c>
      <c r="N29" s="67" t="s">
        <v>212</v>
      </c>
      <c r="O29" s="67" t="s">
        <v>212</v>
      </c>
      <c r="P29" s="67" t="s">
        <v>212</v>
      </c>
      <c r="Q29" s="67" t="s">
        <v>212</v>
      </c>
      <c r="R29" s="67" t="s">
        <v>212</v>
      </c>
      <c r="S29" s="67" t="s">
        <v>212</v>
      </c>
      <c r="T29" s="67" t="s">
        <v>212</v>
      </c>
      <c r="U29" s="67" t="s">
        <v>212</v>
      </c>
      <c r="V29" s="67" t="s">
        <v>212</v>
      </c>
      <c r="W29" s="68" t="s">
        <v>212</v>
      </c>
    </row>
    <row r="30" spans="1:23">
      <c r="A30" s="3"/>
      <c r="B30" s="3" t="s">
        <v>213</v>
      </c>
      <c r="C30" s="45">
        <f t="shared" ref="C30:V30" si="8">-SUM(C41,C46,C47)</f>
        <v>33582.089552238809</v>
      </c>
      <c r="D30" s="45">
        <f t="shared" si="8"/>
        <v>68675.373134328343</v>
      </c>
      <c r="E30" s="45">
        <f t="shared" si="8"/>
        <v>80590.298507462707</v>
      </c>
      <c r="F30" s="45">
        <f t="shared" si="8"/>
        <v>2679.8507462686571</v>
      </c>
      <c r="G30" s="45">
        <f t="shared" si="8"/>
        <v>4043.2835820895407</v>
      </c>
      <c r="H30" s="45">
        <f t="shared" si="8"/>
        <v>2700</v>
      </c>
      <c r="I30" s="45">
        <f t="shared" si="8"/>
        <v>119700</v>
      </c>
      <c r="J30" s="45">
        <f t="shared" si="8"/>
        <v>2700</v>
      </c>
      <c r="K30" s="45">
        <f t="shared" si="8"/>
        <v>2700</v>
      </c>
      <c r="L30" s="45">
        <f t="shared" si="8"/>
        <v>2700</v>
      </c>
      <c r="M30" s="45">
        <f t="shared" si="8"/>
        <v>2700</v>
      </c>
      <c r="N30" s="45">
        <f t="shared" si="8"/>
        <v>2700</v>
      </c>
      <c r="O30" s="45">
        <f t="shared" si="8"/>
        <v>119700</v>
      </c>
      <c r="P30" s="45">
        <f t="shared" si="8"/>
        <v>2700</v>
      </c>
      <c r="Q30" s="45">
        <f t="shared" si="8"/>
        <v>2700</v>
      </c>
      <c r="R30" s="45">
        <f t="shared" si="8"/>
        <v>2700</v>
      </c>
      <c r="S30" s="45">
        <f t="shared" si="8"/>
        <v>2700</v>
      </c>
      <c r="T30" s="45">
        <f t="shared" si="8"/>
        <v>2700</v>
      </c>
      <c r="U30" s="45">
        <f t="shared" si="8"/>
        <v>0</v>
      </c>
      <c r="V30" s="45">
        <f t="shared" si="8"/>
        <v>0</v>
      </c>
      <c r="W30" s="46">
        <f t="shared" ref="W30:W35" si="9">SUM(C30:V30)</f>
        <v>458670.89552238805</v>
      </c>
    </row>
    <row r="31" spans="1:23">
      <c r="A31" s="3"/>
      <c r="B31" s="3" t="s">
        <v>214</v>
      </c>
      <c r="C31" s="45">
        <f>0</f>
        <v>0</v>
      </c>
      <c r="D31" s="45">
        <f>IF(D6=1,SUMPRODUCT(--($C$3:C$3&gt;=D$3-Assumptions!$C$18),$C$30:C$30)/Assumptions!$C$18,0)</f>
        <v>5597.0149253731352</v>
      </c>
      <c r="E31" s="45">
        <f>IF(E6=1,SUMPRODUCT(--($C$3:D$3&gt;=E$3-Assumptions!$C$18),$C$30:D$30)/Assumptions!$C$18,0)</f>
        <v>17042.910447761195</v>
      </c>
      <c r="F31" s="45">
        <f>IF(F6=1,SUMPRODUCT(--($C$3:E$3&gt;=F$3-Assumptions!$C$18),$C$30:E$30)/Assumptions!$C$18,0)</f>
        <v>30474.626865671646</v>
      </c>
      <c r="G31" s="45">
        <f>IF(G6=1,SUMPRODUCT(--($C$3:F$3&gt;=G$3-Assumptions!$C$18),$C$30:F$30)/Assumptions!$C$18,0)</f>
        <v>30921.268656716424</v>
      </c>
      <c r="H31" s="45">
        <f>IF(H6=1,SUMPRODUCT(--($C$3:G$3&gt;=H$3-Assumptions!$C$18),$C$30:G$30)/Assumptions!$C$18,0)</f>
        <v>31595.149253731346</v>
      </c>
      <c r="I31" s="45">
        <f>IF(I6=1,SUMPRODUCT(--($C$3:H$3&gt;=I$3-Assumptions!$C$18),$C$30:H$30)/Assumptions!$C$18,0)</f>
        <v>32045.149253731346</v>
      </c>
      <c r="J31" s="45">
        <f>IF(J6=1,SUMPRODUCT(--($C$3:I$3&gt;=J$3-Assumptions!$C$18),$C$30:I$30)/Assumptions!$C$18,0)</f>
        <v>46398.134328358203</v>
      </c>
      <c r="K31" s="45">
        <f>IF(K6=1,SUMPRODUCT(--($C$3:J$3&gt;=K$3-Assumptions!$C$18),$C$30:J$30)/Assumptions!$C$18,0)</f>
        <v>35402.238805970148</v>
      </c>
      <c r="L31" s="45">
        <f>IF(L6=1,SUMPRODUCT(--($C$3:K$3&gt;=L$3-Assumptions!$C$18),$C$30:K$30)/Assumptions!$C$18,0)</f>
        <v>22420.5223880597</v>
      </c>
      <c r="M31" s="45">
        <f>IF(M6=1,SUMPRODUCT(--($C$3:L$3&gt;=M$3-Assumptions!$C$18),$C$30:L$30)/Assumptions!$C$18,0)</f>
        <v>22423.880597014922</v>
      </c>
      <c r="N31" s="45">
        <f>IF(N6=1,SUMPRODUCT(--($C$3:M$3&gt;=N$3-Assumptions!$C$18),$C$30:M$30)/Assumptions!$C$18,0)</f>
        <v>22200</v>
      </c>
      <c r="O31" s="45">
        <f>IF(O6=1,SUMPRODUCT(--($C$3:N$3&gt;=O$3-Assumptions!$C$18),$C$30:N$30)/Assumptions!$C$18,0)</f>
        <v>22200</v>
      </c>
      <c r="P31" s="45">
        <f>IF(P6=1,SUMPRODUCT(--($C$3:O$3&gt;=P$3-Assumptions!$C$18),$C$30:O$30)/Assumptions!$C$18,0)</f>
        <v>22200</v>
      </c>
      <c r="Q31" s="45">
        <f>IF(Q6=1,SUMPRODUCT(--($C$3:P$3&gt;=Q$3-Assumptions!$C$18),$C$30:P$30)/Assumptions!$C$18,0)</f>
        <v>22200</v>
      </c>
      <c r="R31" s="45">
        <f>IF(R6=1,SUMPRODUCT(--($C$3:Q$3&gt;=R$3-Assumptions!$C$18),$C$30:Q$30)/Assumptions!$C$18,0)</f>
        <v>22200</v>
      </c>
      <c r="S31" s="45">
        <f>IF(S6=1,SUMPRODUCT(--($C$3:R$3&gt;=S$3-Assumptions!$C$18),$C$30:R$30)/Assumptions!$C$18,0)</f>
        <v>22200</v>
      </c>
      <c r="T31" s="45">
        <f>IF(T6=1,SUMPRODUCT(--($C$3:S$3&gt;=T$3-Assumptions!$C$18),$C$30:S$30)/Assumptions!$C$18,0)</f>
        <v>22200</v>
      </c>
      <c r="U31" s="45">
        <f>IF(U6=1,SUMPRODUCT(--($C$3:T$3&gt;=U$3-Assumptions!$C$18),$C$30:T$30)/Assumptions!$C$18,0)</f>
        <v>0</v>
      </c>
      <c r="V31" s="45">
        <f>IF(V6=1,SUMPRODUCT(--($C$3:U$3&gt;=V$3-Assumptions!$C$18),$C$30:U$30)/Assumptions!$C$18,0)</f>
        <v>0</v>
      </c>
      <c r="W31" s="46">
        <f t="shared" si="9"/>
        <v>429720.89552238805</v>
      </c>
    </row>
    <row r="32" spans="1:23">
      <c r="A32" s="3"/>
      <c r="B32" s="3" t="s">
        <v>215</v>
      </c>
      <c r="C32" s="45">
        <f t="shared" ref="C32:V32" si="10">C26-C31</f>
        <v>0</v>
      </c>
      <c r="D32" s="45">
        <f t="shared" si="10"/>
        <v>8794.3921641791021</v>
      </c>
      <c r="E32" s="45">
        <f t="shared" si="10"/>
        <v>25943.658831156714</v>
      </c>
      <c r="F32" s="45">
        <f t="shared" si="10"/>
        <v>45414.0840221666</v>
      </c>
      <c r="G32" s="45">
        <f t="shared" si="10"/>
        <v>44618.4059344134</v>
      </c>
      <c r="H32" s="45">
        <f t="shared" si="10"/>
        <v>44152.337806071911</v>
      </c>
      <c r="I32" s="45">
        <f t="shared" si="10"/>
        <v>10759.795115272929</v>
      </c>
      <c r="J32" s="45">
        <f t="shared" si="10"/>
        <v>-4443.3153134730019</v>
      </c>
      <c r="K32" s="45">
        <f t="shared" si="10"/>
        <v>5148.6300374716302</v>
      </c>
      <c r="L32" s="45">
        <f t="shared" si="10"/>
        <v>12100.247320581857</v>
      </c>
      <c r="M32" s="45">
        <f t="shared" si="10"/>
        <v>6622.0977013386764</v>
      </c>
      <c r="N32" s="45">
        <f t="shared" si="10"/>
        <v>1869.8047477483706</v>
      </c>
      <c r="O32" s="45">
        <f t="shared" si="10"/>
        <v>-2658.8001295832764</v>
      </c>
      <c r="P32" s="45">
        <f t="shared" si="10"/>
        <v>-6785.8096037887153</v>
      </c>
      <c r="Q32" s="45">
        <f t="shared" si="10"/>
        <v>-10552.629331786615</v>
      </c>
      <c r="R32" s="45">
        <f t="shared" si="10"/>
        <v>-13996.554847508723</v>
      </c>
      <c r="S32" s="45">
        <f t="shared" si="10"/>
        <v>-17151.183321062013</v>
      </c>
      <c r="T32" s="45">
        <f t="shared" si="10"/>
        <v>-20046.784160362073</v>
      </c>
      <c r="U32" s="45">
        <f t="shared" si="10"/>
        <v>0</v>
      </c>
      <c r="V32" s="45">
        <f t="shared" si="10"/>
        <v>0</v>
      </c>
      <c r="W32" s="46">
        <f t="shared" si="9"/>
        <v>129788.37697283675</v>
      </c>
    </row>
    <row r="33" spans="1:23">
      <c r="A33" s="3"/>
      <c r="B33" s="3" t="s">
        <v>216</v>
      </c>
      <c r="C33" s="45">
        <f>-MAX(0,C32*Assumptions!$C$48)</f>
        <v>0</v>
      </c>
      <c r="D33" s="45">
        <f>-MAX(0,D32*Assumptions!$C$48)</f>
        <v>-1846.8223544776113</v>
      </c>
      <c r="E33" s="45">
        <f>-MAX(0,E32*Assumptions!$C$48)</f>
        <v>-5448.1683545429096</v>
      </c>
      <c r="F33" s="45">
        <f>-MAX(0,F32*Assumptions!$C$48)</f>
        <v>-9536.9576446549854</v>
      </c>
      <c r="G33" s="45">
        <f>-MAX(0,G32*Assumptions!$C$48)</f>
        <v>-9369.8652462268128</v>
      </c>
      <c r="H33" s="45">
        <f>-MAX(0,H32*Assumptions!$C$48)</f>
        <v>-9271.9909392751015</v>
      </c>
      <c r="I33" s="45">
        <f>-MAX(0,I32*Assumptions!$C$48)</f>
        <v>-2259.5569742073149</v>
      </c>
      <c r="J33" s="45">
        <f>-MAX(0,J32*Assumptions!$C$48)</f>
        <v>0</v>
      </c>
      <c r="K33" s="45">
        <f>-MAX(0,K32*Assumptions!$C$48)</f>
        <v>-1081.2123078690422</v>
      </c>
      <c r="L33" s="45">
        <f>-MAX(0,L32*Assumptions!$C$48)</f>
        <v>-2541.05193732219</v>
      </c>
      <c r="M33" s="45">
        <f>-MAX(0,M32*Assumptions!$C$48)</f>
        <v>-1390.6405172811219</v>
      </c>
      <c r="N33" s="45">
        <f>-MAX(0,N32*Assumptions!$C$48)</f>
        <v>-392.6589970271578</v>
      </c>
      <c r="O33" s="45">
        <f>-MAX(0,O32*Assumptions!$C$48)</f>
        <v>0</v>
      </c>
      <c r="P33" s="45">
        <f>-MAX(0,P32*Assumptions!$C$48)</f>
        <v>0</v>
      </c>
      <c r="Q33" s="45">
        <f>-MAX(0,Q32*Assumptions!$C$48)</f>
        <v>0</v>
      </c>
      <c r="R33" s="45">
        <f>-MAX(0,R32*Assumptions!$C$48)</f>
        <v>0</v>
      </c>
      <c r="S33" s="45">
        <f>-MAX(0,S32*Assumptions!$C$48)</f>
        <v>0</v>
      </c>
      <c r="T33" s="45">
        <f>-MAX(0,T32*Assumptions!$C$48)</f>
        <v>0</v>
      </c>
      <c r="U33" s="45">
        <f>-MAX(0,U32*Assumptions!$C$48)</f>
        <v>0</v>
      </c>
      <c r="V33" s="45">
        <f>-MAX(0,V32*Assumptions!$C$48)</f>
        <v>0</v>
      </c>
      <c r="W33" s="46">
        <f t="shared" si="9"/>
        <v>-43138.925272884248</v>
      </c>
    </row>
    <row r="34" spans="1:23">
      <c r="A34" s="3"/>
      <c r="B34" s="3" t="s">
        <v>217</v>
      </c>
      <c r="C34" s="45">
        <f t="shared" ref="C34:V34" si="11">SUM(C32:C33)</f>
        <v>0</v>
      </c>
      <c r="D34" s="45">
        <f t="shared" si="11"/>
        <v>6947.5698097014911</v>
      </c>
      <c r="E34" s="45">
        <f t="shared" si="11"/>
        <v>20495.490476613806</v>
      </c>
      <c r="F34" s="45">
        <f t="shared" si="11"/>
        <v>35877.126377511617</v>
      </c>
      <c r="G34" s="45">
        <f t="shared" si="11"/>
        <v>35248.540688186586</v>
      </c>
      <c r="H34" s="45">
        <f t="shared" si="11"/>
        <v>34880.346866796812</v>
      </c>
      <c r="I34" s="45">
        <f t="shared" si="11"/>
        <v>8500.2381410656144</v>
      </c>
      <c r="J34" s="45">
        <f t="shared" si="11"/>
        <v>-4443.3153134730019</v>
      </c>
      <c r="K34" s="45">
        <f t="shared" si="11"/>
        <v>4067.4177296025882</v>
      </c>
      <c r="L34" s="45">
        <f t="shared" si="11"/>
        <v>9559.1953832596664</v>
      </c>
      <c r="M34" s="45">
        <f t="shared" si="11"/>
        <v>5231.4571840575545</v>
      </c>
      <c r="N34" s="45">
        <f t="shared" si="11"/>
        <v>1477.1457507212128</v>
      </c>
      <c r="O34" s="45">
        <f t="shared" si="11"/>
        <v>-2658.8001295832764</v>
      </c>
      <c r="P34" s="45">
        <f t="shared" si="11"/>
        <v>-6785.8096037887153</v>
      </c>
      <c r="Q34" s="45">
        <f t="shared" si="11"/>
        <v>-10552.629331786615</v>
      </c>
      <c r="R34" s="45">
        <f t="shared" si="11"/>
        <v>-13996.554847508723</v>
      </c>
      <c r="S34" s="45">
        <f t="shared" si="11"/>
        <v>-17151.183321062013</v>
      </c>
      <c r="T34" s="45">
        <f t="shared" si="11"/>
        <v>-20046.784160362073</v>
      </c>
      <c r="U34" s="45">
        <f t="shared" si="11"/>
        <v>0</v>
      </c>
      <c r="V34" s="45">
        <f t="shared" si="11"/>
        <v>0</v>
      </c>
      <c r="W34" s="46">
        <f t="shared" si="9"/>
        <v>86649.451699952522</v>
      </c>
    </row>
    <row r="35" spans="1:23">
      <c r="A35" s="3"/>
      <c r="B35" s="3" t="s">
        <v>218</v>
      </c>
      <c r="C35" s="45">
        <f t="shared" ref="C35:V35" si="12">C31</f>
        <v>0</v>
      </c>
      <c r="D35" s="45">
        <f t="shared" si="12"/>
        <v>5597.0149253731352</v>
      </c>
      <c r="E35" s="45">
        <f t="shared" si="12"/>
        <v>17042.910447761195</v>
      </c>
      <c r="F35" s="45">
        <f t="shared" si="12"/>
        <v>30474.626865671646</v>
      </c>
      <c r="G35" s="45">
        <f t="shared" si="12"/>
        <v>30921.268656716424</v>
      </c>
      <c r="H35" s="45">
        <f t="shared" si="12"/>
        <v>31595.149253731346</v>
      </c>
      <c r="I35" s="45">
        <f t="shared" si="12"/>
        <v>32045.149253731346</v>
      </c>
      <c r="J35" s="45">
        <f t="shared" si="12"/>
        <v>46398.134328358203</v>
      </c>
      <c r="K35" s="45">
        <f t="shared" si="12"/>
        <v>35402.238805970148</v>
      </c>
      <c r="L35" s="45">
        <f t="shared" si="12"/>
        <v>22420.5223880597</v>
      </c>
      <c r="M35" s="45">
        <f t="shared" si="12"/>
        <v>22423.880597014922</v>
      </c>
      <c r="N35" s="45">
        <f t="shared" si="12"/>
        <v>22200</v>
      </c>
      <c r="O35" s="45">
        <f t="shared" si="12"/>
        <v>22200</v>
      </c>
      <c r="P35" s="45">
        <f t="shared" si="12"/>
        <v>22200</v>
      </c>
      <c r="Q35" s="45">
        <f t="shared" si="12"/>
        <v>22200</v>
      </c>
      <c r="R35" s="45">
        <f t="shared" si="12"/>
        <v>22200</v>
      </c>
      <c r="S35" s="45">
        <f t="shared" si="12"/>
        <v>22200</v>
      </c>
      <c r="T35" s="45">
        <f t="shared" si="12"/>
        <v>22200</v>
      </c>
      <c r="U35" s="45">
        <f t="shared" si="12"/>
        <v>0</v>
      </c>
      <c r="V35" s="45">
        <f t="shared" si="12"/>
        <v>0</v>
      </c>
      <c r="W35" s="46">
        <f t="shared" si="9"/>
        <v>429720.89552238805</v>
      </c>
    </row>
    <row r="36" spans="1:23">
      <c r="A36" s="3"/>
      <c r="B36" s="3" t="s">
        <v>219</v>
      </c>
      <c r="C36" s="45">
        <f>C14*Assumptions!$C$49</f>
        <v>0</v>
      </c>
      <c r="D36" s="45">
        <f>D14*Assumptions!$C$49</f>
        <v>340</v>
      </c>
      <c r="E36" s="45">
        <f>E14*Assumptions!$C$49</f>
        <v>1020</v>
      </c>
      <c r="F36" s="45">
        <f>F14*Assumptions!$C$49</f>
        <v>1808.8</v>
      </c>
      <c r="G36" s="45">
        <f>G14*Assumptions!$C$49</f>
        <v>1808.8</v>
      </c>
      <c r="H36" s="45">
        <f>H14*Assumptions!$C$49</f>
        <v>1822.4</v>
      </c>
      <c r="I36" s="45">
        <f>I14*Assumptions!$C$49</f>
        <v>1148.1120000000003</v>
      </c>
      <c r="J36" s="45">
        <f>J14*Assumptions!$C$49</f>
        <v>1144.0116</v>
      </c>
      <c r="K36" s="45">
        <f>K14*Assumptions!$C$49</f>
        <v>1129.2501600000001</v>
      </c>
      <c r="L36" s="45">
        <f>L14*Assumptions!$C$49</f>
        <v>1016.3251440000001</v>
      </c>
      <c r="M36" s="45">
        <f>M14*Assumptions!$C$49</f>
        <v>914.69262960000015</v>
      </c>
      <c r="N36" s="45">
        <f>N14*Assumptions!$C$49</f>
        <v>823.22336664000022</v>
      </c>
      <c r="O36" s="45">
        <f>O14*Assumptions!$C$49</f>
        <v>740.90102997600013</v>
      </c>
      <c r="P36" s="45">
        <f>P14*Assumptions!$C$49</f>
        <v>666.81092697840029</v>
      </c>
      <c r="Q36" s="45">
        <f>Q14*Assumptions!$C$49</f>
        <v>600.1298342805602</v>
      </c>
      <c r="R36" s="45">
        <f>R14*Assumptions!$C$49</f>
        <v>540.11685085250417</v>
      </c>
      <c r="S36" s="45">
        <f>S14*Assumptions!$C$49</f>
        <v>486.10516576725377</v>
      </c>
      <c r="T36" s="45">
        <f>T14*Assumptions!$C$49</f>
        <v>437.49464919052843</v>
      </c>
      <c r="U36" s="45">
        <f>U14*Assumptions!$C$49</f>
        <v>0</v>
      </c>
      <c r="V36" s="45">
        <f>V14*Assumptions!$C$49</f>
        <v>0</v>
      </c>
      <c r="W36" s="46">
        <f>INDEX(C36:V36,1,MATCH(Assumptions!$C$9,C3:V3,0))</f>
        <v>437.49464919052843</v>
      </c>
    </row>
    <row r="37" spans="1:23">
      <c r="A37" s="3"/>
      <c r="B37" s="3" t="s">
        <v>220</v>
      </c>
      <c r="C37" s="45">
        <f>-C36</f>
        <v>0</v>
      </c>
      <c r="D37" s="45">
        <f>IF(D$3&lt;=Assumptions!$C$9,-(D36-C36),0)</f>
        <v>-340</v>
      </c>
      <c r="E37" s="45">
        <f>IF(E$3&lt;=Assumptions!$C$9,-(E36-D36),0)</f>
        <v>-680</v>
      </c>
      <c r="F37" s="45">
        <f>IF(F$3&lt;=Assumptions!$C$9,-(F36-E36),0)</f>
        <v>-788.8</v>
      </c>
      <c r="G37" s="45">
        <f>IF(G$3&lt;=Assumptions!$C$9,-(G36-F36),0)</f>
        <v>0</v>
      </c>
      <c r="H37" s="45">
        <f>IF(H$3&lt;=Assumptions!$C$9,-(H36-G36),0)</f>
        <v>-13.600000000000136</v>
      </c>
      <c r="I37" s="45">
        <f>IF(I$3&lt;=Assumptions!$C$9,-(I36-H36),0)</f>
        <v>674.28799999999978</v>
      </c>
      <c r="J37" s="45">
        <f>IF(J$3&lt;=Assumptions!$C$9,-(J36-I36),0)</f>
        <v>4.1004000000002634</v>
      </c>
      <c r="K37" s="45">
        <f>IF(K$3&lt;=Assumptions!$C$9,-(K36-J36),0)</f>
        <v>14.761439999999993</v>
      </c>
      <c r="L37" s="45">
        <f>IF(L$3&lt;=Assumptions!$C$9,-(L36-K36),0)</f>
        <v>112.92501599999991</v>
      </c>
      <c r="M37" s="45">
        <f>IF(M$3&lt;=Assumptions!$C$9,-(M36-L36),0)</f>
        <v>101.63251439999999</v>
      </c>
      <c r="N37" s="45">
        <f>IF(N$3&lt;=Assumptions!$C$9,-(N36-M36),0)</f>
        <v>91.469262959999924</v>
      </c>
      <c r="O37" s="45">
        <f>IF(O$3&lt;=Assumptions!$C$9,-(O36-N36),0)</f>
        <v>82.32233666400009</v>
      </c>
      <c r="P37" s="45">
        <f>IF(P$3&lt;=Assumptions!$C$9,-(P36-O36),0)</f>
        <v>74.090102997599843</v>
      </c>
      <c r="Q37" s="45">
        <f>IF(Q$3&lt;=Assumptions!$C$9,-(Q36-P36),0)</f>
        <v>66.681092697840086</v>
      </c>
      <c r="R37" s="45">
        <f>IF(R$3&lt;=Assumptions!$C$9,-(R36-Q36),0)</f>
        <v>60.012983428056032</v>
      </c>
      <c r="S37" s="45">
        <f>IF(S$3&lt;=Assumptions!$C$9,-(S36-R36),0)</f>
        <v>54.011685085250406</v>
      </c>
      <c r="T37" s="45">
        <f>IF(T$3&lt;=Assumptions!$C$9,-(T36-S36),0)</f>
        <v>48.610516576725331</v>
      </c>
      <c r="U37" s="45">
        <f>IF(U$3&lt;=Assumptions!$C$9,-(U36-T36),0)</f>
        <v>0</v>
      </c>
      <c r="V37" s="45">
        <f>IF(V$3&lt;=Assumptions!$C$9,-(V36-U36),0)</f>
        <v>0</v>
      </c>
      <c r="W37" s="46">
        <f>SUM(C37:V37)</f>
        <v>-437.49464919052843</v>
      </c>
    </row>
    <row r="38" spans="1:23" ht="15">
      <c r="A38" s="3"/>
      <c r="B38" s="48" t="s">
        <v>221</v>
      </c>
      <c r="C38" s="49">
        <f t="shared" ref="C38:V38" si="13">SUM(C34:C35,C37)</f>
        <v>0</v>
      </c>
      <c r="D38" s="49">
        <f t="shared" si="13"/>
        <v>12204.584735074626</v>
      </c>
      <c r="E38" s="49">
        <f t="shared" si="13"/>
        <v>36858.400924375004</v>
      </c>
      <c r="F38" s="49">
        <f t="shared" si="13"/>
        <v>65562.953243183263</v>
      </c>
      <c r="G38" s="49">
        <f t="shared" si="13"/>
        <v>66169.809344903013</v>
      </c>
      <c r="H38" s="49">
        <f t="shared" si="13"/>
        <v>66461.896120528152</v>
      </c>
      <c r="I38" s="49">
        <f t="shared" si="13"/>
        <v>41219.675394796963</v>
      </c>
      <c r="J38" s="49">
        <f t="shared" si="13"/>
        <v>41958.919414885204</v>
      </c>
      <c r="K38" s="49">
        <f t="shared" si="13"/>
        <v>39484.417975572738</v>
      </c>
      <c r="L38" s="49">
        <f t="shared" si="13"/>
        <v>32092.642787319368</v>
      </c>
      <c r="M38" s="49">
        <f t="shared" si="13"/>
        <v>27756.970295472478</v>
      </c>
      <c r="N38" s="49">
        <f t="shared" si="13"/>
        <v>23768.615013681214</v>
      </c>
      <c r="O38" s="49">
        <f t="shared" si="13"/>
        <v>19623.522207080725</v>
      </c>
      <c r="P38" s="49">
        <f t="shared" si="13"/>
        <v>15488.280499208884</v>
      </c>
      <c r="Q38" s="49">
        <f t="shared" si="13"/>
        <v>11714.051760911225</v>
      </c>
      <c r="R38" s="49">
        <f t="shared" si="13"/>
        <v>8263.4581359193326</v>
      </c>
      <c r="S38" s="49">
        <f t="shared" si="13"/>
        <v>5102.8283640232366</v>
      </c>
      <c r="T38" s="49">
        <f t="shared" si="13"/>
        <v>2201.8263562146526</v>
      </c>
      <c r="U38" s="49">
        <f t="shared" si="13"/>
        <v>0</v>
      </c>
      <c r="V38" s="49">
        <f t="shared" si="13"/>
        <v>0</v>
      </c>
      <c r="W38" s="50">
        <f>SUM(C38:V38)</f>
        <v>515932.85257315019</v>
      </c>
    </row>
    <row r="39" spans="1:23">
      <c r="A39" s="3"/>
      <c r="B39" s="3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39"/>
    </row>
    <row r="40" spans="1:23" ht="20.100000000000001" customHeight="1">
      <c r="A40" s="56" t="s">
        <v>222</v>
      </c>
      <c r="B40" s="56" t="s">
        <v>222</v>
      </c>
      <c r="C40" s="67" t="s">
        <v>222</v>
      </c>
      <c r="D40" s="67" t="s">
        <v>222</v>
      </c>
      <c r="E40" s="67" t="s">
        <v>222</v>
      </c>
      <c r="F40" s="67" t="s">
        <v>222</v>
      </c>
      <c r="G40" s="67" t="s">
        <v>222</v>
      </c>
      <c r="H40" s="67" t="s">
        <v>222</v>
      </c>
      <c r="I40" s="67" t="s">
        <v>222</v>
      </c>
      <c r="J40" s="67" t="s">
        <v>222</v>
      </c>
      <c r="K40" s="67" t="s">
        <v>222</v>
      </c>
      <c r="L40" s="67" t="s">
        <v>222</v>
      </c>
      <c r="M40" s="67" t="s">
        <v>222</v>
      </c>
      <c r="N40" s="67" t="s">
        <v>222</v>
      </c>
      <c r="O40" s="67" t="s">
        <v>222</v>
      </c>
      <c r="P40" s="67" t="s">
        <v>222</v>
      </c>
      <c r="Q40" s="67" t="s">
        <v>222</v>
      </c>
      <c r="R40" s="67" t="s">
        <v>222</v>
      </c>
      <c r="S40" s="67" t="s">
        <v>222</v>
      </c>
      <c r="T40" s="67" t="s">
        <v>222</v>
      </c>
      <c r="U40" s="67" t="s">
        <v>222</v>
      </c>
      <c r="V40" s="67" t="s">
        <v>222</v>
      </c>
      <c r="W40" s="68" t="s">
        <v>222</v>
      </c>
    </row>
    <row r="41" spans="1:23">
      <c r="A41" s="3"/>
      <c r="B41" s="3" t="s">
        <v>223</v>
      </c>
      <c r="C41" s="45">
        <f>-MAX(0,D8-C8)*Assumptions!$C$16</f>
        <v>-33582.089552238809</v>
      </c>
      <c r="D41" s="45">
        <f>-MAX(0,E8-D8)*Assumptions!$C$16</f>
        <v>-67164.179104477604</v>
      </c>
      <c r="E41" s="45">
        <f>-MAX(0,F8-E8)*Assumptions!$C$16</f>
        <v>-77910.447761194053</v>
      </c>
      <c r="F41" s="45">
        <f>-MAX(0,G8-F8)*Assumptions!$C$16</f>
        <v>0</v>
      </c>
      <c r="G41" s="45">
        <f>-MAX(0,H8-G8)*Assumptions!$C$16</f>
        <v>-1343.2835820895407</v>
      </c>
      <c r="H41" s="45">
        <f>-MAX(0,I8-H8)*Assumptions!$C$16</f>
        <v>0</v>
      </c>
      <c r="I41" s="45">
        <f>-MAX(0,J8-I8)*Assumptions!$C$16</f>
        <v>0</v>
      </c>
      <c r="J41" s="45">
        <f>-MAX(0,K8-J8)*Assumptions!$C$16</f>
        <v>0</v>
      </c>
      <c r="K41" s="45">
        <f>-MAX(0,L8-K8)*Assumptions!$C$16</f>
        <v>0</v>
      </c>
      <c r="L41" s="45">
        <f>-MAX(0,M8-L8)*Assumptions!$C$16</f>
        <v>0</v>
      </c>
      <c r="M41" s="45">
        <f>-MAX(0,N8-M8)*Assumptions!$C$16</f>
        <v>0</v>
      </c>
      <c r="N41" s="45">
        <f>-MAX(0,O8-N8)*Assumptions!$C$16</f>
        <v>0</v>
      </c>
      <c r="O41" s="45">
        <f>-MAX(0,P8-O8)*Assumptions!$C$16</f>
        <v>0</v>
      </c>
      <c r="P41" s="45">
        <f>-MAX(0,Q8-P8)*Assumptions!$C$16</f>
        <v>0</v>
      </c>
      <c r="Q41" s="45">
        <f>-MAX(0,R8-Q8)*Assumptions!$C$16</f>
        <v>0</v>
      </c>
      <c r="R41" s="45">
        <f>-MAX(0,S8-R8)*Assumptions!$C$16</f>
        <v>0</v>
      </c>
      <c r="S41" s="45">
        <f>-MAX(0,T8-S8)*Assumptions!$C$16</f>
        <v>0</v>
      </c>
      <c r="T41" s="45">
        <f>-MAX(0,U8-T8)*Assumptions!$C$16</f>
        <v>0</v>
      </c>
      <c r="U41" s="45">
        <f>-MAX(0,V8-U8)*Assumptions!$C$16</f>
        <v>0</v>
      </c>
      <c r="V41" s="45">
        <f>0</f>
        <v>0</v>
      </c>
      <c r="W41" s="46">
        <f>SUM(C41:V41)</f>
        <v>-180000</v>
      </c>
    </row>
    <row r="42" spans="1:23" ht="15">
      <c r="A42" s="3"/>
      <c r="B42" s="48" t="s">
        <v>222</v>
      </c>
      <c r="C42" s="49">
        <f t="shared" ref="C42:V42" si="14">C41</f>
        <v>-33582.089552238809</v>
      </c>
      <c r="D42" s="49">
        <f t="shared" si="14"/>
        <v>-67164.179104477604</v>
      </c>
      <c r="E42" s="49">
        <f t="shared" si="14"/>
        <v>-77910.447761194053</v>
      </c>
      <c r="F42" s="49">
        <f t="shared" si="14"/>
        <v>0</v>
      </c>
      <c r="G42" s="49">
        <f t="shared" si="14"/>
        <v>-1343.2835820895407</v>
      </c>
      <c r="H42" s="49">
        <f t="shared" si="14"/>
        <v>0</v>
      </c>
      <c r="I42" s="49">
        <f t="shared" si="14"/>
        <v>0</v>
      </c>
      <c r="J42" s="49">
        <f t="shared" si="14"/>
        <v>0</v>
      </c>
      <c r="K42" s="49">
        <f t="shared" si="14"/>
        <v>0</v>
      </c>
      <c r="L42" s="49">
        <f t="shared" si="14"/>
        <v>0</v>
      </c>
      <c r="M42" s="49">
        <f t="shared" si="14"/>
        <v>0</v>
      </c>
      <c r="N42" s="49">
        <f t="shared" si="14"/>
        <v>0</v>
      </c>
      <c r="O42" s="49">
        <f t="shared" si="14"/>
        <v>0</v>
      </c>
      <c r="P42" s="49">
        <f t="shared" si="14"/>
        <v>0</v>
      </c>
      <c r="Q42" s="49">
        <f t="shared" si="14"/>
        <v>0</v>
      </c>
      <c r="R42" s="49">
        <f t="shared" si="14"/>
        <v>0</v>
      </c>
      <c r="S42" s="49">
        <f t="shared" si="14"/>
        <v>0</v>
      </c>
      <c r="T42" s="49">
        <f t="shared" si="14"/>
        <v>0</v>
      </c>
      <c r="U42" s="49">
        <f t="shared" si="14"/>
        <v>0</v>
      </c>
      <c r="V42" s="49">
        <f t="shared" si="14"/>
        <v>0</v>
      </c>
      <c r="W42" s="50">
        <f>SUM(C42:V42)</f>
        <v>-180000</v>
      </c>
    </row>
    <row r="43" spans="1:23">
      <c r="A43" s="3"/>
      <c r="B43" s="3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39"/>
    </row>
    <row r="44" spans="1:23" ht="20.100000000000001" customHeight="1">
      <c r="A44" s="56" t="s">
        <v>224</v>
      </c>
      <c r="B44" s="56" t="s">
        <v>224</v>
      </c>
      <c r="C44" s="67" t="s">
        <v>224</v>
      </c>
      <c r="D44" s="67" t="s">
        <v>224</v>
      </c>
      <c r="E44" s="67" t="s">
        <v>224</v>
      </c>
      <c r="F44" s="67" t="s">
        <v>224</v>
      </c>
      <c r="G44" s="67" t="s">
        <v>224</v>
      </c>
      <c r="H44" s="67" t="s">
        <v>224</v>
      </c>
      <c r="I44" s="67" t="s">
        <v>224</v>
      </c>
      <c r="J44" s="67" t="s">
        <v>224</v>
      </c>
      <c r="K44" s="67" t="s">
        <v>224</v>
      </c>
      <c r="L44" s="67" t="s">
        <v>224</v>
      </c>
      <c r="M44" s="67" t="s">
        <v>224</v>
      </c>
      <c r="N44" s="67" t="s">
        <v>224</v>
      </c>
      <c r="O44" s="67" t="s">
        <v>224</v>
      </c>
      <c r="P44" s="67" t="s">
        <v>224</v>
      </c>
      <c r="Q44" s="67" t="s">
        <v>224</v>
      </c>
      <c r="R44" s="67" t="s">
        <v>224</v>
      </c>
      <c r="S44" s="67" t="s">
        <v>224</v>
      </c>
      <c r="T44" s="67" t="s">
        <v>224</v>
      </c>
      <c r="U44" s="67" t="s">
        <v>224</v>
      </c>
      <c r="V44" s="67" t="s">
        <v>224</v>
      </c>
      <c r="W44" s="68" t="s">
        <v>224</v>
      </c>
    </row>
    <row r="45" spans="1:23">
      <c r="A45" s="3"/>
      <c r="B45" s="3" t="s">
        <v>225</v>
      </c>
      <c r="C45" s="45">
        <f>-SUM($C$41:C41)</f>
        <v>33582.089552238809</v>
      </c>
      <c r="D45" s="45">
        <f>-SUM($C$41:D41)</f>
        <v>100746.26865671642</v>
      </c>
      <c r="E45" s="45">
        <f>-SUM($C$41:E41)</f>
        <v>178656.71641791047</v>
      </c>
      <c r="F45" s="45">
        <f>-SUM($C$41:F41)</f>
        <v>178656.71641791047</v>
      </c>
      <c r="G45" s="45">
        <f>-SUM($C$41:G41)</f>
        <v>180000</v>
      </c>
      <c r="H45" s="45">
        <f>-SUM($C$41:H41)</f>
        <v>180000</v>
      </c>
      <c r="I45" s="45">
        <f>-SUM($C$41:I41)</f>
        <v>180000</v>
      </c>
      <c r="J45" s="45">
        <f>-SUM($C$41:J41)</f>
        <v>180000</v>
      </c>
      <c r="K45" s="45">
        <f>-SUM($C$41:K41)</f>
        <v>180000</v>
      </c>
      <c r="L45" s="45">
        <f>-SUM($C$41:L41)</f>
        <v>180000</v>
      </c>
      <c r="M45" s="45">
        <f>-SUM($C$41:M41)</f>
        <v>180000</v>
      </c>
      <c r="N45" s="45">
        <f>-SUM($C$41:N41)</f>
        <v>180000</v>
      </c>
      <c r="O45" s="45">
        <f>-SUM($C$41:O41)</f>
        <v>180000</v>
      </c>
      <c r="P45" s="45">
        <f>-SUM($C$41:P41)</f>
        <v>180000</v>
      </c>
      <c r="Q45" s="45">
        <f>-SUM($C$41:Q41)</f>
        <v>180000</v>
      </c>
      <c r="R45" s="45">
        <f>-SUM($C$41:R41)</f>
        <v>180000</v>
      </c>
      <c r="S45" s="45">
        <f>-SUM($C$41:S41)</f>
        <v>180000</v>
      </c>
      <c r="T45" s="45">
        <f>-SUM($C$41:T41)</f>
        <v>180000</v>
      </c>
      <c r="U45" s="45">
        <f>-SUM($C$41:U41)</f>
        <v>180000</v>
      </c>
      <c r="V45" s="45">
        <f>-SUM($C$41:V41)</f>
        <v>180000</v>
      </c>
      <c r="W45" s="46">
        <f>MAX(C45:V45)</f>
        <v>180000</v>
      </c>
    </row>
    <row r="46" spans="1:23">
      <c r="A46" s="3"/>
      <c r="B46" s="3" t="s">
        <v>226</v>
      </c>
      <c r="C46" s="45">
        <f>-C45*Assumptions!$C$19*C6</f>
        <v>0</v>
      </c>
      <c r="D46" s="45">
        <f>-D45*Assumptions!$C$19*D6</f>
        <v>-1511.1940298507463</v>
      </c>
      <c r="E46" s="45">
        <f>-E45*Assumptions!$C$19*E6</f>
        <v>-2679.8507462686571</v>
      </c>
      <c r="F46" s="45">
        <f>-F45*Assumptions!$C$19*F6</f>
        <v>-2679.8507462686571</v>
      </c>
      <c r="G46" s="45">
        <f>-G45*Assumptions!$C$19*G6</f>
        <v>-2700</v>
      </c>
      <c r="H46" s="45">
        <f>-H45*Assumptions!$C$19*H6</f>
        <v>-2700</v>
      </c>
      <c r="I46" s="45">
        <f>-I45*Assumptions!$C$19*I6</f>
        <v>-2700</v>
      </c>
      <c r="J46" s="45">
        <f>-J45*Assumptions!$C$19*J6</f>
        <v>-2700</v>
      </c>
      <c r="K46" s="45">
        <f>-K45*Assumptions!$C$19*K6</f>
        <v>-2700</v>
      </c>
      <c r="L46" s="45">
        <f>-L45*Assumptions!$C$19*L6</f>
        <v>-2700</v>
      </c>
      <c r="M46" s="45">
        <f>-M45*Assumptions!$C$19*M6</f>
        <v>-2700</v>
      </c>
      <c r="N46" s="45">
        <f>-N45*Assumptions!$C$19*N6</f>
        <v>-2700</v>
      </c>
      <c r="O46" s="45">
        <f>-O45*Assumptions!$C$19*O6</f>
        <v>-2700</v>
      </c>
      <c r="P46" s="45">
        <f>-P45*Assumptions!$C$19*P6</f>
        <v>-2700</v>
      </c>
      <c r="Q46" s="45">
        <f>-Q45*Assumptions!$C$19*Q6</f>
        <v>-2700</v>
      </c>
      <c r="R46" s="45">
        <f>-R45*Assumptions!$C$19*R6</f>
        <v>-2700</v>
      </c>
      <c r="S46" s="45">
        <f>-S45*Assumptions!$C$19*S6</f>
        <v>-2700</v>
      </c>
      <c r="T46" s="45">
        <f>-T45*Assumptions!$C$19*T6</f>
        <v>-2700</v>
      </c>
      <c r="U46" s="45">
        <f>-U45*Assumptions!$C$19*U6</f>
        <v>0</v>
      </c>
      <c r="V46" s="45">
        <f>-V45*Assumptions!$C$19*V6</f>
        <v>0</v>
      </c>
      <c r="W46" s="46">
        <f>SUM(C46:V46)</f>
        <v>-44670.895522388062</v>
      </c>
    </row>
    <row r="47" spans="1:23">
      <c r="A47" s="3"/>
      <c r="B47" s="3" t="s">
        <v>227</v>
      </c>
      <c r="C47" s="45">
        <f>IF(AND(C6=1,C$3&gt;Assumptions!$C$11,MOD(C$3-Assumptions!$C$7+1,Assumptions!$C$18)=0),-Assumptions!$C$17*Assumptions!$C$20,0)</f>
        <v>0</v>
      </c>
      <c r="D47" s="45">
        <f>IF(AND(D6=1,D$3&gt;Assumptions!$C$11,MOD(D$3-Assumptions!$C$7+1,Assumptions!$C$18)=0),-Assumptions!$C$17*Assumptions!$C$20,0)</f>
        <v>0</v>
      </c>
      <c r="E47" s="45">
        <f>IF(AND(E6=1,E$3&gt;Assumptions!$C$11,MOD(E$3-Assumptions!$C$7+1,Assumptions!$C$18)=0),-Assumptions!$C$17*Assumptions!$C$20,0)</f>
        <v>0</v>
      </c>
      <c r="F47" s="45">
        <f>IF(AND(F6=1,F$3&gt;Assumptions!$C$11,MOD(F$3-Assumptions!$C$7+1,Assumptions!$C$18)=0),-Assumptions!$C$17*Assumptions!$C$20,0)</f>
        <v>0</v>
      </c>
      <c r="G47" s="45">
        <f>IF(AND(G6=1,G$3&gt;Assumptions!$C$11,MOD(G$3-Assumptions!$C$7+1,Assumptions!$C$18)=0),-Assumptions!$C$17*Assumptions!$C$20,0)</f>
        <v>0</v>
      </c>
      <c r="H47" s="45">
        <f>IF(AND(H6=1,H$3&gt;Assumptions!$C$11,MOD(H$3-Assumptions!$C$7+1,Assumptions!$C$18)=0),-Assumptions!$C$17*Assumptions!$C$20,0)</f>
        <v>0</v>
      </c>
      <c r="I47" s="45">
        <f>IF(AND(I6=1,I$3&gt;Assumptions!$C$11,MOD(I$3-Assumptions!$C$7+1,Assumptions!$C$18)=0),-Assumptions!$C$17*Assumptions!$C$20,0)</f>
        <v>-117000</v>
      </c>
      <c r="J47" s="45">
        <f>IF(AND(J6=1,J$3&gt;Assumptions!$C$11,MOD(J$3-Assumptions!$C$7+1,Assumptions!$C$18)=0),-Assumptions!$C$17*Assumptions!$C$20,0)</f>
        <v>0</v>
      </c>
      <c r="K47" s="45">
        <f>IF(AND(K6=1,K$3&gt;Assumptions!$C$11,MOD(K$3-Assumptions!$C$7+1,Assumptions!$C$18)=0),-Assumptions!$C$17*Assumptions!$C$20,0)</f>
        <v>0</v>
      </c>
      <c r="L47" s="45">
        <f>IF(AND(L6=1,L$3&gt;Assumptions!$C$11,MOD(L$3-Assumptions!$C$7+1,Assumptions!$C$18)=0),-Assumptions!$C$17*Assumptions!$C$20,0)</f>
        <v>0</v>
      </c>
      <c r="M47" s="45">
        <f>IF(AND(M6=1,M$3&gt;Assumptions!$C$11,MOD(M$3-Assumptions!$C$7+1,Assumptions!$C$18)=0),-Assumptions!$C$17*Assumptions!$C$20,0)</f>
        <v>0</v>
      </c>
      <c r="N47" s="45">
        <f>IF(AND(N6=1,N$3&gt;Assumptions!$C$11,MOD(N$3-Assumptions!$C$7+1,Assumptions!$C$18)=0),-Assumptions!$C$17*Assumptions!$C$20,0)</f>
        <v>0</v>
      </c>
      <c r="O47" s="45">
        <f>IF(AND(O6=1,O$3&gt;Assumptions!$C$11,MOD(O$3-Assumptions!$C$7+1,Assumptions!$C$18)=0),-Assumptions!$C$17*Assumptions!$C$20,0)</f>
        <v>-117000</v>
      </c>
      <c r="P47" s="45">
        <f>IF(AND(P6=1,P$3&gt;Assumptions!$C$11,MOD(P$3-Assumptions!$C$7+1,Assumptions!$C$18)=0),-Assumptions!$C$17*Assumptions!$C$20,0)</f>
        <v>0</v>
      </c>
      <c r="Q47" s="45">
        <f>IF(AND(Q6=1,Q$3&gt;Assumptions!$C$11,MOD(Q$3-Assumptions!$C$7+1,Assumptions!$C$18)=0),-Assumptions!$C$17*Assumptions!$C$20,0)</f>
        <v>0</v>
      </c>
      <c r="R47" s="45">
        <f>IF(AND(R6=1,R$3&gt;Assumptions!$C$11,MOD(R$3-Assumptions!$C$7+1,Assumptions!$C$18)=0),-Assumptions!$C$17*Assumptions!$C$20,0)</f>
        <v>0</v>
      </c>
      <c r="S47" s="45">
        <f>IF(AND(S6=1,S$3&gt;Assumptions!$C$11,MOD(S$3-Assumptions!$C$7+1,Assumptions!$C$18)=0),-Assumptions!$C$17*Assumptions!$C$20,0)</f>
        <v>0</v>
      </c>
      <c r="T47" s="45">
        <f>IF(AND(T6=1,T$3&gt;Assumptions!$C$11,MOD(T$3-Assumptions!$C$7+1,Assumptions!$C$18)=0),-Assumptions!$C$17*Assumptions!$C$20,0)</f>
        <v>0</v>
      </c>
      <c r="U47" s="45">
        <f>IF(AND(U6=1,U$3&gt;Assumptions!$C$11,MOD(U$3-Assumptions!$C$7+1,Assumptions!$C$18)=0),-Assumptions!$C$17*Assumptions!$C$20,0)</f>
        <v>0</v>
      </c>
      <c r="V47" s="45">
        <f>IF(AND(V6=1,V$3&gt;Assumptions!$C$11,MOD(V$3-Assumptions!$C$7+1,Assumptions!$C$18)=0),-Assumptions!$C$17*Assumptions!$C$20,0)</f>
        <v>0</v>
      </c>
      <c r="W47" s="46">
        <f>SUM(C47:V47)</f>
        <v>-234000</v>
      </c>
    </row>
    <row r="48" spans="1:23" ht="15">
      <c r="A48" s="3"/>
      <c r="B48" s="48" t="s">
        <v>224</v>
      </c>
      <c r="C48" s="49">
        <f t="shared" ref="C48:V48" si="15">SUM(C38,C46:C47)</f>
        <v>0</v>
      </c>
      <c r="D48" s="49">
        <f t="shared" si="15"/>
        <v>10693.390705223879</v>
      </c>
      <c r="E48" s="49">
        <f t="shared" si="15"/>
        <v>34178.55017810635</v>
      </c>
      <c r="F48" s="49">
        <f t="shared" si="15"/>
        <v>62883.102496914609</v>
      </c>
      <c r="G48" s="49">
        <f t="shared" si="15"/>
        <v>63469.809344903013</v>
      </c>
      <c r="H48" s="49">
        <f t="shared" si="15"/>
        <v>63761.896120528152</v>
      </c>
      <c r="I48" s="49">
        <f t="shared" si="15"/>
        <v>-78480.32460520303</v>
      </c>
      <c r="J48" s="49">
        <f t="shared" si="15"/>
        <v>39258.919414885204</v>
      </c>
      <c r="K48" s="49">
        <f t="shared" si="15"/>
        <v>36784.417975572738</v>
      </c>
      <c r="L48" s="49">
        <f t="shared" si="15"/>
        <v>29392.642787319368</v>
      </c>
      <c r="M48" s="49">
        <f t="shared" si="15"/>
        <v>25056.970295472478</v>
      </c>
      <c r="N48" s="49">
        <f t="shared" si="15"/>
        <v>21068.615013681214</v>
      </c>
      <c r="O48" s="49">
        <f t="shared" si="15"/>
        <v>-100076.47779291928</v>
      </c>
      <c r="P48" s="49">
        <f t="shared" si="15"/>
        <v>12788.280499208884</v>
      </c>
      <c r="Q48" s="49">
        <f t="shared" si="15"/>
        <v>9014.0517609112248</v>
      </c>
      <c r="R48" s="49">
        <f t="shared" si="15"/>
        <v>5563.4581359193326</v>
      </c>
      <c r="S48" s="49">
        <f t="shared" si="15"/>
        <v>2402.8283640232366</v>
      </c>
      <c r="T48" s="49">
        <f t="shared" si="15"/>
        <v>-498.17364378534739</v>
      </c>
      <c r="U48" s="49">
        <f t="shared" si="15"/>
        <v>0</v>
      </c>
      <c r="V48" s="49">
        <f t="shared" si="15"/>
        <v>0</v>
      </c>
      <c r="W48" s="50">
        <f>SUM(C48:V48)</f>
        <v>237261.95705076208</v>
      </c>
    </row>
    <row r="49" spans="1:23">
      <c r="A49" s="3"/>
      <c r="B49" s="3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39"/>
    </row>
    <row r="50" spans="1:23" ht="20.100000000000001" customHeight="1">
      <c r="A50" s="56" t="s">
        <v>228</v>
      </c>
      <c r="B50" s="56" t="s">
        <v>228</v>
      </c>
      <c r="C50" s="67" t="s">
        <v>228</v>
      </c>
      <c r="D50" s="67" t="s">
        <v>228</v>
      </c>
      <c r="E50" s="67" t="s">
        <v>228</v>
      </c>
      <c r="F50" s="67" t="s">
        <v>228</v>
      </c>
      <c r="G50" s="67" t="s">
        <v>228</v>
      </c>
      <c r="H50" s="67" t="s">
        <v>228</v>
      </c>
      <c r="I50" s="67" t="s">
        <v>228</v>
      </c>
      <c r="J50" s="67" t="s">
        <v>228</v>
      </c>
      <c r="K50" s="67" t="s">
        <v>228</v>
      </c>
      <c r="L50" s="67" t="s">
        <v>228</v>
      </c>
      <c r="M50" s="67" t="s">
        <v>228</v>
      </c>
      <c r="N50" s="67" t="s">
        <v>228</v>
      </c>
      <c r="O50" s="67" t="s">
        <v>228</v>
      </c>
      <c r="P50" s="67" t="s">
        <v>228</v>
      </c>
      <c r="Q50" s="67" t="s">
        <v>228</v>
      </c>
      <c r="R50" s="67" t="s">
        <v>228</v>
      </c>
      <c r="S50" s="67" t="s">
        <v>228</v>
      </c>
      <c r="T50" s="67" t="s">
        <v>228</v>
      </c>
      <c r="U50" s="67" t="s">
        <v>228</v>
      </c>
      <c r="V50" s="67" t="s">
        <v>228</v>
      </c>
      <c r="W50" s="68" t="s">
        <v>228</v>
      </c>
    </row>
    <row r="51" spans="1:23">
      <c r="A51" s="3"/>
      <c r="B51" s="3" t="s">
        <v>229</v>
      </c>
      <c r="C51" s="45">
        <f>IF(C$3=Assumptions!$C$9,Assumptions!$C$17*Assumptions!$C$21,0)</f>
        <v>0</v>
      </c>
      <c r="D51" s="45">
        <f>IF(D$3=Assumptions!$C$9,Assumptions!$C$17*Assumptions!$C$21,0)</f>
        <v>0</v>
      </c>
      <c r="E51" s="45">
        <f>IF(E$3=Assumptions!$C$9,Assumptions!$C$17*Assumptions!$C$21,0)</f>
        <v>0</v>
      </c>
      <c r="F51" s="45">
        <f>IF(F$3=Assumptions!$C$9,Assumptions!$C$17*Assumptions!$C$21,0)</f>
        <v>0</v>
      </c>
      <c r="G51" s="45">
        <f>IF(G$3=Assumptions!$C$9,Assumptions!$C$17*Assumptions!$C$21,0)</f>
        <v>0</v>
      </c>
      <c r="H51" s="45">
        <f>IF(H$3=Assumptions!$C$9,Assumptions!$C$17*Assumptions!$C$21,0)</f>
        <v>0</v>
      </c>
      <c r="I51" s="45">
        <f>IF(I$3=Assumptions!$C$9,Assumptions!$C$17*Assumptions!$C$21,0)</f>
        <v>0</v>
      </c>
      <c r="J51" s="45">
        <f>IF(J$3=Assumptions!$C$9,Assumptions!$C$17*Assumptions!$C$21,0)</f>
        <v>0</v>
      </c>
      <c r="K51" s="45">
        <f>IF(K$3=Assumptions!$C$9,Assumptions!$C$17*Assumptions!$C$21,0)</f>
        <v>0</v>
      </c>
      <c r="L51" s="45">
        <f>IF(L$3=Assumptions!$C$9,Assumptions!$C$17*Assumptions!$C$21,0)</f>
        <v>0</v>
      </c>
      <c r="M51" s="45">
        <f>IF(M$3=Assumptions!$C$9,Assumptions!$C$17*Assumptions!$C$21,0)</f>
        <v>0</v>
      </c>
      <c r="N51" s="45">
        <f>IF(N$3=Assumptions!$C$9,Assumptions!$C$17*Assumptions!$C$21,0)</f>
        <v>0</v>
      </c>
      <c r="O51" s="45">
        <f>IF(O$3=Assumptions!$C$9,Assumptions!$C$17*Assumptions!$C$21,0)</f>
        <v>0</v>
      </c>
      <c r="P51" s="45">
        <f>IF(P$3=Assumptions!$C$9,Assumptions!$C$17*Assumptions!$C$21,0)</f>
        <v>0</v>
      </c>
      <c r="Q51" s="45">
        <f>IF(Q$3=Assumptions!$C$9,Assumptions!$C$17*Assumptions!$C$21,0)</f>
        <v>0</v>
      </c>
      <c r="R51" s="45">
        <f>IF(R$3=Assumptions!$C$9,Assumptions!$C$17*Assumptions!$C$21,0)</f>
        <v>0</v>
      </c>
      <c r="S51" s="45">
        <f>IF(S$3=Assumptions!$C$9,Assumptions!$C$17*Assumptions!$C$21,0)</f>
        <v>0</v>
      </c>
      <c r="T51" s="45">
        <f>IF(T$3=Assumptions!$C$9,Assumptions!$C$17*Assumptions!$C$21,0)</f>
        <v>9000</v>
      </c>
      <c r="U51" s="45">
        <f>IF(U$3=Assumptions!$C$9,Assumptions!$C$17*Assumptions!$C$21,0)</f>
        <v>0</v>
      </c>
      <c r="V51" s="45">
        <f>IF(V$3=Assumptions!$C$9,Assumptions!$C$17*Assumptions!$C$21,0)</f>
        <v>0</v>
      </c>
      <c r="W51" s="46">
        <f>SUM(C51:V51)</f>
        <v>9000</v>
      </c>
    </row>
    <row r="52" spans="1:23">
      <c r="A52" s="3"/>
      <c r="B52" s="3" t="s">
        <v>230</v>
      </c>
      <c r="C52" s="45">
        <f>IF(C$3=Assumptions!$C$9,C36*Assumptions!$C$51,0)</f>
        <v>0</v>
      </c>
      <c r="D52" s="45">
        <f>IF(D$3=Assumptions!$C$9,D36*Assumptions!$C$51,0)</f>
        <v>0</v>
      </c>
      <c r="E52" s="45">
        <f>IF(E$3=Assumptions!$C$9,E36*Assumptions!$C$51,0)</f>
        <v>0</v>
      </c>
      <c r="F52" s="45">
        <f>IF(F$3=Assumptions!$C$9,F36*Assumptions!$C$51,0)</f>
        <v>0</v>
      </c>
      <c r="G52" s="45">
        <f>IF(G$3=Assumptions!$C$9,G36*Assumptions!$C$51,0)</f>
        <v>0</v>
      </c>
      <c r="H52" s="45">
        <f>IF(H$3=Assumptions!$C$9,H36*Assumptions!$C$51,0)</f>
        <v>0</v>
      </c>
      <c r="I52" s="45">
        <f>IF(I$3=Assumptions!$C$9,I36*Assumptions!$C$51,0)</f>
        <v>0</v>
      </c>
      <c r="J52" s="45">
        <f>IF(J$3=Assumptions!$C$9,J36*Assumptions!$C$51,0)</f>
        <v>0</v>
      </c>
      <c r="K52" s="45">
        <f>IF(K$3=Assumptions!$C$9,K36*Assumptions!$C$51,0)</f>
        <v>0</v>
      </c>
      <c r="L52" s="45">
        <f>IF(L$3=Assumptions!$C$9,L36*Assumptions!$C$51,0)</f>
        <v>0</v>
      </c>
      <c r="M52" s="45">
        <f>IF(M$3=Assumptions!$C$9,M36*Assumptions!$C$51,0)</f>
        <v>0</v>
      </c>
      <c r="N52" s="45">
        <f>IF(N$3=Assumptions!$C$9,N36*Assumptions!$C$51,0)</f>
        <v>0</v>
      </c>
      <c r="O52" s="45">
        <f>IF(O$3=Assumptions!$C$9,O36*Assumptions!$C$51,0)</f>
        <v>0</v>
      </c>
      <c r="P52" s="45">
        <f>IF(P$3=Assumptions!$C$9,P36*Assumptions!$C$51,0)</f>
        <v>0</v>
      </c>
      <c r="Q52" s="45">
        <f>IF(Q$3=Assumptions!$C$9,Q36*Assumptions!$C$51,0)</f>
        <v>0</v>
      </c>
      <c r="R52" s="45">
        <f>IF(R$3=Assumptions!$C$9,R36*Assumptions!$C$51,0)</f>
        <v>0</v>
      </c>
      <c r="S52" s="45">
        <f>IF(S$3=Assumptions!$C$9,S36*Assumptions!$C$51,0)</f>
        <v>0</v>
      </c>
      <c r="T52" s="45">
        <f>IF(T$3=Assumptions!$C$9,T36*Assumptions!$C$51,0)</f>
        <v>437.49464919052843</v>
      </c>
      <c r="U52" s="45">
        <f>IF(U$3=Assumptions!$C$9,U36*Assumptions!$C$51,0)</f>
        <v>0</v>
      </c>
      <c r="V52" s="45">
        <f>IF(V$3=Assumptions!$C$9,V36*Assumptions!$C$51,0)</f>
        <v>0</v>
      </c>
      <c r="W52" s="46">
        <f>SUM(C52:V52)</f>
        <v>437.49464919052843</v>
      </c>
    </row>
    <row r="53" spans="1:23">
      <c r="A53" s="3"/>
      <c r="B53" s="3" t="s">
        <v>231</v>
      </c>
      <c r="C53" s="45">
        <f>IF(C$3=Assumptions!$C$9,-Assumptions!$C$17*Assumptions!$C$22,0)</f>
        <v>0</v>
      </c>
      <c r="D53" s="45">
        <f>IF(D$3=Assumptions!$C$9,-Assumptions!$C$17*Assumptions!$C$22,0)</f>
        <v>0</v>
      </c>
      <c r="E53" s="45">
        <f>IF(E$3=Assumptions!$C$9,-Assumptions!$C$17*Assumptions!$C$22,0)</f>
        <v>0</v>
      </c>
      <c r="F53" s="45">
        <f>IF(F$3=Assumptions!$C$9,-Assumptions!$C$17*Assumptions!$C$22,0)</f>
        <v>0</v>
      </c>
      <c r="G53" s="45">
        <f>IF(G$3=Assumptions!$C$9,-Assumptions!$C$17*Assumptions!$C$22,0)</f>
        <v>0</v>
      </c>
      <c r="H53" s="45">
        <f>IF(H$3=Assumptions!$C$9,-Assumptions!$C$17*Assumptions!$C$22,0)</f>
        <v>0</v>
      </c>
      <c r="I53" s="45">
        <f>IF(I$3=Assumptions!$C$9,-Assumptions!$C$17*Assumptions!$C$22,0)</f>
        <v>0</v>
      </c>
      <c r="J53" s="45">
        <f>IF(J$3=Assumptions!$C$9,-Assumptions!$C$17*Assumptions!$C$22,0)</f>
        <v>0</v>
      </c>
      <c r="K53" s="45">
        <f>IF(K$3=Assumptions!$C$9,-Assumptions!$C$17*Assumptions!$C$22,0)</f>
        <v>0</v>
      </c>
      <c r="L53" s="45">
        <f>IF(L$3=Assumptions!$C$9,-Assumptions!$C$17*Assumptions!$C$22,0)</f>
        <v>0</v>
      </c>
      <c r="M53" s="45">
        <f>IF(M$3=Assumptions!$C$9,-Assumptions!$C$17*Assumptions!$C$22,0)</f>
        <v>0</v>
      </c>
      <c r="N53" s="45">
        <f>IF(N$3=Assumptions!$C$9,-Assumptions!$C$17*Assumptions!$C$22,0)</f>
        <v>0</v>
      </c>
      <c r="O53" s="45">
        <f>IF(O$3=Assumptions!$C$9,-Assumptions!$C$17*Assumptions!$C$22,0)</f>
        <v>0</v>
      </c>
      <c r="P53" s="45">
        <f>IF(P$3=Assumptions!$C$9,-Assumptions!$C$17*Assumptions!$C$22,0)</f>
        <v>0</v>
      </c>
      <c r="Q53" s="45">
        <f>IF(Q$3=Assumptions!$C$9,-Assumptions!$C$17*Assumptions!$C$22,0)</f>
        <v>0</v>
      </c>
      <c r="R53" s="45">
        <f>IF(R$3=Assumptions!$C$9,-Assumptions!$C$17*Assumptions!$C$22,0)</f>
        <v>0</v>
      </c>
      <c r="S53" s="45">
        <f>IF(S$3=Assumptions!$C$9,-Assumptions!$C$17*Assumptions!$C$22,0)</f>
        <v>0</v>
      </c>
      <c r="T53" s="45">
        <f>IF(T$3=Assumptions!$C$9,-Assumptions!$C$17*Assumptions!$C$22,0)</f>
        <v>-1800</v>
      </c>
      <c r="U53" s="45">
        <f>IF(U$3=Assumptions!$C$9,-Assumptions!$C$17*Assumptions!$C$22,0)</f>
        <v>0</v>
      </c>
      <c r="V53" s="45">
        <f>IF(V$3=Assumptions!$C$9,-Assumptions!$C$17*Assumptions!$C$22,0)</f>
        <v>0</v>
      </c>
      <c r="W53" s="46">
        <f>SUM(C53:V53)</f>
        <v>-1800</v>
      </c>
    </row>
    <row r="54" spans="1:23" ht="15">
      <c r="A54" s="3"/>
      <c r="B54" s="48" t="s">
        <v>228</v>
      </c>
      <c r="C54" s="49">
        <f t="shared" ref="C54:V54" si="16">SUM(C51:C53)</f>
        <v>0</v>
      </c>
      <c r="D54" s="49">
        <f t="shared" si="16"/>
        <v>0</v>
      </c>
      <c r="E54" s="49">
        <f t="shared" si="16"/>
        <v>0</v>
      </c>
      <c r="F54" s="49">
        <f t="shared" si="16"/>
        <v>0</v>
      </c>
      <c r="G54" s="49">
        <f t="shared" si="16"/>
        <v>0</v>
      </c>
      <c r="H54" s="49">
        <f t="shared" si="16"/>
        <v>0</v>
      </c>
      <c r="I54" s="49">
        <f t="shared" si="16"/>
        <v>0</v>
      </c>
      <c r="J54" s="49">
        <f t="shared" si="16"/>
        <v>0</v>
      </c>
      <c r="K54" s="49">
        <f t="shared" si="16"/>
        <v>0</v>
      </c>
      <c r="L54" s="49">
        <f t="shared" si="16"/>
        <v>0</v>
      </c>
      <c r="M54" s="49">
        <f t="shared" si="16"/>
        <v>0</v>
      </c>
      <c r="N54" s="49">
        <f t="shared" si="16"/>
        <v>0</v>
      </c>
      <c r="O54" s="49">
        <f t="shared" si="16"/>
        <v>0</v>
      </c>
      <c r="P54" s="49">
        <f t="shared" si="16"/>
        <v>0</v>
      </c>
      <c r="Q54" s="49">
        <f t="shared" si="16"/>
        <v>0</v>
      </c>
      <c r="R54" s="49">
        <f t="shared" si="16"/>
        <v>0</v>
      </c>
      <c r="S54" s="49">
        <f t="shared" si="16"/>
        <v>0</v>
      </c>
      <c r="T54" s="49">
        <f t="shared" si="16"/>
        <v>7637.4946491905284</v>
      </c>
      <c r="U54" s="49">
        <f t="shared" si="16"/>
        <v>0</v>
      </c>
      <c r="V54" s="49">
        <f t="shared" si="16"/>
        <v>0</v>
      </c>
      <c r="W54" s="50">
        <f>SUM(C54:V54)</f>
        <v>7637.4946491905284</v>
      </c>
    </row>
    <row r="55" spans="1:23">
      <c r="A55" s="3"/>
      <c r="B55" s="3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39"/>
    </row>
    <row r="56" spans="1:23" ht="20.100000000000001" customHeight="1">
      <c r="A56" s="56" t="s">
        <v>232</v>
      </c>
      <c r="B56" s="56" t="s">
        <v>232</v>
      </c>
      <c r="C56" s="67" t="s">
        <v>232</v>
      </c>
      <c r="D56" s="67" t="s">
        <v>232</v>
      </c>
      <c r="E56" s="67" t="s">
        <v>232</v>
      </c>
      <c r="F56" s="67" t="s">
        <v>232</v>
      </c>
      <c r="G56" s="67" t="s">
        <v>232</v>
      </c>
      <c r="H56" s="67" t="s">
        <v>232</v>
      </c>
      <c r="I56" s="67" t="s">
        <v>232</v>
      </c>
      <c r="J56" s="67" t="s">
        <v>232</v>
      </c>
      <c r="K56" s="67" t="s">
        <v>232</v>
      </c>
      <c r="L56" s="67" t="s">
        <v>232</v>
      </c>
      <c r="M56" s="67" t="s">
        <v>232</v>
      </c>
      <c r="N56" s="67" t="s">
        <v>232</v>
      </c>
      <c r="O56" s="67" t="s">
        <v>232</v>
      </c>
      <c r="P56" s="67" t="s">
        <v>232</v>
      </c>
      <c r="Q56" s="67" t="s">
        <v>232</v>
      </c>
      <c r="R56" s="67" t="s">
        <v>232</v>
      </c>
      <c r="S56" s="67" t="s">
        <v>232</v>
      </c>
      <c r="T56" s="67" t="s">
        <v>232</v>
      </c>
      <c r="U56" s="67" t="s">
        <v>232</v>
      </c>
      <c r="V56" s="67" t="s">
        <v>232</v>
      </c>
      <c r="W56" s="68" t="s">
        <v>232</v>
      </c>
    </row>
    <row r="57" spans="1:23" ht="15">
      <c r="A57" s="3"/>
      <c r="B57" s="35" t="s">
        <v>184</v>
      </c>
      <c r="C57" s="51">
        <f t="shared" ref="C57:V57" si="17">SUM(C42,C48,C54)</f>
        <v>-33582.089552238809</v>
      </c>
      <c r="D57" s="51">
        <f t="shared" si="17"/>
        <v>-56470.788399253724</v>
      </c>
      <c r="E57" s="51">
        <f t="shared" si="17"/>
        <v>-43731.897583087703</v>
      </c>
      <c r="F57" s="51">
        <f t="shared" si="17"/>
        <v>62883.102496914609</v>
      </c>
      <c r="G57" s="51">
        <f t="shared" si="17"/>
        <v>62126.525762813471</v>
      </c>
      <c r="H57" s="51">
        <f t="shared" si="17"/>
        <v>63761.896120528152</v>
      </c>
      <c r="I57" s="51">
        <f t="shared" si="17"/>
        <v>-78480.32460520303</v>
      </c>
      <c r="J57" s="51">
        <f t="shared" si="17"/>
        <v>39258.919414885204</v>
      </c>
      <c r="K57" s="51">
        <f t="shared" si="17"/>
        <v>36784.417975572738</v>
      </c>
      <c r="L57" s="51">
        <f t="shared" si="17"/>
        <v>29392.642787319368</v>
      </c>
      <c r="M57" s="51">
        <f t="shared" si="17"/>
        <v>25056.970295472478</v>
      </c>
      <c r="N57" s="51">
        <f t="shared" si="17"/>
        <v>21068.615013681214</v>
      </c>
      <c r="O57" s="51">
        <f t="shared" si="17"/>
        <v>-100076.47779291928</v>
      </c>
      <c r="P57" s="51">
        <f t="shared" si="17"/>
        <v>12788.280499208884</v>
      </c>
      <c r="Q57" s="51">
        <f t="shared" si="17"/>
        <v>9014.0517609112248</v>
      </c>
      <c r="R57" s="51">
        <f t="shared" si="17"/>
        <v>5563.4581359193326</v>
      </c>
      <c r="S57" s="51">
        <f t="shared" si="17"/>
        <v>2402.8283640232366</v>
      </c>
      <c r="T57" s="51">
        <f t="shared" si="17"/>
        <v>7139.3210054051815</v>
      </c>
      <c r="U57" s="51">
        <f t="shared" si="17"/>
        <v>0</v>
      </c>
      <c r="V57" s="51">
        <f t="shared" si="17"/>
        <v>0</v>
      </c>
      <c r="W57" s="52">
        <f>SUM(C57:V57)</f>
        <v>64899.451699952544</v>
      </c>
    </row>
    <row r="58" spans="1:23">
      <c r="A58" s="3"/>
      <c r="B58" s="3" t="s">
        <v>233</v>
      </c>
      <c r="C58" s="43">
        <f>1/(1+Assumptions!$C$50)^C4</f>
        <v>1</v>
      </c>
      <c r="D58" s="43">
        <f>1/(1+Assumptions!$C$50)^D4</f>
        <v>0.89285714285714279</v>
      </c>
      <c r="E58" s="43">
        <f>1/(1+Assumptions!$C$50)^E4</f>
        <v>0.79719387755102034</v>
      </c>
      <c r="F58" s="43">
        <f>1/(1+Assumptions!$C$50)^F4</f>
        <v>0.71178024781341087</v>
      </c>
      <c r="G58" s="43">
        <f>1/(1+Assumptions!$C$50)^G4</f>
        <v>0.63551807840483121</v>
      </c>
      <c r="H58" s="43">
        <f>1/(1+Assumptions!$C$50)^H4</f>
        <v>0.56742685571859919</v>
      </c>
      <c r="I58" s="43">
        <f>1/(1+Assumptions!$C$50)^I4</f>
        <v>0.50663112117732068</v>
      </c>
      <c r="J58" s="43">
        <f>1/(1+Assumptions!$C$50)^J4</f>
        <v>0.45234921533689343</v>
      </c>
      <c r="K58" s="43">
        <f>1/(1+Assumptions!$C$50)^K4</f>
        <v>0.4038832279793691</v>
      </c>
      <c r="L58" s="43">
        <f>1/(1+Assumptions!$C$50)^L4</f>
        <v>0.36061002498157957</v>
      </c>
      <c r="M58" s="43">
        <f>1/(1+Assumptions!$C$50)^M4</f>
        <v>0.32197323659069599</v>
      </c>
      <c r="N58" s="43">
        <f>1/(1+Assumptions!$C$50)^N4</f>
        <v>0.28747610409883567</v>
      </c>
      <c r="O58" s="43">
        <f>1/(1+Assumptions!$C$50)^O4</f>
        <v>0.25667509294538904</v>
      </c>
      <c r="P58" s="43">
        <f>1/(1+Assumptions!$C$50)^P4</f>
        <v>0.22917419012981158</v>
      </c>
      <c r="Q58" s="43">
        <f>1/(1+Assumptions!$C$50)^Q4</f>
        <v>0.20461981261590317</v>
      </c>
      <c r="R58" s="43">
        <f>1/(1+Assumptions!$C$50)^R4</f>
        <v>0.18269626126419927</v>
      </c>
      <c r="S58" s="43">
        <f>1/(1+Assumptions!$C$50)^S4</f>
        <v>0.16312166184303503</v>
      </c>
      <c r="T58" s="43">
        <f>1/(1+Assumptions!$C$50)^T4</f>
        <v>0.14564434093128129</v>
      </c>
      <c r="U58" s="43">
        <f>1/(1+Assumptions!$C$50)^U4</f>
        <v>0.13003959011721541</v>
      </c>
      <c r="V58" s="43">
        <f>1/(1+Assumptions!$C$50)^V4</f>
        <v>0.1161067768903709</v>
      </c>
      <c r="W58" s="44">
        <f>0</f>
        <v>0</v>
      </c>
    </row>
    <row r="59" spans="1:23" ht="15">
      <c r="A59" s="3"/>
      <c r="B59" s="48" t="s">
        <v>234</v>
      </c>
      <c r="C59" s="49">
        <f t="shared" ref="C59:V59" si="18">C57*C58</f>
        <v>-33582.089552238809</v>
      </c>
      <c r="D59" s="49">
        <f t="shared" si="18"/>
        <v>-50420.346785047965</v>
      </c>
      <c r="E59" s="49">
        <f t="shared" si="18"/>
        <v>-34862.80100692578</v>
      </c>
      <c r="F59" s="49">
        <f t="shared" si="18"/>
        <v>44758.950278529999</v>
      </c>
      <c r="G59" s="49">
        <f t="shared" si="18"/>
        <v>39482.530270751457</v>
      </c>
      <c r="H59" s="49">
        <f t="shared" si="18"/>
        <v>36180.212230327234</v>
      </c>
      <c r="I59" s="49">
        <f t="shared" si="18"/>
        <v>-39760.574845094081</v>
      </c>
      <c r="J59" s="49">
        <f t="shared" si="18"/>
        <v>17758.741392297652</v>
      </c>
      <c r="K59" s="49">
        <f t="shared" si="18"/>
        <v>14856.609471316648</v>
      </c>
      <c r="L59" s="49">
        <f t="shared" si="18"/>
        <v>10599.281649809882</v>
      </c>
      <c r="M59" s="49">
        <f t="shared" si="18"/>
        <v>8067.6738251902016</v>
      </c>
      <c r="N59" s="49">
        <f t="shared" si="18"/>
        <v>6056.7233628913127</v>
      </c>
      <c r="O59" s="49">
        <f t="shared" si="18"/>
        <v>-25687.139239144719</v>
      </c>
      <c r="P59" s="49">
        <f t="shared" si="18"/>
        <v>2930.7438265590586</v>
      </c>
      <c r="Q59" s="49">
        <f t="shared" si="18"/>
        <v>1844.4535822277069</v>
      </c>
      <c r="R59" s="49">
        <f t="shared" si="18"/>
        <v>1016.4230011323534</v>
      </c>
      <c r="S59" s="49">
        <f t="shared" si="18"/>
        <v>391.95335586305151</v>
      </c>
      <c r="T59" s="49">
        <f t="shared" si="18"/>
        <v>1039.8017025290901</v>
      </c>
      <c r="U59" s="49">
        <f t="shared" si="18"/>
        <v>0</v>
      </c>
      <c r="V59" s="49">
        <f t="shared" si="18"/>
        <v>0</v>
      </c>
      <c r="W59" s="50">
        <f>SUM(C59:V59)</f>
        <v>671.14652097427847</v>
      </c>
    </row>
    <row r="60" spans="1:23" ht="15">
      <c r="A60" s="3"/>
      <c r="B60" s="48" t="s">
        <v>235</v>
      </c>
      <c r="C60" s="49">
        <f>C57</f>
        <v>-33582.089552238809</v>
      </c>
      <c r="D60" s="49">
        <f t="shared" ref="D60:V60" si="19">C60+D57</f>
        <v>-90052.877951492526</v>
      </c>
      <c r="E60" s="49">
        <f t="shared" si="19"/>
        <v>-133784.77553458023</v>
      </c>
      <c r="F60" s="49">
        <f t="shared" si="19"/>
        <v>-70901.67303766562</v>
      </c>
      <c r="G60" s="49">
        <f t="shared" si="19"/>
        <v>-8775.1472748521483</v>
      </c>
      <c r="H60" s="49">
        <f t="shared" si="19"/>
        <v>54986.748845676004</v>
      </c>
      <c r="I60" s="49">
        <f t="shared" si="19"/>
        <v>-23493.575759527026</v>
      </c>
      <c r="J60" s="49">
        <f t="shared" si="19"/>
        <v>15765.343655358178</v>
      </c>
      <c r="K60" s="49">
        <f t="shared" si="19"/>
        <v>52549.761630930916</v>
      </c>
      <c r="L60" s="49">
        <f t="shared" si="19"/>
        <v>81942.404418250284</v>
      </c>
      <c r="M60" s="49">
        <f t="shared" si="19"/>
        <v>106999.37471372276</v>
      </c>
      <c r="N60" s="49">
        <f t="shared" si="19"/>
        <v>128067.98972740397</v>
      </c>
      <c r="O60" s="49">
        <f t="shared" si="19"/>
        <v>27991.51193448469</v>
      </c>
      <c r="P60" s="49">
        <f t="shared" si="19"/>
        <v>40779.792433693576</v>
      </c>
      <c r="Q60" s="49">
        <f t="shared" si="19"/>
        <v>49793.844194604797</v>
      </c>
      <c r="R60" s="49">
        <f t="shared" si="19"/>
        <v>55357.30233052413</v>
      </c>
      <c r="S60" s="49">
        <f t="shared" si="19"/>
        <v>57760.130694547363</v>
      </c>
      <c r="T60" s="49">
        <f t="shared" si="19"/>
        <v>64899.451699952544</v>
      </c>
      <c r="U60" s="49">
        <f t="shared" si="19"/>
        <v>64899.451699952544</v>
      </c>
      <c r="V60" s="49">
        <f t="shared" si="19"/>
        <v>64899.451699952544</v>
      </c>
      <c r="W60" s="50">
        <f>V60</f>
        <v>64899.451699952544</v>
      </c>
    </row>
    <row r="61" spans="1:23" ht="15">
      <c r="A61" s="3"/>
      <c r="B61" s="48" t="s">
        <v>236</v>
      </c>
      <c r="C61" s="49">
        <f>C59</f>
        <v>-33582.089552238809</v>
      </c>
      <c r="D61" s="49">
        <f t="shared" ref="D61:V61" si="20">C61+D59</f>
        <v>-84002.436337286781</v>
      </c>
      <c r="E61" s="49">
        <f t="shared" si="20"/>
        <v>-118865.23734421257</v>
      </c>
      <c r="F61" s="49">
        <f t="shared" si="20"/>
        <v>-74106.287065682569</v>
      </c>
      <c r="G61" s="49">
        <f t="shared" si="20"/>
        <v>-34623.756794931112</v>
      </c>
      <c r="H61" s="49">
        <f t="shared" si="20"/>
        <v>1556.4554353961212</v>
      </c>
      <c r="I61" s="49">
        <f t="shared" si="20"/>
        <v>-38204.11940969796</v>
      </c>
      <c r="J61" s="49">
        <f t="shared" si="20"/>
        <v>-20445.378017400308</v>
      </c>
      <c r="K61" s="49">
        <f t="shared" si="20"/>
        <v>-5588.7685460836601</v>
      </c>
      <c r="L61" s="49">
        <f t="shared" si="20"/>
        <v>5010.5131037262217</v>
      </c>
      <c r="M61" s="49">
        <f t="shared" si="20"/>
        <v>13078.186928916424</v>
      </c>
      <c r="N61" s="49">
        <f t="shared" si="20"/>
        <v>19134.910291807737</v>
      </c>
      <c r="O61" s="49">
        <f t="shared" si="20"/>
        <v>-6552.2289473369819</v>
      </c>
      <c r="P61" s="49">
        <f t="shared" si="20"/>
        <v>-3621.4851207779234</v>
      </c>
      <c r="Q61" s="49">
        <f t="shared" si="20"/>
        <v>-1777.0315385502165</v>
      </c>
      <c r="R61" s="49">
        <f t="shared" si="20"/>
        <v>-760.60853741786309</v>
      </c>
      <c r="S61" s="49">
        <f t="shared" si="20"/>
        <v>-368.65518155481158</v>
      </c>
      <c r="T61" s="49">
        <f t="shared" si="20"/>
        <v>671.14652097427847</v>
      </c>
      <c r="U61" s="49">
        <f t="shared" si="20"/>
        <v>671.14652097427847</v>
      </c>
      <c r="V61" s="49">
        <f t="shared" si="20"/>
        <v>671.14652097427847</v>
      </c>
      <c r="W61" s="50">
        <f>V61</f>
        <v>671.14652097427847</v>
      </c>
    </row>
    <row r="62" spans="1:23">
      <c r="A62" s="3"/>
      <c r="B62" s="3" t="s">
        <v>237</v>
      </c>
      <c r="C62" s="38">
        <f>IF(AND(C60&gt;=0,MIN(C60:$V60)&gt;=0),1,0)</f>
        <v>0</v>
      </c>
      <c r="D62" s="38">
        <f>IF(AND(D60&gt;=0,C60&lt;0,MIN(D60:$V60)&gt;=0),1,0)</f>
        <v>0</v>
      </c>
      <c r="E62" s="38">
        <f>IF(AND(E60&gt;=0,D60&lt;0,MIN(E60:$V60)&gt;=0),1,0)</f>
        <v>0</v>
      </c>
      <c r="F62" s="38">
        <f>IF(AND(F60&gt;=0,E60&lt;0,MIN(F60:$V60)&gt;=0),1,0)</f>
        <v>0</v>
      </c>
      <c r="G62" s="38">
        <f>IF(AND(G60&gt;=0,F60&lt;0,MIN(G60:$V60)&gt;=0),1,0)</f>
        <v>0</v>
      </c>
      <c r="H62" s="38">
        <f>IF(AND(H60&gt;=0,G60&lt;0,MIN(H60:$V60)&gt;=0),1,0)</f>
        <v>0</v>
      </c>
      <c r="I62" s="38">
        <f>IF(AND(I60&gt;=0,H60&lt;0,MIN(I60:$V60)&gt;=0),1,0)</f>
        <v>0</v>
      </c>
      <c r="J62" s="38">
        <f>IF(AND(J60&gt;=0,I60&lt;0,MIN(J60:$V60)&gt;=0),1,0)</f>
        <v>1</v>
      </c>
      <c r="K62" s="38">
        <f>IF(AND(K60&gt;=0,J60&lt;0,MIN(K60:$V60)&gt;=0),1,0)</f>
        <v>0</v>
      </c>
      <c r="L62" s="38">
        <f>IF(AND(L60&gt;=0,K60&lt;0,MIN(L60:$V60)&gt;=0),1,0)</f>
        <v>0</v>
      </c>
      <c r="M62" s="38">
        <f>IF(AND(M60&gt;=0,L60&lt;0,MIN(M60:$V60)&gt;=0),1,0)</f>
        <v>0</v>
      </c>
      <c r="N62" s="38">
        <f>IF(AND(N60&gt;=0,M60&lt;0,MIN(N60:$V60)&gt;=0),1,0)</f>
        <v>0</v>
      </c>
      <c r="O62" s="38">
        <f>IF(AND(O60&gt;=0,N60&lt;0,MIN(O60:$V60)&gt;=0),1,0)</f>
        <v>0</v>
      </c>
      <c r="P62" s="38">
        <f>IF(AND(P60&gt;=0,O60&lt;0,MIN(P60:$V60)&gt;=0),1,0)</f>
        <v>0</v>
      </c>
      <c r="Q62" s="38">
        <f>IF(AND(Q60&gt;=0,P60&lt;0,MIN(Q60:$V60)&gt;=0),1,0)</f>
        <v>0</v>
      </c>
      <c r="R62" s="38">
        <f>IF(AND(R60&gt;=0,Q60&lt;0,MIN(R60:$V60)&gt;=0),1,0)</f>
        <v>0</v>
      </c>
      <c r="S62" s="38">
        <f>IF(AND(S60&gt;=0,R60&lt;0,MIN(S60:$V60)&gt;=0),1,0)</f>
        <v>0</v>
      </c>
      <c r="T62" s="38">
        <f>IF(AND(T60&gt;=0,S60&lt;0,MIN(T60:$V60)&gt;=0),1,0)</f>
        <v>0</v>
      </c>
      <c r="U62" s="38">
        <f>IF(AND(U60&gt;=0,T60&lt;0,MIN(U60:$V60)&gt;=0),1,0)</f>
        <v>0</v>
      </c>
      <c r="V62" s="38">
        <f>IF(AND(V60&gt;=0,U60&lt;0,MIN(V60:$V60)&gt;=0),1,0)</f>
        <v>0</v>
      </c>
      <c r="W62" s="53">
        <f>SUM(C62:V62)</f>
        <v>1</v>
      </c>
    </row>
    <row r="63" spans="1:23">
      <c r="A63" s="3"/>
      <c r="B63" s="3" t="s">
        <v>238</v>
      </c>
      <c r="C63" s="38">
        <f>IF(AND(C61&gt;=0,MIN(C61:$V61)&gt;=0),1,0)</f>
        <v>0</v>
      </c>
      <c r="D63" s="38">
        <f>IF(AND(D61&gt;=0,C61&lt;0,MIN(D61:$V61)&gt;=0),1,0)</f>
        <v>0</v>
      </c>
      <c r="E63" s="38">
        <f>IF(AND(E61&gt;=0,D61&lt;0,MIN(E61:$V61)&gt;=0),1,0)</f>
        <v>0</v>
      </c>
      <c r="F63" s="38">
        <f>IF(AND(F61&gt;=0,E61&lt;0,MIN(F61:$V61)&gt;=0),1,0)</f>
        <v>0</v>
      </c>
      <c r="G63" s="38">
        <f>IF(AND(G61&gt;=0,F61&lt;0,MIN(G61:$V61)&gt;=0),1,0)</f>
        <v>0</v>
      </c>
      <c r="H63" s="38">
        <f>IF(AND(H61&gt;=0,G61&lt;0,MIN(H61:$V61)&gt;=0),1,0)</f>
        <v>0</v>
      </c>
      <c r="I63" s="38">
        <f>IF(AND(I61&gt;=0,H61&lt;0,MIN(I61:$V61)&gt;=0),1,0)</f>
        <v>0</v>
      </c>
      <c r="J63" s="38">
        <f>IF(AND(J61&gt;=0,I61&lt;0,MIN(J61:$V61)&gt;=0),1,0)</f>
        <v>0</v>
      </c>
      <c r="K63" s="38">
        <f>IF(AND(K61&gt;=0,J61&lt;0,MIN(K61:$V61)&gt;=0),1,0)</f>
        <v>0</v>
      </c>
      <c r="L63" s="38">
        <f>IF(AND(L61&gt;=0,K61&lt;0,MIN(L61:$V61)&gt;=0),1,0)</f>
        <v>0</v>
      </c>
      <c r="M63" s="38">
        <f>IF(AND(M61&gt;=0,L61&lt;0,MIN(M61:$V61)&gt;=0),1,0)</f>
        <v>0</v>
      </c>
      <c r="N63" s="38">
        <f>IF(AND(N61&gt;=0,M61&lt;0,MIN(N61:$V61)&gt;=0),1,0)</f>
        <v>0</v>
      </c>
      <c r="O63" s="38">
        <f>IF(AND(O61&gt;=0,N61&lt;0,MIN(O61:$V61)&gt;=0),1,0)</f>
        <v>0</v>
      </c>
      <c r="P63" s="38">
        <f>IF(AND(P61&gt;=0,O61&lt;0,MIN(P61:$V61)&gt;=0),1,0)</f>
        <v>0</v>
      </c>
      <c r="Q63" s="38">
        <f>IF(AND(Q61&gt;=0,P61&lt;0,MIN(Q61:$V61)&gt;=0),1,0)</f>
        <v>0</v>
      </c>
      <c r="R63" s="38">
        <f>IF(AND(R61&gt;=0,Q61&lt;0,MIN(R61:$V61)&gt;=0),1,0)</f>
        <v>0</v>
      </c>
      <c r="S63" s="38">
        <f>IF(AND(S61&gt;=0,R61&lt;0,MIN(S61:$V61)&gt;=0),1,0)</f>
        <v>0</v>
      </c>
      <c r="T63" s="38">
        <f>IF(AND(T61&gt;=0,S61&lt;0,MIN(T61:$V61)&gt;=0),1,0)</f>
        <v>1</v>
      </c>
      <c r="U63" s="38">
        <f>IF(AND(U61&gt;=0,T61&lt;0,MIN(U61:$V61)&gt;=0),1,0)</f>
        <v>0</v>
      </c>
      <c r="V63" s="38">
        <f>IF(AND(V61&gt;=0,U61&lt;0,MIN(V61:$V61)&gt;=0),1,0)</f>
        <v>0</v>
      </c>
      <c r="W63" s="53">
        <f>SUM(C63:V63)</f>
        <v>1</v>
      </c>
    </row>
  </sheetData>
  <mergeCells count="7">
    <mergeCell ref="A44:W44"/>
    <mergeCell ref="A50:W50"/>
    <mergeCell ref="A56:W56"/>
    <mergeCell ref="A1:W1"/>
    <mergeCell ref="A17:W17"/>
    <mergeCell ref="A29:W29"/>
    <mergeCell ref="A40:W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FCFF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2026-07-21T14:07:32Z</dcterms:modified>
</cp:coreProperties>
</file>