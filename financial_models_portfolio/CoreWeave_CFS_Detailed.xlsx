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36D4D612-8805-4884-AEFB-A453A2FD1390}" xr6:coauthVersionLast="47" xr6:coauthVersionMax="47" xr10:uidLastSave="{00000000-0000-0000-0000-000000000000}"/>
  <bookViews>
    <workbookView xWindow="1380" yWindow="0" windowWidth="27225" windowHeight="15585" xr2:uid="{00000000-000D-0000-FFFF-FFFF00000000}"/>
  </bookViews>
  <sheets>
    <sheet name="Cash Flow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D65" i="1"/>
  <c r="E65" i="1"/>
  <c r="B65" i="1"/>
  <c r="C10" i="1"/>
  <c r="D10" i="1"/>
  <c r="D11" i="1" s="1"/>
  <c r="E10" i="1"/>
  <c r="E11" i="1" s="1"/>
  <c r="B10" i="1"/>
  <c r="D8" i="1"/>
  <c r="E8" i="1"/>
  <c r="C8" i="1"/>
  <c r="C57" i="1"/>
  <c r="D57" i="1"/>
  <c r="E57" i="1"/>
  <c r="B57" i="1"/>
  <c r="C32" i="1"/>
  <c r="C62" i="1" s="1"/>
  <c r="C63" i="1" s="1"/>
  <c r="D32" i="1"/>
  <c r="D62" i="1" s="1"/>
  <c r="D63" i="1" s="1"/>
  <c r="E32" i="1"/>
  <c r="E62" i="1" s="1"/>
  <c r="E63" i="1" s="1"/>
  <c r="B32" i="1"/>
  <c r="B62" i="1" s="1"/>
  <c r="B63" i="1" s="1"/>
  <c r="C43" i="1"/>
  <c r="D43" i="1"/>
  <c r="E43" i="1"/>
  <c r="B43" i="1"/>
  <c r="C11" i="1" l="1"/>
  <c r="C60" i="1"/>
  <c r="D60" i="1"/>
  <c r="E60" i="1"/>
  <c r="B60" i="1"/>
</calcChain>
</file>

<file path=xl/sharedStrings.xml><?xml version="1.0" encoding="utf-8"?>
<sst xmlns="http://schemas.openxmlformats.org/spreadsheetml/2006/main" count="63" uniqueCount="62">
  <si>
    <t>Cash Flow Statement ($mm)</t>
  </si>
  <si>
    <t>Fiscal Year</t>
  </si>
  <si>
    <t>FY 2022</t>
  </si>
  <si>
    <t>FY 2023</t>
  </si>
  <si>
    <t>FY 2024</t>
  </si>
  <si>
    <t>FY 2025</t>
  </si>
  <si>
    <t>Period Ending</t>
  </si>
  <si>
    <t>Dec 31, 2022</t>
  </si>
  <si>
    <t>Dec 31, 2023</t>
  </si>
  <si>
    <t>Dec 31, 2024</t>
  </si>
  <si>
    <t>Dec 31, 2025</t>
  </si>
  <si>
    <t>Cash Flows from Operating Activities</t>
  </si>
  <si>
    <t>Net Income</t>
  </si>
  <si>
    <t>Depreciation &amp; Amortization</t>
  </si>
  <si>
    <t>Non-Cash Lease Expense</t>
  </si>
  <si>
    <t>Amortization of Debt Discounts &amp; Issuance Costs</t>
  </si>
  <si>
    <t>Gain (Loss) on Fair Value Adjustments</t>
  </si>
  <si>
    <t>Stock-Based Compensation</t>
  </si>
  <si>
    <t>Debt Extinguishment (Gain) Loss</t>
  </si>
  <si>
    <t>Deferred Income Taxes</t>
  </si>
  <si>
    <t>Other Non-Cash Reconciling Items</t>
  </si>
  <si>
    <t>Change in Accounts Receivable</t>
  </si>
  <si>
    <t>Change in Prepaid Expenses &amp; Other Assets</t>
  </si>
  <si>
    <t xml:space="preserve">   Prepaid Expenses &amp; Other Current Assets</t>
  </si>
  <si>
    <t>Change in Accounts Payable &amp; Accrued Expenses</t>
  </si>
  <si>
    <t>Change in Deferred Revenue</t>
  </si>
  <si>
    <t>Change in Lease Liabilities</t>
  </si>
  <si>
    <t xml:space="preserve">   Other Non-Current Assets</t>
  </si>
  <si>
    <t>Change in Other Liabilities</t>
  </si>
  <si>
    <t xml:space="preserve">   Net Cash from Operating Activities (Discontinued)</t>
  </si>
  <si>
    <t>Net Cash from Operating Activities</t>
  </si>
  <si>
    <t>Cash Flows from Investing Activities</t>
  </si>
  <si>
    <t>Purchase of Property &amp; Equipment</t>
  </si>
  <si>
    <t>Purchases of Marketable Securities</t>
  </si>
  <si>
    <t>Maturities &amp; Sales of Marketable Securities</t>
  </si>
  <si>
    <t xml:space="preserve">   Sale of Available-for-Sale Marketable Securities</t>
  </si>
  <si>
    <t>Sales of Warrants Received as Lease Incentive</t>
  </si>
  <si>
    <t>Business Combinations, Net of Cash Acquired</t>
  </si>
  <si>
    <t>Issuance of Notes Receivable</t>
  </si>
  <si>
    <t>Other Investing Activities</t>
  </si>
  <si>
    <t>Net Cash from Investing Activities</t>
  </si>
  <si>
    <t>Cash Flows from Financing Activities</t>
  </si>
  <si>
    <t>Proceeds from Issuance of Debt, Net</t>
  </si>
  <si>
    <t>Repayments of Debt</t>
  </si>
  <si>
    <t>Purchase of Capped Calls (Convertible Notes)</t>
  </si>
  <si>
    <t xml:space="preserve">   Payment of Debt Issuance Costs</t>
  </si>
  <si>
    <t>Issuance of Redeemable Convertible Preferred Stock</t>
  </si>
  <si>
    <t>Redeemable Convertible Preferred Dividends Paid</t>
  </si>
  <si>
    <t>Proceeds from Exercise of Stock Options</t>
  </si>
  <si>
    <t>Proceeds from IPO, Net of Underwriting Discounts</t>
  </si>
  <si>
    <t>Proceeds from Issuance of Common Stock</t>
  </si>
  <si>
    <t>Tax Withholdings on RSU Settlement</t>
  </si>
  <si>
    <t>Other Financing Activities</t>
  </si>
  <si>
    <t>Net Cash from Financing Activities</t>
  </si>
  <si>
    <t>Cash Summary</t>
  </si>
  <si>
    <t>Net Increase in Cash &amp; Equivalents</t>
  </si>
  <si>
    <t>Sales</t>
  </si>
  <si>
    <t>Growth %</t>
  </si>
  <si>
    <t>Cash Sales</t>
  </si>
  <si>
    <t>FCF (less SBC)</t>
  </si>
  <si>
    <t>FCF / Cash Sales</t>
  </si>
  <si>
    <t>Net Debt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</si>
</sst>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;\(\$#,##0\);&quot;-&quot;"/>
    <numFmt numFmtId="166" formatCode="_(* #,##0_);_(* \(#,##0\);_(* &quot;-&quot;??_);_(@_)"/>
    <numFmt numFmtId="171" formatCode="0.0%"/>
  </numFmts>
  <fonts count="12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3" borderId="0" xfId="0" applyFont="1" applyFill="1"/>
    <xf numFmtId="0" fontId="0" fillId="3" borderId="0" xfId="0" applyFill="1"/>
    <xf numFmtId="0" fontId="5" fillId="0" borderId="0" xfId="0" applyFont="1"/>
    <xf numFmtId="0" fontId="7" fillId="0" borderId="0" xfId="0" applyFont="1"/>
    <xf numFmtId="164" fontId="7" fillId="0" borderId="1" xfId="0" applyNumberFormat="1" applyFont="1" applyBorder="1" applyAlignment="1">
      <alignment horizontal="center"/>
    </xf>
    <xf numFmtId="164" fontId="0" fillId="0" borderId="0" xfId="0" applyNumberFormat="1"/>
    <xf numFmtId="43" fontId="0" fillId="0" borderId="0" xfId="1" applyFont="1"/>
    <xf numFmtId="166" fontId="6" fillId="0" borderId="0" xfId="1" applyNumberFormat="1" applyFont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6" fontId="0" fillId="0" borderId="0" xfId="1" applyNumberFormat="1" applyFont="1"/>
    <xf numFmtId="166" fontId="0" fillId="3" borderId="0" xfId="1" applyNumberFormat="1" applyFont="1" applyFill="1"/>
    <xf numFmtId="0" fontId="9" fillId="0" borderId="0" xfId="0" applyFont="1"/>
    <xf numFmtId="0" fontId="10" fillId="0" borderId="0" xfId="0" applyFont="1"/>
    <xf numFmtId="171" fontId="10" fillId="0" borderId="0" xfId="2" applyNumberFormat="1" applyFont="1"/>
    <xf numFmtId="166" fontId="0" fillId="0" borderId="0" xfId="0" applyNumberFormat="1"/>
    <xf numFmtId="0" fontId="0" fillId="0" borderId="0" xfId="0" applyFont="1"/>
    <xf numFmtId="166" fontId="11" fillId="0" borderId="0" xfId="1" applyNumberFormat="1" applyFont="1" applyAlignment="1">
      <alignment horizontal="center"/>
    </xf>
    <xf numFmtId="9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pane xSplit="1" ySplit="5" topLeftCell="B47" activePane="bottomRight" state="frozen"/>
      <selection pane="topRight"/>
      <selection pane="bottomLeft"/>
      <selection pane="bottomRight" activeCell="B69" sqref="B69:G74"/>
    </sheetView>
  </sheetViews>
  <sheetFormatPr defaultRowHeight="15" x14ac:dyDescent="0.25"/>
  <cols>
    <col min="1" max="1" width="52" customWidth="1"/>
    <col min="2" max="5" width="16" customWidth="1"/>
    <col min="12" max="13" width="11.28515625" bestFit="1" customWidth="1"/>
  </cols>
  <sheetData>
    <row r="1" spans="1:5" ht="16.5" x14ac:dyDescent="0.25">
      <c r="A1" s="1" t="s">
        <v>0</v>
      </c>
    </row>
    <row r="3" spans="1: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7" spans="1:5" x14ac:dyDescent="0.25">
      <c r="A7" t="s">
        <v>56</v>
      </c>
      <c r="B7" s="13">
        <v>15.83</v>
      </c>
      <c r="C7" s="13">
        <v>229</v>
      </c>
      <c r="D7" s="13">
        <v>1915</v>
      </c>
      <c r="E7" s="13">
        <v>5131</v>
      </c>
    </row>
    <row r="8" spans="1:5" s="17" customFormat="1" x14ac:dyDescent="0.25">
      <c r="A8" s="17" t="s">
        <v>57</v>
      </c>
      <c r="B8" s="18"/>
      <c r="C8" s="19">
        <f>C7/B7-1</f>
        <v>13.466203411244473</v>
      </c>
      <c r="D8" s="19">
        <f t="shared" ref="D8:E8" si="0">D7/C7-1</f>
        <v>7.3624454148471621</v>
      </c>
      <c r="E8" s="19">
        <f t="shared" si="0"/>
        <v>1.679373368146214</v>
      </c>
    </row>
    <row r="10" spans="1:5" s="21" customFormat="1" x14ac:dyDescent="0.25">
      <c r="A10" s="21" t="s">
        <v>58</v>
      </c>
      <c r="B10" s="22">
        <f>B7-B23+B27</f>
        <v>27.07</v>
      </c>
      <c r="C10" s="22">
        <f t="shared" ref="C10:E10" si="1">C7-C23+C27</f>
        <v>2377</v>
      </c>
      <c r="D10" s="22">
        <f t="shared" si="1"/>
        <v>4244</v>
      </c>
      <c r="E10" s="22">
        <f t="shared" si="1"/>
        <v>12054</v>
      </c>
    </row>
    <row r="11" spans="1:5" x14ac:dyDescent="0.25">
      <c r="A11" s="17" t="s">
        <v>57</v>
      </c>
      <c r="B11" s="18"/>
      <c r="C11" s="19">
        <f>C10/B10-1</f>
        <v>86.80938308090137</v>
      </c>
      <c r="D11" s="19">
        <f t="shared" ref="D11" si="2">D10/C10-1</f>
        <v>0.78544383676903662</v>
      </c>
      <c r="E11" s="19">
        <f t="shared" ref="E11" si="3">E10/D10-1</f>
        <v>1.840245051837889</v>
      </c>
    </row>
    <row r="13" spans="1:5" x14ac:dyDescent="0.25">
      <c r="A13" s="6" t="s">
        <v>11</v>
      </c>
      <c r="B13" s="7"/>
      <c r="C13" s="7"/>
      <c r="D13" s="7"/>
      <c r="E13" s="7"/>
    </row>
    <row r="14" spans="1:5" x14ac:dyDescent="0.25">
      <c r="A14" s="8" t="s">
        <v>12</v>
      </c>
      <c r="B14" s="13">
        <v>-31.06</v>
      </c>
      <c r="C14" s="13">
        <v>-594</v>
      </c>
      <c r="D14" s="13">
        <v>-863</v>
      </c>
      <c r="E14" s="13">
        <v>-1167</v>
      </c>
    </row>
    <row r="15" spans="1:5" x14ac:dyDescent="0.25">
      <c r="A15" s="8" t="s">
        <v>13</v>
      </c>
      <c r="B15" s="13">
        <v>11.7</v>
      </c>
      <c r="C15" s="13">
        <v>103</v>
      </c>
      <c r="D15" s="13">
        <v>863</v>
      </c>
      <c r="E15" s="13">
        <v>2454</v>
      </c>
    </row>
    <row r="16" spans="1:5" x14ac:dyDescent="0.25">
      <c r="A16" s="8" t="s">
        <v>14</v>
      </c>
      <c r="B16" s="13">
        <v>0.02</v>
      </c>
      <c r="C16" s="13">
        <v>20</v>
      </c>
      <c r="D16" s="13">
        <v>123</v>
      </c>
      <c r="E16" s="13">
        <v>357</v>
      </c>
    </row>
    <row r="17" spans="1:5" x14ac:dyDescent="0.25">
      <c r="A17" s="8" t="s">
        <v>15</v>
      </c>
      <c r="B17" s="13">
        <v>3.8</v>
      </c>
      <c r="C17" s="13">
        <v>16</v>
      </c>
      <c r="D17" s="13">
        <v>33</v>
      </c>
      <c r="E17" s="13">
        <v>110</v>
      </c>
    </row>
    <row r="18" spans="1:5" x14ac:dyDescent="0.25">
      <c r="A18" s="8" t="s">
        <v>16</v>
      </c>
      <c r="B18" s="13">
        <v>2.88</v>
      </c>
      <c r="C18" s="13">
        <v>534</v>
      </c>
      <c r="D18" s="13">
        <v>756</v>
      </c>
      <c r="E18" s="13">
        <v>-27</v>
      </c>
    </row>
    <row r="19" spans="1:5" x14ac:dyDescent="0.25">
      <c r="A19" s="8" t="s">
        <v>17</v>
      </c>
      <c r="B19" s="13">
        <v>1.49</v>
      </c>
      <c r="C19" s="13">
        <v>15</v>
      </c>
      <c r="D19" s="13">
        <v>31</v>
      </c>
      <c r="E19" s="13">
        <v>630</v>
      </c>
    </row>
    <row r="20" spans="1:5" x14ac:dyDescent="0.25">
      <c r="A20" s="8" t="s">
        <v>18</v>
      </c>
      <c r="B20" s="13">
        <v>0</v>
      </c>
      <c r="C20" s="13">
        <v>0</v>
      </c>
      <c r="D20" s="13">
        <v>12</v>
      </c>
      <c r="E20" s="13">
        <v>19</v>
      </c>
    </row>
    <row r="21" spans="1:5" x14ac:dyDescent="0.25">
      <c r="A21" s="8" t="s">
        <v>19</v>
      </c>
      <c r="B21" s="13">
        <v>-1.28</v>
      </c>
      <c r="C21" s="13">
        <v>36</v>
      </c>
      <c r="D21" s="13">
        <v>113</v>
      </c>
      <c r="E21" s="13">
        <v>-53</v>
      </c>
    </row>
    <row r="22" spans="1:5" x14ac:dyDescent="0.25">
      <c r="A22" s="8" t="s">
        <v>20</v>
      </c>
      <c r="B22" s="13">
        <v>0</v>
      </c>
      <c r="C22" s="13">
        <v>3</v>
      </c>
      <c r="D22" s="13">
        <v>1</v>
      </c>
      <c r="E22" s="13">
        <v>103</v>
      </c>
    </row>
    <row r="23" spans="1:5" x14ac:dyDescent="0.25">
      <c r="A23" s="8" t="s">
        <v>21</v>
      </c>
      <c r="B23" s="13">
        <v>-1.89</v>
      </c>
      <c r="C23" s="13">
        <v>-162</v>
      </c>
      <c r="D23" s="13">
        <v>-280</v>
      </c>
      <c r="E23" s="13">
        <v>-2749</v>
      </c>
    </row>
    <row r="24" spans="1:5" x14ac:dyDescent="0.25">
      <c r="A24" s="8" t="s">
        <v>22</v>
      </c>
      <c r="B24" s="13">
        <v>0</v>
      </c>
      <c r="C24" s="13">
        <v>-139</v>
      </c>
      <c r="D24" s="13">
        <v>-514</v>
      </c>
      <c r="E24" s="13">
        <v>-784</v>
      </c>
    </row>
    <row r="25" spans="1:5" x14ac:dyDescent="0.25">
      <c r="A25" s="8" t="s">
        <v>23</v>
      </c>
      <c r="B25" s="13">
        <v>-1.05</v>
      </c>
      <c r="C25" s="13">
        <v>0</v>
      </c>
      <c r="D25" s="13">
        <v>0</v>
      </c>
      <c r="E25" s="13">
        <v>0</v>
      </c>
    </row>
    <row r="26" spans="1:5" x14ac:dyDescent="0.25">
      <c r="A26" s="8" t="s">
        <v>24</v>
      </c>
      <c r="B26" s="13">
        <v>1.4</v>
      </c>
      <c r="C26" s="13">
        <v>27</v>
      </c>
      <c r="D26" s="13">
        <v>511</v>
      </c>
      <c r="E26" s="13">
        <v>253</v>
      </c>
    </row>
    <row r="27" spans="1:5" x14ac:dyDescent="0.25">
      <c r="A27" s="8" t="s">
        <v>25</v>
      </c>
      <c r="B27" s="13">
        <v>9.35</v>
      </c>
      <c r="C27" s="13">
        <v>1986</v>
      </c>
      <c r="D27" s="13">
        <v>2049</v>
      </c>
      <c r="E27" s="13">
        <v>4174</v>
      </c>
    </row>
    <row r="28" spans="1:5" x14ac:dyDescent="0.25">
      <c r="A28" s="8" t="s">
        <v>26</v>
      </c>
      <c r="B28" s="13">
        <v>0</v>
      </c>
      <c r="C28" s="13">
        <v>-9</v>
      </c>
      <c r="D28" s="13">
        <v>-88</v>
      </c>
      <c r="E28" s="13">
        <v>-262</v>
      </c>
    </row>
    <row r="29" spans="1:5" x14ac:dyDescent="0.25">
      <c r="A29" s="8" t="s">
        <v>27</v>
      </c>
      <c r="B29" s="13">
        <v>0.09</v>
      </c>
      <c r="C29" s="13">
        <v>0</v>
      </c>
      <c r="D29" s="13">
        <v>0</v>
      </c>
      <c r="E29" s="13">
        <v>0</v>
      </c>
    </row>
    <row r="30" spans="1:5" x14ac:dyDescent="0.25">
      <c r="A30" s="8" t="s">
        <v>28</v>
      </c>
      <c r="B30" s="13">
        <v>0.11</v>
      </c>
      <c r="C30" s="13">
        <v>-1</v>
      </c>
      <c r="D30" s="13">
        <v>0</v>
      </c>
      <c r="E30" s="13">
        <v>0</v>
      </c>
    </row>
    <row r="31" spans="1:5" x14ac:dyDescent="0.25">
      <c r="A31" s="8" t="s">
        <v>29</v>
      </c>
      <c r="B31" s="13">
        <v>5.27</v>
      </c>
      <c r="C31" s="13">
        <v>0</v>
      </c>
      <c r="D31" s="13">
        <v>0</v>
      </c>
      <c r="E31" s="13">
        <v>0</v>
      </c>
    </row>
    <row r="32" spans="1:5" x14ac:dyDescent="0.25">
      <c r="A32" s="9" t="s">
        <v>30</v>
      </c>
      <c r="B32" s="14">
        <f>SUM(B14:B31)</f>
        <v>0.82999999999999918</v>
      </c>
      <c r="C32" s="14">
        <f t="shared" ref="C32:E32" si="4">SUM(C14:C31)</f>
        <v>1835</v>
      </c>
      <c r="D32" s="14">
        <f t="shared" si="4"/>
        <v>2747</v>
      </c>
      <c r="E32" s="14">
        <f t="shared" si="4"/>
        <v>3058</v>
      </c>
    </row>
    <row r="33" spans="1:5" x14ac:dyDescent="0.25">
      <c r="B33" s="15"/>
      <c r="C33" s="15"/>
      <c r="D33" s="15"/>
      <c r="E33" s="15"/>
    </row>
    <row r="34" spans="1:5" x14ac:dyDescent="0.25">
      <c r="A34" s="6" t="s">
        <v>31</v>
      </c>
      <c r="B34" s="16"/>
      <c r="C34" s="16"/>
      <c r="D34" s="16"/>
      <c r="E34" s="16"/>
    </row>
    <row r="35" spans="1:5" x14ac:dyDescent="0.25">
      <c r="A35" s="8" t="s">
        <v>32</v>
      </c>
      <c r="B35" s="13">
        <v>-72.400000000000006</v>
      </c>
      <c r="C35" s="13">
        <v>-2943</v>
      </c>
      <c r="D35" s="13">
        <v>-8702</v>
      </c>
      <c r="E35" s="13">
        <v>-10309</v>
      </c>
    </row>
    <row r="36" spans="1:5" x14ac:dyDescent="0.25">
      <c r="A36" s="8" t="s">
        <v>33</v>
      </c>
      <c r="B36" s="13">
        <v>0</v>
      </c>
      <c r="C36" s="13">
        <v>-172</v>
      </c>
      <c r="D36" s="13">
        <v>-34</v>
      </c>
      <c r="E36" s="13">
        <v>-47</v>
      </c>
    </row>
    <row r="37" spans="1:5" x14ac:dyDescent="0.25">
      <c r="A37" s="8" t="s">
        <v>34</v>
      </c>
      <c r="B37" s="13">
        <v>0</v>
      </c>
      <c r="C37" s="13">
        <v>6</v>
      </c>
      <c r="D37" s="13">
        <v>188</v>
      </c>
      <c r="E37" s="13">
        <v>43</v>
      </c>
    </row>
    <row r="38" spans="1:5" x14ac:dyDescent="0.25">
      <c r="A38" s="8" t="s">
        <v>35</v>
      </c>
      <c r="B38" s="13">
        <v>7</v>
      </c>
      <c r="C38" s="13">
        <v>0</v>
      </c>
      <c r="D38" s="13">
        <v>0</v>
      </c>
      <c r="E38" s="13">
        <v>0</v>
      </c>
    </row>
    <row r="39" spans="1:5" x14ac:dyDescent="0.25">
      <c r="A39" s="8" t="s">
        <v>36</v>
      </c>
      <c r="B39" s="13">
        <v>0</v>
      </c>
      <c r="C39" s="13">
        <v>0</v>
      </c>
      <c r="D39" s="13">
        <v>0</v>
      </c>
      <c r="E39" s="13">
        <v>254</v>
      </c>
    </row>
    <row r="40" spans="1:5" x14ac:dyDescent="0.25">
      <c r="A40" s="8" t="s">
        <v>37</v>
      </c>
      <c r="B40" s="13">
        <v>0</v>
      </c>
      <c r="C40" s="13">
        <v>0</v>
      </c>
      <c r="D40" s="13">
        <v>0</v>
      </c>
      <c r="E40" s="13">
        <v>-108</v>
      </c>
    </row>
    <row r="41" spans="1:5" x14ac:dyDescent="0.25">
      <c r="A41" s="8" t="s">
        <v>38</v>
      </c>
      <c r="B41" s="13">
        <v>0</v>
      </c>
      <c r="C41" s="13">
        <v>0</v>
      </c>
      <c r="D41" s="13">
        <v>-60</v>
      </c>
      <c r="E41" s="13">
        <v>-90</v>
      </c>
    </row>
    <row r="42" spans="1:5" x14ac:dyDescent="0.25">
      <c r="A42" s="8" t="s">
        <v>39</v>
      </c>
      <c r="B42" s="13">
        <v>-14.85</v>
      </c>
      <c r="C42" s="13">
        <v>-39</v>
      </c>
      <c r="D42" s="13">
        <v>-50</v>
      </c>
      <c r="E42" s="13">
        <v>-14</v>
      </c>
    </row>
    <row r="43" spans="1:5" ht="15.75" thickBot="1" x14ac:dyDescent="0.3">
      <c r="A43" s="9" t="s">
        <v>40</v>
      </c>
      <c r="B43" s="14">
        <f>SUM(B39:B42,B35:B38)</f>
        <v>-80.25</v>
      </c>
      <c r="C43" s="14">
        <f>SUM(C39:C42,C35:C38)</f>
        <v>-3148</v>
      </c>
      <c r="D43" s="14">
        <f>SUM(D39:D42,D35:D38)</f>
        <v>-8658</v>
      </c>
      <c r="E43" s="14">
        <f>SUM(E39:E42,E35:E38)</f>
        <v>-10271</v>
      </c>
    </row>
    <row r="44" spans="1:5" ht="15.75" thickTop="1" x14ac:dyDescent="0.25">
      <c r="B44" s="15"/>
      <c r="C44" s="15"/>
      <c r="D44" s="15"/>
      <c r="E44" s="15"/>
    </row>
    <row r="45" spans="1:5" x14ac:dyDescent="0.25">
      <c r="A45" s="6" t="s">
        <v>41</v>
      </c>
      <c r="B45" s="16"/>
      <c r="C45" s="16"/>
      <c r="D45" s="16"/>
      <c r="E45" s="16"/>
    </row>
    <row r="46" spans="1:5" x14ac:dyDescent="0.25">
      <c r="A46" s="8" t="s">
        <v>42</v>
      </c>
      <c r="B46" s="13">
        <v>90</v>
      </c>
      <c r="C46" s="13">
        <v>1404</v>
      </c>
      <c r="D46" s="13">
        <v>7018</v>
      </c>
      <c r="E46" s="13">
        <v>11829</v>
      </c>
    </row>
    <row r="47" spans="1:5" x14ac:dyDescent="0.25">
      <c r="A47" s="8" t="s">
        <v>43</v>
      </c>
      <c r="B47" s="13">
        <v>-3.06</v>
      </c>
      <c r="C47" s="13">
        <v>-2</v>
      </c>
      <c r="D47" s="13">
        <v>-589</v>
      </c>
      <c r="E47" s="13">
        <v>-3399</v>
      </c>
    </row>
    <row r="48" spans="1:5" x14ac:dyDescent="0.25">
      <c r="A48" s="8" t="s">
        <v>44</v>
      </c>
      <c r="B48" s="13">
        <v>0</v>
      </c>
      <c r="C48" s="13">
        <v>0</v>
      </c>
      <c r="D48" s="13">
        <v>0</v>
      </c>
      <c r="E48" s="13">
        <v>-340</v>
      </c>
    </row>
    <row r="49" spans="1:13" x14ac:dyDescent="0.25">
      <c r="A49" s="8" t="s">
        <v>45</v>
      </c>
      <c r="B49" s="13">
        <v>-1.65</v>
      </c>
      <c r="C49" s="13">
        <v>0</v>
      </c>
      <c r="D49" s="13">
        <v>0</v>
      </c>
      <c r="E49" s="13">
        <v>0</v>
      </c>
    </row>
    <row r="50" spans="1:13" x14ac:dyDescent="0.25">
      <c r="A50" s="8" t="s">
        <v>46</v>
      </c>
      <c r="B50" s="13">
        <v>0</v>
      </c>
      <c r="C50" s="13">
        <v>421</v>
      </c>
      <c r="D50" s="13">
        <v>1172</v>
      </c>
      <c r="E50" s="13">
        <v>0</v>
      </c>
    </row>
    <row r="51" spans="1:13" x14ac:dyDescent="0.25">
      <c r="A51" s="8" t="s">
        <v>47</v>
      </c>
      <c r="B51" s="13">
        <v>0</v>
      </c>
      <c r="C51" s="13">
        <v>0</v>
      </c>
      <c r="D51" s="13">
        <v>-58</v>
      </c>
      <c r="E51" s="13">
        <v>-29</v>
      </c>
      <c r="L51" s="15"/>
      <c r="M51" s="15"/>
    </row>
    <row r="52" spans="1:13" x14ac:dyDescent="0.25">
      <c r="A52" s="8" t="s">
        <v>48</v>
      </c>
      <c r="B52" s="13">
        <v>0</v>
      </c>
      <c r="C52" s="13">
        <v>2</v>
      </c>
      <c r="D52" s="13">
        <v>3</v>
      </c>
      <c r="E52" s="13">
        <v>20</v>
      </c>
    </row>
    <row r="53" spans="1:13" x14ac:dyDescent="0.25">
      <c r="A53" s="8" t="s">
        <v>49</v>
      </c>
      <c r="B53" s="13">
        <v>0</v>
      </c>
      <c r="C53" s="13">
        <v>0</v>
      </c>
      <c r="D53" s="13">
        <v>0</v>
      </c>
      <c r="E53" s="13">
        <v>1491</v>
      </c>
    </row>
    <row r="54" spans="1:13" x14ac:dyDescent="0.25">
      <c r="A54" s="8" t="s">
        <v>50</v>
      </c>
      <c r="B54" s="13">
        <v>0</v>
      </c>
      <c r="C54" s="13">
        <v>15</v>
      </c>
      <c r="D54" s="13">
        <v>0</v>
      </c>
      <c r="E54" s="13">
        <v>0</v>
      </c>
    </row>
    <row r="55" spans="1:13" x14ac:dyDescent="0.25">
      <c r="A55" s="8" t="s">
        <v>51</v>
      </c>
      <c r="B55" s="13">
        <v>0</v>
      </c>
      <c r="C55" s="13">
        <v>0</v>
      </c>
      <c r="D55" s="13">
        <v>0</v>
      </c>
      <c r="E55" s="13">
        <v>-144</v>
      </c>
    </row>
    <row r="56" spans="1:13" x14ac:dyDescent="0.25">
      <c r="A56" s="8" t="s">
        <v>52</v>
      </c>
      <c r="B56" s="13">
        <v>-3.84</v>
      </c>
      <c r="C56" s="13">
        <v>-52</v>
      </c>
      <c r="D56" s="13">
        <v>-82</v>
      </c>
      <c r="E56" s="13">
        <v>-120</v>
      </c>
    </row>
    <row r="57" spans="1:13" x14ac:dyDescent="0.25">
      <c r="A57" s="9" t="s">
        <v>53</v>
      </c>
      <c r="B57" s="14">
        <f>SUM(B46:B56)</f>
        <v>81.449999999999989</v>
      </c>
      <c r="C57" s="14">
        <f>SUM(C46:C56)</f>
        <v>1788</v>
      </c>
      <c r="D57" s="14">
        <f>SUM(D46:D56)</f>
        <v>7464</v>
      </c>
      <c r="E57" s="14">
        <f>SUM(E46:E56)</f>
        <v>9308</v>
      </c>
    </row>
    <row r="58" spans="1:13" x14ac:dyDescent="0.25">
      <c r="B58" s="11"/>
      <c r="C58" s="11"/>
      <c r="D58" s="11"/>
      <c r="E58" s="11"/>
    </row>
    <row r="59" spans="1:13" x14ac:dyDescent="0.25">
      <c r="A59" s="6" t="s">
        <v>54</v>
      </c>
      <c r="B59" s="7"/>
      <c r="C59" s="7"/>
      <c r="D59" s="7"/>
      <c r="E59" s="7"/>
    </row>
    <row r="60" spans="1:13" ht="15.75" thickBot="1" x14ac:dyDescent="0.3">
      <c r="A60" s="9" t="s">
        <v>55</v>
      </c>
      <c r="B60" s="10">
        <f>SUM(B57,B43,B32)</f>
        <v>2.0299999999999878</v>
      </c>
      <c r="C60" s="10">
        <f>SUM(C57,C43,C32)</f>
        <v>475</v>
      </c>
      <c r="D60" s="10">
        <f>SUM(D57,D43,D32)</f>
        <v>1553</v>
      </c>
      <c r="E60" s="10">
        <f>SUM(E57,E43,E32)</f>
        <v>2095</v>
      </c>
    </row>
    <row r="61" spans="1:13" ht="15.75" thickTop="1" x14ac:dyDescent="0.25"/>
    <row r="62" spans="1:13" x14ac:dyDescent="0.25">
      <c r="A62" t="s">
        <v>59</v>
      </c>
      <c r="B62" s="20">
        <f>B32+B35-B19</f>
        <v>-73.06</v>
      </c>
      <c r="C62" s="20">
        <f>C32+C35-C19</f>
        <v>-1123</v>
      </c>
      <c r="D62" s="20">
        <f>D32+D35-D19</f>
        <v>-5986</v>
      </c>
      <c r="E62" s="20">
        <f>E32+E35-E19</f>
        <v>-7881</v>
      </c>
    </row>
    <row r="63" spans="1:13" s="17" customFormat="1" x14ac:dyDescent="0.25">
      <c r="A63" s="17" t="s">
        <v>60</v>
      </c>
      <c r="B63" s="19">
        <f>B62/B10</f>
        <v>-2.6989287033616551</v>
      </c>
      <c r="C63" s="19">
        <f>C62/C10</f>
        <v>-0.47244425746739588</v>
      </c>
      <c r="D63" s="19">
        <f>D62/D10</f>
        <v>-1.4104618284637134</v>
      </c>
      <c r="E63" s="19">
        <f>E62/E10</f>
        <v>-0.65380786460925833</v>
      </c>
    </row>
    <row r="65" spans="1:7" x14ac:dyDescent="0.25">
      <c r="A65" t="s">
        <v>61</v>
      </c>
      <c r="B65" s="20">
        <f>SUM(B46:B47)</f>
        <v>86.94</v>
      </c>
      <c r="C65" s="20">
        <f t="shared" ref="C65:E65" si="5">SUM(C46:C47)</f>
        <v>1402</v>
      </c>
      <c r="D65" s="20">
        <f t="shared" si="5"/>
        <v>6429</v>
      </c>
      <c r="E65" s="20">
        <f t="shared" si="5"/>
        <v>8430</v>
      </c>
    </row>
    <row r="70" spans="1:7" x14ac:dyDescent="0.25">
      <c r="B70" s="23"/>
    </row>
    <row r="72" spans="1:7" x14ac:dyDescent="0.25">
      <c r="B72" s="12"/>
      <c r="C72" s="12"/>
      <c r="D72" s="12"/>
      <c r="E72" s="12"/>
      <c r="F72" s="12"/>
      <c r="G72" s="12"/>
    </row>
    <row r="73" spans="1:7" x14ac:dyDescent="0.25">
      <c r="C73" s="24"/>
      <c r="D73" s="24"/>
      <c r="E73" s="24"/>
      <c r="F73" s="24"/>
      <c r="G73" s="24"/>
    </row>
    <row r="74" spans="1:7" x14ac:dyDescent="0.25">
      <c r="C74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Tomohawk WR</cp:lastModifiedBy>
  <dcterms:created xsi:type="dcterms:W3CDTF">2026-03-03T18:24:49Z</dcterms:created>
  <dcterms:modified xsi:type="dcterms:W3CDTF">2026-03-04T15:09:01Z</dcterms:modified>
</cp:coreProperties>
</file>