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f7a388aa33f66e/Documents/"/>
    </mc:Choice>
  </mc:AlternateContent>
  <xr:revisionPtr revIDLastSave="0" documentId="8_{246E5194-D57D-4390-904C-8B3D9C504371}" xr6:coauthVersionLast="47" xr6:coauthVersionMax="47" xr10:uidLastSave="{00000000-0000-0000-0000-000000000000}"/>
  <bookViews>
    <workbookView xWindow="-120" yWindow="-120" windowWidth="38640" windowHeight="21120" xr2:uid="{2C6EA734-390B-4D0E-A37C-8AAD516859E6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3" i="1" l="1"/>
  <c r="D93" i="1"/>
  <c r="E93" i="1"/>
  <c r="F93" i="1"/>
  <c r="G93" i="1"/>
  <c r="H93" i="1"/>
  <c r="I93" i="1"/>
  <c r="J93" i="1"/>
  <c r="B93" i="1"/>
  <c r="C91" i="1"/>
  <c r="D91" i="1"/>
  <c r="E91" i="1"/>
  <c r="F91" i="1"/>
  <c r="G91" i="1"/>
  <c r="H91" i="1"/>
  <c r="I91" i="1"/>
  <c r="J91" i="1"/>
  <c r="B91" i="1"/>
  <c r="B87" i="1"/>
  <c r="J87" i="1"/>
  <c r="H87" i="1"/>
  <c r="G87" i="1"/>
  <c r="F87" i="1"/>
  <c r="D87" i="1"/>
  <c r="C87" i="1"/>
  <c r="J63" i="1"/>
  <c r="I63" i="1"/>
  <c r="I64" i="1" s="1"/>
  <c r="I70" i="1" s="1"/>
  <c r="H63" i="1"/>
  <c r="H64" i="1" s="1"/>
  <c r="H70" i="1" s="1"/>
  <c r="F63" i="1"/>
  <c r="C64" i="1"/>
  <c r="C70" i="1" s="1"/>
  <c r="D64" i="1"/>
  <c r="E64" i="1"/>
  <c r="E70" i="1" s="1"/>
  <c r="F64" i="1"/>
  <c r="F70" i="1" s="1"/>
  <c r="G64" i="1"/>
  <c r="G70" i="1" s="1"/>
  <c r="J64" i="1"/>
  <c r="J70" i="1" s="1"/>
  <c r="D70" i="1"/>
  <c r="C77" i="1"/>
  <c r="C80" i="1" s="1"/>
  <c r="D77" i="1"/>
  <c r="D80" i="1" s="1"/>
  <c r="E77" i="1"/>
  <c r="E80" i="1" s="1"/>
  <c r="F77" i="1"/>
  <c r="F80" i="1" s="1"/>
  <c r="G77" i="1"/>
  <c r="G80" i="1" s="1"/>
  <c r="H77" i="1"/>
  <c r="H80" i="1" s="1"/>
  <c r="I77" i="1"/>
  <c r="I80" i="1" s="1"/>
  <c r="I88" i="1" s="1"/>
  <c r="J77" i="1"/>
  <c r="J80" i="1" s="1"/>
  <c r="J88" i="1" s="1"/>
  <c r="E87" i="1"/>
  <c r="I87" i="1"/>
  <c r="B77" i="1"/>
  <c r="B80" i="1" s="1"/>
  <c r="B64" i="1"/>
  <c r="B70" i="1" s="1"/>
  <c r="J89" i="1" l="1"/>
  <c r="H88" i="1"/>
  <c r="H89" i="1" s="1"/>
  <c r="G88" i="1"/>
  <c r="G89" i="1" s="1"/>
  <c r="E88" i="1"/>
  <c r="I89" i="1"/>
  <c r="E89" i="1"/>
  <c r="C88" i="1"/>
  <c r="C89" i="1" s="1"/>
  <c r="F88" i="1"/>
  <c r="F89" i="1" s="1"/>
  <c r="D88" i="1"/>
  <c r="D89" i="1" s="1"/>
  <c r="B88" i="1"/>
  <c r="B89" i="1" s="1"/>
  <c r="J28" i="1"/>
  <c r="G23" i="1"/>
  <c r="D32" i="1"/>
  <c r="D23" i="1"/>
  <c r="C23" i="1"/>
  <c r="B3" i="1"/>
  <c r="B4" i="1" s="1"/>
  <c r="B7" i="1" s="1"/>
  <c r="D51" i="1"/>
  <c r="E51" i="1"/>
  <c r="F51" i="1"/>
  <c r="G51" i="1"/>
  <c r="D52" i="1"/>
  <c r="E52" i="1"/>
  <c r="F52" i="1"/>
  <c r="G52" i="1"/>
  <c r="G54" i="1"/>
  <c r="H54" i="1"/>
  <c r="I54" i="1"/>
  <c r="J54" i="1"/>
  <c r="G55" i="1"/>
  <c r="H55" i="1"/>
  <c r="I55" i="1"/>
  <c r="J55" i="1"/>
  <c r="F55" i="1"/>
  <c r="F54" i="1"/>
  <c r="C52" i="1"/>
  <c r="C51" i="1"/>
  <c r="H19" i="1"/>
  <c r="H24" i="1" s="1"/>
  <c r="H29" i="1" s="1"/>
  <c r="H33" i="1" s="1"/>
  <c r="H34" i="1" s="1"/>
  <c r="C16" i="1"/>
  <c r="C19" i="1" s="1"/>
  <c r="D16" i="1"/>
  <c r="D19" i="1" s="1"/>
  <c r="E16" i="1"/>
  <c r="E19" i="1" s="1"/>
  <c r="F16" i="1"/>
  <c r="F19" i="1" s="1"/>
  <c r="F24" i="1" s="1"/>
  <c r="F29" i="1" s="1"/>
  <c r="F33" i="1" s="1"/>
  <c r="G16" i="1"/>
  <c r="G19" i="1" s="1"/>
  <c r="I19" i="1"/>
  <c r="I24" i="1" s="1"/>
  <c r="I29" i="1" s="1"/>
  <c r="I33" i="1" s="1"/>
  <c r="J19" i="1"/>
  <c r="J24" i="1" s="1"/>
  <c r="B16" i="1"/>
  <c r="B19" i="1" s="1"/>
  <c r="B24" i="1" s="1"/>
  <c r="B29" i="1" s="1"/>
  <c r="B33" i="1" s="1"/>
  <c r="J29" i="1" l="1"/>
  <c r="J33" i="1" s="1"/>
  <c r="D24" i="1"/>
  <c r="D29" i="1" s="1"/>
  <c r="I41" i="1"/>
  <c r="I47" i="1" s="1"/>
  <c r="D53" i="1"/>
  <c r="C24" i="1"/>
  <c r="C29" i="1" s="1"/>
  <c r="C33" i="1" s="1"/>
  <c r="C53" i="1"/>
  <c r="J56" i="1"/>
  <c r="B41" i="1"/>
  <c r="I56" i="1"/>
  <c r="J46" i="1"/>
  <c r="H56" i="1"/>
  <c r="J41" i="1"/>
  <c r="J42" i="1" s="1"/>
  <c r="J48" i="1" s="1"/>
  <c r="E53" i="1"/>
  <c r="G56" i="1"/>
  <c r="F41" i="1"/>
  <c r="F42" i="1" s="1"/>
  <c r="F56" i="1"/>
  <c r="J53" i="1"/>
  <c r="I53" i="1"/>
  <c r="H53" i="1"/>
  <c r="G24" i="1"/>
  <c r="G29" i="1" s="1"/>
  <c r="G33" i="1" s="1"/>
  <c r="G34" i="1" s="1"/>
  <c r="D33" i="1"/>
  <c r="D35" i="1" s="1"/>
  <c r="G53" i="1"/>
  <c r="G41" i="1"/>
  <c r="F53" i="1"/>
  <c r="B46" i="1"/>
  <c r="H41" i="1"/>
  <c r="H42" i="1" s="1"/>
  <c r="I46" i="1"/>
  <c r="H46" i="1"/>
  <c r="G46" i="1"/>
  <c r="F46" i="1"/>
  <c r="E24" i="1"/>
  <c r="E29" i="1" s="1"/>
  <c r="E33" i="1" s="1"/>
  <c r="E34" i="1" s="1"/>
  <c r="E46" i="1"/>
  <c r="E41" i="1"/>
  <c r="E42" i="1" s="1"/>
  <c r="D41" i="1"/>
  <c r="D42" i="1" s="1"/>
  <c r="D46" i="1"/>
  <c r="C46" i="1"/>
  <c r="C41" i="1"/>
  <c r="C42" i="1" s="1"/>
  <c r="B35" i="1"/>
  <c r="B34" i="1"/>
  <c r="I34" i="1"/>
  <c r="I35" i="1"/>
  <c r="F34" i="1"/>
  <c r="F35" i="1"/>
  <c r="C35" i="1"/>
  <c r="C34" i="1"/>
  <c r="J34" i="1"/>
  <c r="J35" i="1"/>
  <c r="H35" i="1"/>
  <c r="I42" i="1" l="1"/>
  <c r="J43" i="1"/>
  <c r="G35" i="1"/>
  <c r="G42" i="1"/>
  <c r="G48" i="1" s="1"/>
  <c r="B47" i="1"/>
  <c r="B42" i="1"/>
  <c r="B43" i="1" s="1"/>
  <c r="D34" i="1"/>
  <c r="J47" i="1"/>
  <c r="G47" i="1"/>
  <c r="F47" i="1"/>
  <c r="G43" i="1"/>
  <c r="H48" i="1"/>
  <c r="H43" i="1"/>
  <c r="H47" i="1"/>
  <c r="E35" i="1"/>
  <c r="E47" i="1"/>
  <c r="D47" i="1"/>
  <c r="C47" i="1"/>
  <c r="I48" i="1"/>
  <c r="I43" i="1"/>
  <c r="B10" i="1" l="1" a="1"/>
  <c r="B10" i="1" s="1"/>
  <c r="B48" i="1"/>
  <c r="F48" i="1"/>
  <c r="F43" i="1"/>
  <c r="E43" i="1"/>
  <c r="E48" i="1"/>
  <c r="D43" i="1"/>
  <c r="D48" i="1"/>
  <c r="C43" i="1"/>
  <c r="C4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<sst xmlns="http://schemas.openxmlformats.org/spreadsheetml/2006/main" count="89" uniqueCount="84">
  <si>
    <t>WDC</t>
  </si>
  <si>
    <t>Shares</t>
  </si>
  <si>
    <t>MC</t>
  </si>
  <si>
    <t>Cash</t>
  </si>
  <si>
    <t>Debt</t>
  </si>
  <si>
    <t>EV</t>
  </si>
  <si>
    <t>WACC</t>
  </si>
  <si>
    <t>TGR</t>
  </si>
  <si>
    <t>EPS Yield</t>
  </si>
  <si>
    <t>INCOME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</si>
  <si>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</si>
  <si>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</si>
  <si>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</si>
  <si>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</si>
  <si>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</si>
  <si>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</si>
  <si>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</si>
  <si>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</si>
  <si>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</si>
  <si>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Flash</t>
  </si>
  <si>
    <t>HDD</t>
  </si>
  <si>
    <t>Total</t>
  </si>
  <si>
    <t>COGS</t>
  </si>
  <si>
    <t>Gross Profit</t>
  </si>
  <si>
    <t>R&amp;D</t>
  </si>
  <si>
    <t>SG&amp;A</t>
  </si>
  <si>
    <t>Other</t>
  </si>
  <si>
    <t>Operating Income</t>
  </si>
  <si>
    <t>Interest Income</t>
  </si>
  <si>
    <t>Interest Expense</t>
  </si>
  <si>
    <t>EBT</t>
  </si>
  <si>
    <t>Taxes</t>
  </si>
  <si>
    <t>Preferred Payments</t>
  </si>
  <si>
    <t>Net Income</t>
  </si>
  <si>
    <t>Basic EPS</t>
  </si>
  <si>
    <t>Diluted EPS</t>
  </si>
  <si>
    <t>Basic Shares</t>
  </si>
  <si>
    <t>Diluted Shares</t>
  </si>
  <si>
    <t>EBIT</t>
  </si>
  <si>
    <t>Normalized EPS</t>
  </si>
  <si>
    <t>Normalized NI</t>
  </si>
  <si>
    <t>Non GAAP:</t>
  </si>
  <si>
    <t>Margins:</t>
  </si>
  <si>
    <t>Gross</t>
  </si>
  <si>
    <t>Growth:</t>
  </si>
  <si>
    <t>Flash QoQ</t>
  </si>
  <si>
    <t>HDD QoQ</t>
  </si>
  <si>
    <t>Flash YoY</t>
  </si>
  <si>
    <t>HDD YoY</t>
  </si>
  <si>
    <t>Total QoQ</t>
  </si>
  <si>
    <t>Total YoY</t>
  </si>
  <si>
    <t>ETR</t>
  </si>
  <si>
    <t>BALANCE</t>
  </si>
  <si>
    <t>C&amp;A</t>
  </si>
  <si>
    <t>AR</t>
  </si>
  <si>
    <t>Inventories</t>
  </si>
  <si>
    <t>Total current</t>
  </si>
  <si>
    <t>PPE</t>
  </si>
  <si>
    <t>Notes rec &amp; in in Flash Venture</t>
  </si>
  <si>
    <t>Goodwill</t>
  </si>
  <si>
    <t>Other intangible</t>
  </si>
  <si>
    <t>Other LT</t>
  </si>
  <si>
    <t>Total LT</t>
  </si>
  <si>
    <t>AP</t>
  </si>
  <si>
    <t>AP to related parties</t>
  </si>
  <si>
    <t>Accrued exp.</t>
  </si>
  <si>
    <t>Taxes payable</t>
  </si>
  <si>
    <t>Accrued comp</t>
  </si>
  <si>
    <t>ST Debt</t>
  </si>
  <si>
    <t>LT debt</t>
  </si>
  <si>
    <t xml:space="preserve">Other </t>
  </si>
  <si>
    <t>Total Liabilities</t>
  </si>
  <si>
    <t>Convertible preferred</t>
  </si>
  <si>
    <t>Common stock</t>
  </si>
  <si>
    <t>APIC</t>
  </si>
  <si>
    <t>AOCI</t>
  </si>
  <si>
    <t>RE</t>
  </si>
  <si>
    <t>Equity</t>
  </si>
  <si>
    <t>Liabilities &amp; Equity</t>
  </si>
  <si>
    <t>Balance ?</t>
  </si>
  <si>
    <t>Treasury Stock</t>
  </si>
  <si>
    <t>Return on relevant investments</t>
  </si>
  <si>
    <t>DIO</t>
  </si>
  <si>
    <t>DSO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</si>
</sst>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5" fillId="0" borderId="0" xfId="0" applyFont="1"/>
    <xf numFmtId="43" fontId="2" fillId="0" borderId="0" xfId="1" applyFont="1" applyAlignment="1"/>
    <xf numFmtId="43" fontId="5" fillId="0" borderId="0" xfId="1" applyFont="1" applyAlignment="1"/>
    <xf numFmtId="164" fontId="2" fillId="0" borderId="0" xfId="1" applyNumberFormat="1" applyFont="1" applyAlignment="1"/>
    <xf numFmtId="164" fontId="5" fillId="0" borderId="0" xfId="1" applyNumberFormat="1" applyFont="1" applyAlignment="1"/>
    <xf numFmtId="0" fontId="6" fillId="0" borderId="0" xfId="0" applyFont="1"/>
    <xf numFmtId="165" fontId="6" fillId="0" borderId="0" xfId="1" applyNumberFormat="1" applyFont="1" applyAlignment="1"/>
    <xf numFmtId="164" fontId="6" fillId="0" borderId="0" xfId="1" applyNumberFormat="1" applyFont="1" applyAlignment="1"/>
    <xf numFmtId="164" fontId="2" fillId="0" borderId="0" xfId="0" applyNumberFormat="1" applyFont="1"/>
    <xf numFmtId="0" fontId="7" fillId="0" borderId="0" xfId="0" applyFont="1"/>
    <xf numFmtId="164" fontId="7" fillId="0" borderId="0" xfId="1" applyNumberFormat="1" applyFont="1" applyAlignment="1"/>
    <xf numFmtId="165" fontId="7" fillId="0" borderId="0" xfId="1" applyNumberFormat="1" applyFont="1" applyAlignment="1"/>
    <xf numFmtId="9" fontId="6" fillId="0" borderId="0" xfId="1" applyNumberFormat="1" applyFont="1" applyAlignment="1"/>
    <xf numFmtId="165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Sheet1!$A$48</c:f>
              <c:strCache>
                <c:ptCount val="1"/>
                <c:pt idx="0">
                  <c:v>Normalized NI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Sheet1!$B$12:$J$12</c:f>
              <c:strCache>
                <c:ptCount val="9"/>
                <c:pt idx="0">
                  <c:v>Q124</c:v>
                </c:pt>
                <c:pt idx="1">
                  <c:v>Q224</c:v>
                </c:pt>
                <c:pt idx="2">
                  <c:v>Q324</c:v>
                </c:pt>
                <c:pt idx="3">
                  <c:v>Q424</c:v>
                </c:pt>
                <c:pt idx="4">
                  <c:v>Q125</c:v>
                </c:pt>
                <c:pt idx="5">
                  <c:v>Q225</c:v>
                </c:pt>
                <c:pt idx="6">
                  <c:v>Q325</c:v>
                </c:pt>
                <c:pt idx="7">
                  <c:v>Q425</c:v>
                </c:pt>
                <c:pt idx="8">
                  <c:v>Q126</c:v>
                </c:pt>
              </c:strCache>
            </c:strRef>
          </c:cat>
          <c:val>
            <c:numRef>
              <c:f>Sheet1!$B$48:$J$48</c:f>
              <c:numCache>
                <c:formatCode>0.0%</c:formatCode>
                <c:ptCount val="9"/>
                <c:pt idx="0">
                  <c:v>-0.17835999999999999</c:v>
                </c:pt>
                <c:pt idx="1">
                  <c:v>-6.5521108179419529E-2</c:v>
                </c:pt>
                <c:pt idx="2">
                  <c:v>4.3656349435927111E-2</c:v>
                </c:pt>
                <c:pt idx="3">
                  <c:v>0.10064824654622742</c:v>
                </c:pt>
                <c:pt idx="4">
                  <c:v>0.12993162393162394</c:v>
                </c:pt>
                <c:pt idx="5">
                  <c:v>0.12237339556592766</c:v>
                </c:pt>
                <c:pt idx="6">
                  <c:v>0.15708805579773322</c:v>
                </c:pt>
                <c:pt idx="7">
                  <c:v>0.2012936660268714</c:v>
                </c:pt>
                <c:pt idx="8">
                  <c:v>0.20110716820440031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D9-46FB-909C-32F51E513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69037696"/>
        <c:axId val="869034336"/>
      </c:lineChart>
      <c:catAx>
        <c:axId val="86903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34336"/>
        <c:crosses val="autoZero"/>
        <c:auto val="1"/>
        <c:lblAlgn val="ctr"/>
        <c:lblOffset val="100"/>
        <c:noMultiLvlLbl val="0"/>
      </c:catAx>
      <c:valAx>
        <c:axId val="86903433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3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390525</xdr:colOff>
      <xdr:row>12</xdr:row>
      <xdr:rowOff>147637</xdr:rowOff>
    </xdr:from>
    <xdr:to>
      <xdr:col>22</xdr:col>
      <xdr:colOff>47625</xdr:colOff>
      <xdr:row>33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4C238-E5CC-C413-0AE6-8C428F257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44D3B-27FD-42AF-9024-820493C1AAF0}">
  <dimension ref="A1:J94"/>
  <sheetViews>
    <sheetView tabSelected="1" topLeftCell="A48" workbookViewId="0">
      <pane xSplit="1" topLeftCell="B1" activePane="topRight" state="frozen"/>
      <selection activeCell="A25" sqref="A25"/>
      <selection pane="topRight" activeCell="B93" sqref="B93:J93"/>
    </sheetView>
  </sheetViews>
  <sheetFormatPr defaultRowHeight="15" x14ac:dyDescent="0.2"/>
  <cols>
    <col min="1" max="1" width="35.140625" style="2" customWidth="1"/>
    <col min="2" max="10" width="11.28515625" style="7" customWidth="1"/>
    <col min="11" max="16384" width="9.140625" style="7"/>
  </cols>
  <sheetData>
    <row r="1" spans="1:10" s="2" customFormat="1" x14ac:dyDescent="0.2"/>
    <row r="2" spans="1:10" s="4" customFormat="1" ht="15.75" x14ac:dyDescent="0.25">
      <c r="A2" s="4" t="s">
        <v>0</v>
      </c>
      <c r="B2" s="6">
        <v>170</v>
      </c>
    </row>
    <row r="3" spans="1:10" s="2" customFormat="1" x14ac:dyDescent="0.2">
      <c r="A3" s="2" t="s">
        <v>1</v>
      </c>
      <c r="B3" s="12">
        <f>J37</f>
        <v>376</v>
      </c>
    </row>
    <row r="4" spans="1:10" s="2" customFormat="1" x14ac:dyDescent="0.2">
      <c r="A4" s="2" t="s">
        <v>2</v>
      </c>
      <c r="B4" s="7">
        <f>B2*B3</f>
        <v>63920</v>
      </c>
    </row>
    <row r="5" spans="1:10" s="2" customFormat="1" x14ac:dyDescent="0.2">
      <c r="A5" s="2" t="s">
        <v>3</v>
      </c>
      <c r="B5" s="7"/>
    </row>
    <row r="6" spans="1:10" s="2" customFormat="1" x14ac:dyDescent="0.2">
      <c r="A6" s="2" t="s">
        <v>4</v>
      </c>
      <c r="B6" s="7"/>
    </row>
    <row r="7" spans="1:10" s="2" customFormat="1" x14ac:dyDescent="0.2">
      <c r="A7" s="2" t="s">
        <v>5</v>
      </c>
      <c r="B7" s="7">
        <f>B4-B5+B6</f>
        <v>63920</v>
      </c>
    </row>
    <row r="8" spans="1:10" s="2" customFormat="1" x14ac:dyDescent="0.2">
      <c r="A8" s="2" t="s">
        <v>6</v>
      </c>
      <c r="B8" s="17">
        <v>0.09</v>
      </c>
    </row>
    <row r="9" spans="1:10" s="2" customFormat="1" x14ac:dyDescent="0.2">
      <c r="A9" s="2" t="s">
        <v>7</v>
      </c>
      <c r="B9" s="17">
        <v>1.4999999999999999E-2</v>
      </c>
    </row>
    <row r="10" spans="1:10" s="2" customFormat="1" x14ac:dyDescent="0.2">
      <c r="A10" s="2" t="s">
        <v>8</v>
      </c>
      <c r="B10" s="17" cm="1">
        <f t="array" ref="B10">SUM(G43:J43/B2)</f>
        <v>3.1948150954930095E-2</v>
      </c>
    </row>
    <row r="11" spans="1:10" s="2" customFormat="1" x14ac:dyDescent="0.2"/>
    <row r="12" spans="1:10" s="2" customFormat="1" x14ac:dyDescent="0.2">
      <c r="B12" s="1" t="s">
        <v>10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  <c r="J12" s="1" t="s">
        <v>18</v>
      </c>
    </row>
    <row r="13" spans="1:10" s="2" customFormat="1" x14ac:dyDescent="0.2">
      <c r="A13" s="3" t="s">
        <v>9</v>
      </c>
    </row>
    <row r="14" spans="1:10" x14ac:dyDescent="0.2">
      <c r="A14" s="2" t="s">
        <v>19</v>
      </c>
      <c r="B14" s="7">
        <v>1556</v>
      </c>
      <c r="C14" s="7">
        <v>1665</v>
      </c>
      <c r="D14" s="7">
        <v>1705</v>
      </c>
      <c r="E14" s="7">
        <v>1761</v>
      </c>
      <c r="F14" s="7">
        <v>2211</v>
      </c>
      <c r="G14" s="7">
        <v>2409</v>
      </c>
    </row>
    <row r="15" spans="1:10" x14ac:dyDescent="0.2">
      <c r="A15" s="2" t="s">
        <v>20</v>
      </c>
      <c r="B15" s="7">
        <v>1194</v>
      </c>
      <c r="C15" s="7">
        <v>1367</v>
      </c>
      <c r="D15" s="7">
        <v>1752</v>
      </c>
      <c r="E15" s="7">
        <v>2003</v>
      </c>
      <c r="F15" s="7">
        <v>1884</v>
      </c>
      <c r="G15" s="7">
        <v>1876</v>
      </c>
    </row>
    <row r="16" spans="1:10" s="8" customFormat="1" ht="15.75" x14ac:dyDescent="0.25">
      <c r="A16" s="4" t="s">
        <v>21</v>
      </c>
      <c r="B16" s="8">
        <f t="shared" ref="B16:G16" si="0">SUM(B14:B15)</f>
        <v>2750</v>
      </c>
      <c r="C16" s="8">
        <f t="shared" si="0"/>
        <v>3032</v>
      </c>
      <c r="D16" s="8">
        <f t="shared" si="0"/>
        <v>3457</v>
      </c>
      <c r="E16" s="8">
        <f t="shared" si="0"/>
        <v>3764</v>
      </c>
      <c r="F16" s="8">
        <f t="shared" si="0"/>
        <v>4095</v>
      </c>
      <c r="G16" s="8">
        <f t="shared" si="0"/>
        <v>4285</v>
      </c>
      <c r="H16" s="8">
        <v>2294</v>
      </c>
      <c r="I16" s="8">
        <v>2605</v>
      </c>
      <c r="J16" s="8">
        <v>2818</v>
      </c>
    </row>
    <row r="18" spans="1:10" x14ac:dyDescent="0.2">
      <c r="A18" s="2" t="s">
        <v>22</v>
      </c>
      <c r="B18" s="7">
        <v>2651</v>
      </c>
      <c r="C18" s="7">
        <v>2540</v>
      </c>
      <c r="D18" s="7">
        <v>2456</v>
      </c>
      <c r="E18" s="7">
        <v>2411</v>
      </c>
      <c r="F18" s="7">
        <v>2544</v>
      </c>
      <c r="G18" s="7">
        <v>2769</v>
      </c>
      <c r="H18" s="7">
        <v>1382</v>
      </c>
      <c r="I18" s="7">
        <v>1538</v>
      </c>
      <c r="J18" s="7">
        <v>1591</v>
      </c>
    </row>
    <row r="19" spans="1:10" s="8" customFormat="1" ht="15.75" x14ac:dyDescent="0.25">
      <c r="A19" s="4" t="s">
        <v>23</v>
      </c>
      <c r="B19" s="8">
        <f>B16-B18</f>
        <v>99</v>
      </c>
      <c r="C19" s="8">
        <f t="shared" ref="C19:J19" si="1">C16-C18</f>
        <v>492</v>
      </c>
      <c r="D19" s="8">
        <f t="shared" si="1"/>
        <v>1001</v>
      </c>
      <c r="E19" s="8">
        <f t="shared" si="1"/>
        <v>1353</v>
      </c>
      <c r="F19" s="8">
        <f t="shared" si="1"/>
        <v>1551</v>
      </c>
      <c r="G19" s="8">
        <f t="shared" si="1"/>
        <v>1516</v>
      </c>
      <c r="H19" s="8">
        <f t="shared" si="1"/>
        <v>912</v>
      </c>
      <c r="I19" s="8">
        <f t="shared" si="1"/>
        <v>1067</v>
      </c>
      <c r="J19" s="8">
        <f t="shared" si="1"/>
        <v>1227</v>
      </c>
    </row>
    <row r="21" spans="1:10" x14ac:dyDescent="0.2">
      <c r="A21" s="2" t="s">
        <v>24</v>
      </c>
      <c r="B21" s="7">
        <v>431</v>
      </c>
      <c r="C21" s="7">
        <v>444</v>
      </c>
      <c r="D21" s="7">
        <v>494</v>
      </c>
      <c r="E21" s="7">
        <v>538</v>
      </c>
      <c r="F21" s="7">
        <v>519</v>
      </c>
      <c r="G21" s="7">
        <v>502</v>
      </c>
      <c r="H21" s="7">
        <v>245</v>
      </c>
      <c r="I21" s="7">
        <v>262</v>
      </c>
      <c r="J21" s="7">
        <v>294</v>
      </c>
    </row>
    <row r="22" spans="1:10" x14ac:dyDescent="0.2">
      <c r="A22" s="2" t="s">
        <v>25</v>
      </c>
      <c r="B22" s="7">
        <v>207</v>
      </c>
      <c r="C22" s="7">
        <v>198</v>
      </c>
      <c r="D22" s="7">
        <v>203</v>
      </c>
      <c r="E22" s="7">
        <v>220</v>
      </c>
      <c r="F22" s="7">
        <v>242</v>
      </c>
      <c r="G22" s="7">
        <v>238</v>
      </c>
      <c r="H22" s="7">
        <v>108</v>
      </c>
      <c r="I22" s="7">
        <v>124</v>
      </c>
      <c r="J22" s="7">
        <v>138</v>
      </c>
    </row>
    <row r="23" spans="1:10" x14ac:dyDescent="0.2">
      <c r="A23" s="2" t="s">
        <v>26</v>
      </c>
      <c r="B23" s="7">
        <v>57</v>
      </c>
      <c r="C23" s="7">
        <f>24+36</f>
        <v>60</v>
      </c>
      <c r="D23" s="7">
        <f>8+23</f>
        <v>31</v>
      </c>
      <c r="E23" s="7">
        <v>88</v>
      </c>
      <c r="F23" s="7">
        <v>48</v>
      </c>
      <c r="G23" s="7">
        <f>+-113+44+-7</f>
        <v>-76</v>
      </c>
      <c r="H23" s="7">
        <v>-201</v>
      </c>
      <c r="I23" s="7">
        <v>1</v>
      </c>
      <c r="J23" s="7">
        <v>3</v>
      </c>
    </row>
    <row r="24" spans="1:10" s="8" customFormat="1" ht="15.75" x14ac:dyDescent="0.25">
      <c r="A24" s="4" t="s">
        <v>27</v>
      </c>
      <c r="B24" s="8">
        <f>B19-B21-B22-B23</f>
        <v>-596</v>
      </c>
      <c r="C24" s="8">
        <f t="shared" ref="C24:J24" si="2">C19-C21-C22-C23</f>
        <v>-210</v>
      </c>
      <c r="D24" s="8">
        <f t="shared" si="2"/>
        <v>273</v>
      </c>
      <c r="E24" s="8">
        <f t="shared" si="2"/>
        <v>507</v>
      </c>
      <c r="F24" s="8">
        <f t="shared" si="2"/>
        <v>742</v>
      </c>
      <c r="G24" s="8">
        <f t="shared" si="2"/>
        <v>852</v>
      </c>
      <c r="H24" s="8">
        <f t="shared" si="2"/>
        <v>760</v>
      </c>
      <c r="I24" s="8">
        <f t="shared" si="2"/>
        <v>680</v>
      </c>
      <c r="J24" s="8">
        <f t="shared" si="2"/>
        <v>792</v>
      </c>
    </row>
    <row r="26" spans="1:10" x14ac:dyDescent="0.2">
      <c r="A26" s="2" t="s">
        <v>28</v>
      </c>
      <c r="B26" s="7">
        <v>8</v>
      </c>
      <c r="C26" s="7">
        <v>12</v>
      </c>
      <c r="D26" s="7">
        <v>10</v>
      </c>
      <c r="E26" s="7">
        <v>9</v>
      </c>
      <c r="F26" s="7">
        <v>9</v>
      </c>
      <c r="G26" s="7">
        <v>11</v>
      </c>
      <c r="H26" s="7">
        <v>10</v>
      </c>
      <c r="J26" s="7">
        <v>17</v>
      </c>
    </row>
    <row r="27" spans="1:10" x14ac:dyDescent="0.2">
      <c r="A27" s="2" t="s">
        <v>29</v>
      </c>
      <c r="B27" s="7">
        <v>-98</v>
      </c>
      <c r="C27" s="7">
        <v>-108</v>
      </c>
      <c r="D27" s="7">
        <v>-108</v>
      </c>
      <c r="E27" s="7">
        <v>-103</v>
      </c>
      <c r="F27" s="7">
        <v>-99</v>
      </c>
      <c r="G27" s="7">
        <v>-95</v>
      </c>
      <c r="H27" s="7">
        <v>-91</v>
      </c>
      <c r="J27" s="7">
        <v>-59</v>
      </c>
    </row>
    <row r="28" spans="1:10" x14ac:dyDescent="0.2">
      <c r="A28" s="2" t="s">
        <v>26</v>
      </c>
      <c r="B28" s="7">
        <v>4</v>
      </c>
      <c r="C28" s="7">
        <v>47</v>
      </c>
      <c r="D28" s="7">
        <v>3</v>
      </c>
      <c r="E28" s="7">
        <v>-20</v>
      </c>
      <c r="F28" s="7">
        <v>-24</v>
      </c>
      <c r="G28" s="7">
        <v>-27</v>
      </c>
      <c r="H28" s="7">
        <v>-605</v>
      </c>
      <c r="I28" s="7">
        <v>-333</v>
      </c>
      <c r="J28" s="7">
        <f>611-24</f>
        <v>587</v>
      </c>
    </row>
    <row r="29" spans="1:10" s="8" customFormat="1" ht="15.75" x14ac:dyDescent="0.25">
      <c r="A29" s="4" t="s">
        <v>30</v>
      </c>
      <c r="B29" s="8">
        <f>SUM(B24:B28)</f>
        <v>-682</v>
      </c>
      <c r="C29" s="8">
        <f t="shared" ref="C29:J29" si="3">SUM(C24:C28)</f>
        <v>-259</v>
      </c>
      <c r="D29" s="8">
        <f t="shared" si="3"/>
        <v>178</v>
      </c>
      <c r="E29" s="8">
        <f t="shared" si="3"/>
        <v>393</v>
      </c>
      <c r="F29" s="8">
        <f t="shared" si="3"/>
        <v>628</v>
      </c>
      <c r="G29" s="8">
        <f t="shared" si="3"/>
        <v>741</v>
      </c>
      <c r="H29" s="8">
        <f t="shared" si="3"/>
        <v>74</v>
      </c>
      <c r="I29" s="8">
        <f t="shared" si="3"/>
        <v>347</v>
      </c>
      <c r="J29" s="8">
        <f t="shared" si="3"/>
        <v>1337</v>
      </c>
    </row>
    <row r="31" spans="1:10" x14ac:dyDescent="0.2">
      <c r="A31" s="2" t="s">
        <v>31</v>
      </c>
      <c r="B31" s="7">
        <v>3</v>
      </c>
      <c r="C31" s="7">
        <v>28</v>
      </c>
      <c r="D31" s="7">
        <v>43</v>
      </c>
      <c r="E31" s="7">
        <v>63</v>
      </c>
      <c r="F31" s="7">
        <v>135</v>
      </c>
      <c r="G31" s="7">
        <v>147</v>
      </c>
      <c r="H31" s="7">
        <v>-698</v>
      </c>
      <c r="I31" s="7">
        <v>95</v>
      </c>
      <c r="J31" s="7">
        <v>155</v>
      </c>
    </row>
    <row r="32" spans="1:10" x14ac:dyDescent="0.2">
      <c r="A32" s="2" t="s">
        <v>32</v>
      </c>
      <c r="B32" s="7">
        <v>15</v>
      </c>
      <c r="C32" s="7">
        <v>14</v>
      </c>
      <c r="D32" s="7">
        <f>15+7</f>
        <v>22</v>
      </c>
      <c r="E32" s="7">
        <v>23</v>
      </c>
      <c r="F32" s="7">
        <v>12</v>
      </c>
      <c r="G32" s="7">
        <v>13</v>
      </c>
      <c r="H32" s="7">
        <v>252</v>
      </c>
      <c r="I32" s="7">
        <v>-30</v>
      </c>
      <c r="J32" s="7">
        <v>0</v>
      </c>
    </row>
    <row r="33" spans="1:10" s="8" customFormat="1" ht="15.75" x14ac:dyDescent="0.25">
      <c r="A33" s="4" t="s">
        <v>33</v>
      </c>
      <c r="B33" s="8">
        <f>B29-B31-B32</f>
        <v>-700</v>
      </c>
      <c r="C33" s="8">
        <f t="shared" ref="C33:J33" si="4">C29-C31-C32</f>
        <v>-301</v>
      </c>
      <c r="D33" s="8">
        <f t="shared" si="4"/>
        <v>113</v>
      </c>
      <c r="E33" s="8">
        <f t="shared" si="4"/>
        <v>307</v>
      </c>
      <c r="F33" s="8">
        <f t="shared" si="4"/>
        <v>481</v>
      </c>
      <c r="G33" s="8">
        <f t="shared" si="4"/>
        <v>581</v>
      </c>
      <c r="H33" s="8">
        <f t="shared" si="4"/>
        <v>520</v>
      </c>
      <c r="I33" s="8">
        <f t="shared" si="4"/>
        <v>282</v>
      </c>
      <c r="J33" s="8">
        <f t="shared" si="4"/>
        <v>1182</v>
      </c>
    </row>
    <row r="34" spans="1:10" x14ac:dyDescent="0.2">
      <c r="A34" s="2" t="s">
        <v>34</v>
      </c>
      <c r="B34" s="5">
        <f>B$33/B36</f>
        <v>-2.1671826625386998</v>
      </c>
      <c r="C34" s="5">
        <f t="shared" ref="C34:J35" si="5">C$33/C36</f>
        <v>-0.92615384615384611</v>
      </c>
      <c r="D34" s="5">
        <f t="shared" si="5"/>
        <v>0.34662576687116564</v>
      </c>
      <c r="E34" s="5">
        <f t="shared" si="5"/>
        <v>0.92192192192192191</v>
      </c>
      <c r="F34" s="5">
        <f t="shared" si="5"/>
        <v>1.3982558139534884</v>
      </c>
      <c r="G34" s="5">
        <f t="shared" si="5"/>
        <v>1.6791907514450868</v>
      </c>
      <c r="H34" s="5">
        <f t="shared" si="5"/>
        <v>1.4942528735632183</v>
      </c>
      <c r="I34" s="5">
        <f t="shared" si="5"/>
        <v>0.81034482758620685</v>
      </c>
      <c r="J34" s="5">
        <f t="shared" si="5"/>
        <v>3.4260869565217393</v>
      </c>
    </row>
    <row r="35" spans="1:10" x14ac:dyDescent="0.2">
      <c r="A35" s="2" t="s">
        <v>35</v>
      </c>
      <c r="B35" s="5">
        <f>B$33/B37</f>
        <v>-2.1671826625386998</v>
      </c>
      <c r="C35" s="5">
        <f t="shared" si="5"/>
        <v>-0.92615384615384611</v>
      </c>
      <c r="D35" s="5">
        <f t="shared" si="5"/>
        <v>0.33731343283582088</v>
      </c>
      <c r="E35" s="5">
        <f t="shared" si="5"/>
        <v>0.87965616045845274</v>
      </c>
      <c r="F35" s="5">
        <f t="shared" si="5"/>
        <v>1.3473389355742298</v>
      </c>
      <c r="G35" s="5">
        <f t="shared" si="5"/>
        <v>1.6274509803921569</v>
      </c>
      <c r="H35" s="5">
        <f t="shared" si="5"/>
        <v>1.4525139664804469</v>
      </c>
      <c r="I35" s="5">
        <f t="shared" si="5"/>
        <v>0.77900552486187846</v>
      </c>
      <c r="J35" s="5">
        <f t="shared" si="5"/>
        <v>3.1436170212765959</v>
      </c>
    </row>
    <row r="36" spans="1:10" x14ac:dyDescent="0.2">
      <c r="A36" s="2" t="s">
        <v>36</v>
      </c>
      <c r="B36" s="7">
        <v>323</v>
      </c>
      <c r="C36" s="7">
        <v>325</v>
      </c>
      <c r="D36" s="7">
        <v>326</v>
      </c>
      <c r="E36" s="7">
        <v>333</v>
      </c>
      <c r="F36" s="7">
        <v>344</v>
      </c>
      <c r="G36" s="7">
        <v>346</v>
      </c>
      <c r="H36" s="7">
        <v>348</v>
      </c>
      <c r="I36" s="7">
        <v>348</v>
      </c>
      <c r="J36" s="7">
        <v>345</v>
      </c>
    </row>
    <row r="37" spans="1:10" x14ac:dyDescent="0.2">
      <c r="A37" s="2" t="s">
        <v>37</v>
      </c>
      <c r="B37" s="7">
        <v>323</v>
      </c>
      <c r="C37" s="7">
        <v>325</v>
      </c>
      <c r="D37" s="7">
        <v>335</v>
      </c>
      <c r="E37" s="7">
        <v>349</v>
      </c>
      <c r="F37" s="7">
        <v>357</v>
      </c>
      <c r="G37" s="7">
        <v>357</v>
      </c>
      <c r="H37" s="7">
        <v>358</v>
      </c>
      <c r="I37" s="7">
        <v>362</v>
      </c>
      <c r="J37" s="7">
        <v>376</v>
      </c>
    </row>
    <row r="39" spans="1:10" x14ac:dyDescent="0.2">
      <c r="A39" s="2" t="s">
        <v>41</v>
      </c>
    </row>
    <row r="40" spans="1:10" x14ac:dyDescent="0.2">
      <c r="A40" s="2" t="s">
        <v>51</v>
      </c>
      <c r="B40" s="16">
        <v>0.23</v>
      </c>
      <c r="C40" s="16">
        <v>0.23</v>
      </c>
      <c r="D40" s="16">
        <v>0.23</v>
      </c>
      <c r="E40" s="16">
        <v>0.23</v>
      </c>
      <c r="F40" s="16">
        <v>0.23</v>
      </c>
      <c r="G40" s="16">
        <v>0.23</v>
      </c>
      <c r="H40" s="16">
        <v>0.23</v>
      </c>
      <c r="I40" s="16">
        <v>0.23</v>
      </c>
      <c r="J40" s="16">
        <v>0.23</v>
      </c>
    </row>
    <row r="41" spans="1:10" x14ac:dyDescent="0.2">
      <c r="A41" s="2" t="s">
        <v>38</v>
      </c>
      <c r="B41" s="7">
        <f>B19-B21-B22</f>
        <v>-539</v>
      </c>
      <c r="C41" s="7">
        <f t="shared" ref="C41:J41" si="6">C19-C21-C22</f>
        <v>-150</v>
      </c>
      <c r="D41" s="7">
        <f t="shared" si="6"/>
        <v>304</v>
      </c>
      <c r="E41" s="7">
        <f t="shared" si="6"/>
        <v>595</v>
      </c>
      <c r="F41" s="7">
        <f t="shared" si="6"/>
        <v>790</v>
      </c>
      <c r="G41" s="7">
        <f t="shared" si="6"/>
        <v>776</v>
      </c>
      <c r="H41" s="7">
        <f t="shared" si="6"/>
        <v>559</v>
      </c>
      <c r="I41" s="7">
        <f t="shared" si="6"/>
        <v>681</v>
      </c>
      <c r="J41" s="7">
        <f t="shared" si="6"/>
        <v>795</v>
      </c>
    </row>
    <row r="42" spans="1:10" x14ac:dyDescent="0.2">
      <c r="A42" s="2" t="s">
        <v>40</v>
      </c>
      <c r="B42" s="7">
        <f>(B41+B27)*(1-B40)</f>
        <v>-490.49</v>
      </c>
      <c r="C42" s="7">
        <f t="shared" ref="C42:J42" si="7">(C41+C27)*(1-C40)</f>
        <v>-198.66</v>
      </c>
      <c r="D42" s="7">
        <f t="shared" si="7"/>
        <v>150.92000000000002</v>
      </c>
      <c r="E42" s="7">
        <f t="shared" si="7"/>
        <v>378.84000000000003</v>
      </c>
      <c r="F42" s="7">
        <f t="shared" si="7"/>
        <v>532.07000000000005</v>
      </c>
      <c r="G42" s="7">
        <f t="shared" si="7"/>
        <v>524.37</v>
      </c>
      <c r="H42" s="7">
        <f t="shared" si="7"/>
        <v>360.36</v>
      </c>
      <c r="I42" s="7">
        <f t="shared" si="7"/>
        <v>524.37</v>
      </c>
      <c r="J42" s="7">
        <f t="shared" si="7"/>
        <v>566.72</v>
      </c>
    </row>
    <row r="43" spans="1:10" x14ac:dyDescent="0.2">
      <c r="A43" s="2" t="s">
        <v>39</v>
      </c>
      <c r="B43" s="5">
        <f>B42/B37</f>
        <v>-1.5185448916408668</v>
      </c>
      <c r="C43" s="5">
        <f t="shared" ref="C43:J43" si="8">C42/C37</f>
        <v>-0.61126153846153841</v>
      </c>
      <c r="D43" s="5">
        <f t="shared" si="8"/>
        <v>0.45050746268656722</v>
      </c>
      <c r="E43" s="5">
        <f t="shared" si="8"/>
        <v>1.0855014326647565</v>
      </c>
      <c r="F43" s="5">
        <f t="shared" si="8"/>
        <v>1.4903921568627452</v>
      </c>
      <c r="G43" s="5">
        <f t="shared" si="8"/>
        <v>1.4688235294117646</v>
      </c>
      <c r="H43" s="5">
        <f t="shared" si="8"/>
        <v>1.0065921787709498</v>
      </c>
      <c r="I43" s="5">
        <f t="shared" si="8"/>
        <v>1.4485359116022098</v>
      </c>
      <c r="J43" s="5">
        <f t="shared" si="8"/>
        <v>1.5072340425531916</v>
      </c>
    </row>
    <row r="45" spans="1:10" x14ac:dyDescent="0.2">
      <c r="A45" s="2" t="s">
        <v>42</v>
      </c>
    </row>
    <row r="46" spans="1:10" s="11" customFormat="1" x14ac:dyDescent="0.2">
      <c r="A46" s="9" t="s">
        <v>43</v>
      </c>
      <c r="B46" s="10">
        <f>B19/B16</f>
        <v>3.5999999999999997E-2</v>
      </c>
      <c r="C46" s="10">
        <f t="shared" ref="C46:J46" si="9">C19/C16</f>
        <v>0.16226912928759896</v>
      </c>
      <c r="D46" s="10">
        <f t="shared" si="9"/>
        <v>0.28955741972808796</v>
      </c>
      <c r="E46" s="10">
        <f t="shared" si="9"/>
        <v>0.35945802337938365</v>
      </c>
      <c r="F46" s="10">
        <f t="shared" si="9"/>
        <v>0.37875457875457874</v>
      </c>
      <c r="G46" s="10">
        <f t="shared" si="9"/>
        <v>0.35379229871645274</v>
      </c>
      <c r="H46" s="10">
        <f t="shared" si="9"/>
        <v>0.39755884917175238</v>
      </c>
      <c r="I46" s="10">
        <f t="shared" si="9"/>
        <v>0.40959692898272554</v>
      </c>
      <c r="J46" s="10">
        <f t="shared" si="9"/>
        <v>0.43541518807665008</v>
      </c>
    </row>
    <row r="47" spans="1:10" s="11" customFormat="1" x14ac:dyDescent="0.2">
      <c r="A47" s="9" t="s">
        <v>38</v>
      </c>
      <c r="B47" s="10">
        <f>B41/B16</f>
        <v>-0.19600000000000001</v>
      </c>
      <c r="C47" s="10">
        <f t="shared" ref="C47:J47" si="10">C41/C16</f>
        <v>-4.947229551451187E-2</v>
      </c>
      <c r="D47" s="10">
        <f t="shared" si="10"/>
        <v>8.793751807925948E-2</v>
      </c>
      <c r="E47" s="10">
        <f t="shared" si="10"/>
        <v>0.15807651434643996</v>
      </c>
      <c r="F47" s="10">
        <f t="shared" si="10"/>
        <v>0.19291819291819293</v>
      </c>
      <c r="G47" s="10">
        <f t="shared" si="10"/>
        <v>0.18109684947491247</v>
      </c>
      <c r="H47" s="10">
        <f t="shared" si="10"/>
        <v>0.24367916303400175</v>
      </c>
      <c r="I47" s="10">
        <f t="shared" si="10"/>
        <v>0.26142034548944337</v>
      </c>
      <c r="J47" s="10">
        <f t="shared" si="10"/>
        <v>0.2821149751596877</v>
      </c>
    </row>
    <row r="48" spans="1:10" s="11" customFormat="1" x14ac:dyDescent="0.2">
      <c r="A48" s="9" t="s">
        <v>40</v>
      </c>
      <c r="B48" s="10">
        <f>B42/B16</f>
        <v>-0.17835999999999999</v>
      </c>
      <c r="C48" s="10">
        <f t="shared" ref="C48:J48" si="11">C42/C16</f>
        <v>-6.5521108179419529E-2</v>
      </c>
      <c r="D48" s="10">
        <f t="shared" si="11"/>
        <v>4.3656349435927111E-2</v>
      </c>
      <c r="E48" s="10">
        <f t="shared" si="11"/>
        <v>0.10064824654622742</v>
      </c>
      <c r="F48" s="10">
        <f t="shared" si="11"/>
        <v>0.12993162393162394</v>
      </c>
      <c r="G48" s="10">
        <f t="shared" si="11"/>
        <v>0.12237339556592766</v>
      </c>
      <c r="H48" s="10">
        <f t="shared" si="11"/>
        <v>0.15708805579773322</v>
      </c>
      <c r="I48" s="10">
        <f t="shared" si="11"/>
        <v>0.2012936660268714</v>
      </c>
      <c r="J48" s="10">
        <f t="shared" si="11"/>
        <v>0.20110716820440031</v>
      </c>
    </row>
    <row r="49" spans="1:10" s="11" customFormat="1" x14ac:dyDescent="0.2">
      <c r="A49" s="9"/>
    </row>
    <row r="50" spans="1:10" s="11" customFormat="1" x14ac:dyDescent="0.2">
      <c r="A50" s="9" t="s">
        <v>44</v>
      </c>
    </row>
    <row r="51" spans="1:10" s="11" customFormat="1" x14ac:dyDescent="0.2">
      <c r="A51" s="9" t="s">
        <v>45</v>
      </c>
      <c r="C51" s="10">
        <f>C14/B14-1</f>
        <v>7.005141388174807E-2</v>
      </c>
      <c r="D51" s="10">
        <f t="shared" ref="D51:G51" si="12">D14/C14-1</f>
        <v>2.4024024024023927E-2</v>
      </c>
      <c r="E51" s="10">
        <f t="shared" si="12"/>
        <v>3.2844574780058755E-2</v>
      </c>
      <c r="F51" s="10">
        <f t="shared" si="12"/>
        <v>0.25553662691652468</v>
      </c>
      <c r="G51" s="10">
        <f t="shared" si="12"/>
        <v>8.9552238805970186E-2</v>
      </c>
      <c r="H51" s="10"/>
      <c r="I51" s="10"/>
      <c r="J51" s="10"/>
    </row>
    <row r="52" spans="1:10" s="11" customFormat="1" x14ac:dyDescent="0.2">
      <c r="A52" s="9" t="s">
        <v>46</v>
      </c>
      <c r="C52" s="10">
        <f>C15/B15-1</f>
        <v>0.14489112227805689</v>
      </c>
      <c r="D52" s="10">
        <f t="shared" ref="D52:G53" si="13">D15/C15-1</f>
        <v>0.28163862472567658</v>
      </c>
      <c r="E52" s="10">
        <f t="shared" si="13"/>
        <v>0.1432648401826484</v>
      </c>
      <c r="F52" s="10">
        <f t="shared" si="13"/>
        <v>-5.9410883674488213E-2</v>
      </c>
      <c r="G52" s="10">
        <f t="shared" si="13"/>
        <v>-4.2462845010615702E-3</v>
      </c>
      <c r="H52" s="10"/>
      <c r="I52" s="10"/>
      <c r="J52" s="10"/>
    </row>
    <row r="53" spans="1:10" s="14" customFormat="1" x14ac:dyDescent="0.2">
      <c r="A53" s="13" t="s">
        <v>49</v>
      </c>
      <c r="C53" s="15">
        <f>C16/B16-1</f>
        <v>0.1025454545454545</v>
      </c>
      <c r="D53" s="15">
        <f t="shared" si="13"/>
        <v>0.14017150395778355</v>
      </c>
      <c r="E53" s="15">
        <f t="shared" si="13"/>
        <v>8.8805322533989095E-2</v>
      </c>
      <c r="F53" s="15">
        <f t="shared" si="13"/>
        <v>8.7938363443145651E-2</v>
      </c>
      <c r="G53" s="15">
        <f t="shared" si="13"/>
        <v>4.6398046398046455E-2</v>
      </c>
      <c r="H53" s="15">
        <f>H16/G16-1</f>
        <v>-0.46464410735122519</v>
      </c>
      <c r="I53" s="15">
        <f>I16/H16-1</f>
        <v>0.13557105492589372</v>
      </c>
      <c r="J53" s="15">
        <f>J16/I16-1</f>
        <v>8.1765834932821413E-2</v>
      </c>
    </row>
    <row r="54" spans="1:10" s="11" customFormat="1" x14ac:dyDescent="0.2">
      <c r="A54" s="9" t="s">
        <v>47</v>
      </c>
      <c r="C54" s="10"/>
      <c r="D54" s="10"/>
      <c r="E54" s="10"/>
      <c r="F54" s="10">
        <f t="shared" ref="F54:J56" si="14">F14/B14-1</f>
        <v>0.42095115681233941</v>
      </c>
      <c r="G54" s="10">
        <f t="shared" si="14"/>
        <v>0.44684684684684695</v>
      </c>
      <c r="H54" s="10">
        <f t="shared" si="14"/>
        <v>-1</v>
      </c>
      <c r="I54" s="10">
        <f t="shared" si="14"/>
        <v>-1</v>
      </c>
      <c r="J54" s="10">
        <f t="shared" si="14"/>
        <v>-1</v>
      </c>
    </row>
    <row r="55" spans="1:10" s="11" customFormat="1" x14ac:dyDescent="0.2">
      <c r="A55" s="9" t="s">
        <v>48</v>
      </c>
      <c r="C55" s="10"/>
      <c r="D55" s="10"/>
      <c r="E55" s="10"/>
      <c r="F55" s="10">
        <f t="shared" si="14"/>
        <v>0.57788944723618085</v>
      </c>
      <c r="G55" s="10">
        <f t="shared" si="14"/>
        <v>0.37234820775420618</v>
      </c>
      <c r="H55" s="10">
        <f t="shared" si="14"/>
        <v>-1</v>
      </c>
      <c r="I55" s="10">
        <f t="shared" si="14"/>
        <v>-1</v>
      </c>
      <c r="J55" s="10">
        <f t="shared" si="14"/>
        <v>-1</v>
      </c>
    </row>
    <row r="56" spans="1:10" s="8" customFormat="1" ht="15.75" x14ac:dyDescent="0.25">
      <c r="A56" s="4" t="s">
        <v>50</v>
      </c>
      <c r="F56" s="15">
        <f t="shared" si="14"/>
        <v>0.48909090909090902</v>
      </c>
      <c r="G56" s="15">
        <f t="shared" si="14"/>
        <v>0.41325857519788922</v>
      </c>
      <c r="H56" s="15">
        <f t="shared" si="14"/>
        <v>-0.33641886028348278</v>
      </c>
      <c r="I56" s="15">
        <f t="shared" si="14"/>
        <v>-0.30791710945802342</v>
      </c>
      <c r="J56" s="15">
        <f t="shared" si="14"/>
        <v>-0.31184371184371185</v>
      </c>
    </row>
    <row r="57" spans="1:10" s="8" customFormat="1" ht="15.75" x14ac:dyDescent="0.25">
      <c r="A57" s="4"/>
      <c r="F57" s="15"/>
      <c r="G57" s="15"/>
      <c r="H57" s="15"/>
      <c r="I57" s="15"/>
      <c r="J57" s="15"/>
    </row>
    <row r="59" spans="1:10" x14ac:dyDescent="0.2">
      <c r="A59" s="3" t="s">
        <v>52</v>
      </c>
    </row>
    <row r="60" spans="1:10" x14ac:dyDescent="0.2">
      <c r="A60" s="2" t="s">
        <v>53</v>
      </c>
      <c r="B60" s="7">
        <v>2032</v>
      </c>
      <c r="C60" s="7">
        <v>2481</v>
      </c>
      <c r="D60" s="7">
        <v>1894</v>
      </c>
      <c r="E60" s="7">
        <v>1879</v>
      </c>
      <c r="F60" s="7">
        <v>1705</v>
      </c>
      <c r="G60" s="7">
        <v>2291</v>
      </c>
      <c r="H60" s="7">
        <v>3477</v>
      </c>
      <c r="I60" s="7">
        <v>2114</v>
      </c>
      <c r="J60" s="7">
        <v>2048</v>
      </c>
    </row>
    <row r="61" spans="1:10" x14ac:dyDescent="0.2">
      <c r="A61" s="2" t="s">
        <v>54</v>
      </c>
      <c r="B61" s="7">
        <v>1451</v>
      </c>
      <c r="C61" s="7">
        <v>1523</v>
      </c>
      <c r="D61" s="7">
        <v>1800</v>
      </c>
      <c r="E61" s="7">
        <v>2166</v>
      </c>
      <c r="F61" s="7">
        <v>2458</v>
      </c>
      <c r="G61" s="7">
        <v>2597</v>
      </c>
      <c r="H61" s="7">
        <v>1469</v>
      </c>
      <c r="I61" s="7">
        <v>1486</v>
      </c>
      <c r="J61" s="7">
        <v>1355</v>
      </c>
    </row>
    <row r="62" spans="1:10" x14ac:dyDescent="0.2">
      <c r="A62" s="2" t="s">
        <v>55</v>
      </c>
      <c r="B62" s="7">
        <v>3497</v>
      </c>
      <c r="C62" s="7">
        <v>3216</v>
      </c>
      <c r="D62" s="7">
        <v>3215</v>
      </c>
      <c r="E62" s="7">
        <v>3342</v>
      </c>
      <c r="F62" s="7">
        <v>3384</v>
      </c>
      <c r="G62" s="7">
        <v>3420</v>
      </c>
      <c r="H62" s="7">
        <v>1311</v>
      </c>
      <c r="I62" s="7">
        <v>1291</v>
      </c>
      <c r="J62" s="7">
        <v>1393</v>
      </c>
    </row>
    <row r="63" spans="1:10" x14ac:dyDescent="0.2">
      <c r="A63" s="2" t="s">
        <v>26</v>
      </c>
      <c r="B63" s="7">
        <v>597</v>
      </c>
      <c r="C63" s="7">
        <v>618</v>
      </c>
      <c r="D63" s="7">
        <v>623</v>
      </c>
      <c r="E63" s="7">
        <v>673</v>
      </c>
      <c r="F63" s="7">
        <f>798+597</f>
        <v>1395</v>
      </c>
      <c r="G63" s="7">
        <v>1064</v>
      </c>
      <c r="H63" s="7">
        <f>1412+417</f>
        <v>1829</v>
      </c>
      <c r="I63" s="7">
        <f>354+611</f>
        <v>965</v>
      </c>
      <c r="J63" s="7">
        <f>965+514</f>
        <v>1479</v>
      </c>
    </row>
    <row r="64" spans="1:10" s="8" customFormat="1" ht="15.75" x14ac:dyDescent="0.25">
      <c r="A64" s="4" t="s">
        <v>56</v>
      </c>
      <c r="B64" s="8">
        <f>SUM(B60:B63)</f>
        <v>7577</v>
      </c>
      <c r="C64" s="8">
        <f t="shared" ref="C64:J64" si="15">SUM(C60:C63)</f>
        <v>7838</v>
      </c>
      <c r="D64" s="8">
        <f t="shared" si="15"/>
        <v>7532</v>
      </c>
      <c r="E64" s="8">
        <f t="shared" si="15"/>
        <v>8060</v>
      </c>
      <c r="F64" s="8">
        <f t="shared" si="15"/>
        <v>8942</v>
      </c>
      <c r="G64" s="8">
        <f t="shared" si="15"/>
        <v>9372</v>
      </c>
      <c r="H64" s="8">
        <f t="shared" si="15"/>
        <v>8086</v>
      </c>
      <c r="I64" s="8">
        <f t="shared" si="15"/>
        <v>5856</v>
      </c>
      <c r="J64" s="8">
        <f t="shared" si="15"/>
        <v>6275</v>
      </c>
    </row>
    <row r="65" spans="1:10" x14ac:dyDescent="0.2">
      <c r="A65" s="2" t="s">
        <v>57</v>
      </c>
      <c r="B65" s="7">
        <v>3371</v>
      </c>
      <c r="C65" s="7">
        <v>3315</v>
      </c>
      <c r="D65" s="7">
        <v>3253</v>
      </c>
      <c r="E65" s="7">
        <v>3167</v>
      </c>
      <c r="F65" s="7">
        <v>2917</v>
      </c>
      <c r="G65" s="7">
        <v>2930</v>
      </c>
      <c r="H65" s="7">
        <v>2347</v>
      </c>
      <c r="I65" s="7">
        <v>2343</v>
      </c>
      <c r="J65" s="7">
        <v>2345</v>
      </c>
    </row>
    <row r="66" spans="1:10" x14ac:dyDescent="0.2">
      <c r="A66" s="2" t="s">
        <v>58</v>
      </c>
      <c r="B66" s="7">
        <v>1245</v>
      </c>
      <c r="C66" s="7">
        <v>1344</v>
      </c>
      <c r="D66" s="7">
        <v>1099</v>
      </c>
      <c r="E66" s="7">
        <v>991</v>
      </c>
      <c r="F66" s="7">
        <v>1051</v>
      </c>
      <c r="G66" s="7">
        <v>861</v>
      </c>
      <c r="H66" s="7">
        <v>0</v>
      </c>
      <c r="I66" s="7">
        <v>0</v>
      </c>
      <c r="J66" s="7">
        <v>0</v>
      </c>
    </row>
    <row r="67" spans="1:10" x14ac:dyDescent="0.2">
      <c r="A67" s="2" t="s">
        <v>59</v>
      </c>
      <c r="B67" s="7">
        <v>10035</v>
      </c>
      <c r="C67" s="7">
        <v>10037</v>
      </c>
      <c r="D67" s="7">
        <v>10034</v>
      </c>
      <c r="E67" s="7">
        <v>10032</v>
      </c>
      <c r="F67" s="7">
        <v>9812</v>
      </c>
      <c r="G67" s="7">
        <v>9729</v>
      </c>
      <c r="H67" s="7">
        <v>4319</v>
      </c>
      <c r="I67" s="7">
        <v>4319</v>
      </c>
      <c r="J67" s="7">
        <v>4319</v>
      </c>
    </row>
    <row r="68" spans="1:10" x14ac:dyDescent="0.2">
      <c r="A68" s="2" t="s">
        <v>60</v>
      </c>
      <c r="B68" s="7">
        <v>80</v>
      </c>
      <c r="C68" s="7">
        <v>79</v>
      </c>
      <c r="D68" s="7">
        <v>78</v>
      </c>
      <c r="E68" s="7">
        <v>78</v>
      </c>
      <c r="F68" s="7">
        <v>77</v>
      </c>
      <c r="G68" s="7">
        <v>77</v>
      </c>
      <c r="H68" s="7">
        <v>76</v>
      </c>
      <c r="I68" s="7">
        <v>0</v>
      </c>
      <c r="J68" s="7">
        <v>0</v>
      </c>
    </row>
    <row r="69" spans="1:10" x14ac:dyDescent="0.2">
      <c r="A69" s="2" t="s">
        <v>61</v>
      </c>
      <c r="B69" s="7">
        <v>1693</v>
      </c>
      <c r="C69" s="7">
        <v>1772</v>
      </c>
      <c r="D69" s="7">
        <v>1805</v>
      </c>
      <c r="E69" s="7">
        <v>1767</v>
      </c>
      <c r="F69" s="7">
        <v>1972</v>
      </c>
      <c r="G69" s="7">
        <v>2487</v>
      </c>
      <c r="H69" s="7">
        <v>1540</v>
      </c>
      <c r="I69" s="7">
        <v>1484</v>
      </c>
      <c r="J69" s="7">
        <v>1420</v>
      </c>
    </row>
    <row r="70" spans="1:10" s="8" customFormat="1" ht="15.75" x14ac:dyDescent="0.25">
      <c r="A70" s="4" t="s">
        <v>62</v>
      </c>
      <c r="B70" s="8">
        <f>SUM(B64:B69)</f>
        <v>24001</v>
      </c>
      <c r="C70" s="8">
        <f t="shared" ref="C70:J70" si="16">SUM(C64:C69)</f>
        <v>24385</v>
      </c>
      <c r="D70" s="8">
        <f t="shared" si="16"/>
        <v>23801</v>
      </c>
      <c r="E70" s="8">
        <f t="shared" si="16"/>
        <v>24095</v>
      </c>
      <c r="F70" s="8">
        <f t="shared" si="16"/>
        <v>24771</v>
      </c>
      <c r="G70" s="8">
        <f t="shared" si="16"/>
        <v>25456</v>
      </c>
      <c r="H70" s="8">
        <f t="shared" si="16"/>
        <v>16368</v>
      </c>
      <c r="I70" s="8">
        <f t="shared" si="16"/>
        <v>14002</v>
      </c>
      <c r="J70" s="8">
        <f t="shared" si="16"/>
        <v>14359</v>
      </c>
    </row>
    <row r="71" spans="1:10" x14ac:dyDescent="0.2">
      <c r="A71" s="2" t="s">
        <v>63</v>
      </c>
      <c r="B71" s="7">
        <v>1294</v>
      </c>
      <c r="C71" s="7">
        <v>1504</v>
      </c>
      <c r="D71" s="7">
        <v>1400</v>
      </c>
      <c r="E71" s="7">
        <v>1411</v>
      </c>
      <c r="F71" s="7">
        <v>1578</v>
      </c>
      <c r="G71" s="7">
        <v>1627</v>
      </c>
      <c r="H71" s="7">
        <v>1287</v>
      </c>
      <c r="I71" s="7">
        <v>1266</v>
      </c>
      <c r="J71" s="7">
        <v>1533</v>
      </c>
    </row>
    <row r="72" spans="1:10" x14ac:dyDescent="0.2">
      <c r="A72" s="2" t="s">
        <v>64</v>
      </c>
      <c r="B72" s="7">
        <v>277</v>
      </c>
      <c r="C72" s="7">
        <v>251</v>
      </c>
      <c r="D72" s="7">
        <v>310</v>
      </c>
      <c r="E72" s="7">
        <v>313</v>
      </c>
      <c r="F72" s="7">
        <v>352</v>
      </c>
      <c r="G72" s="7">
        <v>369</v>
      </c>
      <c r="H72" s="7">
        <v>0</v>
      </c>
      <c r="I72" s="7">
        <v>0</v>
      </c>
      <c r="J72" s="7">
        <v>0</v>
      </c>
    </row>
    <row r="73" spans="1:10" x14ac:dyDescent="0.2">
      <c r="A73" s="2" t="s">
        <v>65</v>
      </c>
      <c r="B73" s="7">
        <v>1347</v>
      </c>
      <c r="C73" s="7">
        <v>1037</v>
      </c>
      <c r="D73" s="7">
        <v>972</v>
      </c>
      <c r="E73" s="7">
        <v>1096</v>
      </c>
      <c r="F73" s="7">
        <v>1311</v>
      </c>
      <c r="G73" s="7">
        <v>1576</v>
      </c>
      <c r="H73" s="7">
        <v>774</v>
      </c>
      <c r="I73" s="7">
        <v>719</v>
      </c>
      <c r="J73" s="7">
        <v>703</v>
      </c>
    </row>
    <row r="74" spans="1:10" x14ac:dyDescent="0.2">
      <c r="A74" s="2" t="s">
        <v>66</v>
      </c>
      <c r="B74" s="7">
        <v>675</v>
      </c>
      <c r="C74" s="7">
        <v>506</v>
      </c>
      <c r="D74" s="7">
        <v>476</v>
      </c>
      <c r="E74" s="7">
        <v>525</v>
      </c>
      <c r="F74" s="7">
        <v>448</v>
      </c>
      <c r="G74" s="7">
        <v>468</v>
      </c>
      <c r="H74" s="7">
        <v>373</v>
      </c>
      <c r="I74" s="7">
        <v>800</v>
      </c>
      <c r="J74" s="7">
        <v>413</v>
      </c>
    </row>
    <row r="75" spans="1:10" x14ac:dyDescent="0.2">
      <c r="A75" s="2" t="s">
        <v>67</v>
      </c>
      <c r="B75" s="7">
        <v>349</v>
      </c>
      <c r="C75" s="7">
        <v>353</v>
      </c>
      <c r="D75" s="7">
        <v>445</v>
      </c>
      <c r="E75" s="7">
        <v>608</v>
      </c>
      <c r="F75" s="7">
        <v>542</v>
      </c>
      <c r="G75" s="7">
        <v>516</v>
      </c>
      <c r="H75" s="7">
        <v>322</v>
      </c>
      <c r="I75" s="7">
        <v>407</v>
      </c>
      <c r="J75" s="7">
        <v>298</v>
      </c>
    </row>
    <row r="76" spans="1:10" x14ac:dyDescent="0.2">
      <c r="A76" s="2" t="s">
        <v>68</v>
      </c>
      <c r="B76" s="7">
        <v>1850</v>
      </c>
      <c r="C76" s="7">
        <v>1042</v>
      </c>
      <c r="D76" s="7">
        <v>450</v>
      </c>
      <c r="E76" s="7">
        <v>1750</v>
      </c>
      <c r="F76" s="7">
        <v>1860</v>
      </c>
      <c r="G76" s="7">
        <v>150</v>
      </c>
      <c r="H76" s="7">
        <v>2426</v>
      </c>
      <c r="I76" s="7">
        <v>2226</v>
      </c>
      <c r="J76" s="7">
        <v>2226</v>
      </c>
    </row>
    <row r="77" spans="1:10" s="8" customFormat="1" ht="15.75" x14ac:dyDescent="0.25">
      <c r="A77" s="4" t="s">
        <v>56</v>
      </c>
      <c r="B77" s="8">
        <f>SUM(B71:B76)</f>
        <v>5792</v>
      </c>
      <c r="C77" s="8">
        <f t="shared" ref="C77:J77" si="17">SUM(C71:C76)</f>
        <v>4693</v>
      </c>
      <c r="D77" s="8">
        <f t="shared" si="17"/>
        <v>4053</v>
      </c>
      <c r="E77" s="8">
        <f t="shared" si="17"/>
        <v>5703</v>
      </c>
      <c r="F77" s="8">
        <f t="shared" si="17"/>
        <v>6091</v>
      </c>
      <c r="G77" s="8">
        <f t="shared" si="17"/>
        <v>4706</v>
      </c>
      <c r="H77" s="8">
        <f t="shared" si="17"/>
        <v>5182</v>
      </c>
      <c r="I77" s="8">
        <f t="shared" si="17"/>
        <v>5418</v>
      </c>
      <c r="J77" s="8">
        <f t="shared" si="17"/>
        <v>5173</v>
      </c>
    </row>
    <row r="78" spans="1:10" x14ac:dyDescent="0.2">
      <c r="A78" s="2" t="s">
        <v>69</v>
      </c>
      <c r="B78" s="7">
        <v>5822</v>
      </c>
      <c r="C78" s="7">
        <v>7351</v>
      </c>
      <c r="D78" s="7">
        <v>7318</v>
      </c>
      <c r="E78" s="7">
        <v>5684</v>
      </c>
      <c r="F78" s="7">
        <v>5650</v>
      </c>
      <c r="G78" s="7">
        <v>7216</v>
      </c>
      <c r="H78" s="7">
        <v>4907</v>
      </c>
      <c r="I78" s="7">
        <v>2485</v>
      </c>
      <c r="J78" s="7">
        <v>2457</v>
      </c>
    </row>
    <row r="79" spans="1:10" x14ac:dyDescent="0.2">
      <c r="A79" s="2" t="s">
        <v>70</v>
      </c>
      <c r="B79" s="7">
        <v>1398</v>
      </c>
      <c r="C79" s="7">
        <v>1397</v>
      </c>
      <c r="D79" s="7">
        <v>1433</v>
      </c>
      <c r="E79" s="7">
        <v>1370</v>
      </c>
      <c r="F79" s="7">
        <v>1158</v>
      </c>
      <c r="G79" s="7">
        <v>1188</v>
      </c>
      <c r="H79" s="7">
        <v>873</v>
      </c>
      <c r="I79" s="7">
        <v>559</v>
      </c>
      <c r="J79" s="7">
        <v>612</v>
      </c>
    </row>
    <row r="80" spans="1:10" s="8" customFormat="1" ht="15.75" x14ac:dyDescent="0.25">
      <c r="A80" s="4" t="s">
        <v>71</v>
      </c>
      <c r="B80" s="8">
        <f>SUM(B77:B79)</f>
        <v>13012</v>
      </c>
      <c r="C80" s="8">
        <f t="shared" ref="C80:J80" si="18">SUM(C77:C79)</f>
        <v>13441</v>
      </c>
      <c r="D80" s="8">
        <f t="shared" si="18"/>
        <v>12804</v>
      </c>
      <c r="E80" s="8">
        <f t="shared" si="18"/>
        <v>12757</v>
      </c>
      <c r="F80" s="8">
        <f t="shared" si="18"/>
        <v>12899</v>
      </c>
      <c r="G80" s="8">
        <f t="shared" si="18"/>
        <v>13110</v>
      </c>
      <c r="H80" s="8">
        <f t="shared" si="18"/>
        <v>10962</v>
      </c>
      <c r="I80" s="8">
        <f t="shared" si="18"/>
        <v>8462</v>
      </c>
      <c r="J80" s="8">
        <f t="shared" si="18"/>
        <v>8242</v>
      </c>
    </row>
    <row r="81" spans="1:10" x14ac:dyDescent="0.2">
      <c r="A81" s="2" t="s">
        <v>72</v>
      </c>
      <c r="B81" s="7">
        <v>876</v>
      </c>
      <c r="C81" s="7">
        <v>876</v>
      </c>
      <c r="D81" s="7">
        <v>876</v>
      </c>
      <c r="E81" s="7">
        <v>229</v>
      </c>
      <c r="F81" s="7">
        <v>229</v>
      </c>
      <c r="G81" s="7">
        <v>229</v>
      </c>
      <c r="H81" s="7">
        <v>229</v>
      </c>
      <c r="I81" s="7">
        <v>229</v>
      </c>
      <c r="J81" s="7">
        <v>229</v>
      </c>
    </row>
    <row r="82" spans="1:10" x14ac:dyDescent="0.2">
      <c r="A82" s="2" t="s">
        <v>73</v>
      </c>
      <c r="B82" s="7">
        <v>3</v>
      </c>
      <c r="C82" s="7">
        <v>3</v>
      </c>
      <c r="D82" s="7">
        <v>3</v>
      </c>
      <c r="F82" s="7">
        <v>3</v>
      </c>
      <c r="G82" s="7">
        <v>3</v>
      </c>
      <c r="H82" s="7">
        <v>3</v>
      </c>
      <c r="J82" s="7">
        <v>3</v>
      </c>
    </row>
    <row r="83" spans="1:10" x14ac:dyDescent="0.2">
      <c r="A83" s="2" t="s">
        <v>74</v>
      </c>
      <c r="B83" s="7">
        <v>3970</v>
      </c>
      <c r="C83" s="7">
        <v>3957</v>
      </c>
      <c r="D83" s="7">
        <v>4018</v>
      </c>
      <c r="F83" s="7">
        <v>4772</v>
      </c>
      <c r="G83" s="7">
        <v>4885</v>
      </c>
      <c r="H83" s="7">
        <v>4642</v>
      </c>
      <c r="J83" s="7">
        <v>4550</v>
      </c>
    </row>
    <row r="84" spans="1:10" x14ac:dyDescent="0.2">
      <c r="A84" s="2" t="s">
        <v>75</v>
      </c>
      <c r="B84" s="7">
        <v>-599</v>
      </c>
      <c r="C84" s="7">
        <v>-493</v>
      </c>
      <c r="D84" s="7">
        <v>-636</v>
      </c>
      <c r="F84" s="7">
        <v>-400</v>
      </c>
      <c r="G84" s="7">
        <v>-633</v>
      </c>
      <c r="H84" s="7">
        <v>11</v>
      </c>
      <c r="J84" s="7">
        <v>14</v>
      </c>
    </row>
    <row r="85" spans="1:10" x14ac:dyDescent="0.2">
      <c r="A85" s="2" t="s">
        <v>76</v>
      </c>
      <c r="B85" s="7">
        <v>6739</v>
      </c>
      <c r="C85" s="7">
        <v>6601</v>
      </c>
      <c r="D85" s="7">
        <v>6736</v>
      </c>
      <c r="E85" s="7">
        <v>11109</v>
      </c>
      <c r="F85" s="7">
        <v>7268</v>
      </c>
      <c r="G85" s="7">
        <v>7862</v>
      </c>
      <c r="H85" s="7">
        <v>521</v>
      </c>
      <c r="I85" s="7">
        <v>5311</v>
      </c>
      <c r="J85" s="7">
        <v>1904</v>
      </c>
    </row>
    <row r="86" spans="1:10" x14ac:dyDescent="0.2">
      <c r="A86" s="2" t="s">
        <v>80</v>
      </c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-583</v>
      </c>
    </row>
    <row r="87" spans="1:10" s="8" customFormat="1" ht="15.75" x14ac:dyDescent="0.25">
      <c r="A87" s="4" t="s">
        <v>77</v>
      </c>
      <c r="B87" s="8">
        <f>SUM(B81:B86)</f>
        <v>10989</v>
      </c>
      <c r="C87" s="8">
        <f>SUM(C81:C86)</f>
        <v>10944</v>
      </c>
      <c r="D87" s="8">
        <f>SUM(D81:D86)</f>
        <v>10997</v>
      </c>
      <c r="E87" s="8">
        <f t="shared" ref="E87:I87" si="19">SUM(E81:E85)</f>
        <v>11338</v>
      </c>
      <c r="F87" s="8">
        <f>SUM(F81:F86)</f>
        <v>11872</v>
      </c>
      <c r="G87" s="8">
        <f>SUM(G81:G86)</f>
        <v>12346</v>
      </c>
      <c r="H87" s="8">
        <f>SUM(H81:H86)</f>
        <v>5406</v>
      </c>
      <c r="I87" s="8">
        <f t="shared" si="19"/>
        <v>5540</v>
      </c>
      <c r="J87" s="8">
        <f>SUM(J81:J86)</f>
        <v>6117</v>
      </c>
    </row>
    <row r="88" spans="1:10" s="8" customFormat="1" ht="15.75" x14ac:dyDescent="0.25">
      <c r="A88" s="4" t="s">
        <v>78</v>
      </c>
      <c r="B88" s="8">
        <f>SUM(B87,B80)</f>
        <v>24001</v>
      </c>
      <c r="C88" s="8">
        <f t="shared" ref="C88:J88" si="20">SUM(C87,C80)</f>
        <v>24385</v>
      </c>
      <c r="D88" s="8">
        <f t="shared" si="20"/>
        <v>23801</v>
      </c>
      <c r="E88" s="8">
        <f t="shared" si="20"/>
        <v>24095</v>
      </c>
      <c r="F88" s="8">
        <f t="shared" si="20"/>
        <v>24771</v>
      </c>
      <c r="G88" s="8">
        <f t="shared" si="20"/>
        <v>25456</v>
      </c>
      <c r="H88" s="8">
        <f t="shared" si="20"/>
        <v>16368</v>
      </c>
      <c r="I88" s="8">
        <f t="shared" si="20"/>
        <v>14002</v>
      </c>
      <c r="J88" s="8">
        <f t="shared" si="20"/>
        <v>14359</v>
      </c>
    </row>
    <row r="89" spans="1:10" x14ac:dyDescent="0.2">
      <c r="A89" s="2" t="s">
        <v>79</v>
      </c>
      <c r="B89" s="7">
        <f>B88-B70</f>
        <v>0</v>
      </c>
      <c r="C89" s="7">
        <f t="shared" ref="C89:J89" si="21">C88-C70</f>
        <v>0</v>
      </c>
      <c r="D89" s="7">
        <f t="shared" si="21"/>
        <v>0</v>
      </c>
      <c r="E89" s="7">
        <f t="shared" si="21"/>
        <v>0</v>
      </c>
      <c r="F89" s="7">
        <f t="shared" si="21"/>
        <v>0</v>
      </c>
      <c r="G89" s="7">
        <f t="shared" si="21"/>
        <v>0</v>
      </c>
      <c r="H89" s="7">
        <f t="shared" si="21"/>
        <v>0</v>
      </c>
      <c r="I89" s="7">
        <f t="shared" si="21"/>
        <v>0</v>
      </c>
      <c r="J89" s="7">
        <f t="shared" si="21"/>
        <v>0</v>
      </c>
    </row>
    <row r="91" spans="1:10" s="11" customFormat="1" x14ac:dyDescent="0.2">
      <c r="A91" s="9" t="s">
        <v>81</v>
      </c>
      <c r="B91" s="10">
        <f>B41/(B65+B69+B68)</f>
        <v>-0.10478227060653188</v>
      </c>
      <c r="C91" s="10">
        <f t="shared" ref="C91:J91" si="22">C41/(C65+C69+C68)</f>
        <v>-2.9036004645760744E-2</v>
      </c>
      <c r="D91" s="10">
        <f t="shared" si="22"/>
        <v>5.9190031152647975E-2</v>
      </c>
      <c r="E91" s="10">
        <f t="shared" si="22"/>
        <v>0.11871508379888268</v>
      </c>
      <c r="F91" s="10">
        <f t="shared" si="22"/>
        <v>0.15908175594039467</v>
      </c>
      <c r="G91" s="10">
        <f t="shared" si="22"/>
        <v>0.14124499453949763</v>
      </c>
      <c r="H91" s="10">
        <f t="shared" si="22"/>
        <v>0.14105475649760282</v>
      </c>
      <c r="I91" s="10">
        <f t="shared" si="22"/>
        <v>0.17794617193624249</v>
      </c>
      <c r="J91" s="10">
        <f t="shared" si="22"/>
        <v>0.21115537848605578</v>
      </c>
    </row>
    <row r="93" spans="1:10" x14ac:dyDescent="0.2">
      <c r="A93" s="2" t="s">
        <v>82</v>
      </c>
      <c r="B93" s="7">
        <f>((B62/B18)*365)/4</f>
        <v>120.37014334213504</v>
      </c>
      <c r="C93" s="7">
        <f t="shared" ref="C93:J93" si="23">((C62/C18)*365)/4</f>
        <v>115.53543307086613</v>
      </c>
      <c r="D93" s="7">
        <f t="shared" si="23"/>
        <v>119.4498167752443</v>
      </c>
      <c r="E93" s="7">
        <f t="shared" si="23"/>
        <v>126.48589796764828</v>
      </c>
      <c r="F93" s="7">
        <f t="shared" si="23"/>
        <v>121.37971698113208</v>
      </c>
      <c r="G93" s="7">
        <f t="shared" si="23"/>
        <v>112.70314192849405</v>
      </c>
      <c r="H93" s="7">
        <f t="shared" si="23"/>
        <v>86.562047756874094</v>
      </c>
      <c r="I93" s="7">
        <f t="shared" si="23"/>
        <v>76.595416124837456</v>
      </c>
      <c r="J93" s="7">
        <f t="shared" si="23"/>
        <v>79.893934632306724</v>
      </c>
    </row>
    <row r="94" spans="1:10" x14ac:dyDescent="0.2">
      <c r="A94" s="2" t="s">
        <v>83</v>
      </c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6137-00D5-4DDE-B8A6-D79F6785DF62}">
  <dimension ref="A1"/>
  <sheetViews>
    <sheetView workbookViewId="0">
      <selection activeCell="C2" sqref="C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Foltin, Thomas J.</dc:creator>
  <cp:lastModifiedBy>Tomohawk WR</cp:lastModifiedBy>
  <dcterms:created xsi:type="dcterms:W3CDTF">2025-11-09T05:46:13Z</dcterms:created>
  <dcterms:modified xsi:type="dcterms:W3CDTF">2025-11-13T04:38:37Z</dcterms:modified>
</cp:coreProperties>
</file>