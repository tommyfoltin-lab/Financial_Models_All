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 - Quarterly" sheetId="1" state="visible" r:id="rId3"/>
    <sheet name="BS - Quarterly" sheetId="2" state="visible" r:id="rId4"/>
    <sheet name="CF - Quarterly" sheetId="3" state="visible" r:id="rId5"/>
    <sheet name="Ratios - Quarterly" sheetId="4" state="visible" r:id="rId6"/>
    <sheet name="KPI Rev by Segment" sheetId="5" state="visible" r:id="rId7"/>
    <sheet name="KPI Rev by Geography" sheetId="6" state="visible" r:id="rId8"/>
    <sheet name="KPI Rev by Bus Unit" sheetId="7" state="visible" r:id="rId9"/>
    <sheet name="KPI Rev by Product" sheetId="8" state="visible" r:id="rId10"/>
    <sheet name="KPI Rev by Type" sheetId="9" state="visible" r:id="rId11"/>
    <sheet name="KPI Rev by Contract" sheetId="10" state="visible" r:id="rId12"/>
    <sheet name="KPI GP by Bus Unit" sheetId="11" state="visible" r:id="rId13"/>
    <sheet name="KPI GP by Product" sheetId="12" state="visible" r:id="rId14"/>
    <sheet name="KPI Adj EBITDA" sheetId="13" state="visible" r:id="rId15"/>
    <sheet name="KPI Adj Op Inc" sheetId="14" state="visible" r:id="rId16"/>
    <sheet name="KPI Funded Backlog" sheetId="15" state="visible" r:id="rId17"/>
    <sheet name="Assumptions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1" authorId="0">
      <text>
        <r>
          <rPr>
            <sz val="10"/>
            <rFont val="Arial"/>
            <family val="2"/>
          </rPr>
          <t xml:space="preserve">Source: AVAV FY2026 guidance $1.85-1.95B (Q3 FY26 release, 3/10/2026) and Q3 FY26 10-Q. Q4 FY26 sequential growth set so total revenue ~ guidance midpoint $1.90B; product mix ~70%.</t>
        </r>
      </text>
    </comment>
    <comment ref="D22" authorId="0">
      <text>
        <r>
          <rPr>
            <sz val="10"/>
            <rFont val="Arial"/>
            <family val="2"/>
          </rPr>
          <t xml:space="preserve">Source: AVAV Q3 FY26 release 3/10/2026. Contract services sequential growth to hit guidance-midpoint Q4 total alongside product line.</t>
        </r>
      </text>
    </comment>
    <comment ref="D32" authorId="0">
      <text>
        <r>
          <rPr>
            <sz val="10"/>
            <rFont val="Arial"/>
            <family val="2"/>
          </rPr>
          <t xml:space="preserve">Source: AVAV revised FY2026 guidance, Q3 FY26 release/call, 3/10/2026: revenue $1.85-1.95B.</t>
        </r>
      </text>
    </comment>
    <comment ref="D43" authorId="0">
      <text>
        <r>
          <rPr>
            <sz val="10"/>
            <rFont val="Arial"/>
            <family val="2"/>
          </rPr>
          <t xml:space="preserve">Q3 FY26 GAAP product margin 28% (release 3/10/26). Lift from commercialization/scale; capped below pre-BlueHalo 40%+ on mix.</t>
        </r>
      </text>
    </comment>
    <comment ref="D44" authorId="0">
      <text>
        <r>
          <rPr>
            <sz val="10"/>
            <rFont val="Arial"/>
            <family val="2"/>
          </rPr>
          <t xml:space="preserve">Q3 FY26 GAAP service margin 16% (release 3/10/26). Recovery as integration matures and SCAR drag laps.</t>
        </r>
      </text>
    </comment>
    <comment ref="D45" authorId="0">
      <text>
        <r>
          <rPr>
            <sz val="10"/>
            <rFont val="Arial"/>
            <family val="2"/>
          </rPr>
          <t xml:space="preserve">GAAP SG&amp;A carries BlueHalo intangible amortization (~$925M intangibles). Declines as revenue scales (operating leverage).</t>
        </r>
      </text>
    </comment>
    <comment ref="D46" authorId="0">
      <text>
        <r>
          <rPr>
            <sz val="10"/>
            <rFont val="Arial"/>
            <family val="2"/>
          </rPr>
          <t xml:space="preserve">Management guide: R&amp;D 6-7% of revenue (FY26 call 3/10/26).</t>
        </r>
      </text>
    </comment>
    <comment ref="D49" authorId="0">
      <text>
        <r>
          <rPr>
            <sz val="10"/>
            <rFont val="Arial"/>
            <family val="2"/>
          </rPr>
          <t xml:space="preserve">$727M low-coupon convertibles vs ~$590M cash+investments. Recent net interest +$3.7-4.7M/qtr. Set +$2M conservative.</t>
        </r>
      </text>
    </comment>
    <comment ref="D52" authorId="0">
      <text>
        <r>
          <rPr>
            <sz val="10"/>
            <rFont val="Arial"/>
            <family val="2"/>
          </rPr>
          <t xml:space="preserve">Defense peer norm 15-20%; AVAV volatile on R&amp;D credits/losses. 17% normalized.</t>
        </r>
      </text>
    </comment>
    <comment ref="D53" authorId="0">
      <text>
        <r>
          <rPr>
            <sz val="10"/>
            <rFont val="Arial"/>
            <family val="2"/>
          </rPr>
          <t xml:space="preserve">Post equity raise base ~49.7M diluted (1/31/26). SBC creep ~+0.15%/qtr; no buyback. Convert dilution only if deeply in-the-money.</t>
        </r>
      </text>
    </comment>
    <comment ref="E21" authorId="0">
      <text>
        <r>
          <rPr>
            <sz val="10"/>
            <rFont val="Arial"/>
            <family val="2"/>
          </rPr>
          <t xml:space="preserve">FY2027 pre-guidance. Product-led growth from record funded backlog $1.1B (1/31/26), book-to-bill 1.6, capacity adds (Salt Lake City plant, Titan &gt;4x). Source: Q3 FY26 call 3/10/2026.</t>
        </r>
      </text>
    </comment>
    <comment ref="E22" authorId="0">
      <text>
        <r>
          <rPr>
            <sz val="10"/>
            <rFont val="Arial"/>
            <family val="2"/>
          </rPr>
          <t xml:space="preserve">FY2027 services growth muted by SCAR contract termination ($151M goodwill impairment; $1.4B unfunded SCAR backlog at risk). Source: Q3 FY26 call 3/10/2026.</t>
        </r>
      </text>
    </comment>
  </commentList>
</comments>
</file>

<file path=xl/sharedStrings.xml><?xml version="1.0" encoding="utf-8"?>
<sst xmlns="http://schemas.openxmlformats.org/spreadsheetml/2006/main" count="1000" uniqueCount="421">
  <si>
    <t xml:space="preserve">AeroVironment, Inc. - Income Statement</t>
  </si>
  <si>
    <t xml:space="preserve">USD mm, except per share data</t>
  </si>
  <si>
    <t xml:space="preserve">Actual</t>
  </si>
  <si>
    <t xml:space="preserve">Forecast</t>
  </si>
  <si>
    <t xml:space="preserve">Fiscal quarter end</t>
  </si>
  <si>
    <t xml:space="preserve">1/31/15</t>
  </si>
  <si>
    <t xml:space="preserve">4/30/15</t>
  </si>
  <si>
    <t xml:space="preserve">8/1/15</t>
  </si>
  <si>
    <t xml:space="preserve">10/31/15</t>
  </si>
  <si>
    <t xml:space="preserve">1/30/16</t>
  </si>
  <si>
    <t xml:space="preserve">4/30/16</t>
  </si>
  <si>
    <t xml:space="preserve">7/30/16</t>
  </si>
  <si>
    <t xml:space="preserve">10/29/16</t>
  </si>
  <si>
    <t xml:space="preserve">1/28/17</t>
  </si>
  <si>
    <t xml:space="preserve">4/30/17</t>
  </si>
  <si>
    <t xml:space="preserve">7/29/17</t>
  </si>
  <si>
    <t xml:space="preserve">10/28/17</t>
  </si>
  <si>
    <t xml:space="preserve">1/27/18</t>
  </si>
  <si>
    <t xml:space="preserve">4/30/18</t>
  </si>
  <si>
    <t xml:space="preserve">7/28/18</t>
  </si>
  <si>
    <t xml:space="preserve">10/27/18</t>
  </si>
  <si>
    <t xml:space="preserve">1/26/19</t>
  </si>
  <si>
    <t xml:space="preserve">4/30/19</t>
  </si>
  <si>
    <t xml:space="preserve">7/27/19</t>
  </si>
  <si>
    <t xml:space="preserve">10/26/19</t>
  </si>
  <si>
    <t xml:space="preserve">1/25/20</t>
  </si>
  <si>
    <t xml:space="preserve">4/30/20</t>
  </si>
  <si>
    <t xml:space="preserve">8/1/20</t>
  </si>
  <si>
    <t xml:space="preserve">10/31/20</t>
  </si>
  <si>
    <t xml:space="preserve">1/30/21</t>
  </si>
  <si>
    <t xml:space="preserve">4/30/21</t>
  </si>
  <si>
    <t xml:space="preserve">7/31/21</t>
  </si>
  <si>
    <t xml:space="preserve">10/30/21</t>
  </si>
  <si>
    <t xml:space="preserve">1/29/22</t>
  </si>
  <si>
    <t xml:space="preserve">4/30/22</t>
  </si>
  <si>
    <t xml:space="preserve">7/30/22</t>
  </si>
  <si>
    <t xml:space="preserve">10/29/22</t>
  </si>
  <si>
    <t xml:space="preserve">1/28/23</t>
  </si>
  <si>
    <t xml:space="preserve">4/30/23</t>
  </si>
  <si>
    <t xml:space="preserve">7/29/23</t>
  </si>
  <si>
    <t xml:space="preserve">10/28/23</t>
  </si>
  <si>
    <t xml:space="preserve">1/27/24</t>
  </si>
  <si>
    <t xml:space="preserve">4/30/24</t>
  </si>
  <si>
    <t xml:space="preserve">7/27/24</t>
  </si>
  <si>
    <t xml:space="preserve">10/26/24</t>
  </si>
  <si>
    <t xml:space="preserve">1/25/25</t>
  </si>
  <si>
    <t xml:space="preserve">4/30/25</t>
  </si>
  <si>
    <t xml:space="preserve">8/2/25</t>
  </si>
  <si>
    <t xml:space="preserve">11/1/25</t>
  </si>
  <si>
    <t xml:space="preserve">1/31/26</t>
  </si>
  <si>
    <t xml:space="preserve">4/30/26</t>
  </si>
  <si>
    <t xml:space="preserve">8/1/26</t>
  </si>
  <si>
    <t xml:space="preserve">10/31/26</t>
  </si>
  <si>
    <t xml:space="preserve">1/30/27</t>
  </si>
  <si>
    <t xml:space="preserve">4/30/27</t>
  </si>
  <si>
    <t xml:space="preserve">7/31/27</t>
  </si>
  <si>
    <t xml:space="preserve">10/30/27</t>
  </si>
  <si>
    <t xml:space="preserve">1/29/28</t>
  </si>
  <si>
    <t xml:space="preserve">Revenue</t>
  </si>
  <si>
    <t xml:space="preserve">  Product sales</t>
  </si>
  <si>
    <t xml:space="preserve">  Contract services</t>
  </si>
  <si>
    <t xml:space="preserve">Total revenue</t>
  </si>
  <si>
    <t xml:space="preserve">Cost of Sales</t>
  </si>
  <si>
    <t xml:space="preserve">Total cost of sales</t>
  </si>
  <si>
    <t xml:space="preserve">Gross Profit</t>
  </si>
  <si>
    <t xml:space="preserve">  Product sales gross profit</t>
  </si>
  <si>
    <t xml:space="preserve">  Contract services gross profit</t>
  </si>
  <si>
    <t xml:space="preserve">Gross profit</t>
  </si>
  <si>
    <t xml:space="preserve">Operating Expenses</t>
  </si>
  <si>
    <t xml:space="preserve">  Selling, general and administrative</t>
  </si>
  <si>
    <t xml:space="preserve">  Research and development</t>
  </si>
  <si>
    <t xml:space="preserve">  Impairment of goodwill</t>
  </si>
  <si>
    <t xml:space="preserve">  Other operating expense, net</t>
  </si>
  <si>
    <t xml:space="preserve">Total operating expenses</t>
  </si>
  <si>
    <t xml:space="preserve">Operating income</t>
  </si>
  <si>
    <t xml:space="preserve">Other Income / Expense</t>
  </si>
  <si>
    <t xml:space="preserve">  Interest income (expense), net</t>
  </si>
  <si>
    <t xml:space="preserve">  Other income (expense), net</t>
  </si>
  <si>
    <t xml:space="preserve">  Other income (expense) / source adjustment</t>
  </si>
  <si>
    <t xml:space="preserve">Total other income (expense), net</t>
  </si>
  <si>
    <t xml:space="preserve">Income before income taxes</t>
  </si>
  <si>
    <t xml:space="preserve">  Provision for income taxes</t>
  </si>
  <si>
    <t xml:space="preserve">  Equity method investment income (loss), net of tax</t>
  </si>
  <si>
    <t xml:space="preserve">Net income from continuing operations</t>
  </si>
  <si>
    <t xml:space="preserve">  Discontinued operations, net of tax</t>
  </si>
  <si>
    <t xml:space="preserve">Net income</t>
  </si>
  <si>
    <t xml:space="preserve">  Net income attributable to noncontrolling interest</t>
  </si>
  <si>
    <t xml:space="preserve">Net income attributable to AeroVironment, Inc.</t>
  </si>
  <si>
    <t xml:space="preserve">Per Share Data</t>
  </si>
  <si>
    <t xml:space="preserve">  Weighted average shares outstanding - basic</t>
  </si>
  <si>
    <t xml:space="preserve">  Weighted average shares outstanding - diluted</t>
  </si>
  <si>
    <t xml:space="preserve">Basic EPS</t>
  </si>
  <si>
    <t xml:space="preserve">Diluted EPS</t>
  </si>
  <si>
    <t xml:space="preserve">AeroVironment, Inc. - Balance Sheet</t>
  </si>
  <si>
    <t xml:space="preserve">USD mm</t>
  </si>
  <si>
    <t xml:space="preserve">Assets</t>
  </si>
  <si>
    <t xml:space="preserve">  Cash and cash equivalents</t>
  </si>
  <si>
    <t xml:space="preserve">  Short-term investments</t>
  </si>
  <si>
    <t xml:space="preserve">  Accounts receivable, net</t>
  </si>
  <si>
    <t xml:space="preserve">  Unbilled receivables and retentions</t>
  </si>
  <si>
    <t xml:space="preserve">  Inventories, net</t>
  </si>
  <si>
    <t xml:space="preserve">  Deferred income taxes</t>
  </si>
  <si>
    <t xml:space="preserve">  Income taxes receivable</t>
  </si>
  <si>
    <t xml:space="preserve">  Current assets of discontinued operations</t>
  </si>
  <si>
    <t xml:space="preserve">  Prepaid expenses and other current assets</t>
  </si>
  <si>
    <t xml:space="preserve">Total current assets</t>
  </si>
  <si>
    <t xml:space="preserve">  Long-term investments</t>
  </si>
  <si>
    <t xml:space="preserve">  Property and equipment, net</t>
  </si>
  <si>
    <t xml:space="preserve">  Operating lease right-of-use assets</t>
  </si>
  <si>
    <t xml:space="preserve">  Intangibles, net</t>
  </si>
  <si>
    <t xml:space="preserve">  Goodwill</t>
  </si>
  <si>
    <t xml:space="preserve">  Other assets</t>
  </si>
  <si>
    <t xml:space="preserve">  Long-term assets of discontinued operations</t>
  </si>
  <si>
    <t xml:space="preserve">  Other assets / source adjustment</t>
  </si>
  <si>
    <t xml:space="preserve">Total assets</t>
  </si>
  <si>
    <t xml:space="preserve">Liabilities</t>
  </si>
  <si>
    <t xml:space="preserve">  Accounts payable</t>
  </si>
  <si>
    <t xml:space="preserve">  Wages and related accruals</t>
  </si>
  <si>
    <t xml:space="preserve">  Customer advances</t>
  </si>
  <si>
    <t xml:space="preserve">  Current portion of long-term debt</t>
  </si>
  <si>
    <t xml:space="preserve">  Current operating lease liabilities</t>
  </si>
  <si>
    <t xml:space="preserve">  Income taxes payable</t>
  </si>
  <si>
    <t xml:space="preserve">  Other current liabilities</t>
  </si>
  <si>
    <t xml:space="preserve">  Current liabilities of discontinued operations</t>
  </si>
  <si>
    <t xml:space="preserve">Total current liabilities</t>
  </si>
  <si>
    <t xml:space="preserve">  Deferred rent</t>
  </si>
  <si>
    <t xml:space="preserve">  Capital lease obligations - net of current portion</t>
  </si>
  <si>
    <t xml:space="preserve">  Long-term debt</t>
  </si>
  <si>
    <t xml:space="preserve">  Non-current operating lease liabilities</t>
  </si>
  <si>
    <t xml:space="preserve">  Other non-current liabilities</t>
  </si>
  <si>
    <t xml:space="preserve">  Liability for uncertain tax positions</t>
  </si>
  <si>
    <t xml:space="preserve">Total liabilities</t>
  </si>
  <si>
    <t xml:space="preserve">Stockholders' Equity</t>
  </si>
  <si>
    <t xml:space="preserve">  Common stock</t>
  </si>
  <si>
    <t xml:space="preserve">  Additional paid-in capital</t>
  </si>
  <si>
    <t xml:space="preserve">  Accumulated other comprehensive loss</t>
  </si>
  <si>
    <t xml:space="preserve">  Retained earnings</t>
  </si>
  <si>
    <t xml:space="preserve">Total stockholders' equity</t>
  </si>
  <si>
    <t xml:space="preserve">  Noncontrolling interest</t>
  </si>
  <si>
    <t xml:space="preserve">Total equity</t>
  </si>
  <si>
    <t xml:space="preserve">Total liabilities and stockholders' equity</t>
  </si>
  <si>
    <t xml:space="preserve">AeroVironment, Inc. - Cash Flow Statement</t>
  </si>
  <si>
    <t xml:space="preserve">Operating Activities</t>
  </si>
  <si>
    <t xml:space="preserve">  Net income</t>
  </si>
  <si>
    <t xml:space="preserve">  Gain on sale of business, net of tax</t>
  </si>
  <si>
    <t xml:space="preserve">  Loss from discontinued operations, net of tax</t>
  </si>
  <si>
    <t xml:space="preserve">  Net income from continuing operations</t>
  </si>
  <si>
    <t xml:space="preserve">  Depreciation and amortization</t>
  </si>
  <si>
    <t xml:space="preserve">  Equity method investment loss (income), net</t>
  </si>
  <si>
    <t xml:space="preserve">  Impairment of available-for-sale securities</t>
  </si>
  <si>
    <t xml:space="preserve">  Loss on deconsolidation of previously controlled subsidiary</t>
  </si>
  <si>
    <t xml:space="preserve">  Amortization of debt issuance costs</t>
  </si>
  <si>
    <t xml:space="preserve">  Realized gain from sale of available-for-sale investments</t>
  </si>
  <si>
    <t xml:space="preserve">  Impairment of long-lived assets</t>
  </si>
  <si>
    <t xml:space="preserve">  Provision for credit losses</t>
  </si>
  <si>
    <t xml:space="preserve">  Foreign currency transaction loss (gain), net</t>
  </si>
  <si>
    <t xml:space="preserve">  Impairment of intangible assets and goodwill</t>
  </si>
  <si>
    <t xml:space="preserve">  Loss on sale of equity securities</t>
  </si>
  <si>
    <t xml:space="preserve">  Other non-cash expense (gain), net</t>
  </si>
  <si>
    <t xml:space="preserve">  Reserve for inventory excess and obsolescence</t>
  </si>
  <si>
    <t xml:space="preserve">  Non-cash lease expense</t>
  </si>
  <si>
    <t xml:space="preserve">  Unrealized loss (gain) on available-for-sale equity securities, net</t>
  </si>
  <si>
    <t xml:space="preserve">  Change in fair value of conversion feature of convertible bonds</t>
  </si>
  <si>
    <t xml:space="preserve">  Stock-based compensation</t>
  </si>
  <si>
    <t xml:space="preserve">  Tax benefit from stock-based compensation</t>
  </si>
  <si>
    <t xml:space="preserve">  Loss (gain) on disposition of property and equipment</t>
  </si>
  <si>
    <t xml:space="preserve">  Accounts receivable</t>
  </si>
  <si>
    <t xml:space="preserve">  Inventories</t>
  </si>
  <si>
    <t xml:space="preserve">  Prepaid expenses and other assets</t>
  </si>
  <si>
    <t xml:space="preserve">  Other liabilities</t>
  </si>
  <si>
    <t xml:space="preserve">  Amortization of debt securities</t>
  </si>
  <si>
    <t xml:space="preserve">  Other operating activities / source adjustment</t>
  </si>
  <si>
    <t xml:space="preserve">Net cash provided by operating activities</t>
  </si>
  <si>
    <t xml:space="preserve">Investing Activities</t>
  </si>
  <si>
    <t xml:space="preserve">  Acquisition of property and equipment</t>
  </si>
  <si>
    <t xml:space="preserve">  Contributions in equity method investments</t>
  </si>
  <si>
    <t xml:space="preserve">  Equity security investments</t>
  </si>
  <si>
    <t xml:space="preserve">  Purchase of available-for-sale investments</t>
  </si>
  <si>
    <t xml:space="preserve">  Other</t>
  </si>
  <si>
    <t xml:space="preserve">  Acquisition of capitalized software to be sold</t>
  </si>
  <si>
    <t xml:space="preserve">  Business acquisitions, net of cash acquired</t>
  </si>
  <si>
    <t xml:space="preserve">  Proceeds from sale of business</t>
  </si>
  <si>
    <t xml:space="preserve">  Acquisition of intangible assets</t>
  </si>
  <si>
    <t xml:space="preserve">  Proceeds from sale of property and equipment</t>
  </si>
  <si>
    <t xml:space="preserve">  Redemptions of held-to-maturity investments</t>
  </si>
  <si>
    <t xml:space="preserve">  Purchases of held-to-maturity investments</t>
  </si>
  <si>
    <t xml:space="preserve">  Proceeds from deconsolidation, net of cash deconsolidated</t>
  </si>
  <si>
    <t xml:space="preserve">  Redemption of available-for-sale investments</t>
  </si>
  <si>
    <t xml:space="preserve">  Other investing activities / source adjustment</t>
  </si>
  <si>
    <t xml:space="preserve">Net cash provided by investing activities</t>
  </si>
  <si>
    <t xml:space="preserve">Financing Activities</t>
  </si>
  <si>
    <t xml:space="preserve">  Purchase and retirement of common stock</t>
  </si>
  <si>
    <t xml:space="preserve">  Principal payments of capital lease obligations</t>
  </si>
  <si>
    <t xml:space="preserve">  Excess tax benefit from stock-based compensation</t>
  </si>
  <si>
    <t xml:space="preserve">  Principal payments of term loan</t>
  </si>
  <si>
    <t xml:space="preserve">  Proceeds from long-term debt</t>
  </si>
  <si>
    <t xml:space="preserve">  Principal payments of revolver</t>
  </si>
  <si>
    <t xml:space="preserve">  Holdback and retention payments for business acquisition</t>
  </si>
  <si>
    <t xml:space="preserve">  Payment of contingent consideration</t>
  </si>
  <si>
    <t xml:space="preserve">  Proceeds from revolver, net of creditor costs</t>
  </si>
  <si>
    <t xml:space="preserve">  Proceeds from shares issued, net of underwriter costs</t>
  </si>
  <si>
    <t xml:space="preserve">  Proceeds from convertible debt, net of underwriter costs</t>
  </si>
  <si>
    <t xml:space="preserve">  Payment of debt issuance costs</t>
  </si>
  <si>
    <t xml:space="preserve">  Payment of equity issuance costs</t>
  </si>
  <si>
    <t xml:space="preserve">  Tax withholding payment related to net settlement of equity awards</t>
  </si>
  <si>
    <t xml:space="preserve">  Employee stock purchase plan contributions</t>
  </si>
  <si>
    <t xml:space="preserve">  Exercise of stock options</t>
  </si>
  <si>
    <t xml:space="preserve">  Other financing activities / source adjustment</t>
  </si>
  <si>
    <t xml:space="preserve">Net cash provided by financing activities</t>
  </si>
  <si>
    <t xml:space="preserve">Discontinued Operations and FX</t>
  </si>
  <si>
    <t xml:space="preserve">  Operating activities of discontinued operations</t>
  </si>
  <si>
    <t xml:space="preserve">  Investing activities of discontinued operations</t>
  </si>
  <si>
    <t xml:space="preserve">  Discontinued operations / source adjustment</t>
  </si>
  <si>
    <t xml:space="preserve">Net cash provided by discontinued operations</t>
  </si>
  <si>
    <t xml:space="preserve">  Effects of currency translation on cash and cash equivalents</t>
  </si>
  <si>
    <t xml:space="preserve">  Net change in cash / source adjustment</t>
  </si>
  <si>
    <t xml:space="preserve">Net change in cash, cash equivalents and restricted cash</t>
  </si>
  <si>
    <t xml:space="preserve">  Cash, cash equivalents and restricted cash at beginning of period</t>
  </si>
  <si>
    <t xml:space="preserve">  Ending cash / source adjustment</t>
  </si>
  <si>
    <t xml:space="preserve">Cash, cash equivalents and restricted cash at end of period</t>
  </si>
  <si>
    <t xml:space="preserve">AeroVironment, Inc. - Ratios</t>
  </si>
  <si>
    <t xml:space="preserve">USD mm for market value rows; ratios and percentages as shown</t>
  </si>
  <si>
    <t xml:space="preserve">TTM</t>
  </si>
  <si>
    <t xml:space="preserve">Valuation and Operating Ratios</t>
  </si>
  <si>
    <t xml:space="preserve">  Market Cap</t>
  </si>
  <si>
    <t xml:space="preserve">  Enterprise Value</t>
  </si>
  <si>
    <t xml:space="preserve">  Last Close Price</t>
  </si>
  <si>
    <t xml:space="preserve">  PE Ratio</t>
  </si>
  <si>
    <t xml:space="preserve">  PS Ratio</t>
  </si>
  <si>
    <t xml:space="preserve">  PB Ratio</t>
  </si>
  <si>
    <t xml:space="preserve">  P/TBV Ratio</t>
  </si>
  <si>
    <t xml:space="preserve">  P/FCF Ratio</t>
  </si>
  <si>
    <t xml:space="preserve">  P/OCF Ratio</t>
  </si>
  <si>
    <t xml:space="preserve">  EV/Revenue</t>
  </si>
  <si>
    <t xml:space="preserve">  EV/EBITDA</t>
  </si>
  <si>
    <t xml:space="preserve">  EV/EBIT</t>
  </si>
  <si>
    <t xml:space="preserve">  EV/FCF</t>
  </si>
  <si>
    <t xml:space="preserve">  Debt/Equity</t>
  </si>
  <si>
    <t xml:space="preserve">  Debt/EBITDA</t>
  </si>
  <si>
    <t xml:space="preserve">  Debt/FCF</t>
  </si>
  <si>
    <t xml:space="preserve">  Net Debt/Equity</t>
  </si>
  <si>
    <t xml:space="preserve">  Net Debt/EBITDA</t>
  </si>
  <si>
    <t xml:space="preserve">  Net Debt/FCF</t>
  </si>
  <si>
    <t xml:space="preserve">  Asset Turnover</t>
  </si>
  <si>
    <t xml:space="preserve">  Inventory Turnover</t>
  </si>
  <si>
    <t xml:space="preserve">  Quick Ratio</t>
  </si>
  <si>
    <t xml:space="preserve">  Current Ratio</t>
  </si>
  <si>
    <t xml:space="preserve">  Return on Equity (ROE)</t>
  </si>
  <si>
    <t xml:space="preserve">  Return on Assets (ROA)</t>
  </si>
  <si>
    <t xml:space="preserve">  Return on Invested Capital (ROIC)</t>
  </si>
  <si>
    <t xml:space="preserve">  Return on Capital Employed (ROCE)</t>
  </si>
  <si>
    <t xml:space="preserve">  Earnings Yield</t>
  </si>
  <si>
    <t xml:space="preserve">  Free Cash Flow Yield</t>
  </si>
  <si>
    <t xml:space="preserve">  Buyback Yield</t>
  </si>
  <si>
    <t xml:space="preserve">  Total Return</t>
  </si>
  <si>
    <t xml:space="preserve">AeroVironment, Inc. - KPI Rev by Segment</t>
  </si>
  <si>
    <t xml:space="preserve">Key Performance Indicators</t>
  </si>
  <si>
    <t xml:space="preserve">  Autonomous Systems and Space (AxS) Revenue</t>
  </si>
  <si>
    <t xml:space="preserve">  Cyber and Directed Energy (SCDE) Revenue</t>
  </si>
  <si>
    <t xml:space="preserve">  Other / not disclosed revenue</t>
  </si>
  <si>
    <t xml:space="preserve">Revenue (total)</t>
  </si>
  <si>
    <t xml:space="preserve">AeroVironment, Inc. - KPI Rev by Geography</t>
  </si>
  <si>
    <t xml:space="preserve">  Domestic Revenue</t>
  </si>
  <si>
    <t xml:space="preserve">  International Revenue</t>
  </si>
  <si>
    <t xml:space="preserve">AeroVironment, Inc. - KPI Rev by Bus Unit</t>
  </si>
  <si>
    <t xml:space="preserve">  Unmanned Systems (UMS) Revenue</t>
  </si>
  <si>
    <t xml:space="preserve">  Loitering Munitions Systems (LMS) Revenue</t>
  </si>
  <si>
    <t xml:space="preserve">  MacCready Works (MW) Revenue</t>
  </si>
  <si>
    <t xml:space="preserve">AeroVironment, Inc. - KPI Rev by Product</t>
  </si>
  <si>
    <t xml:space="preserve">  Small Unmanned Aircraft Systems (SUAS) Revenue</t>
  </si>
  <si>
    <t xml:space="preserve">  Tactical Missile Systems (TMS) Revenue</t>
  </si>
  <si>
    <t xml:space="preserve">  Medium Unmanned Aircraft Systems (MUAS) Revenue</t>
  </si>
  <si>
    <t xml:space="preserve">  High Altitude Pseudo-Satellite Unmanned Aircraft Systems (HAPS) Revenue</t>
  </si>
  <si>
    <t xml:space="preserve">  Other Segment Revenue</t>
  </si>
  <si>
    <t xml:space="preserve">  All Other Segment Revenue</t>
  </si>
  <si>
    <t xml:space="preserve">AeroVironment, Inc. - KPI Rev by Type</t>
  </si>
  <si>
    <t xml:space="preserve">  Product Sales</t>
  </si>
  <si>
    <t xml:space="preserve">  Contract Services Revenue</t>
  </si>
  <si>
    <t xml:space="preserve">  Revenue</t>
  </si>
  <si>
    <t xml:space="preserve">AeroVironment, Inc. - KPI Rev by Contract</t>
  </si>
  <si>
    <t xml:space="preserve">  Firm Fixed Price (FFP) Revenue</t>
  </si>
  <si>
    <t xml:space="preserve">  Cost Plus Fixed Fee (CPFF) Revenue</t>
  </si>
  <si>
    <t xml:space="preserve">  Time and Materials (T&amp;M) Revenue</t>
  </si>
  <si>
    <t xml:space="preserve">AeroVironment, Inc. - KPI GP by Bus Unit</t>
  </si>
  <si>
    <t xml:space="preserve">  Unmanned Systems (UMS) Gross Margin</t>
  </si>
  <si>
    <t xml:space="preserve">  Loitering Munitions Systems (LMS) Gross Margin</t>
  </si>
  <si>
    <t xml:space="preserve">  MacCready Works (MW) Gross Margin</t>
  </si>
  <si>
    <t xml:space="preserve">  Gross Profit</t>
  </si>
  <si>
    <t xml:space="preserve">AeroVironment, Inc. - KPI GP by Product</t>
  </si>
  <si>
    <t xml:space="preserve">  Small Unmanned Aircraft Systems (SUAS) Gross Margin</t>
  </si>
  <si>
    <t xml:space="preserve">  Tactical Missile Systems (TMS) Gross Margin</t>
  </si>
  <si>
    <t xml:space="preserve">  Medium Unmanned Aircraft Systems (MUAS) Gross Margin</t>
  </si>
  <si>
    <t xml:space="preserve">  High Altitude Pseudo-Satellite Unmanned Aircraft Systems (HAPS) Gross Margin</t>
  </si>
  <si>
    <t xml:space="preserve">  Other Segment Gross Margin</t>
  </si>
  <si>
    <t xml:space="preserve">  All Other Segment Gross Margin</t>
  </si>
  <si>
    <t xml:space="preserve">AeroVironment, Inc. - KPI Adj EBITDA</t>
  </si>
  <si>
    <t xml:space="preserve">  Autonomous Systems and Space (AxS) Adjusted EBITDA</t>
  </si>
  <si>
    <t xml:space="preserve">  Cyber and Directed Energy (SCDE) Adjusted EBITDA</t>
  </si>
  <si>
    <t xml:space="preserve">  Operating Income</t>
  </si>
  <si>
    <t xml:space="preserve">AeroVironment, Inc. - KPI Adj Op Inc</t>
  </si>
  <si>
    <t xml:space="preserve">  Unmanned Systems (UMS) Adjusted Income From Operations</t>
  </si>
  <si>
    <t xml:space="preserve">  Loitering Munitions Systems (LMS) Adjusted Income From Operations</t>
  </si>
  <si>
    <t xml:space="preserve">  MacCready Works (MW) Adjusted Income From Operations</t>
  </si>
  <si>
    <t xml:space="preserve">AeroVironment, Inc. - KPI Funded Backlog</t>
  </si>
  <si>
    <t xml:space="preserve">  Funded Backlog</t>
  </si>
  <si>
    <t xml:space="preserve">AeroVironment, Inc. - Sales Forecast Assumptions</t>
  </si>
  <si>
    <t xml:space="preserve">Hardcoded growth inputs in blue. Q4 FY2026 (4/30/26) is SEQUENTIAL off Q3 FY2026 and calibrated to the FY2026 revenue guidance midpoint of $1.90B; the year-ago quarter (4/30/25) predates the BlueHalo acquisition (closed 5/1/25), so year-over-year growth is invalid across that boundary. FY2027-FY2028 use year-over-year growth off clean post-BlueHalo comparables. Income statement revenue is driven by the KPI Rev by Type tab; other KPI cuts are independent cross-checks.</t>
  </si>
  <si>
    <t xml:space="preserve">KPI Sheet</t>
  </si>
  <si>
    <t xml:space="preserve">Revenue Driver</t>
  </si>
  <si>
    <t xml:space="preserve">Formula Logic</t>
  </si>
  <si>
    <t xml:space="preserve">KPI Rev by Segment</t>
  </si>
  <si>
    <t xml:space="preserve">Autonomous Systems and Space (AxS) Revenue</t>
  </si>
  <si>
    <t xml:space="preserve">YoY growth / sequential fallback</t>
  </si>
  <si>
    <t xml:space="preserve">Cyber and Directed Energy (SCDE) Revenue</t>
  </si>
  <si>
    <t xml:space="preserve">Other / not disclosed revenue</t>
  </si>
  <si>
    <t xml:space="preserve">KPI Rev by Geography</t>
  </si>
  <si>
    <t xml:space="preserve">Domestic Revenue</t>
  </si>
  <si>
    <t xml:space="preserve">International Revenue</t>
  </si>
  <si>
    <t xml:space="preserve">KPI Rev by Bus Unit</t>
  </si>
  <si>
    <t xml:space="preserve">Unmanned Systems (UMS) Revenue</t>
  </si>
  <si>
    <t xml:space="preserve">Loitering Munitions Systems (LMS) Revenue</t>
  </si>
  <si>
    <t xml:space="preserve">MacCready Works (MW) Revenue</t>
  </si>
  <si>
    <t xml:space="preserve">KPI Rev by Product</t>
  </si>
  <si>
    <t xml:space="preserve">Small Unmanned Aircraft Systems (SUAS) Revenue</t>
  </si>
  <si>
    <t xml:space="preserve">Tactical Missile Systems (TMS) Revenue</t>
  </si>
  <si>
    <t xml:space="preserve">Medium Unmanned Aircraft Systems (MUAS) Revenue</t>
  </si>
  <si>
    <t xml:space="preserve">High Altitude Pseudo-Satellite Unmanned Aircraft Systems (HAPS) Revenue</t>
  </si>
  <si>
    <t xml:space="preserve">Other Segment Revenue</t>
  </si>
  <si>
    <t xml:space="preserve">All Other Segment Revenue</t>
  </si>
  <si>
    <t xml:space="preserve">KPI Rev by Type</t>
  </si>
  <si>
    <t xml:space="preserve">Product Sales</t>
  </si>
  <si>
    <t xml:space="preserve">Contract Services Revenue</t>
  </si>
  <si>
    <t xml:space="preserve">KPI Rev by Contract</t>
  </si>
  <si>
    <t xml:space="preserve">Firm Fixed Price (FFP) Revenue</t>
  </si>
  <si>
    <t xml:space="preserve">Cost Plus Fixed Fee (CPFF) Revenue</t>
  </si>
  <si>
    <t xml:space="preserve">Time and Materials (T&amp;M) Revenue</t>
  </si>
  <si>
    <t xml:space="preserve">FY2026 Guidance Bridge (USD mm)</t>
  </si>
  <si>
    <t xml:space="preserve">  9M FY2026 revenue (actual)</t>
  </si>
  <si>
    <t xml:space="preserve">  Q4 FY2026 revenue (model, anchored)</t>
  </si>
  <si>
    <t xml:space="preserve">  FY2026 revenue (model)</t>
  </si>
  <si>
    <t xml:space="preserve">  FY2026 guidance - low</t>
  </si>
  <si>
    <t xml:space="preserve">  FY2026 guidance - midpoint</t>
  </si>
  <si>
    <t xml:space="preserve">  FY2026 guidance - high</t>
  </si>
  <si>
    <t xml:space="preserve">  Model vs guidance midpoint</t>
  </si>
  <si>
    <t xml:space="preserve">FY2027 revenue (model)</t>
  </si>
  <si>
    <t xml:space="preserve">  FY2027 growth vs FY2026 model</t>
  </si>
  <si>
    <t xml:space="preserve">Income Statement Drivers - Probable / Base Case (GAAP)</t>
  </si>
  <si>
    <t xml:space="preserve">Product gross margin %</t>
  </si>
  <si>
    <t xml:space="preserve">Contract services gross margin %</t>
  </si>
  <si>
    <t xml:space="preserve">SG&amp;A % of revenue</t>
  </si>
  <si>
    <t xml:space="preserve">R&amp;D % of revenue</t>
  </si>
  <si>
    <t xml:space="preserve">Goodwill impairment ($mm)</t>
  </si>
  <si>
    <t xml:space="preserve">Other operating expense, net ($mm)</t>
  </si>
  <si>
    <t xml:space="preserve">Net interest income/(expense) ($mm)</t>
  </si>
  <si>
    <t xml:space="preserve">Other income/(expense), net ($mm)</t>
  </si>
  <si>
    <t xml:space="preserve">Equity method income/(loss) ($mm)</t>
  </si>
  <si>
    <t xml:space="preserve">Effective tax rate %</t>
  </si>
  <si>
    <t xml:space="preserve">Diluted shares (mm)</t>
  </si>
  <si>
    <t xml:space="preserve">Basic shares (mm)</t>
  </si>
  <si>
    <t xml:space="preserve">Noncontrolling interest ($mm)</t>
  </si>
  <si>
    <t xml:space="preserve">Forecast P&amp;L Summary (model, GAAP)</t>
  </si>
  <si>
    <t xml:space="preserve">  FY2026 operating income</t>
  </si>
  <si>
    <t xml:space="preserve">  FY2026 net income (AVAV)</t>
  </si>
  <si>
    <t xml:space="preserve">  FY2026 diluted EPS</t>
  </si>
  <si>
    <t xml:space="preserve">  FY2027 operating income</t>
  </si>
  <si>
    <t xml:space="preserve">  FY2027 operating margin</t>
  </si>
  <si>
    <t xml:space="preserve">  FY2027 net income (AVAV)</t>
  </si>
  <si>
    <t xml:space="preserve">  FY2027 diluted EPS</t>
  </si>
  <si>
    <t xml:space="preserve">Damodaran Possible / Plausible / Probable Screen</t>
  </si>
  <si>
    <t xml:space="preserve">Driver</t>
  </si>
  <si>
    <t xml:space="preserve">Possible (range)</t>
  </si>
  <si>
    <t xml:space="preserve">Plausible (range)</t>
  </si>
  <si>
    <t xml:space="preserve">Probable (used)</t>
  </si>
  <si>
    <t xml:space="preserve">Basis</t>
  </si>
  <si>
    <t xml:space="preserve">Product gross margin</t>
  </si>
  <si>
    <t xml:space="preserve">26% - 38%</t>
  </si>
  <si>
    <t xml:space="preserve">29% - 34%</t>
  </si>
  <si>
    <t xml:space="preserve">30% - 32.5%</t>
  </si>
  <si>
    <t xml:space="preserve">Q3 FY26 GAAP 28%; scale + commercialization, capped below legacy 40%+</t>
  </si>
  <si>
    <t xml:space="preserve">Contract services gross margin</t>
  </si>
  <si>
    <t xml:space="preserve">10% - 22%</t>
  </si>
  <si>
    <t xml:space="preserve">15% - 19%</t>
  </si>
  <si>
    <t xml:space="preserve">16.5% - 18.5%</t>
  </si>
  <si>
    <t xml:space="preserve">Q3 FY26 GAAP 16%; integration matures, SCAR drag laps</t>
  </si>
  <si>
    <t xml:space="preserve">16% - 26%</t>
  </si>
  <si>
    <t xml:space="preserve">17% - 21%</t>
  </si>
  <si>
    <t xml:space="preserve">20% to 17% (declining)</t>
  </si>
  <si>
    <t xml:space="preserve">GAAP carries intangible amortization; operating leverage</t>
  </si>
  <si>
    <t xml:space="preserve">5% - 9%</t>
  </si>
  <si>
    <t xml:space="preserve">6% - 7.5%</t>
  </si>
  <si>
    <t xml:space="preserve">6.5%</t>
  </si>
  <si>
    <t xml:space="preserve">Management guide 6-7%</t>
  </si>
  <si>
    <t xml:space="preserve">Effective tax rate</t>
  </si>
  <si>
    <t xml:space="preserve">10% - 23%</t>
  </si>
  <si>
    <t xml:space="preserve">15% - 20%</t>
  </si>
  <si>
    <t xml:space="preserve">17%</t>
  </si>
  <si>
    <t xml:space="preserve">Defense peer norm; R&amp;D credits</t>
  </si>
  <si>
    <t xml:space="preserve">Net interest / quarter</t>
  </si>
  <si>
    <t xml:space="preserve">($8) - +$6</t>
  </si>
  <si>
    <t xml:space="preserve">($2) - +$5</t>
  </si>
  <si>
    <t xml:space="preserve">+$2</t>
  </si>
  <si>
    <t xml:space="preserve">Low-coupon converts vs cash+investments; recent +$4</t>
  </si>
  <si>
    <t xml:space="preserve">Diluted shares</t>
  </si>
  <si>
    <t xml:space="preserve">49.7 - 55.0</t>
  </si>
  <si>
    <t xml:space="preserve">50.0 - 51.0</t>
  </si>
  <si>
    <t xml:space="preserve">50.0 - 50.7</t>
  </si>
  <si>
    <t xml:space="preserve">Post-raise base; SBC creep; no buyback</t>
  </si>
  <si>
    <t xml:space="preserve">Goodwill impairment</t>
  </si>
  <si>
    <t xml:space="preserve">$0 - &gt;$150</t>
  </si>
  <si>
    <t xml:space="preserve">$0</t>
  </si>
  <si>
    <t xml:space="preserve">Base case excludes non-recurring; SCAR already impaired</t>
  </si>
  <si>
    <t xml:space="preserve">Total revenue FY26</t>
  </si>
  <si>
    <t xml:space="preserve">$1.80 - $2.00B</t>
  </si>
  <si>
    <t xml:space="preserve">$1.85 - $1.95B</t>
  </si>
  <si>
    <t xml:space="preserve">$1.90B</t>
  </si>
  <si>
    <t xml:space="preserve">Company guidance midpoint (see bridge above)</t>
  </si>
  <si>
    <t xml:space="preserve">Total revenue FY27</t>
  </si>
  <si>
    <t xml:space="preserve">$2.00 - $2.45B</t>
  </si>
  <si>
    <t xml:space="preserve">$2.10 - $2.30B</t>
  </si>
  <si>
    <t xml:space="preserve">$2.20B</t>
  </si>
  <si>
    <t xml:space="preserve">Backlog $1.1B, book-to-bill 1.6, capacity adds; pre-guidance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</si>
</sst>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0;\(0.00\);\-"/>
    <numFmt numFmtId="167" formatCode="0.0;\(0.0\);\-"/>
    <numFmt numFmtId="168" formatCode="0.0\x;\(0.0&quot;x)&quot;;\-"/>
    <numFmt numFmtId="169" formatCode="0.0%;\(0.0%\);\-"/>
    <numFmt numFmtId="170" formatCode="0.0%"/>
    <numFmt numFmtId="171" formatCode="#,##0.0;\(#,##0.0\);\-"/>
    <numFmt numFmtId="172" formatCode="#,##0.0;\(#,##0.0\);\-"/>
    <numFmt numFmtId="173" formatCode="#,##0.0"/>
    <numFmt numFmtId="174" formatCode="\$0.00;&quot;($&quot;0.00\)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17365D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46" min="2" style="1" width="10.14"/>
    <col collapsed="false" customWidth="true" hidden="false" outlineLevel="0" max="54" min="47" style="1" width="9.52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6" t="s">
        <v>3</v>
      </c>
      <c r="AV3" s="6"/>
      <c r="AW3" s="6"/>
      <c r="AX3" s="6"/>
      <c r="AY3" s="6"/>
      <c r="AZ3" s="6"/>
      <c r="BA3" s="6"/>
      <c r="BB3" s="6"/>
    </row>
    <row r="4" customFormat="false" ht="15" hidden="false" customHeight="true" outlineLevel="0" collapsed="false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 t="s">
        <v>35</v>
      </c>
      <c r="AG4" s="7" t="s">
        <v>36</v>
      </c>
      <c r="AH4" s="7" t="s">
        <v>37</v>
      </c>
      <c r="AI4" s="7" t="s">
        <v>38</v>
      </c>
      <c r="AJ4" s="7" t="s">
        <v>39</v>
      </c>
      <c r="AK4" s="7" t="s">
        <v>40</v>
      </c>
      <c r="AL4" s="7" t="s">
        <v>41</v>
      </c>
      <c r="AM4" s="7" t="s">
        <v>42</v>
      </c>
      <c r="AN4" s="7" t="s">
        <v>43</v>
      </c>
      <c r="AO4" s="7" t="s">
        <v>44</v>
      </c>
      <c r="AP4" s="7" t="s">
        <v>45</v>
      </c>
      <c r="AQ4" s="7" t="s">
        <v>46</v>
      </c>
      <c r="AR4" s="7" t="s">
        <v>47</v>
      </c>
      <c r="AS4" s="7" t="s">
        <v>48</v>
      </c>
      <c r="AT4" s="7" t="s">
        <v>49</v>
      </c>
      <c r="AU4" s="7" t="s">
        <v>50</v>
      </c>
      <c r="AV4" s="7" t="s">
        <v>51</v>
      </c>
      <c r="AW4" s="7" t="s">
        <v>52</v>
      </c>
      <c r="AX4" s="7" t="s">
        <v>53</v>
      </c>
      <c r="AY4" s="7" t="s">
        <v>54</v>
      </c>
      <c r="AZ4" s="7" t="s">
        <v>55</v>
      </c>
      <c r="BA4" s="7" t="s">
        <v>56</v>
      </c>
      <c r="BB4" s="7" t="s">
        <v>57</v>
      </c>
    </row>
    <row r="5" customFormat="false" ht="14.25" hidden="false" customHeight="true" outlineLevel="0" collapsed="false">
      <c r="A5" s="8" t="s">
        <v>58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customFormat="false" ht="15" hidden="false" customHeight="true" outlineLevel="0" collapsed="false">
      <c r="A6" s="4" t="s">
        <v>59</v>
      </c>
      <c r="B6" s="9" t="n">
        <v>56.308</v>
      </c>
      <c r="C6" s="9" t="n">
        <v>63.034</v>
      </c>
      <c r="D6" s="9" t="n">
        <v>26.639</v>
      </c>
      <c r="E6" s="9" t="n">
        <v>49.492</v>
      </c>
      <c r="F6" s="9" t="n">
        <v>53.305</v>
      </c>
      <c r="G6" s="9" t="n">
        <v>60.04</v>
      </c>
      <c r="H6" s="9" t="n">
        <v>15.737</v>
      </c>
      <c r="I6" s="9" t="n">
        <v>29.35</v>
      </c>
      <c r="J6" s="9" t="n">
        <v>36.746</v>
      </c>
      <c r="K6" s="9" t="n">
        <v>111.505</v>
      </c>
      <c r="L6" s="9" t="n">
        <v>18.78</v>
      </c>
      <c r="M6" s="9" t="n">
        <v>48.42</v>
      </c>
      <c r="N6" s="9" t="n">
        <v>39.447</v>
      </c>
      <c r="O6" s="9" t="n">
        <v>85.065</v>
      </c>
      <c r="P6" s="9" t="n">
        <v>55.313</v>
      </c>
      <c r="Q6" s="9" t="n">
        <v>47.056</v>
      </c>
      <c r="R6" s="9" t="n">
        <v>50.024</v>
      </c>
      <c r="S6" s="9" t="n">
        <v>59.696</v>
      </c>
      <c r="T6" s="9" t="n">
        <v>65.839</v>
      </c>
      <c r="U6" s="9" t="n">
        <v>57.386</v>
      </c>
      <c r="V6" s="9" t="n">
        <v>36.432</v>
      </c>
      <c r="W6" s="9" t="n">
        <v>97.101</v>
      </c>
      <c r="X6" s="9" t="n">
        <v>58.357</v>
      </c>
      <c r="Y6" s="9" t="n">
        <v>65.528</v>
      </c>
      <c r="Z6" s="9" t="n">
        <v>58.348</v>
      </c>
      <c r="AA6" s="9" t="n">
        <v>96.655</v>
      </c>
      <c r="AB6" s="9" t="n">
        <v>53.116</v>
      </c>
      <c r="AC6" s="9" t="n">
        <v>70.998</v>
      </c>
      <c r="AD6" s="9" t="n">
        <v>42.599</v>
      </c>
      <c r="AE6" s="9" t="n">
        <v>73.97</v>
      </c>
      <c r="AF6" s="9" t="n">
        <v>57.974</v>
      </c>
      <c r="AG6" s="9" t="n">
        <v>62.343</v>
      </c>
      <c r="AH6" s="9" t="n">
        <v>91.216</v>
      </c>
      <c r="AI6" s="9" t="n">
        <v>141.529</v>
      </c>
      <c r="AJ6" s="9" t="n">
        <v>119.471</v>
      </c>
      <c r="AK6" s="9" t="n">
        <v>145.779</v>
      </c>
      <c r="AL6" s="9" t="n">
        <v>155.923</v>
      </c>
      <c r="AM6" s="9" t="n">
        <v>164.598</v>
      </c>
      <c r="AN6" s="9" t="n">
        <v>159.504</v>
      </c>
      <c r="AO6" s="9" t="n">
        <v>151.231</v>
      </c>
      <c r="AP6" s="9" t="n">
        <v>139.753</v>
      </c>
      <c r="AQ6" s="9" t="n">
        <v>242.234</v>
      </c>
      <c r="AR6" s="9" t="n">
        <v>313.533</v>
      </c>
      <c r="AS6" s="9" t="n">
        <v>325.037</v>
      </c>
      <c r="AT6" s="9" t="n">
        <v>277.814</v>
      </c>
      <c r="AU6" s="10" t="n">
        <f aca="false">'KPI Rev by Type'!AA6</f>
        <v>395.329322</v>
      </c>
      <c r="AV6" s="10" t="n">
        <f aca="false">'KPI Rev by Type'!AB6</f>
        <v>376.2396</v>
      </c>
      <c r="AW6" s="10" t="n">
        <f aca="false">'KPI Rev by Type'!AC6</f>
        <v>390.0444</v>
      </c>
      <c r="AX6" s="10" t="n">
        <f aca="false">'KPI Rev by Type'!AD6</f>
        <v>333.3768</v>
      </c>
      <c r="AY6" s="10" t="n">
        <f aca="false">'KPI Rev by Type'!AE6</f>
        <v>474.3951864</v>
      </c>
      <c r="AZ6" s="10" t="n">
        <f aca="false">'KPI Rev by Type'!AF6</f>
        <v>425.150748</v>
      </c>
      <c r="BA6" s="10" t="n">
        <f aca="false">'KPI Rev by Type'!AG6</f>
        <v>440.750172</v>
      </c>
      <c r="BB6" s="10" t="n">
        <f aca="false">'KPI Rev by Type'!AH6</f>
        <v>376.715784</v>
      </c>
    </row>
    <row r="7" customFormat="false" ht="15" hidden="false" customHeight="true" outlineLevel="0" collapsed="false">
      <c r="A7" s="4" t="s">
        <v>60</v>
      </c>
      <c r="B7" s="9" t="n">
        <v>12.089</v>
      </c>
      <c r="C7" s="9" t="n">
        <v>23.437</v>
      </c>
      <c r="D7" s="9" t="n">
        <v>20.411</v>
      </c>
      <c r="E7" s="9" t="n">
        <v>15.239</v>
      </c>
      <c r="F7" s="9" t="n">
        <v>14.255</v>
      </c>
      <c r="G7" s="9" t="n">
        <v>24.717</v>
      </c>
      <c r="H7" s="9" t="n">
        <v>20.481</v>
      </c>
      <c r="I7" s="9" t="n">
        <v>20.766</v>
      </c>
      <c r="J7" s="9" t="n">
        <v>16.417</v>
      </c>
      <c r="K7" s="9" t="n">
        <v>13.871</v>
      </c>
      <c r="L7" s="9" t="n">
        <v>15.581</v>
      </c>
      <c r="M7" s="9" t="n">
        <v>17.381</v>
      </c>
      <c r="N7" s="9" t="n">
        <v>15.186</v>
      </c>
      <c r="O7" s="9" t="n">
        <v>28.564</v>
      </c>
      <c r="P7" s="9" t="n">
        <v>22.73</v>
      </c>
      <c r="Q7" s="9" t="n">
        <v>25.923</v>
      </c>
      <c r="R7" s="9" t="n">
        <v>25.298</v>
      </c>
      <c r="S7" s="9" t="n">
        <v>28.234</v>
      </c>
      <c r="T7" s="9" t="n">
        <v>21.072</v>
      </c>
      <c r="U7" s="9" t="n">
        <v>25.885</v>
      </c>
      <c r="V7" s="9" t="n">
        <v>25.459</v>
      </c>
      <c r="W7" s="9" t="n">
        <v>38.122</v>
      </c>
      <c r="X7" s="9" t="n">
        <v>29.093</v>
      </c>
      <c r="Y7" s="9" t="n">
        <v>27.137</v>
      </c>
      <c r="Z7" s="9" t="n">
        <v>20.434</v>
      </c>
      <c r="AA7" s="9" t="n">
        <v>39.36</v>
      </c>
      <c r="AB7" s="9" t="n">
        <v>47.893</v>
      </c>
      <c r="AC7" s="9" t="n">
        <v>51.01</v>
      </c>
      <c r="AD7" s="9" t="n">
        <v>47.494</v>
      </c>
      <c r="AE7" s="9" t="n">
        <v>58.652</v>
      </c>
      <c r="AF7" s="9" t="n">
        <v>50.542</v>
      </c>
      <c r="AG7" s="9" t="n">
        <v>49.241</v>
      </c>
      <c r="AH7" s="9" t="n">
        <v>43.179</v>
      </c>
      <c r="AI7" s="9" t="n">
        <v>44.512</v>
      </c>
      <c r="AJ7" s="9" t="n">
        <v>32.876</v>
      </c>
      <c r="AK7" s="9" t="n">
        <v>35.037</v>
      </c>
      <c r="AL7" s="9" t="n">
        <v>30.655</v>
      </c>
      <c r="AM7" s="9" t="n">
        <v>32.381</v>
      </c>
      <c r="AN7" s="9" t="n">
        <v>29.979</v>
      </c>
      <c r="AO7" s="9" t="n">
        <v>37.227</v>
      </c>
      <c r="AP7" s="9" t="n">
        <v>27.883</v>
      </c>
      <c r="AQ7" s="9" t="n">
        <v>32.816</v>
      </c>
      <c r="AR7" s="9" t="n">
        <v>141.143</v>
      </c>
      <c r="AS7" s="9" t="n">
        <v>147.471</v>
      </c>
      <c r="AT7" s="9" t="n">
        <v>130.231</v>
      </c>
      <c r="AU7" s="10" t="n">
        <f aca="false">'KPI Rev by Type'!AA7</f>
        <v>169.430531</v>
      </c>
      <c r="AV7" s="10" t="n">
        <f aca="false">'KPI Rev by Type'!AB7</f>
        <v>151.02301</v>
      </c>
      <c r="AW7" s="10" t="n">
        <f aca="false">'KPI Rev by Type'!AC7</f>
        <v>157.79397</v>
      </c>
      <c r="AX7" s="10" t="n">
        <f aca="false">'KPI Rev by Type'!AD7</f>
        <v>139.34717</v>
      </c>
      <c r="AY7" s="10" t="n">
        <f aca="false">'KPI Rev by Type'!AE7</f>
        <v>181.29066817</v>
      </c>
      <c r="AZ7" s="10" t="n">
        <f aca="false">'KPI Rev by Type'!AF7</f>
        <v>160.0843906</v>
      </c>
      <c r="BA7" s="10" t="n">
        <f aca="false">'KPI Rev by Type'!AG7</f>
        <v>167.2616082</v>
      </c>
      <c r="BB7" s="10" t="n">
        <f aca="false">'KPI Rev by Type'!AH7</f>
        <v>147.7080002</v>
      </c>
    </row>
    <row r="8" customFormat="false" ht="15" hidden="false" customHeight="true" outlineLevel="0" collapsed="false">
      <c r="A8" s="11" t="s">
        <v>61</v>
      </c>
      <c r="B8" s="12" t="n">
        <f aca="false">SUM(B6,B7)</f>
        <v>68.397</v>
      </c>
      <c r="C8" s="12" t="n">
        <f aca="false">SUM(C6,C7)</f>
        <v>86.471</v>
      </c>
      <c r="D8" s="12" t="n">
        <f aca="false">SUM(D6,D7)</f>
        <v>47.05</v>
      </c>
      <c r="E8" s="12" t="n">
        <f aca="false">SUM(E6,E7)</f>
        <v>64.731</v>
      </c>
      <c r="F8" s="12" t="n">
        <f aca="false">SUM(F6,F7)</f>
        <v>67.56</v>
      </c>
      <c r="G8" s="12" t="n">
        <f aca="false">SUM(G6,G7)</f>
        <v>84.757</v>
      </c>
      <c r="H8" s="12" t="n">
        <f aca="false">SUM(H6,H7)</f>
        <v>36.218</v>
      </c>
      <c r="I8" s="12" t="n">
        <f aca="false">SUM(I6,I7)</f>
        <v>50.116</v>
      </c>
      <c r="J8" s="12" t="n">
        <f aca="false">SUM(J6,J7)</f>
        <v>53.163</v>
      </c>
      <c r="K8" s="12" t="n">
        <f aca="false">SUM(K6,K7)</f>
        <v>125.376</v>
      </c>
      <c r="L8" s="12" t="n">
        <f aca="false">SUM(L6,L7)</f>
        <v>34.361</v>
      </c>
      <c r="M8" s="12" t="n">
        <f aca="false">SUM(M6,M7)</f>
        <v>65.801</v>
      </c>
      <c r="N8" s="12" t="n">
        <f aca="false">SUM(N6,N7)</f>
        <v>54.633</v>
      </c>
      <c r="O8" s="12" t="n">
        <f aca="false">SUM(O6,O7)</f>
        <v>113.629</v>
      </c>
      <c r="P8" s="12" t="n">
        <f aca="false">SUM(P6,P7)</f>
        <v>78.043</v>
      </c>
      <c r="Q8" s="12" t="n">
        <f aca="false">SUM(Q6,Q7)</f>
        <v>72.979</v>
      </c>
      <c r="R8" s="12" t="n">
        <f aca="false">SUM(R6,R7)</f>
        <v>75.322</v>
      </c>
      <c r="S8" s="12" t="n">
        <f aca="false">SUM(S6,S7)</f>
        <v>87.93</v>
      </c>
      <c r="T8" s="12" t="n">
        <f aca="false">SUM(T6,T7)</f>
        <v>86.911</v>
      </c>
      <c r="U8" s="12" t="n">
        <f aca="false">SUM(U6,U7)</f>
        <v>83.271</v>
      </c>
      <c r="V8" s="12" t="n">
        <f aca="false">SUM(V6,V7)</f>
        <v>61.891</v>
      </c>
      <c r="W8" s="12" t="n">
        <f aca="false">SUM(W6,W7)</f>
        <v>135.223</v>
      </c>
      <c r="X8" s="12" t="n">
        <f aca="false">SUM(X6,X7)</f>
        <v>87.45</v>
      </c>
      <c r="Y8" s="12" t="n">
        <f aca="false">SUM(Y6,Y7)</f>
        <v>92.665</v>
      </c>
      <c r="Z8" s="12" t="n">
        <f aca="false">SUM(Z6,Z7)</f>
        <v>78.782</v>
      </c>
      <c r="AA8" s="12" t="n">
        <f aca="false">SUM(AA6,AA7)</f>
        <v>136.015</v>
      </c>
      <c r="AB8" s="12" t="n">
        <f aca="false">SUM(AB6,AB7)</f>
        <v>101.009</v>
      </c>
      <c r="AC8" s="12" t="n">
        <f aca="false">SUM(AC6,AC7)</f>
        <v>122.008</v>
      </c>
      <c r="AD8" s="12" t="n">
        <f aca="false">SUM(AD6,AD7)</f>
        <v>90.093</v>
      </c>
      <c r="AE8" s="12" t="n">
        <f aca="false">SUM(AE6,AE7)</f>
        <v>132.622</v>
      </c>
      <c r="AF8" s="12" t="n">
        <f aca="false">SUM(AF6,AF7)</f>
        <v>108.516</v>
      </c>
      <c r="AG8" s="12" t="n">
        <f aca="false">SUM(AG6,AG7)</f>
        <v>111.584</v>
      </c>
      <c r="AH8" s="12" t="n">
        <f aca="false">SUM(AH6,AH7)</f>
        <v>134.395</v>
      </c>
      <c r="AI8" s="12" t="n">
        <f aca="false">SUM(AI6,AI7)</f>
        <v>186.041</v>
      </c>
      <c r="AJ8" s="12" t="n">
        <f aca="false">SUM(AJ6,AJ7)</f>
        <v>152.347</v>
      </c>
      <c r="AK8" s="12" t="n">
        <f aca="false">SUM(AK6,AK7)</f>
        <v>180.816</v>
      </c>
      <c r="AL8" s="12" t="n">
        <f aca="false">SUM(AL6,AL7)</f>
        <v>186.578</v>
      </c>
      <c r="AM8" s="12" t="n">
        <f aca="false">SUM(AM6,AM7)</f>
        <v>196.979</v>
      </c>
      <c r="AN8" s="12" t="n">
        <f aca="false">SUM(AN6,AN7)</f>
        <v>189.483</v>
      </c>
      <c r="AO8" s="12" t="n">
        <f aca="false">SUM(AO6,AO7)</f>
        <v>188.458</v>
      </c>
      <c r="AP8" s="12" t="n">
        <f aca="false">SUM(AP6,AP7)</f>
        <v>167.636</v>
      </c>
      <c r="AQ8" s="12" t="n">
        <f aca="false">SUM(AQ6,AQ7)</f>
        <v>275.05</v>
      </c>
      <c r="AR8" s="12" t="n">
        <f aca="false">SUM(AR6,AR7)</f>
        <v>454.676</v>
      </c>
      <c r="AS8" s="12" t="n">
        <f aca="false">SUM(AS6,AS7)</f>
        <v>472.508</v>
      </c>
      <c r="AT8" s="12" t="n">
        <f aca="false">SUM(AT6,AT7)</f>
        <v>408.045</v>
      </c>
      <c r="AU8" s="13" t="n">
        <f aca="false">SUM(AU6:AU7)</f>
        <v>564.759853</v>
      </c>
      <c r="AV8" s="13" t="n">
        <f aca="false">SUM(AV6:AV7)</f>
        <v>527.26261</v>
      </c>
      <c r="AW8" s="13" t="n">
        <f aca="false">SUM(AW6:AW7)</f>
        <v>547.83837</v>
      </c>
      <c r="AX8" s="13" t="n">
        <f aca="false">SUM(AX6:AX7)</f>
        <v>472.72397</v>
      </c>
      <c r="AY8" s="13" t="n">
        <f aca="false">SUM(AY6:AY7)</f>
        <v>655.68585457</v>
      </c>
      <c r="AZ8" s="13" t="n">
        <f aca="false">SUM(AZ6:AZ7)</f>
        <v>585.2351386</v>
      </c>
      <c r="BA8" s="13" t="n">
        <f aca="false">SUM(BA6:BA7)</f>
        <v>608.0117802</v>
      </c>
      <c r="BB8" s="13" t="n">
        <f aca="false">SUM(BB6:BB7)</f>
        <v>524.4237842</v>
      </c>
    </row>
    <row r="9" customFormat="false" ht="14.25" hidden="false" customHeight="true" outlineLevel="0" collapsed="false">
      <c r="A9" s="8" t="s">
        <v>62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14"/>
      <c r="AV9" s="14"/>
      <c r="AW9" s="14"/>
      <c r="AX9" s="14"/>
      <c r="AY9" s="14"/>
      <c r="AZ9" s="14"/>
      <c r="BA9" s="14"/>
      <c r="BB9" s="14"/>
    </row>
    <row r="10" customFormat="false" ht="15" hidden="false" customHeight="true" outlineLevel="0" collapsed="false">
      <c r="A10" s="4" t="s">
        <v>59</v>
      </c>
      <c r="B10" s="9" t="n">
        <v>32.901</v>
      </c>
      <c r="C10" s="9" t="n">
        <v>27.357</v>
      </c>
      <c r="D10" s="9" t="n">
        <v>16.765</v>
      </c>
      <c r="E10" s="9" t="n">
        <v>24.802</v>
      </c>
      <c r="F10" s="9" t="n">
        <v>31.91</v>
      </c>
      <c r="G10" s="9" t="n">
        <v>32.51</v>
      </c>
      <c r="H10" s="9" t="n">
        <v>15.222</v>
      </c>
      <c r="I10" s="9" t="n">
        <v>19.197</v>
      </c>
      <c r="J10" s="9" t="n">
        <v>23.641</v>
      </c>
      <c r="K10" s="9" t="n">
        <v>57.453</v>
      </c>
      <c r="L10" s="9" t="n">
        <v>15.972</v>
      </c>
      <c r="M10" s="9" t="n">
        <v>25.196</v>
      </c>
      <c r="N10" s="9" t="n">
        <v>24.87</v>
      </c>
      <c r="O10" s="9" t="n">
        <v>43.355</v>
      </c>
      <c r="P10" s="9" t="n">
        <v>29.811</v>
      </c>
      <c r="Q10" s="9" t="n">
        <v>26.567</v>
      </c>
      <c r="R10" s="9" t="n">
        <v>26.78</v>
      </c>
      <c r="S10" s="9" t="n">
        <v>30.331</v>
      </c>
      <c r="T10" s="9" t="n">
        <v>30.408</v>
      </c>
      <c r="U10" s="9" t="n">
        <v>30.802</v>
      </c>
      <c r="V10" s="9" t="n">
        <v>21.034</v>
      </c>
      <c r="W10" s="9" t="n">
        <v>56.887</v>
      </c>
      <c r="X10" s="9" t="n">
        <v>32.084</v>
      </c>
      <c r="Y10" s="9" t="n">
        <v>34.209</v>
      </c>
      <c r="Z10" s="9" t="n">
        <v>35.746</v>
      </c>
      <c r="AA10" s="9" t="n">
        <v>47.675</v>
      </c>
      <c r="AB10" s="9" t="n">
        <v>32.59</v>
      </c>
      <c r="AC10" s="9" t="n">
        <v>38.937</v>
      </c>
      <c r="AD10" s="9" t="n">
        <v>29.294</v>
      </c>
      <c r="AE10" s="9" t="n">
        <v>39.775</v>
      </c>
      <c r="AF10" s="9" t="n">
        <v>32.899</v>
      </c>
      <c r="AG10" s="9" t="n">
        <v>39.445</v>
      </c>
      <c r="AH10" s="9" t="n">
        <v>54.866</v>
      </c>
      <c r="AI10" s="9" t="n">
        <v>76.209</v>
      </c>
      <c r="AJ10" s="9" t="n">
        <v>61.608</v>
      </c>
      <c r="AK10" s="9" t="n">
        <v>79.032</v>
      </c>
      <c r="AL10" s="9" t="n">
        <v>99.486</v>
      </c>
      <c r="AM10" s="9" t="n">
        <v>100.048</v>
      </c>
      <c r="AN10" s="9" t="n">
        <v>85.519</v>
      </c>
      <c r="AO10" s="9" t="n">
        <v>87.052</v>
      </c>
      <c r="AP10" s="9" t="n">
        <v>81.001</v>
      </c>
      <c r="AQ10" s="9" t="n">
        <v>150.775</v>
      </c>
      <c r="AR10" s="9" t="n">
        <v>230.687</v>
      </c>
      <c r="AS10" s="9" t="n">
        <v>241.397</v>
      </c>
      <c r="AT10" s="9" t="n">
        <v>199.973</v>
      </c>
      <c r="AU10" s="15" t="n">
        <f aca="false">AU6*(1-Assumptions!$D$43)</f>
        <v>276.7305254</v>
      </c>
      <c r="AV10" s="15" t="n">
        <f aca="false">AV6*(1-Assumptions!$E$43)</f>
        <v>259.605324</v>
      </c>
      <c r="AW10" s="15" t="n">
        <f aca="false">AW6*(1-Assumptions!$F$43)</f>
        <v>269.130636</v>
      </c>
      <c r="AX10" s="15" t="n">
        <f aca="false">AX6*(1-Assumptions!$G$43)</f>
        <v>230.029992</v>
      </c>
      <c r="AY10" s="15" t="n">
        <f aca="false">AY6*(1-Assumptions!$H$43)</f>
        <v>327.332678616</v>
      </c>
      <c r="AZ10" s="15" t="n">
        <f aca="false">AZ6*(1-Assumptions!$I$43)</f>
        <v>286.9767549</v>
      </c>
      <c r="BA10" s="15" t="n">
        <f aca="false">BA6*(1-Assumptions!$J$43)</f>
        <v>297.5063661</v>
      </c>
      <c r="BB10" s="15" t="n">
        <f aca="false">BB6*(1-Assumptions!$K$43)</f>
        <v>254.2831542</v>
      </c>
    </row>
    <row r="11" customFormat="false" ht="15" hidden="false" customHeight="true" outlineLevel="0" collapsed="false">
      <c r="A11" s="4" t="s">
        <v>60</v>
      </c>
      <c r="B11" s="9" t="n">
        <v>8.503</v>
      </c>
      <c r="C11" s="9" t="n">
        <v>13.764</v>
      </c>
      <c r="D11" s="9" t="n">
        <v>14.262</v>
      </c>
      <c r="E11" s="9" t="n">
        <v>8.396</v>
      </c>
      <c r="F11" s="9" t="n">
        <v>9.025</v>
      </c>
      <c r="G11" s="9" t="n">
        <v>14.325</v>
      </c>
      <c r="H11" s="9" t="n">
        <v>14.313</v>
      </c>
      <c r="I11" s="9" t="n">
        <v>13.502</v>
      </c>
      <c r="J11" s="9" t="n">
        <v>10.171</v>
      </c>
      <c r="K11" s="9" t="n">
        <v>9.207</v>
      </c>
      <c r="L11" s="9" t="n">
        <v>9.691</v>
      </c>
      <c r="M11" s="9" t="n">
        <v>10.462</v>
      </c>
      <c r="N11" s="9" t="n">
        <v>11.513</v>
      </c>
      <c r="O11" s="9" t="n">
        <v>19.68</v>
      </c>
      <c r="P11" s="9" t="n">
        <v>15.643</v>
      </c>
      <c r="Q11" s="9" t="n">
        <v>18.013</v>
      </c>
      <c r="R11" s="9" t="n">
        <v>18.15</v>
      </c>
      <c r="S11" s="9" t="n">
        <v>20.576</v>
      </c>
      <c r="T11" s="9" t="n">
        <v>15.231</v>
      </c>
      <c r="U11" s="9" t="n">
        <v>17.303</v>
      </c>
      <c r="V11" s="9" t="n">
        <v>17.361</v>
      </c>
      <c r="W11" s="9" t="n">
        <v>25.168</v>
      </c>
      <c r="X11" s="9" t="n">
        <v>19.955</v>
      </c>
      <c r="Y11" s="9" t="n">
        <v>17.605</v>
      </c>
      <c r="Z11" s="9" t="n">
        <v>14.395</v>
      </c>
      <c r="AA11" s="9" t="n">
        <v>28.685</v>
      </c>
      <c r="AB11" s="9" t="n">
        <v>39.696</v>
      </c>
      <c r="AC11" s="9" t="n">
        <v>40.616</v>
      </c>
      <c r="AD11" s="9" t="n">
        <v>39.363</v>
      </c>
      <c r="AE11" s="9" t="n">
        <v>44.225</v>
      </c>
      <c r="AF11" s="9" t="n">
        <v>41.903</v>
      </c>
      <c r="AG11" s="9" t="n">
        <v>46.249</v>
      </c>
      <c r="AH11" s="9" t="n">
        <v>34.019</v>
      </c>
      <c r="AI11" s="9" t="n">
        <v>41.432</v>
      </c>
      <c r="AJ11" s="9" t="n">
        <v>25.079</v>
      </c>
      <c r="AK11" s="9" t="n">
        <v>26.434</v>
      </c>
      <c r="AL11" s="9" t="n">
        <v>19.805</v>
      </c>
      <c r="AM11" s="9" t="n">
        <v>21.297</v>
      </c>
      <c r="AN11" s="9" t="n">
        <v>22.497</v>
      </c>
      <c r="AO11" s="9" t="n">
        <v>27.768</v>
      </c>
      <c r="AP11" s="9" t="n">
        <v>23.436</v>
      </c>
      <c r="AQ11" s="9" t="n">
        <v>23.943</v>
      </c>
      <c r="AR11" s="9" t="n">
        <v>128.871</v>
      </c>
      <c r="AS11" s="9" t="n">
        <v>127.006</v>
      </c>
      <c r="AT11" s="9" t="n">
        <v>109.278</v>
      </c>
      <c r="AU11" s="15" t="n">
        <f aca="false">AU7*(1-Assumptions!$D$44)</f>
        <v>141.474493385</v>
      </c>
      <c r="AV11" s="15" t="n">
        <f aca="false">AV7*(1-Assumptions!$E$44)</f>
        <v>124.59398325</v>
      </c>
      <c r="AW11" s="15" t="n">
        <f aca="false">AW7*(1-Assumptions!$F$44)</f>
        <v>130.18002525</v>
      </c>
      <c r="AX11" s="15" t="n">
        <f aca="false">AX7*(1-Assumptions!$G$44)</f>
        <v>114.96141525</v>
      </c>
      <c r="AY11" s="15" t="n">
        <f aca="false">AY7*(1-Assumptions!$H$44)</f>
        <v>149.56480124025</v>
      </c>
      <c r="AZ11" s="15" t="n">
        <f aca="false">AZ7*(1-Assumptions!$I$44)</f>
        <v>130.468778339</v>
      </c>
      <c r="BA11" s="15" t="n">
        <f aca="false">BA7*(1-Assumptions!$J$44)</f>
        <v>136.318210683</v>
      </c>
      <c r="BB11" s="15" t="n">
        <f aca="false">BB7*(1-Assumptions!$K$44)</f>
        <v>120.382020163</v>
      </c>
    </row>
    <row r="12" customFormat="false" ht="15" hidden="false" customHeight="true" outlineLevel="0" collapsed="false">
      <c r="A12" s="11" t="s">
        <v>63</v>
      </c>
      <c r="B12" s="12" t="n">
        <f aca="false">SUM(B10,B11)</f>
        <v>41.404</v>
      </c>
      <c r="C12" s="12" t="n">
        <f aca="false">SUM(C10,C11)</f>
        <v>41.121</v>
      </c>
      <c r="D12" s="12" t="n">
        <f aca="false">SUM(D10,D11)</f>
        <v>31.027</v>
      </c>
      <c r="E12" s="12" t="n">
        <f aca="false">SUM(E10,E11)</f>
        <v>33.198</v>
      </c>
      <c r="F12" s="12" t="n">
        <f aca="false">SUM(F10,F11)</f>
        <v>40.935</v>
      </c>
      <c r="G12" s="12" t="n">
        <f aca="false">SUM(G10,G11)</f>
        <v>46.835</v>
      </c>
      <c r="H12" s="12" t="n">
        <f aca="false">SUM(H10,H11)</f>
        <v>29.535</v>
      </c>
      <c r="I12" s="12" t="n">
        <f aca="false">SUM(I10,I11)</f>
        <v>32.699</v>
      </c>
      <c r="J12" s="12" t="n">
        <f aca="false">SUM(J10,J11)</f>
        <v>33.812</v>
      </c>
      <c r="K12" s="12" t="n">
        <f aca="false">SUM(K10,K11)</f>
        <v>66.66</v>
      </c>
      <c r="L12" s="12" t="n">
        <f aca="false">SUM(L10,L11)</f>
        <v>25.663</v>
      </c>
      <c r="M12" s="12" t="n">
        <f aca="false">SUM(M10,M11)</f>
        <v>35.658</v>
      </c>
      <c r="N12" s="12" t="n">
        <f aca="false">SUM(N10,N11)</f>
        <v>36.383</v>
      </c>
      <c r="O12" s="12" t="n">
        <f aca="false">SUM(O10,O11)</f>
        <v>63.035</v>
      </c>
      <c r="P12" s="12" t="n">
        <f aca="false">SUM(P10,P11)</f>
        <v>45.454</v>
      </c>
      <c r="Q12" s="12" t="n">
        <f aca="false">SUM(Q10,Q11)</f>
        <v>44.58</v>
      </c>
      <c r="R12" s="12" t="n">
        <f aca="false">SUM(R10,R11)</f>
        <v>44.93</v>
      </c>
      <c r="S12" s="12" t="n">
        <f aca="false">SUM(S10,S11)</f>
        <v>50.907</v>
      </c>
      <c r="T12" s="12" t="n">
        <f aca="false">SUM(T10,T11)</f>
        <v>45.639</v>
      </c>
      <c r="U12" s="12" t="n">
        <f aca="false">SUM(U10,U11)</f>
        <v>48.105</v>
      </c>
      <c r="V12" s="12" t="n">
        <f aca="false">SUM(V10,V11)</f>
        <v>38.395</v>
      </c>
      <c r="W12" s="12" t="n">
        <f aca="false">SUM(W10,W11)</f>
        <v>82.055</v>
      </c>
      <c r="X12" s="12" t="n">
        <f aca="false">SUM(X10,X11)</f>
        <v>52.039</v>
      </c>
      <c r="Y12" s="12" t="n">
        <f aca="false">SUM(Y10,Y11)</f>
        <v>51.814</v>
      </c>
      <c r="Z12" s="12" t="n">
        <f aca="false">SUM(Z10,Z11)</f>
        <v>50.141</v>
      </c>
      <c r="AA12" s="12" t="n">
        <f aca="false">SUM(AA10,AA11)</f>
        <v>76.36</v>
      </c>
      <c r="AB12" s="12" t="n">
        <f aca="false">SUM(AB10,AB11)</f>
        <v>72.286</v>
      </c>
      <c r="AC12" s="12" t="n">
        <f aca="false">SUM(AC10,AC11)</f>
        <v>79.553</v>
      </c>
      <c r="AD12" s="12" t="n">
        <f aca="false">SUM(AD10,AD11)</f>
        <v>68.657</v>
      </c>
      <c r="AE12" s="12" t="n">
        <f aca="false">SUM(AE10,AE11)</f>
        <v>84</v>
      </c>
      <c r="AF12" s="12" t="n">
        <f aca="false">SUM(AF10,AF11)</f>
        <v>74.802</v>
      </c>
      <c r="AG12" s="12" t="n">
        <f aca="false">SUM(AG10,AG11)</f>
        <v>85.694</v>
      </c>
      <c r="AH12" s="12" t="n">
        <f aca="false">SUM(AH10,AH11)</f>
        <v>88.885</v>
      </c>
      <c r="AI12" s="12" t="n">
        <f aca="false">SUM(AI10,AI11)</f>
        <v>117.641</v>
      </c>
      <c r="AJ12" s="12" t="n">
        <f aca="false">SUM(AJ10,AJ11)</f>
        <v>86.687</v>
      </c>
      <c r="AK12" s="12" t="n">
        <f aca="false">SUM(AK10,AK11)</f>
        <v>105.466</v>
      </c>
      <c r="AL12" s="12" t="n">
        <f aca="false">SUM(AL10,AL11)</f>
        <v>119.291</v>
      </c>
      <c r="AM12" s="12" t="n">
        <f aca="false">SUM(AM10,AM11)</f>
        <v>121.345</v>
      </c>
      <c r="AN12" s="12" t="n">
        <f aca="false">SUM(AN10,AN11)</f>
        <v>108.016</v>
      </c>
      <c r="AO12" s="12" t="n">
        <f aca="false">SUM(AO10,AO11)</f>
        <v>114.82</v>
      </c>
      <c r="AP12" s="12" t="n">
        <f aca="false">SUM(AP10,AP11)</f>
        <v>104.437</v>
      </c>
      <c r="AQ12" s="12" t="n">
        <f aca="false">SUM(AQ10,AQ11)</f>
        <v>174.718</v>
      </c>
      <c r="AR12" s="12" t="n">
        <f aca="false">SUM(AR10,AR11)</f>
        <v>359.558</v>
      </c>
      <c r="AS12" s="12" t="n">
        <f aca="false">SUM(AS10,AS11)</f>
        <v>368.403</v>
      </c>
      <c r="AT12" s="12" t="n">
        <f aca="false">SUM(AT10,AT11)</f>
        <v>309.251</v>
      </c>
      <c r="AU12" s="15" t="n">
        <f aca="false">SUM(AU10,AU11)</f>
        <v>418.205018785</v>
      </c>
      <c r="AV12" s="15" t="n">
        <f aca="false">SUM(AV10,AV11)</f>
        <v>384.19930725</v>
      </c>
      <c r="AW12" s="15" t="n">
        <f aca="false">SUM(AW10,AW11)</f>
        <v>399.31066125</v>
      </c>
      <c r="AX12" s="15" t="n">
        <f aca="false">SUM(AX10,AX11)</f>
        <v>344.99140725</v>
      </c>
      <c r="AY12" s="15" t="n">
        <f aca="false">SUM(AY10,AY11)</f>
        <v>476.89747985625</v>
      </c>
      <c r="AZ12" s="15" t="n">
        <f aca="false">SUM(AZ10,AZ11)</f>
        <v>417.445533239</v>
      </c>
      <c r="BA12" s="15" t="n">
        <f aca="false">SUM(BA10,BA11)</f>
        <v>433.824576783</v>
      </c>
      <c r="BB12" s="15" t="n">
        <f aca="false">SUM(BB10,BB11)</f>
        <v>374.665174363</v>
      </c>
    </row>
    <row r="13" customFormat="false" ht="14.25" hidden="false" customHeight="true" outlineLevel="0" collapsed="false">
      <c r="A13" s="8" t="s">
        <v>64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14"/>
      <c r="AV13" s="14"/>
      <c r="AW13" s="14"/>
      <c r="AX13" s="14"/>
      <c r="AY13" s="14"/>
      <c r="AZ13" s="14"/>
      <c r="BA13" s="14"/>
      <c r="BB13" s="14"/>
    </row>
    <row r="14" customFormat="false" ht="15" hidden="false" customHeight="true" outlineLevel="0" collapsed="false">
      <c r="A14" s="11" t="s">
        <v>65</v>
      </c>
      <c r="B14" s="12" t="n">
        <f aca="false">B6-B10</f>
        <v>23.407</v>
      </c>
      <c r="C14" s="12" t="n">
        <f aca="false">C6-C10</f>
        <v>35.677</v>
      </c>
      <c r="D14" s="12" t="n">
        <f aca="false">D6-D10</f>
        <v>9.874</v>
      </c>
      <c r="E14" s="12" t="n">
        <f aca="false">E6-E10</f>
        <v>24.69</v>
      </c>
      <c r="F14" s="12" t="n">
        <f aca="false">F6-F10</f>
        <v>21.395</v>
      </c>
      <c r="G14" s="12" t="n">
        <f aca="false">G6-G10</f>
        <v>27.53</v>
      </c>
      <c r="H14" s="12" t="n">
        <f aca="false">H6-H10</f>
        <v>0.515000000000001</v>
      </c>
      <c r="I14" s="12" t="n">
        <f aca="false">I6-I10</f>
        <v>10.153</v>
      </c>
      <c r="J14" s="12" t="n">
        <f aca="false">J6-J10</f>
        <v>13.105</v>
      </c>
      <c r="K14" s="12" t="n">
        <f aca="false">K6-K10</f>
        <v>54.052</v>
      </c>
      <c r="L14" s="12" t="n">
        <f aca="false">L6-L10</f>
        <v>2.808</v>
      </c>
      <c r="M14" s="12" t="n">
        <f aca="false">M6-M10</f>
        <v>23.224</v>
      </c>
      <c r="N14" s="12" t="n">
        <f aca="false">N6-N10</f>
        <v>14.577</v>
      </c>
      <c r="O14" s="12" t="n">
        <f aca="false">O6-O10</f>
        <v>41.71</v>
      </c>
      <c r="P14" s="12" t="n">
        <f aca="false">P6-P10</f>
        <v>25.502</v>
      </c>
      <c r="Q14" s="12" t="n">
        <f aca="false">Q6-Q10</f>
        <v>20.489</v>
      </c>
      <c r="R14" s="12" t="n">
        <f aca="false">R6-R10</f>
        <v>23.244</v>
      </c>
      <c r="S14" s="12" t="n">
        <f aca="false">S6-S10</f>
        <v>29.365</v>
      </c>
      <c r="T14" s="12" t="n">
        <f aca="false">T6-T10</f>
        <v>35.431</v>
      </c>
      <c r="U14" s="12" t="n">
        <f aca="false">U6-U10</f>
        <v>26.584</v>
      </c>
      <c r="V14" s="12" t="n">
        <f aca="false">V6-V10</f>
        <v>15.398</v>
      </c>
      <c r="W14" s="12" t="n">
        <f aca="false">W6-W10</f>
        <v>40.214</v>
      </c>
      <c r="X14" s="12" t="n">
        <f aca="false">X6-X10</f>
        <v>26.273</v>
      </c>
      <c r="Y14" s="12" t="n">
        <f aca="false">Y6-Y10</f>
        <v>31.319</v>
      </c>
      <c r="Z14" s="12" t="n">
        <f aca="false">Z6-Z10</f>
        <v>22.602</v>
      </c>
      <c r="AA14" s="12" t="n">
        <f aca="false">AA6-AA10</f>
        <v>48.98</v>
      </c>
      <c r="AB14" s="12" t="n">
        <f aca="false">AB6-AB10</f>
        <v>20.526</v>
      </c>
      <c r="AC14" s="12" t="n">
        <f aca="false">AC6-AC10</f>
        <v>32.061</v>
      </c>
      <c r="AD14" s="12" t="n">
        <f aca="false">AD6-AD10</f>
        <v>13.305</v>
      </c>
      <c r="AE14" s="12" t="n">
        <f aca="false">AE6-AE10</f>
        <v>34.195</v>
      </c>
      <c r="AF14" s="12" t="n">
        <f aca="false">AF6-AF10</f>
        <v>25.075</v>
      </c>
      <c r="AG14" s="12" t="n">
        <f aca="false">AG6-AG10</f>
        <v>22.898</v>
      </c>
      <c r="AH14" s="12" t="n">
        <f aca="false">AH6-AH10</f>
        <v>36.35</v>
      </c>
      <c r="AI14" s="12" t="n">
        <f aca="false">AI6-AI10</f>
        <v>65.32</v>
      </c>
      <c r="AJ14" s="12" t="n">
        <f aca="false">AJ6-AJ10</f>
        <v>57.863</v>
      </c>
      <c r="AK14" s="12" t="n">
        <f aca="false">AK6-AK10</f>
        <v>66.747</v>
      </c>
      <c r="AL14" s="12" t="n">
        <f aca="false">AL6-AL10</f>
        <v>56.437</v>
      </c>
      <c r="AM14" s="12" t="n">
        <f aca="false">AM6-AM10</f>
        <v>64.55</v>
      </c>
      <c r="AN14" s="12" t="n">
        <f aca="false">AN6-AN10</f>
        <v>73.985</v>
      </c>
      <c r="AO14" s="12" t="n">
        <f aca="false">AO6-AO10</f>
        <v>64.179</v>
      </c>
      <c r="AP14" s="12" t="n">
        <f aca="false">AP6-AP10</f>
        <v>58.752</v>
      </c>
      <c r="AQ14" s="12" t="n">
        <f aca="false">AQ6-AQ10</f>
        <v>91.459</v>
      </c>
      <c r="AR14" s="12" t="n">
        <f aca="false">AR6-AR10</f>
        <v>82.846</v>
      </c>
      <c r="AS14" s="12" t="n">
        <f aca="false">AS6-AS10</f>
        <v>83.64</v>
      </c>
      <c r="AT14" s="12" t="n">
        <f aca="false">AT6-AT10</f>
        <v>77.841</v>
      </c>
      <c r="AU14" s="15" t="n">
        <f aca="false">AU6-AU10</f>
        <v>118.5987966</v>
      </c>
      <c r="AV14" s="15" t="n">
        <f aca="false">AV6-AV10</f>
        <v>116.634276</v>
      </c>
      <c r="AW14" s="15" t="n">
        <f aca="false">AW6-AW10</f>
        <v>120.913764</v>
      </c>
      <c r="AX14" s="15" t="n">
        <f aca="false">AX6-AX10</f>
        <v>103.346808</v>
      </c>
      <c r="AY14" s="15" t="n">
        <f aca="false">AY6-AY10</f>
        <v>147.062507784</v>
      </c>
      <c r="AZ14" s="15" t="n">
        <f aca="false">AZ6-AZ10</f>
        <v>138.1739931</v>
      </c>
      <c r="BA14" s="15" t="n">
        <f aca="false">BA6-BA10</f>
        <v>143.2438059</v>
      </c>
      <c r="BB14" s="15" t="n">
        <f aca="false">BB6-BB10</f>
        <v>122.4326298</v>
      </c>
    </row>
    <row r="15" customFormat="false" ht="15" hidden="false" customHeight="true" outlineLevel="0" collapsed="false">
      <c r="A15" s="11" t="s">
        <v>66</v>
      </c>
      <c r="B15" s="12" t="n">
        <f aca="false">B7-B11</f>
        <v>3.586</v>
      </c>
      <c r="C15" s="12" t="n">
        <f aca="false">C7-C11</f>
        <v>9.673</v>
      </c>
      <c r="D15" s="12" t="n">
        <f aca="false">D7-D11</f>
        <v>6.149</v>
      </c>
      <c r="E15" s="12" t="n">
        <f aca="false">E7-E11</f>
        <v>6.843</v>
      </c>
      <c r="F15" s="12" t="n">
        <f aca="false">F7-F11</f>
        <v>5.23</v>
      </c>
      <c r="G15" s="12" t="n">
        <f aca="false">G7-G11</f>
        <v>10.392</v>
      </c>
      <c r="H15" s="12" t="n">
        <f aca="false">H7-H11</f>
        <v>6.168</v>
      </c>
      <c r="I15" s="12" t="n">
        <f aca="false">I7-I11</f>
        <v>7.264</v>
      </c>
      <c r="J15" s="12" t="n">
        <f aca="false">J7-J11</f>
        <v>6.246</v>
      </c>
      <c r="K15" s="12" t="n">
        <f aca="false">K7-K11</f>
        <v>4.664</v>
      </c>
      <c r="L15" s="12" t="n">
        <f aca="false">L7-L11</f>
        <v>5.89</v>
      </c>
      <c r="M15" s="12" t="n">
        <f aca="false">M7-M11</f>
        <v>6.919</v>
      </c>
      <c r="N15" s="12" t="n">
        <f aca="false">N7-N11</f>
        <v>3.673</v>
      </c>
      <c r="O15" s="12" t="n">
        <f aca="false">O7-O11</f>
        <v>8.884</v>
      </c>
      <c r="P15" s="12" t="n">
        <f aca="false">P7-P11</f>
        <v>7.087</v>
      </c>
      <c r="Q15" s="12" t="n">
        <f aca="false">Q7-Q11</f>
        <v>7.91</v>
      </c>
      <c r="R15" s="12" t="n">
        <f aca="false">R7-R11</f>
        <v>7.148</v>
      </c>
      <c r="S15" s="12" t="n">
        <f aca="false">S7-S11</f>
        <v>7.658</v>
      </c>
      <c r="T15" s="12" t="n">
        <f aca="false">T7-T11</f>
        <v>5.841</v>
      </c>
      <c r="U15" s="12" t="n">
        <f aca="false">U7-U11</f>
        <v>8.582</v>
      </c>
      <c r="V15" s="12" t="n">
        <f aca="false">V7-V11</f>
        <v>8.098</v>
      </c>
      <c r="W15" s="12" t="n">
        <f aca="false">W7-W11</f>
        <v>12.954</v>
      </c>
      <c r="X15" s="12" t="n">
        <f aca="false">X7-X11</f>
        <v>9.138</v>
      </c>
      <c r="Y15" s="12" t="n">
        <f aca="false">Y7-Y11</f>
        <v>9.532</v>
      </c>
      <c r="Z15" s="12" t="n">
        <f aca="false">Z7-Z11</f>
        <v>6.039</v>
      </c>
      <c r="AA15" s="12" t="n">
        <f aca="false">AA7-AA11</f>
        <v>10.675</v>
      </c>
      <c r="AB15" s="12" t="n">
        <f aca="false">AB7-AB11</f>
        <v>8.197</v>
      </c>
      <c r="AC15" s="12" t="n">
        <f aca="false">AC7-AC11</f>
        <v>10.394</v>
      </c>
      <c r="AD15" s="12" t="n">
        <f aca="false">AD7-AD11</f>
        <v>8.131</v>
      </c>
      <c r="AE15" s="12" t="n">
        <f aca="false">AE7-AE11</f>
        <v>14.427</v>
      </c>
      <c r="AF15" s="12" t="n">
        <f aca="false">AF7-AF11</f>
        <v>8.639</v>
      </c>
      <c r="AG15" s="12" t="n">
        <f aca="false">AG7-AG11</f>
        <v>2.992</v>
      </c>
      <c r="AH15" s="12" t="n">
        <f aca="false">AH7-AH11</f>
        <v>9.16</v>
      </c>
      <c r="AI15" s="12" t="n">
        <f aca="false">AI7-AI11</f>
        <v>3.08</v>
      </c>
      <c r="AJ15" s="12" t="n">
        <f aca="false">AJ7-AJ11</f>
        <v>7.797</v>
      </c>
      <c r="AK15" s="12" t="n">
        <f aca="false">AK7-AK11</f>
        <v>8.603</v>
      </c>
      <c r="AL15" s="12" t="n">
        <f aca="false">AL7-AL11</f>
        <v>10.85</v>
      </c>
      <c r="AM15" s="12" t="n">
        <f aca="false">AM7-AM11</f>
        <v>11.084</v>
      </c>
      <c r="AN15" s="12" t="n">
        <f aca="false">AN7-AN11</f>
        <v>7.482</v>
      </c>
      <c r="AO15" s="12" t="n">
        <f aca="false">AO7-AO11</f>
        <v>9.459</v>
      </c>
      <c r="AP15" s="12" t="n">
        <f aca="false">AP7-AP11</f>
        <v>4.447</v>
      </c>
      <c r="AQ15" s="12" t="n">
        <f aca="false">AQ7-AQ11</f>
        <v>8.873</v>
      </c>
      <c r="AR15" s="12" t="n">
        <f aca="false">AR7-AR11</f>
        <v>12.272</v>
      </c>
      <c r="AS15" s="12" t="n">
        <f aca="false">AS7-AS11</f>
        <v>20.465</v>
      </c>
      <c r="AT15" s="12" t="n">
        <f aca="false">AT7-AT11</f>
        <v>20.953</v>
      </c>
      <c r="AU15" s="15" t="n">
        <f aca="false">AU7-AU11</f>
        <v>27.956037615</v>
      </c>
      <c r="AV15" s="15" t="n">
        <f aca="false">AV7-AV11</f>
        <v>26.42902675</v>
      </c>
      <c r="AW15" s="15" t="n">
        <f aca="false">AW7-AW11</f>
        <v>27.61394475</v>
      </c>
      <c r="AX15" s="15" t="n">
        <f aca="false">AX7-AX11</f>
        <v>24.38575475</v>
      </c>
      <c r="AY15" s="15" t="n">
        <f aca="false">AY7-AY11</f>
        <v>31.72586692975</v>
      </c>
      <c r="AZ15" s="15" t="n">
        <f aca="false">AZ7-AZ11</f>
        <v>29.615612261</v>
      </c>
      <c r="BA15" s="15" t="n">
        <f aca="false">BA7-BA11</f>
        <v>30.943397517</v>
      </c>
      <c r="BB15" s="15" t="n">
        <f aca="false">BB7-BB11</f>
        <v>27.325980037</v>
      </c>
    </row>
    <row r="16" customFormat="false" ht="15" hidden="false" customHeight="true" outlineLevel="0" collapsed="false">
      <c r="A16" s="11" t="s">
        <v>67</v>
      </c>
      <c r="B16" s="12" t="n">
        <f aca="false">B8-B12</f>
        <v>26.993</v>
      </c>
      <c r="C16" s="12" t="n">
        <f aca="false">C8-C12</f>
        <v>45.35</v>
      </c>
      <c r="D16" s="12" t="n">
        <f aca="false">D8-D12</f>
        <v>16.023</v>
      </c>
      <c r="E16" s="12" t="n">
        <f aca="false">E8-E12</f>
        <v>31.533</v>
      </c>
      <c r="F16" s="12" t="n">
        <f aca="false">F8-F12</f>
        <v>26.625</v>
      </c>
      <c r="G16" s="12" t="n">
        <f aca="false">G8-G12</f>
        <v>37.922</v>
      </c>
      <c r="H16" s="12" t="n">
        <f aca="false">H8-H12</f>
        <v>6.683</v>
      </c>
      <c r="I16" s="12" t="n">
        <f aca="false">I8-I12</f>
        <v>17.417</v>
      </c>
      <c r="J16" s="12" t="n">
        <f aca="false">J8-J12</f>
        <v>19.351</v>
      </c>
      <c r="K16" s="12" t="n">
        <f aca="false">K8-K12</f>
        <v>58.716</v>
      </c>
      <c r="L16" s="12" t="n">
        <f aca="false">L8-L12</f>
        <v>8.698</v>
      </c>
      <c r="M16" s="12" t="n">
        <f aca="false">M8-M12</f>
        <v>30.143</v>
      </c>
      <c r="N16" s="12" t="n">
        <f aca="false">N8-N12</f>
        <v>18.25</v>
      </c>
      <c r="O16" s="12" t="n">
        <f aca="false">O8-O12</f>
        <v>50.594</v>
      </c>
      <c r="P16" s="12" t="n">
        <f aca="false">P8-P12</f>
        <v>32.589</v>
      </c>
      <c r="Q16" s="12" t="n">
        <f aca="false">Q8-Q12</f>
        <v>28.399</v>
      </c>
      <c r="R16" s="12" t="n">
        <f aca="false">R8-R12</f>
        <v>30.392</v>
      </c>
      <c r="S16" s="12" t="n">
        <f aca="false">S8-S12</f>
        <v>37.023</v>
      </c>
      <c r="T16" s="12" t="n">
        <f aca="false">T8-T12</f>
        <v>41.272</v>
      </c>
      <c r="U16" s="12" t="n">
        <f aca="false">U8-U12</f>
        <v>35.166</v>
      </c>
      <c r="V16" s="12" t="n">
        <f aca="false">V8-V12</f>
        <v>23.496</v>
      </c>
      <c r="W16" s="12" t="n">
        <f aca="false">W8-W12</f>
        <v>53.168</v>
      </c>
      <c r="X16" s="12" t="n">
        <f aca="false">X8-X12</f>
        <v>35.411</v>
      </c>
      <c r="Y16" s="12" t="n">
        <f aca="false">Y8-Y12</f>
        <v>40.851</v>
      </c>
      <c r="Z16" s="12" t="n">
        <f aca="false">Z8-Z12</f>
        <v>28.641</v>
      </c>
      <c r="AA16" s="12" t="n">
        <f aca="false">AA8-AA12</f>
        <v>59.655</v>
      </c>
      <c r="AB16" s="12" t="n">
        <f aca="false">AB8-AB12</f>
        <v>28.723</v>
      </c>
      <c r="AC16" s="12" t="n">
        <f aca="false">AC8-AC12</f>
        <v>42.455</v>
      </c>
      <c r="AD16" s="12" t="n">
        <f aca="false">AD8-AD12</f>
        <v>21.436</v>
      </c>
      <c r="AE16" s="12" t="n">
        <f aca="false">AE8-AE12</f>
        <v>48.622</v>
      </c>
      <c r="AF16" s="12" t="n">
        <f aca="false">AF8-AF12</f>
        <v>33.714</v>
      </c>
      <c r="AG16" s="12" t="n">
        <f aca="false">AG8-AG12</f>
        <v>25.89</v>
      </c>
      <c r="AH16" s="12" t="n">
        <f aca="false">AH8-AH12</f>
        <v>45.51</v>
      </c>
      <c r="AI16" s="12" t="n">
        <f aca="false">AI8-AI12</f>
        <v>68.4</v>
      </c>
      <c r="AJ16" s="12" t="n">
        <f aca="false">AJ8-AJ12</f>
        <v>65.66</v>
      </c>
      <c r="AK16" s="12" t="n">
        <f aca="false">AK8-AK12</f>
        <v>75.35</v>
      </c>
      <c r="AL16" s="12" t="n">
        <f aca="false">AL8-AL12</f>
        <v>67.287</v>
      </c>
      <c r="AM16" s="12" t="n">
        <f aca="false">AM8-AM12</f>
        <v>75.634</v>
      </c>
      <c r="AN16" s="12" t="n">
        <f aca="false">AN8-AN12</f>
        <v>81.467</v>
      </c>
      <c r="AO16" s="12" t="n">
        <f aca="false">AO8-AO12</f>
        <v>73.638</v>
      </c>
      <c r="AP16" s="12" t="n">
        <f aca="false">AP8-AP12</f>
        <v>63.199</v>
      </c>
      <c r="AQ16" s="12" t="n">
        <f aca="false">AQ8-AQ12</f>
        <v>100.332</v>
      </c>
      <c r="AR16" s="12" t="n">
        <f aca="false">AR8-AR12</f>
        <v>95.1180000000001</v>
      </c>
      <c r="AS16" s="12" t="n">
        <f aca="false">AS8-AS12</f>
        <v>104.105</v>
      </c>
      <c r="AT16" s="12" t="n">
        <f aca="false">AT8-AT12</f>
        <v>98.794</v>
      </c>
      <c r="AU16" s="15" t="n">
        <f aca="false">AU8-AU12</f>
        <v>146.554834215</v>
      </c>
      <c r="AV16" s="15" t="n">
        <f aca="false">AV8-AV12</f>
        <v>143.06330275</v>
      </c>
      <c r="AW16" s="15" t="n">
        <f aca="false">AW8-AW12</f>
        <v>148.52770875</v>
      </c>
      <c r="AX16" s="15" t="n">
        <f aca="false">AX8-AX12</f>
        <v>127.73256275</v>
      </c>
      <c r="AY16" s="15" t="n">
        <f aca="false">AY8-AY12</f>
        <v>178.78837471375</v>
      </c>
      <c r="AZ16" s="15" t="n">
        <f aca="false">AZ8-AZ12</f>
        <v>167.789605361</v>
      </c>
      <c r="BA16" s="15" t="n">
        <f aca="false">BA8-BA12</f>
        <v>174.187203417</v>
      </c>
      <c r="BB16" s="15" t="n">
        <f aca="false">BB8-BB12</f>
        <v>149.758609837</v>
      </c>
    </row>
    <row r="17" customFormat="false" ht="14.25" hidden="false" customHeight="true" outlineLevel="0" collapsed="false">
      <c r="A17" s="8" t="s">
        <v>68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14"/>
      <c r="AV17" s="14"/>
      <c r="AW17" s="14"/>
      <c r="AX17" s="14"/>
      <c r="AY17" s="14"/>
      <c r="AZ17" s="14"/>
      <c r="BA17" s="14"/>
      <c r="BB17" s="14"/>
    </row>
    <row r="18" customFormat="false" ht="15" hidden="false" customHeight="true" outlineLevel="0" collapsed="false">
      <c r="A18" s="4" t="s">
        <v>69</v>
      </c>
      <c r="B18" s="9" t="n">
        <v>13.268</v>
      </c>
      <c r="C18" s="9" t="n">
        <v>15.622</v>
      </c>
      <c r="D18" s="9" t="n">
        <v>15.256</v>
      </c>
      <c r="E18" s="9" t="n">
        <v>14.733</v>
      </c>
      <c r="F18" s="9" t="n">
        <v>13.313</v>
      </c>
      <c r="G18" s="9" t="n">
        <v>16.775</v>
      </c>
      <c r="H18" s="9" t="n">
        <v>13.663</v>
      </c>
      <c r="I18" s="9" t="n">
        <v>13.387</v>
      </c>
      <c r="J18" s="9" t="n">
        <v>12.788</v>
      </c>
      <c r="K18" s="9" t="n">
        <v>16.699</v>
      </c>
      <c r="L18" s="9" t="n">
        <v>11.287</v>
      </c>
      <c r="M18" s="9" t="n">
        <v>12.768</v>
      </c>
      <c r="N18" s="9" t="n">
        <v>11.484</v>
      </c>
      <c r="O18" s="9" t="n">
        <v>15.287</v>
      </c>
      <c r="P18" s="9" t="n">
        <v>11.956</v>
      </c>
      <c r="Q18" s="9" t="n">
        <v>13.646</v>
      </c>
      <c r="R18" s="9" t="n">
        <v>14.464</v>
      </c>
      <c r="S18" s="9" t="n">
        <v>20.277</v>
      </c>
      <c r="T18" s="9" t="n">
        <v>13.668</v>
      </c>
      <c r="U18" s="9" t="n">
        <v>16.255</v>
      </c>
      <c r="V18" s="9" t="n">
        <v>13.223</v>
      </c>
      <c r="W18" s="9" t="n">
        <v>16.344</v>
      </c>
      <c r="X18" s="9" t="n">
        <v>12.011</v>
      </c>
      <c r="Y18" s="9" t="n">
        <v>14.977</v>
      </c>
      <c r="Z18" s="9" t="n">
        <v>15.652</v>
      </c>
      <c r="AA18" s="9" t="n">
        <v>24.841</v>
      </c>
      <c r="AB18" s="9" t="n">
        <v>27.128</v>
      </c>
      <c r="AC18" s="9" t="n">
        <v>24.819</v>
      </c>
      <c r="AD18" s="9" t="n">
        <v>22.549</v>
      </c>
      <c r="AE18" s="9" t="n">
        <v>21.938</v>
      </c>
      <c r="AF18" s="9" t="n">
        <v>21.943</v>
      </c>
      <c r="AG18" s="9" t="n">
        <v>23.613</v>
      </c>
      <c r="AH18" s="9" t="n">
        <v>24.746</v>
      </c>
      <c r="AI18" s="9" t="n">
        <v>61.603</v>
      </c>
      <c r="AJ18" s="9" t="n">
        <v>23.827</v>
      </c>
      <c r="AK18" s="9" t="n">
        <v>28.147</v>
      </c>
      <c r="AL18" s="9" t="n">
        <v>27.826</v>
      </c>
      <c r="AM18" s="9" t="n">
        <v>34.62</v>
      </c>
      <c r="AN18" s="9" t="n">
        <v>33.795</v>
      </c>
      <c r="AO18" s="9" t="n">
        <v>37.916</v>
      </c>
      <c r="AP18" s="9" t="n">
        <v>43.788</v>
      </c>
      <c r="AQ18" s="9" t="n">
        <v>43.254</v>
      </c>
      <c r="AR18" s="9" t="n">
        <v>131.276</v>
      </c>
      <c r="AS18" s="9" t="n">
        <v>98.336</v>
      </c>
      <c r="AT18" s="9" t="n">
        <v>99.414</v>
      </c>
      <c r="AU18" s="15" t="n">
        <f aca="false">AU8*Assumptions!$D$45</f>
        <v>112.9519706</v>
      </c>
      <c r="AV18" s="15" t="n">
        <f aca="false">AV8*Assumptions!$E$45</f>
        <v>97.54358285</v>
      </c>
      <c r="AW18" s="15" t="n">
        <f aca="false">AW8*Assumptions!$F$45</f>
        <v>101.35009845</v>
      </c>
      <c r="AX18" s="15" t="n">
        <f aca="false">AX8*Assumptions!$G$45</f>
        <v>87.45393445</v>
      </c>
      <c r="AY18" s="15" t="n">
        <f aca="false">AY8*Assumptions!$H$45</f>
        <v>121.30188309545</v>
      </c>
      <c r="AZ18" s="15" t="n">
        <f aca="false">AZ8*Assumptions!$I$45</f>
        <v>99.489973562</v>
      </c>
      <c r="BA18" s="15" t="n">
        <f aca="false">BA8*Assumptions!$J$45</f>
        <v>103.362002634</v>
      </c>
      <c r="BB18" s="15" t="n">
        <f aca="false">BB8*Assumptions!$K$45</f>
        <v>89.152043314</v>
      </c>
    </row>
    <row r="19" customFormat="false" ht="15" hidden="false" customHeight="true" outlineLevel="0" collapsed="false">
      <c r="A19" s="4" t="s">
        <v>70</v>
      </c>
      <c r="B19" s="9" t="n">
        <v>8.577</v>
      </c>
      <c r="C19" s="9" t="n">
        <v>22.259</v>
      </c>
      <c r="D19" s="9" t="n">
        <v>9.831</v>
      </c>
      <c r="E19" s="9" t="n">
        <v>9.897</v>
      </c>
      <c r="F19" s="9" t="n">
        <v>8.247</v>
      </c>
      <c r="G19" s="9" t="n">
        <v>14.316</v>
      </c>
      <c r="H19" s="9" t="n">
        <v>8.6</v>
      </c>
      <c r="I19" s="9" t="n">
        <v>8.517</v>
      </c>
      <c r="J19" s="9" t="n">
        <v>7.988</v>
      </c>
      <c r="K19" s="9" t="n">
        <v>7.937</v>
      </c>
      <c r="L19" s="9" t="n">
        <v>5.542</v>
      </c>
      <c r="M19" s="9" t="n">
        <v>6.844</v>
      </c>
      <c r="N19" s="9" t="n">
        <v>6.607</v>
      </c>
      <c r="O19" s="9" t="n">
        <v>7.44</v>
      </c>
      <c r="P19" s="9" t="n">
        <v>6.435</v>
      </c>
      <c r="Q19" s="9" t="n">
        <v>8.109</v>
      </c>
      <c r="R19" s="9" t="n">
        <v>8.087</v>
      </c>
      <c r="S19" s="9" t="n">
        <v>11.603</v>
      </c>
      <c r="T19" s="9" t="n">
        <v>8.709</v>
      </c>
      <c r="U19" s="9" t="n">
        <v>10.858</v>
      </c>
      <c r="V19" s="9" t="n">
        <v>11.381</v>
      </c>
      <c r="W19" s="9" t="n">
        <v>15.529</v>
      </c>
      <c r="X19" s="9" t="n">
        <v>11.103</v>
      </c>
      <c r="Y19" s="9" t="n">
        <v>11.976</v>
      </c>
      <c r="Z19" s="9" t="n">
        <v>13.631</v>
      </c>
      <c r="AA19" s="9" t="n">
        <v>17.054</v>
      </c>
      <c r="AB19" s="9" t="n">
        <v>13.708</v>
      </c>
      <c r="AC19" s="9" t="n">
        <v>14.297</v>
      </c>
      <c r="AD19" s="9" t="n">
        <v>13.013</v>
      </c>
      <c r="AE19" s="9" t="n">
        <v>13.671</v>
      </c>
      <c r="AF19" s="9" t="n">
        <v>15.045</v>
      </c>
      <c r="AG19" s="9" t="n">
        <v>16.591</v>
      </c>
      <c r="AH19" s="9" t="n">
        <v>16.157</v>
      </c>
      <c r="AI19" s="9" t="n">
        <v>16.462</v>
      </c>
      <c r="AJ19" s="9" t="n">
        <v>15.466</v>
      </c>
      <c r="AK19" s="9" t="n">
        <v>22.025</v>
      </c>
      <c r="AL19" s="9" t="n">
        <v>25.127</v>
      </c>
      <c r="AM19" s="9" t="n">
        <v>35.069</v>
      </c>
      <c r="AN19" s="9" t="n">
        <v>24.613</v>
      </c>
      <c r="AO19" s="9" t="n">
        <v>28.716</v>
      </c>
      <c r="AP19" s="9" t="n">
        <v>22.498</v>
      </c>
      <c r="AQ19" s="9" t="n">
        <v>24.902</v>
      </c>
      <c r="AR19" s="9" t="n">
        <v>33.114</v>
      </c>
      <c r="AS19" s="9" t="n">
        <v>35.993</v>
      </c>
      <c r="AT19" s="9" t="n">
        <v>27.112</v>
      </c>
      <c r="AU19" s="15" t="n">
        <f aca="false">AU8*Assumptions!$D$46</f>
        <v>36.709390445</v>
      </c>
      <c r="AV19" s="15" t="n">
        <f aca="false">AV8*Assumptions!$E$46</f>
        <v>34.27206965</v>
      </c>
      <c r="AW19" s="15" t="n">
        <f aca="false">AW8*Assumptions!$F$46</f>
        <v>35.60949405</v>
      </c>
      <c r="AX19" s="15" t="n">
        <f aca="false">AX8*Assumptions!$G$46</f>
        <v>30.72705805</v>
      </c>
      <c r="AY19" s="15" t="n">
        <f aca="false">AY8*Assumptions!$H$46</f>
        <v>42.61958054705</v>
      </c>
      <c r="AZ19" s="15" t="n">
        <f aca="false">AZ8*Assumptions!$I$46</f>
        <v>38.040284009</v>
      </c>
      <c r="BA19" s="15" t="n">
        <f aca="false">BA8*Assumptions!$J$46</f>
        <v>39.520765713</v>
      </c>
      <c r="BB19" s="15" t="n">
        <f aca="false">BB8*Assumptions!$K$46</f>
        <v>34.087545973</v>
      </c>
    </row>
    <row r="20" customFormat="false" ht="15" hidden="false" customHeight="true" outlineLevel="0" collapsed="false">
      <c r="A20" s="4" t="s">
        <v>71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 t="n">
        <v>18.359</v>
      </c>
      <c r="AR20" s="9"/>
      <c r="AS20" s="9"/>
      <c r="AT20" s="9" t="n">
        <v>240.708</v>
      </c>
      <c r="AU20" s="15" t="n">
        <f aca="false">Assumptions!$D$47</f>
        <v>0</v>
      </c>
      <c r="AV20" s="15" t="n">
        <f aca="false">Assumptions!$E$47</f>
        <v>0</v>
      </c>
      <c r="AW20" s="15" t="n">
        <f aca="false">Assumptions!$F$47</f>
        <v>0</v>
      </c>
      <c r="AX20" s="15" t="n">
        <f aca="false">Assumptions!$G$47</f>
        <v>0</v>
      </c>
      <c r="AY20" s="15" t="n">
        <f aca="false">Assumptions!$H$47</f>
        <v>0</v>
      </c>
      <c r="AZ20" s="15" t="n">
        <f aca="false">Assumptions!$I$47</f>
        <v>0</v>
      </c>
      <c r="BA20" s="15" t="n">
        <f aca="false">Assumptions!$J$47</f>
        <v>0</v>
      </c>
      <c r="BB20" s="15" t="n">
        <f aca="false">Assumptions!$K$47</f>
        <v>0</v>
      </c>
    </row>
    <row r="21" customFormat="false" ht="15" hidden="false" customHeight="true" outlineLevel="0" collapsed="false">
      <c r="A21" s="4" t="s">
        <v>72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 t="n">
        <v>156.017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15" t="n">
        <f aca="false">Assumptions!$D$48</f>
        <v>0</v>
      </c>
      <c r="AV21" s="15" t="n">
        <f aca="false">Assumptions!$E$48</f>
        <v>0</v>
      </c>
      <c r="AW21" s="15" t="n">
        <f aca="false">Assumptions!$F$48</f>
        <v>0</v>
      </c>
      <c r="AX21" s="15" t="n">
        <f aca="false">Assumptions!$G$48</f>
        <v>0</v>
      </c>
      <c r="AY21" s="15" t="n">
        <f aca="false">Assumptions!$H$48</f>
        <v>0</v>
      </c>
      <c r="AZ21" s="15" t="n">
        <f aca="false">Assumptions!$I$48</f>
        <v>0</v>
      </c>
      <c r="BA21" s="15" t="n">
        <f aca="false">Assumptions!$J$48</f>
        <v>0</v>
      </c>
      <c r="BB21" s="15" t="n">
        <f aca="false">Assumptions!$K$48</f>
        <v>0</v>
      </c>
    </row>
    <row r="22" customFormat="false" ht="15" hidden="false" customHeight="true" outlineLevel="0" collapsed="false">
      <c r="A22" s="11" t="s">
        <v>73</v>
      </c>
      <c r="B22" s="12" t="n">
        <f aca="false">SUM(B18,B19,B20,B21)</f>
        <v>21.845</v>
      </c>
      <c r="C22" s="12" t="n">
        <f aca="false">SUM(C18,C19,C20,C21)</f>
        <v>37.881</v>
      </c>
      <c r="D22" s="12" t="n">
        <f aca="false">SUM(D18,D19,D20,D21)</f>
        <v>25.087</v>
      </c>
      <c r="E22" s="12" t="n">
        <f aca="false">SUM(E18,E19,E20,E21)</f>
        <v>24.63</v>
      </c>
      <c r="F22" s="12" t="n">
        <f aca="false">SUM(F18,F19,F20,F21)</f>
        <v>21.56</v>
      </c>
      <c r="G22" s="12" t="n">
        <f aca="false">SUM(G18,G19,G20,G21)</f>
        <v>31.091</v>
      </c>
      <c r="H22" s="12" t="n">
        <f aca="false">SUM(H18,H19,H20,H21)</f>
        <v>22.263</v>
      </c>
      <c r="I22" s="12" t="n">
        <f aca="false">SUM(I18,I19,I20,I21)</f>
        <v>21.904</v>
      </c>
      <c r="J22" s="12" t="n">
        <f aca="false">SUM(J18,J19,J20,J21)</f>
        <v>20.776</v>
      </c>
      <c r="K22" s="12" t="n">
        <f aca="false">SUM(K18,K19,K20,K21)</f>
        <v>24.636</v>
      </c>
      <c r="L22" s="12" t="n">
        <f aca="false">SUM(L18,L19,L20,L21)</f>
        <v>16.829</v>
      </c>
      <c r="M22" s="12" t="n">
        <f aca="false">SUM(M18,M19,M20,M21)</f>
        <v>19.612</v>
      </c>
      <c r="N22" s="12" t="n">
        <f aca="false">SUM(N18,N19,N20,N21)</f>
        <v>18.091</v>
      </c>
      <c r="O22" s="12" t="n">
        <f aca="false">SUM(O18,O19,O20,O21)</f>
        <v>22.727</v>
      </c>
      <c r="P22" s="12" t="n">
        <f aca="false">SUM(P18,P19,P20,P21)</f>
        <v>18.391</v>
      </c>
      <c r="Q22" s="12" t="n">
        <f aca="false">SUM(Q18,Q19,Q20,Q21)</f>
        <v>21.755</v>
      </c>
      <c r="R22" s="12" t="n">
        <f aca="false">SUM(R18,R19,R20,R21)</f>
        <v>22.551</v>
      </c>
      <c r="S22" s="12" t="n">
        <f aca="false">SUM(S18,S19,S20,S21)</f>
        <v>31.88</v>
      </c>
      <c r="T22" s="12" t="n">
        <f aca="false">SUM(T18,T19,T20,T21)</f>
        <v>22.377</v>
      </c>
      <c r="U22" s="12" t="n">
        <f aca="false">SUM(U18,U19,U20,U21)</f>
        <v>27.113</v>
      </c>
      <c r="V22" s="12" t="n">
        <f aca="false">SUM(V18,V19,V20,V21)</f>
        <v>24.604</v>
      </c>
      <c r="W22" s="12" t="n">
        <f aca="false">SUM(W18,W19,W20,W21)</f>
        <v>31.873</v>
      </c>
      <c r="X22" s="12" t="n">
        <f aca="false">SUM(X18,X19,X20,X21)</f>
        <v>23.114</v>
      </c>
      <c r="Y22" s="12" t="n">
        <f aca="false">SUM(Y18,Y19,Y20,Y21)</f>
        <v>26.953</v>
      </c>
      <c r="Z22" s="12" t="n">
        <f aca="false">SUM(Z18,Z19,Z20,Z21)</f>
        <v>29.283</v>
      </c>
      <c r="AA22" s="12" t="n">
        <f aca="false">SUM(AA18,AA19,AA20,AA21)</f>
        <v>41.895</v>
      </c>
      <c r="AB22" s="12" t="n">
        <f aca="false">SUM(AB18,AB19,AB20,AB21)</f>
        <v>40.836</v>
      </c>
      <c r="AC22" s="12" t="n">
        <f aca="false">SUM(AC18,AC19,AC20,AC21)</f>
        <v>39.116</v>
      </c>
      <c r="AD22" s="12" t="n">
        <f aca="false">SUM(AD18,AD19,AD20,AD21)</f>
        <v>35.562</v>
      </c>
      <c r="AE22" s="12" t="n">
        <f aca="false">SUM(AE18,AE19,AE20,AE21)</f>
        <v>35.609</v>
      </c>
      <c r="AF22" s="12" t="n">
        <f aca="false">SUM(AF18,AF19,AF20,AF21)</f>
        <v>36.988</v>
      </c>
      <c r="AG22" s="12" t="n">
        <f aca="false">SUM(AG18,AG19,AG20,AG21)</f>
        <v>40.204</v>
      </c>
      <c r="AH22" s="12" t="n">
        <f aca="false">SUM(AH18,AH19,AH20,AH21)</f>
        <v>40.903</v>
      </c>
      <c r="AI22" s="12" t="n">
        <f aca="false">SUM(AI18,AI19,AI20,AI21)</f>
        <v>234.082</v>
      </c>
      <c r="AJ22" s="12" t="n">
        <f aca="false">SUM(AJ18,AJ19,AJ20,AJ21)</f>
        <v>39.293</v>
      </c>
      <c r="AK22" s="12" t="n">
        <f aca="false">SUM(AK18,AK19,AK20,AK21)</f>
        <v>50.172</v>
      </c>
      <c r="AL22" s="12" t="n">
        <f aca="false">SUM(AL18,AL19,AL20,AL21)</f>
        <v>52.953</v>
      </c>
      <c r="AM22" s="12" t="n">
        <f aca="false">SUM(AM18,AM19,AM20,AM21)</f>
        <v>69.689</v>
      </c>
      <c r="AN22" s="12" t="n">
        <f aca="false">SUM(AN18,AN19,AN20,AN21)</f>
        <v>58.408</v>
      </c>
      <c r="AO22" s="12" t="n">
        <f aca="false">SUM(AO18,AO19,AO20,AO21)</f>
        <v>66.632</v>
      </c>
      <c r="AP22" s="12" t="n">
        <f aca="false">SUM(AP18,AP19,AP20,AP21)</f>
        <v>66.286</v>
      </c>
      <c r="AQ22" s="12" t="n">
        <f aca="false">SUM(AQ18,AQ19,AQ20,AQ21)</f>
        <v>86.515</v>
      </c>
      <c r="AR22" s="12" t="n">
        <f aca="false">SUM(AR18,AR19,AR20,AR21)</f>
        <v>164.39</v>
      </c>
      <c r="AS22" s="12" t="n">
        <f aca="false">SUM(AS18,AS19,AS20,AS21)</f>
        <v>134.329</v>
      </c>
      <c r="AT22" s="12" t="n">
        <f aca="false">SUM(AT18,AT19,AT20,AT21)</f>
        <v>367.234</v>
      </c>
      <c r="AU22" s="15" t="n">
        <f aca="false">SUM(AU18,AU19,AU20,AU21)</f>
        <v>149.661361045</v>
      </c>
      <c r="AV22" s="15" t="n">
        <f aca="false">SUM(AV18,AV19,AV20,AV21)</f>
        <v>131.8156525</v>
      </c>
      <c r="AW22" s="15" t="n">
        <f aca="false">SUM(AW18,AW19,AW20,AW21)</f>
        <v>136.9595925</v>
      </c>
      <c r="AX22" s="15" t="n">
        <f aca="false">SUM(AX18,AX19,AX20,AX21)</f>
        <v>118.1809925</v>
      </c>
      <c r="AY22" s="15" t="n">
        <f aca="false">SUM(AY18,AY19,AY20,AY21)</f>
        <v>163.9214636425</v>
      </c>
      <c r="AZ22" s="15" t="n">
        <f aca="false">SUM(AZ18,AZ19,AZ20,AZ21)</f>
        <v>137.530257571</v>
      </c>
      <c r="BA22" s="15" t="n">
        <f aca="false">SUM(BA18,BA19,BA20,BA21)</f>
        <v>142.882768347</v>
      </c>
      <c r="BB22" s="15" t="n">
        <f aca="false">SUM(BB18,BB19,BB20,BB21)</f>
        <v>123.239589287</v>
      </c>
    </row>
    <row r="23" customFormat="false" ht="15" hidden="false" customHeight="true" outlineLevel="0" collapsed="false">
      <c r="A23" s="11" t="s">
        <v>74</v>
      </c>
      <c r="B23" s="12" t="n">
        <f aca="false">B16-B22</f>
        <v>5.148</v>
      </c>
      <c r="C23" s="12" t="n">
        <f aca="false">C16-C22</f>
        <v>7.46900000000001</v>
      </c>
      <c r="D23" s="12" t="n">
        <f aca="false">D16-D22</f>
        <v>-9.064</v>
      </c>
      <c r="E23" s="12" t="n">
        <f aca="false">E16-E22</f>
        <v>6.90299999999999</v>
      </c>
      <c r="F23" s="12" t="n">
        <f aca="false">F16-F22</f>
        <v>5.065</v>
      </c>
      <c r="G23" s="12" t="n">
        <f aca="false">G16-G22</f>
        <v>6.83100000000001</v>
      </c>
      <c r="H23" s="12" t="n">
        <f aca="false">H16-H22</f>
        <v>-15.58</v>
      </c>
      <c r="I23" s="12" t="n">
        <f aca="false">I16-I22</f>
        <v>-4.487</v>
      </c>
      <c r="J23" s="12" t="n">
        <f aca="false">J16-J22</f>
        <v>-1.42499999999999</v>
      </c>
      <c r="K23" s="12" t="n">
        <f aca="false">K16-K22</f>
        <v>34.08</v>
      </c>
      <c r="L23" s="12" t="n">
        <f aca="false">L16-L22</f>
        <v>-8.131</v>
      </c>
      <c r="M23" s="12" t="n">
        <f aca="false">M16-M22</f>
        <v>10.531</v>
      </c>
      <c r="N23" s="12" t="n">
        <f aca="false">N16-N22</f>
        <v>0.158999999999999</v>
      </c>
      <c r="O23" s="12" t="n">
        <f aca="false">O16-O22</f>
        <v>27.867</v>
      </c>
      <c r="P23" s="12" t="n">
        <f aca="false">P16-P22</f>
        <v>14.198</v>
      </c>
      <c r="Q23" s="12" t="n">
        <f aca="false">Q16-Q22</f>
        <v>6.644</v>
      </c>
      <c r="R23" s="12" t="n">
        <f aca="false">R16-R22</f>
        <v>7.841</v>
      </c>
      <c r="S23" s="12" t="n">
        <f aca="false">S16-S22</f>
        <v>5.14300000000001</v>
      </c>
      <c r="T23" s="12" t="n">
        <f aca="false">T16-T22</f>
        <v>18.895</v>
      </c>
      <c r="U23" s="12" t="n">
        <f aca="false">U16-U22</f>
        <v>8.053</v>
      </c>
      <c r="V23" s="12" t="n">
        <f aca="false">V16-V22</f>
        <v>-1.10799999999999</v>
      </c>
      <c r="W23" s="12" t="n">
        <f aca="false">W16-W22</f>
        <v>21.295</v>
      </c>
      <c r="X23" s="12" t="n">
        <f aca="false">X16-X22</f>
        <v>12.297</v>
      </c>
      <c r="Y23" s="12" t="n">
        <f aca="false">Y16-Y22</f>
        <v>13.898</v>
      </c>
      <c r="Z23" s="12" t="n">
        <f aca="false">Z16-Z22</f>
        <v>-0.64200000000001</v>
      </c>
      <c r="AA23" s="12" t="n">
        <f aca="false">AA16-AA22</f>
        <v>17.76</v>
      </c>
      <c r="AB23" s="12" t="n">
        <f aca="false">AB16-AB22</f>
        <v>-12.113</v>
      </c>
      <c r="AC23" s="12" t="n">
        <f aca="false">AC16-AC22</f>
        <v>3.33900000000001</v>
      </c>
      <c r="AD23" s="12" t="n">
        <f aca="false">AD16-AD22</f>
        <v>-14.126</v>
      </c>
      <c r="AE23" s="12" t="n">
        <f aca="false">AE16-AE22</f>
        <v>13.013</v>
      </c>
      <c r="AF23" s="12" t="n">
        <f aca="false">AF16-AF22</f>
        <v>-3.274</v>
      </c>
      <c r="AG23" s="12" t="n">
        <f aca="false">AG16-AG22</f>
        <v>-14.314</v>
      </c>
      <c r="AH23" s="12" t="n">
        <f aca="false">AH16-AH22</f>
        <v>4.60699999999999</v>
      </c>
      <c r="AI23" s="12" t="n">
        <f aca="false">AI16-AI22</f>
        <v>-165.682</v>
      </c>
      <c r="AJ23" s="12" t="n">
        <f aca="false">AJ16-AJ22</f>
        <v>26.367</v>
      </c>
      <c r="AK23" s="12" t="n">
        <f aca="false">AK16-AK22</f>
        <v>25.178</v>
      </c>
      <c r="AL23" s="12" t="n">
        <f aca="false">AL16-AL22</f>
        <v>14.334</v>
      </c>
      <c r="AM23" s="12" t="n">
        <f aca="false">AM16-AM22</f>
        <v>5.94500000000002</v>
      </c>
      <c r="AN23" s="12" t="n">
        <f aca="false">AN16-AN22</f>
        <v>23.059</v>
      </c>
      <c r="AO23" s="12" t="n">
        <f aca="false">AO16-AO22</f>
        <v>7.00599999999999</v>
      </c>
      <c r="AP23" s="12" t="n">
        <f aca="false">AP16-AP22</f>
        <v>-3.08700000000002</v>
      </c>
      <c r="AQ23" s="12" t="n">
        <f aca="false">AQ16-AQ22</f>
        <v>13.817</v>
      </c>
      <c r="AR23" s="12" t="n">
        <f aca="false">AR16-AR22</f>
        <v>-69.272</v>
      </c>
      <c r="AS23" s="12" t="n">
        <f aca="false">AS16-AS22</f>
        <v>-30.224</v>
      </c>
      <c r="AT23" s="12" t="n">
        <f aca="false">AT16-AT22</f>
        <v>-268.44</v>
      </c>
      <c r="AU23" s="15" t="n">
        <f aca="false">AU16-AU22</f>
        <v>-3.10652682999998</v>
      </c>
      <c r="AV23" s="15" t="n">
        <f aca="false">AV16-AV22</f>
        <v>11.24765025</v>
      </c>
      <c r="AW23" s="15" t="n">
        <f aca="false">AW16-AW22</f>
        <v>11.56811625</v>
      </c>
      <c r="AX23" s="15" t="n">
        <f aca="false">AX16-AX22</f>
        <v>9.55157025</v>
      </c>
      <c r="AY23" s="15" t="n">
        <f aca="false">AY16-AY22</f>
        <v>14.86691107125</v>
      </c>
      <c r="AZ23" s="15" t="n">
        <f aca="false">AZ16-AZ22</f>
        <v>30.25934779</v>
      </c>
      <c r="BA23" s="15" t="n">
        <f aca="false">BA16-BA22</f>
        <v>31.30443507</v>
      </c>
      <c r="BB23" s="15" t="n">
        <f aca="false">BB16-BB22</f>
        <v>26.51902055</v>
      </c>
    </row>
    <row r="24" customFormat="false" ht="14.25" hidden="false" customHeight="true" outlineLevel="0" collapsed="false">
      <c r="A24" s="8" t="s">
        <v>75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14"/>
      <c r="AV24" s="14"/>
      <c r="AW24" s="14"/>
      <c r="AX24" s="14"/>
      <c r="AY24" s="14"/>
      <c r="AZ24" s="14"/>
      <c r="BA24" s="14"/>
      <c r="BB24" s="14"/>
    </row>
    <row r="25" customFormat="false" ht="15" hidden="false" customHeight="true" outlineLevel="0" collapsed="false">
      <c r="A25" s="4" t="s">
        <v>76</v>
      </c>
      <c r="B25" s="9" t="n">
        <v>0.224</v>
      </c>
      <c r="C25" s="9" t="n">
        <v>0.253</v>
      </c>
      <c r="D25" s="9" t="n">
        <v>0.224</v>
      </c>
      <c r="E25" s="9" t="n">
        <v>0.268</v>
      </c>
      <c r="F25" s="9" t="n">
        <v>0.181</v>
      </c>
      <c r="G25" s="9" t="n">
        <v>0.359</v>
      </c>
      <c r="H25" s="9" t="n">
        <v>0.375</v>
      </c>
      <c r="I25" s="9" t="n">
        <v>0.397</v>
      </c>
      <c r="J25" s="9" t="n">
        <v>0.39</v>
      </c>
      <c r="K25" s="9" t="n">
        <v>0.456</v>
      </c>
      <c r="L25" s="9" t="n">
        <v>0.512</v>
      </c>
      <c r="M25" s="9" t="n">
        <v>0.432</v>
      </c>
      <c r="N25" s="9" t="n">
        <v>0.545</v>
      </c>
      <c r="O25" s="9" t="n">
        <v>0.751</v>
      </c>
      <c r="P25" s="9" t="n">
        <v>0.906</v>
      </c>
      <c r="Q25" s="9" t="n">
        <v>1.068</v>
      </c>
      <c r="R25" s="9" t="n">
        <v>1.272</v>
      </c>
      <c r="S25" s="9" t="n">
        <v>1.426</v>
      </c>
      <c r="T25" s="9" t="n">
        <v>1.329</v>
      </c>
      <c r="U25" s="9" t="n">
        <v>1.266</v>
      </c>
      <c r="V25" s="9" t="n">
        <v>1.122</v>
      </c>
      <c r="W25" s="9" t="n">
        <v>1.111</v>
      </c>
      <c r="X25" s="9" t="n">
        <v>0.208</v>
      </c>
      <c r="Y25" s="9" t="n">
        <v>0.115</v>
      </c>
      <c r="Z25" s="9" t="n">
        <v>0.094</v>
      </c>
      <c r="AA25" s="9" t="n">
        <v>-1.035</v>
      </c>
      <c r="AB25" s="9" t="n">
        <v>-1.275</v>
      </c>
      <c r="AC25" s="9" t="n">
        <v>-1.379</v>
      </c>
      <c r="AD25" s="9" t="n">
        <v>-1.51</v>
      </c>
      <c r="AE25" s="9" t="n">
        <v>-1.276</v>
      </c>
      <c r="AF25" s="9" t="n">
        <v>-1.603</v>
      </c>
      <c r="AG25" s="9" t="n">
        <v>-2.309</v>
      </c>
      <c r="AH25" s="9" t="n">
        <v>-2.81</v>
      </c>
      <c r="AI25" s="9" t="n">
        <v>-2.646</v>
      </c>
      <c r="AJ25" s="9" t="n">
        <v>-2.008</v>
      </c>
      <c r="AK25" s="9" t="n">
        <v>-1.95</v>
      </c>
      <c r="AL25" s="9" t="n">
        <v>-0.114</v>
      </c>
      <c r="AM25" s="9" t="n">
        <v>-0.148</v>
      </c>
      <c r="AN25" s="9" t="n">
        <v>-0.239</v>
      </c>
      <c r="AO25" s="9" t="n">
        <v>-0.69</v>
      </c>
      <c r="AP25" s="9" t="n">
        <v>-0.248</v>
      </c>
      <c r="AQ25" s="9" t="n">
        <v>-1.011</v>
      </c>
      <c r="AR25" s="9" t="n">
        <v>-17.415</v>
      </c>
      <c r="AS25" s="9" t="n">
        <v>4.669</v>
      </c>
      <c r="AT25" s="9" t="n">
        <v>3.696</v>
      </c>
      <c r="AU25" s="15" t="n">
        <f aca="false">Assumptions!$D$49</f>
        <v>2</v>
      </c>
      <c r="AV25" s="15" t="n">
        <f aca="false">Assumptions!$E$49</f>
        <v>2</v>
      </c>
      <c r="AW25" s="15" t="n">
        <f aca="false">Assumptions!$F$49</f>
        <v>2</v>
      </c>
      <c r="AX25" s="15" t="n">
        <f aca="false">Assumptions!$G$49</f>
        <v>2</v>
      </c>
      <c r="AY25" s="15" t="n">
        <f aca="false">Assumptions!$H$49</f>
        <v>2</v>
      </c>
      <c r="AZ25" s="15" t="n">
        <f aca="false">Assumptions!$I$49</f>
        <v>2</v>
      </c>
      <c r="BA25" s="15" t="n">
        <f aca="false">Assumptions!$J$49</f>
        <v>2</v>
      </c>
      <c r="BB25" s="15" t="n">
        <f aca="false">Assumptions!$K$49</f>
        <v>2</v>
      </c>
    </row>
    <row r="26" customFormat="false" ht="15" hidden="false" customHeight="true" outlineLevel="0" collapsed="false">
      <c r="A26" s="4" t="s">
        <v>77</v>
      </c>
      <c r="B26" s="9" t="n">
        <v>-0.284</v>
      </c>
      <c r="C26" s="9" t="n">
        <v>-0.727</v>
      </c>
      <c r="D26" s="9" t="n">
        <v>-2.389</v>
      </c>
      <c r="E26" s="9" t="n">
        <v>-0.192</v>
      </c>
      <c r="F26" s="9" t="n">
        <v>-0.215</v>
      </c>
      <c r="G26" s="9" t="n">
        <v>0.097</v>
      </c>
      <c r="H26" s="9" t="n">
        <v>-0.3</v>
      </c>
      <c r="I26" s="9" t="n">
        <v>-0.13</v>
      </c>
      <c r="J26" s="9" t="n">
        <v>-0.038</v>
      </c>
      <c r="K26" s="9" t="n">
        <v>0.529</v>
      </c>
      <c r="L26" s="9" t="n">
        <v>0.004</v>
      </c>
      <c r="M26" s="9" t="n">
        <v>-0.055</v>
      </c>
      <c r="N26" s="9" t="n">
        <v>-0.108</v>
      </c>
      <c r="O26" s="9" t="n">
        <v>0.11</v>
      </c>
      <c r="P26" s="9" t="n">
        <v>8.388</v>
      </c>
      <c r="Q26" s="9" t="n">
        <v>1.291</v>
      </c>
      <c r="R26" s="9" t="n">
        <v>0.962</v>
      </c>
      <c r="S26" s="9" t="n">
        <v>1.339</v>
      </c>
      <c r="T26" s="9" t="n">
        <v>0.355</v>
      </c>
      <c r="U26" s="9" t="n">
        <v>0.157</v>
      </c>
      <c r="V26" s="9" t="n">
        <v>0.12</v>
      </c>
      <c r="W26" s="9" t="n">
        <v>0.075</v>
      </c>
      <c r="X26" s="9" t="n">
        <v>0.033</v>
      </c>
      <c r="Y26" s="9" t="n">
        <v>0.072</v>
      </c>
      <c r="Z26" s="9" t="n">
        <v>-0.037</v>
      </c>
      <c r="AA26" s="9" t="n">
        <v>-8.398</v>
      </c>
      <c r="AB26" s="9" t="n">
        <v>-0.346</v>
      </c>
      <c r="AC26" s="9" t="n">
        <v>-10.048</v>
      </c>
      <c r="AD26" s="9" t="n">
        <v>0.034</v>
      </c>
      <c r="AE26" s="9" t="n">
        <v>0.047</v>
      </c>
      <c r="AF26" s="9" t="n">
        <v>-0.406</v>
      </c>
      <c r="AG26" s="9" t="n">
        <v>0.81</v>
      </c>
      <c r="AH26" s="9" t="n">
        <v>-2.587</v>
      </c>
      <c r="AI26" s="9" t="n">
        <v>1.837</v>
      </c>
      <c r="AJ26" s="9" t="n">
        <v>-1.129</v>
      </c>
      <c r="AK26" s="9" t="n">
        <v>-2.858</v>
      </c>
      <c r="AL26" s="9" t="n">
        <v>1.004</v>
      </c>
      <c r="AM26" s="9" t="n">
        <v>-1.39</v>
      </c>
      <c r="AN26" s="9" t="n">
        <v>-0.234</v>
      </c>
      <c r="AO26" s="9" t="n">
        <v>0.016</v>
      </c>
      <c r="AP26" s="9" t="n">
        <v>0.976</v>
      </c>
      <c r="AQ26" s="9" t="n">
        <v>0.299</v>
      </c>
      <c r="AR26" s="9" t="n">
        <v>2.361</v>
      </c>
      <c r="AS26" s="9" t="n">
        <v>4.951</v>
      </c>
      <c r="AT26" s="9" t="n">
        <v>-0.4</v>
      </c>
      <c r="AU26" s="15" t="n">
        <f aca="false">Assumptions!$D$50</f>
        <v>0</v>
      </c>
      <c r="AV26" s="15" t="n">
        <f aca="false">Assumptions!$E$50</f>
        <v>0</v>
      </c>
      <c r="AW26" s="15" t="n">
        <f aca="false">Assumptions!$F$50</f>
        <v>0</v>
      </c>
      <c r="AX26" s="15" t="n">
        <f aca="false">Assumptions!$G$50</f>
        <v>0</v>
      </c>
      <c r="AY26" s="15" t="n">
        <f aca="false">Assumptions!$H$50</f>
        <v>0</v>
      </c>
      <c r="AZ26" s="15" t="n">
        <f aca="false">Assumptions!$I$50</f>
        <v>0</v>
      </c>
      <c r="BA26" s="15" t="n">
        <f aca="false">Assumptions!$J$50</f>
        <v>0</v>
      </c>
      <c r="BB26" s="15" t="n">
        <f aca="false">Assumptions!$K$50</f>
        <v>0</v>
      </c>
    </row>
    <row r="27" customFormat="false" ht="15" hidden="false" customHeight="true" outlineLevel="0" collapsed="false">
      <c r="A27" s="4" t="s">
        <v>78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 t="n">
        <v>6.497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5" t="n">
        <v>0</v>
      </c>
      <c r="AV27" s="15" t="n">
        <v>0</v>
      </c>
      <c r="AW27" s="15" t="n">
        <v>0</v>
      </c>
      <c r="AX27" s="15" t="n">
        <v>0</v>
      </c>
      <c r="AY27" s="15" t="n">
        <v>0</v>
      </c>
      <c r="AZ27" s="15" t="n">
        <v>0</v>
      </c>
      <c r="BA27" s="15" t="n">
        <v>0</v>
      </c>
      <c r="BB27" s="15" t="n">
        <v>0</v>
      </c>
    </row>
    <row r="28" customFormat="false" ht="15" hidden="false" customHeight="true" outlineLevel="0" collapsed="false">
      <c r="A28" s="11" t="s">
        <v>79</v>
      </c>
      <c r="B28" s="12" t="n">
        <f aca="false">SUM(B25,B26,B27)</f>
        <v>-0.06</v>
      </c>
      <c r="C28" s="12" t="n">
        <f aca="false">SUM(C25,C26,C27)</f>
        <v>-0.474</v>
      </c>
      <c r="D28" s="12" t="n">
        <f aca="false">SUM(D25,D26,D27)</f>
        <v>-2.165</v>
      </c>
      <c r="E28" s="12" t="n">
        <f aca="false">SUM(E25,E26,E27)</f>
        <v>0.076</v>
      </c>
      <c r="F28" s="12" t="n">
        <f aca="false">SUM(F25,F26,F27)</f>
        <v>-0.034</v>
      </c>
      <c r="G28" s="12" t="n">
        <f aca="false">SUM(G25,G26,G27)</f>
        <v>0.456</v>
      </c>
      <c r="H28" s="12" t="n">
        <f aca="false">SUM(H25,H26,H27)</f>
        <v>0.075</v>
      </c>
      <c r="I28" s="12" t="n">
        <f aca="false">SUM(I25,I26,I27)</f>
        <v>0.267</v>
      </c>
      <c r="J28" s="12" t="n">
        <f aca="false">SUM(J25,J26,J27)</f>
        <v>0.352</v>
      </c>
      <c r="K28" s="12" t="n">
        <f aca="false">SUM(K25,K26,K27)</f>
        <v>0.985</v>
      </c>
      <c r="L28" s="12" t="n">
        <f aca="false">SUM(L25,L26,L27)</f>
        <v>0.516</v>
      </c>
      <c r="M28" s="12" t="n">
        <f aca="false">SUM(M25,M26,M27)</f>
        <v>0.377</v>
      </c>
      <c r="N28" s="12" t="n">
        <f aca="false">SUM(N25,N26,N27)</f>
        <v>0.437</v>
      </c>
      <c r="O28" s="12" t="n">
        <f aca="false">SUM(O25,O26,O27)</f>
        <v>0.861</v>
      </c>
      <c r="P28" s="12" t="n">
        <f aca="false">SUM(P25,P26,P27)</f>
        <v>9.294</v>
      </c>
      <c r="Q28" s="12" t="n">
        <f aca="false">SUM(Q25,Q26,Q27)</f>
        <v>2.359</v>
      </c>
      <c r="R28" s="12" t="n">
        <f aca="false">SUM(R25,R26,R27)</f>
        <v>2.234</v>
      </c>
      <c r="S28" s="12" t="n">
        <f aca="false">SUM(S25,S26,S27)</f>
        <v>2.765</v>
      </c>
      <c r="T28" s="12" t="n">
        <f aca="false">SUM(T25,T26,T27)</f>
        <v>1.684</v>
      </c>
      <c r="U28" s="12" t="n">
        <f aca="false">SUM(U25,U26,U27)</f>
        <v>1.423</v>
      </c>
      <c r="V28" s="12" t="n">
        <f aca="false">SUM(V25,V26,V27)</f>
        <v>1.242</v>
      </c>
      <c r="W28" s="12" t="n">
        <f aca="false">SUM(W25,W26,W27)</f>
        <v>1.186</v>
      </c>
      <c r="X28" s="12" t="n">
        <f aca="false">SUM(X25,X26,X27)</f>
        <v>0.241</v>
      </c>
      <c r="Y28" s="12" t="n">
        <f aca="false">SUM(Y25,Y26,Y27)</f>
        <v>0.187</v>
      </c>
      <c r="Z28" s="12" t="n">
        <f aca="false">SUM(Z25,Z26,Z27)</f>
        <v>0.057</v>
      </c>
      <c r="AA28" s="12" t="n">
        <f aca="false">SUM(AA25,AA26,AA27)</f>
        <v>-9.433</v>
      </c>
      <c r="AB28" s="12" t="n">
        <f aca="false">SUM(AB25,AB26,AB27)</f>
        <v>-1.621</v>
      </c>
      <c r="AC28" s="12" t="n">
        <f aca="false">SUM(AC25,AC26,AC27)</f>
        <v>-11.427</v>
      </c>
      <c r="AD28" s="12" t="n">
        <f aca="false">SUM(AD25,AD26,AD27)</f>
        <v>-1.476</v>
      </c>
      <c r="AE28" s="12" t="n">
        <f aca="false">SUM(AE25,AE26,AE27)</f>
        <v>5.268</v>
      </c>
      <c r="AF28" s="12" t="n">
        <f aca="false">SUM(AF25,AF26,AF27)</f>
        <v>-2.009</v>
      </c>
      <c r="AG28" s="12" t="n">
        <f aca="false">SUM(AG25,AG26,AG27)</f>
        <v>-1.499</v>
      </c>
      <c r="AH28" s="12" t="n">
        <f aca="false">SUM(AH25,AH26,AH27)</f>
        <v>-5.397</v>
      </c>
      <c r="AI28" s="12" t="n">
        <f aca="false">SUM(AI25,AI26,AI27)</f>
        <v>-0.809</v>
      </c>
      <c r="AJ28" s="12" t="n">
        <f aca="false">SUM(AJ25,AJ26,AJ27)</f>
        <v>-3.137</v>
      </c>
      <c r="AK28" s="12" t="n">
        <f aca="false">SUM(AK25,AK26,AK27)</f>
        <v>-4.808</v>
      </c>
      <c r="AL28" s="12" t="n">
        <f aca="false">SUM(AL25,AL26,AL27)</f>
        <v>0.89</v>
      </c>
      <c r="AM28" s="12" t="n">
        <f aca="false">SUM(AM25,AM26,AM27)</f>
        <v>-1.538</v>
      </c>
      <c r="AN28" s="12" t="n">
        <f aca="false">SUM(AN25,AN26,AN27)</f>
        <v>-0.473</v>
      </c>
      <c r="AO28" s="12" t="n">
        <f aca="false">SUM(AO25,AO26,AO27)</f>
        <v>-0.674</v>
      </c>
      <c r="AP28" s="12" t="n">
        <f aca="false">SUM(AP25,AP26,AP27)</f>
        <v>0.728</v>
      </c>
      <c r="AQ28" s="12" t="n">
        <f aca="false">SUM(AQ25,AQ26,AQ27)</f>
        <v>-0.712</v>
      </c>
      <c r="AR28" s="12" t="n">
        <f aca="false">SUM(AR25,AR26,AR27)</f>
        <v>-15.054</v>
      </c>
      <c r="AS28" s="12" t="n">
        <f aca="false">SUM(AS25,AS26,AS27)</f>
        <v>9.62</v>
      </c>
      <c r="AT28" s="12" t="n">
        <f aca="false">SUM(AT25,AT26,AT27)</f>
        <v>3.296</v>
      </c>
      <c r="AU28" s="15" t="n">
        <f aca="false">SUM(AU25,AU26,AU27)</f>
        <v>2</v>
      </c>
      <c r="AV28" s="15" t="n">
        <f aca="false">SUM(AV25,AV26,AV27)</f>
        <v>2</v>
      </c>
      <c r="AW28" s="15" t="n">
        <f aca="false">SUM(AW25,AW26,AW27)</f>
        <v>2</v>
      </c>
      <c r="AX28" s="15" t="n">
        <f aca="false">SUM(AX25,AX26,AX27)</f>
        <v>2</v>
      </c>
      <c r="AY28" s="15" t="n">
        <f aca="false">SUM(AY25,AY26,AY27)</f>
        <v>2</v>
      </c>
      <c r="AZ28" s="15" t="n">
        <f aca="false">SUM(AZ25,AZ26,AZ27)</f>
        <v>2</v>
      </c>
      <c r="BA28" s="15" t="n">
        <f aca="false">SUM(BA25,BA26,BA27)</f>
        <v>2</v>
      </c>
      <c r="BB28" s="15" t="n">
        <f aca="false">SUM(BB25,BB26,BB27)</f>
        <v>2</v>
      </c>
    </row>
    <row r="29" customFormat="false" ht="15" hidden="false" customHeight="true" outlineLevel="0" collapsed="false">
      <c r="A29" s="11" t="s">
        <v>80</v>
      </c>
      <c r="B29" s="12" t="n">
        <f aca="false">B23+B28</f>
        <v>5.088</v>
      </c>
      <c r="C29" s="12" t="n">
        <f aca="false">C23+C28</f>
        <v>6.99500000000001</v>
      </c>
      <c r="D29" s="12" t="n">
        <f aca="false">D23+D28</f>
        <v>-11.229</v>
      </c>
      <c r="E29" s="12" t="n">
        <f aca="false">E23+E28</f>
        <v>6.97899999999999</v>
      </c>
      <c r="F29" s="12" t="n">
        <f aca="false">F23+F28</f>
        <v>5.031</v>
      </c>
      <c r="G29" s="12" t="n">
        <f aca="false">G23+G28</f>
        <v>7.28700000000001</v>
      </c>
      <c r="H29" s="12" t="n">
        <f aca="false">H23+H28</f>
        <v>-15.505</v>
      </c>
      <c r="I29" s="12" t="n">
        <f aca="false">I23+I28</f>
        <v>-4.22</v>
      </c>
      <c r="J29" s="12" t="n">
        <f aca="false">J23+J28</f>
        <v>-1.07299999999999</v>
      </c>
      <c r="K29" s="12" t="n">
        <f aca="false">K23+K28</f>
        <v>35.065</v>
      </c>
      <c r="L29" s="12" t="n">
        <f aca="false">L23+L28</f>
        <v>-7.615</v>
      </c>
      <c r="M29" s="12" t="n">
        <f aca="false">M23+M28</f>
        <v>10.908</v>
      </c>
      <c r="N29" s="12" t="n">
        <f aca="false">N23+N28</f>
        <v>0.595999999999999</v>
      </c>
      <c r="O29" s="12" t="n">
        <f aca="false">O23+O28</f>
        <v>28.728</v>
      </c>
      <c r="P29" s="12" t="n">
        <f aca="false">P23+P28</f>
        <v>23.492</v>
      </c>
      <c r="Q29" s="12" t="n">
        <f aca="false">Q23+Q28</f>
        <v>9.003</v>
      </c>
      <c r="R29" s="12" t="n">
        <f aca="false">R23+R28</f>
        <v>10.075</v>
      </c>
      <c r="S29" s="12" t="n">
        <f aca="false">S23+S28</f>
        <v>7.90800000000001</v>
      </c>
      <c r="T29" s="12" t="n">
        <f aca="false">T23+T28</f>
        <v>20.579</v>
      </c>
      <c r="U29" s="12" t="n">
        <f aca="false">U23+U28</f>
        <v>9.476</v>
      </c>
      <c r="V29" s="12" t="n">
        <f aca="false">V23+V28</f>
        <v>0.13400000000001</v>
      </c>
      <c r="W29" s="12" t="n">
        <f aca="false">W23+W28</f>
        <v>22.481</v>
      </c>
      <c r="X29" s="12" t="n">
        <f aca="false">X23+X28</f>
        <v>12.538</v>
      </c>
      <c r="Y29" s="12" t="n">
        <f aca="false">Y23+Y28</f>
        <v>14.085</v>
      </c>
      <c r="Z29" s="12" t="n">
        <f aca="false">Z23+Z28</f>
        <v>-0.58500000000001</v>
      </c>
      <c r="AA29" s="12" t="n">
        <f aca="false">AA23+AA28</f>
        <v>8.32699999999999</v>
      </c>
      <c r="AB29" s="12" t="n">
        <f aca="false">AB23+AB28</f>
        <v>-13.734</v>
      </c>
      <c r="AC29" s="12" t="n">
        <f aca="false">AC23+AC28</f>
        <v>-8.08799999999999</v>
      </c>
      <c r="AD29" s="12" t="n">
        <f aca="false">AD23+AD28</f>
        <v>-15.602</v>
      </c>
      <c r="AE29" s="12" t="n">
        <f aca="false">AE23+AE28</f>
        <v>18.281</v>
      </c>
      <c r="AF29" s="12" t="n">
        <f aca="false">AF23+AF28</f>
        <v>-5.283</v>
      </c>
      <c r="AG29" s="12" t="n">
        <f aca="false">AG23+AG28</f>
        <v>-15.813</v>
      </c>
      <c r="AH29" s="12" t="n">
        <f aca="false">AH23+AH28</f>
        <v>-0.790000000000008</v>
      </c>
      <c r="AI29" s="12" t="n">
        <f aca="false">AI23+AI28</f>
        <v>-166.491</v>
      </c>
      <c r="AJ29" s="12" t="n">
        <f aca="false">AJ23+AJ28</f>
        <v>23.23</v>
      </c>
      <c r="AK29" s="12" t="n">
        <f aca="false">AK23+AK28</f>
        <v>20.37</v>
      </c>
      <c r="AL29" s="12" t="n">
        <f aca="false">AL23+AL28</f>
        <v>15.224</v>
      </c>
      <c r="AM29" s="12" t="n">
        <f aca="false">AM23+AM28</f>
        <v>4.40700000000002</v>
      </c>
      <c r="AN29" s="12" t="n">
        <f aca="false">AN23+AN28</f>
        <v>22.586</v>
      </c>
      <c r="AO29" s="12" t="n">
        <f aca="false">AO23+AO28</f>
        <v>6.33199999999999</v>
      </c>
      <c r="AP29" s="12" t="n">
        <f aca="false">AP23+AP28</f>
        <v>-2.35900000000002</v>
      </c>
      <c r="AQ29" s="12" t="n">
        <f aca="false">AQ23+AQ28</f>
        <v>13.105</v>
      </c>
      <c r="AR29" s="12" t="n">
        <f aca="false">AR23+AR28</f>
        <v>-84.326</v>
      </c>
      <c r="AS29" s="12" t="n">
        <f aca="false">AS23+AS28</f>
        <v>-20.6040000000001</v>
      </c>
      <c r="AT29" s="12" t="n">
        <f aca="false">AT23+AT28</f>
        <v>-265.144</v>
      </c>
      <c r="AU29" s="15" t="n">
        <f aca="false">AU23+AU28</f>
        <v>-1.10652682999998</v>
      </c>
      <c r="AV29" s="15" t="n">
        <f aca="false">AV23+AV28</f>
        <v>13.24765025</v>
      </c>
      <c r="AW29" s="15" t="n">
        <f aca="false">AW23+AW28</f>
        <v>13.56811625</v>
      </c>
      <c r="AX29" s="15" t="n">
        <f aca="false">AX23+AX28</f>
        <v>11.55157025</v>
      </c>
      <c r="AY29" s="15" t="n">
        <f aca="false">AY23+AY28</f>
        <v>16.86691107125</v>
      </c>
      <c r="AZ29" s="15" t="n">
        <f aca="false">AZ23+AZ28</f>
        <v>32.25934779</v>
      </c>
      <c r="BA29" s="15" t="n">
        <f aca="false">BA23+BA28</f>
        <v>33.30443507</v>
      </c>
      <c r="BB29" s="15" t="n">
        <f aca="false">BB23+BB28</f>
        <v>28.51902055</v>
      </c>
    </row>
    <row r="30" customFormat="false" ht="15" hidden="false" customHeight="true" outlineLevel="0" collapsed="false">
      <c r="A30" s="4" t="s">
        <v>81</v>
      </c>
      <c r="B30" s="9" t="n">
        <v>2.763</v>
      </c>
      <c r="C30" s="9" t="n">
        <v>-0.085</v>
      </c>
      <c r="D30" s="9" t="n">
        <v>-4.248</v>
      </c>
      <c r="E30" s="9" t="n">
        <v>2.56</v>
      </c>
      <c r="F30" s="9" t="n">
        <v>-1.133</v>
      </c>
      <c r="G30" s="9" t="n">
        <v>1.923</v>
      </c>
      <c r="H30" s="9" t="n">
        <v>-3.863</v>
      </c>
      <c r="I30" s="9" t="n">
        <v>-0.048</v>
      </c>
      <c r="J30" s="9" t="n">
        <v>1.102</v>
      </c>
      <c r="K30" s="9" t="n">
        <v>4.561</v>
      </c>
      <c r="L30" s="9" t="n">
        <v>-3.221</v>
      </c>
      <c r="M30" s="9" t="n">
        <v>3.358</v>
      </c>
      <c r="N30" s="9" t="n">
        <v>0.834</v>
      </c>
      <c r="O30" s="9" t="n">
        <v>8.829</v>
      </c>
      <c r="P30" s="9" t="n">
        <v>2.567</v>
      </c>
      <c r="Q30" s="9" t="n">
        <v>1.211</v>
      </c>
      <c r="R30" s="9" t="n">
        <v>0.946</v>
      </c>
      <c r="S30" s="9" t="n">
        <v>-0.083</v>
      </c>
      <c r="T30" s="9" t="n">
        <v>2.133</v>
      </c>
      <c r="U30" s="9" t="n">
        <v>1.108</v>
      </c>
      <c r="V30" s="9" t="n">
        <v>-0.038</v>
      </c>
      <c r="W30" s="9" t="n">
        <v>2.645</v>
      </c>
      <c r="X30" s="9" t="n">
        <v>1.207</v>
      </c>
      <c r="Y30" s="9" t="n">
        <v>2.491</v>
      </c>
      <c r="Z30" s="9" t="n">
        <v>-0.924</v>
      </c>
      <c r="AA30" s="9" t="n">
        <v>-2.235</v>
      </c>
      <c r="AB30" s="9" t="n">
        <v>-0.957</v>
      </c>
      <c r="AC30" s="9" t="n">
        <v>-9.511</v>
      </c>
      <c r="AD30" s="9" t="n">
        <v>-15.396</v>
      </c>
      <c r="AE30" s="9" t="n">
        <v>15.495</v>
      </c>
      <c r="AF30" s="9" t="n">
        <v>2.606</v>
      </c>
      <c r="AG30" s="9" t="n">
        <v>-10.457</v>
      </c>
      <c r="AH30" s="9" t="n">
        <v>-0.531</v>
      </c>
      <c r="AI30" s="9" t="n">
        <v>-6.281</v>
      </c>
      <c r="AJ30" s="9" t="n">
        <v>1.314</v>
      </c>
      <c r="AK30" s="9" t="n">
        <v>1.137</v>
      </c>
      <c r="AL30" s="9" t="n">
        <v>1.259</v>
      </c>
      <c r="AM30" s="9" t="n">
        <v>-1.819</v>
      </c>
      <c r="AN30" s="9" t="n">
        <v>1.485</v>
      </c>
      <c r="AO30" s="9" t="n">
        <v>-0.221</v>
      </c>
      <c r="AP30" s="9" t="n">
        <v>-0.605</v>
      </c>
      <c r="AQ30" s="9" t="n">
        <v>0.223</v>
      </c>
      <c r="AR30" s="9" t="n">
        <v>-15.169</v>
      </c>
      <c r="AS30" s="9" t="n">
        <v>-2.305</v>
      </c>
      <c r="AT30" s="9" t="n">
        <v>-21.616</v>
      </c>
      <c r="AU30" s="15" t="n">
        <f aca="false">AU29*Assumptions!$D$52</f>
        <v>-0.188109561099996</v>
      </c>
      <c r="AV30" s="15" t="n">
        <f aca="false">AV29*Assumptions!$E$52</f>
        <v>2.2521005425</v>
      </c>
      <c r="AW30" s="15" t="n">
        <f aca="false">AW29*Assumptions!$F$52</f>
        <v>2.3065797625</v>
      </c>
      <c r="AX30" s="15" t="n">
        <f aca="false">AX29*Assumptions!$G$52</f>
        <v>1.9637669425</v>
      </c>
      <c r="AY30" s="15" t="n">
        <f aca="false">AY29*Assumptions!$H$52</f>
        <v>2.86737488211251</v>
      </c>
      <c r="AZ30" s="15" t="n">
        <f aca="false">AZ29*Assumptions!$I$52</f>
        <v>5.4840891243</v>
      </c>
      <c r="BA30" s="15" t="n">
        <f aca="false">BA29*Assumptions!$J$52</f>
        <v>5.66175396189999</v>
      </c>
      <c r="BB30" s="15" t="n">
        <f aca="false">BB29*Assumptions!$K$52</f>
        <v>4.8482334935</v>
      </c>
    </row>
    <row r="31" customFormat="false" ht="15" hidden="false" customHeight="true" outlineLevel="0" collapsed="false">
      <c r="A31" s="4" t="s">
        <v>82</v>
      </c>
      <c r="B31" s="9"/>
      <c r="C31" s="9"/>
      <c r="D31" s="9"/>
      <c r="E31" s="9"/>
      <c r="F31" s="9"/>
      <c r="G31" s="9"/>
      <c r="H31" s="9"/>
      <c r="I31" s="9"/>
      <c r="J31" s="9" t="n">
        <v>-0.008</v>
      </c>
      <c r="K31" s="9" t="n">
        <v>0</v>
      </c>
      <c r="L31" s="9"/>
      <c r="M31" s="9"/>
      <c r="N31" s="9" t="n">
        <v>-0.418</v>
      </c>
      <c r="O31" s="9" t="n">
        <v>-0.865</v>
      </c>
      <c r="P31" s="9" t="n">
        <v>-0.602</v>
      </c>
      <c r="Q31" s="9" t="n">
        <v>-0.752</v>
      </c>
      <c r="R31" s="9" t="n">
        <v>-0.717</v>
      </c>
      <c r="S31" s="9" t="n">
        <v>-1.873</v>
      </c>
      <c r="T31" s="9" t="n">
        <v>-1.347</v>
      </c>
      <c r="U31" s="9" t="n">
        <v>-0.863</v>
      </c>
      <c r="V31" s="9" t="n">
        <v>-1.2</v>
      </c>
      <c r="W31" s="9" t="n">
        <v>-2.077</v>
      </c>
      <c r="X31" s="9" t="n">
        <v>-1.288</v>
      </c>
      <c r="Y31" s="9" t="n">
        <v>-9.522</v>
      </c>
      <c r="Z31" s="9" t="n">
        <v>-0.081</v>
      </c>
      <c r="AA31" s="9" t="n">
        <v>0.41</v>
      </c>
      <c r="AB31" s="9" t="n">
        <v>-1.141</v>
      </c>
      <c r="AC31" s="9" t="n">
        <v>1.133</v>
      </c>
      <c r="AD31" s="9" t="n">
        <v>0.171</v>
      </c>
      <c r="AE31" s="9" t="n">
        <v>4.426</v>
      </c>
      <c r="AF31" s="9" t="n">
        <v>-0.5</v>
      </c>
      <c r="AG31" s="9" t="n">
        <v>-1.273</v>
      </c>
      <c r="AH31" s="9" t="n">
        <v>-0.417</v>
      </c>
      <c r="AI31" s="9" t="n">
        <v>-0.263</v>
      </c>
      <c r="AJ31" s="9" t="n">
        <v>-0.021</v>
      </c>
      <c r="AK31" s="9" t="n">
        <v>-1.393</v>
      </c>
      <c r="AL31" s="9" t="n">
        <v>-0.08</v>
      </c>
      <c r="AM31" s="9" t="n">
        <v>-0.18</v>
      </c>
      <c r="AN31" s="9" t="n">
        <v>0.065</v>
      </c>
      <c r="AO31" s="9" t="n">
        <v>0.99</v>
      </c>
      <c r="AP31" s="9"/>
      <c r="AQ31" s="9" t="n">
        <v>3.782</v>
      </c>
      <c r="AR31" s="9" t="n">
        <v>1.787</v>
      </c>
      <c r="AS31" s="9" t="n">
        <v>1.196</v>
      </c>
      <c r="AT31" s="9" t="n">
        <v>-0.295</v>
      </c>
      <c r="AU31" s="15" t="n">
        <f aca="false">Assumptions!$D$51</f>
        <v>0</v>
      </c>
      <c r="AV31" s="15" t="n">
        <f aca="false">Assumptions!$E$51</f>
        <v>0</v>
      </c>
      <c r="AW31" s="15" t="n">
        <f aca="false">Assumptions!$F$51</f>
        <v>0</v>
      </c>
      <c r="AX31" s="15" t="n">
        <f aca="false">Assumptions!$G$51</f>
        <v>0</v>
      </c>
      <c r="AY31" s="15" t="n">
        <f aca="false">Assumptions!$H$51</f>
        <v>0</v>
      </c>
      <c r="AZ31" s="15" t="n">
        <f aca="false">Assumptions!$I$51</f>
        <v>0</v>
      </c>
      <c r="BA31" s="15" t="n">
        <f aca="false">Assumptions!$J$51</f>
        <v>0</v>
      </c>
      <c r="BB31" s="15" t="n">
        <f aca="false">Assumptions!$K$51</f>
        <v>0</v>
      </c>
    </row>
    <row r="32" customFormat="false" ht="15" hidden="false" customHeight="true" outlineLevel="0" collapsed="false">
      <c r="A32" s="11" t="s">
        <v>83</v>
      </c>
      <c r="B32" s="12" t="n">
        <f aca="false">B29-B30+B31</f>
        <v>2.325</v>
      </c>
      <c r="C32" s="12" t="n">
        <f aca="false">C29-C30+C31</f>
        <v>7.08000000000001</v>
      </c>
      <c r="D32" s="12" t="n">
        <f aca="false">D29-D30+D31</f>
        <v>-6.981</v>
      </c>
      <c r="E32" s="12" t="n">
        <f aca="false">E29-E30+E31</f>
        <v>4.41899999999999</v>
      </c>
      <c r="F32" s="12" t="n">
        <f aca="false">F29-F30+F31</f>
        <v>6.164</v>
      </c>
      <c r="G32" s="12" t="n">
        <f aca="false">G29-G30+G31</f>
        <v>5.36400000000001</v>
      </c>
      <c r="H32" s="12" t="n">
        <f aca="false">H29-H30+H31</f>
        <v>-11.642</v>
      </c>
      <c r="I32" s="12" t="n">
        <f aca="false">I29-I30+I31</f>
        <v>-4.172</v>
      </c>
      <c r="J32" s="12" t="n">
        <f aca="false">J29-J30+J31</f>
        <v>-2.18299999999999</v>
      </c>
      <c r="K32" s="12" t="n">
        <f aca="false">K29-K30+K31</f>
        <v>30.504</v>
      </c>
      <c r="L32" s="12" t="n">
        <f aca="false">L29-L30+L31</f>
        <v>-4.394</v>
      </c>
      <c r="M32" s="12" t="n">
        <f aca="false">M29-M30+M31</f>
        <v>7.55</v>
      </c>
      <c r="N32" s="12" t="n">
        <f aca="false">N29-N30+N31</f>
        <v>-0.656000000000001</v>
      </c>
      <c r="O32" s="12" t="n">
        <f aca="false">O29-O30+O31</f>
        <v>19.034</v>
      </c>
      <c r="P32" s="12" t="n">
        <f aca="false">P29-P30+P31</f>
        <v>20.323</v>
      </c>
      <c r="Q32" s="12" t="n">
        <f aca="false">Q29-Q30+Q31</f>
        <v>7.04</v>
      </c>
      <c r="R32" s="12" t="n">
        <f aca="false">R29-R30+R31</f>
        <v>8.412</v>
      </c>
      <c r="S32" s="12" t="n">
        <f aca="false">S29-S30+S31</f>
        <v>6.11800000000001</v>
      </c>
      <c r="T32" s="12" t="n">
        <f aca="false">T29-T30+T31</f>
        <v>17.099</v>
      </c>
      <c r="U32" s="12" t="n">
        <f aca="false">U29-U30+U31</f>
        <v>7.505</v>
      </c>
      <c r="V32" s="12" t="n">
        <f aca="false">V29-V30+V31</f>
        <v>-1.02799999999999</v>
      </c>
      <c r="W32" s="12" t="n">
        <f aca="false">W29-W30+W31</f>
        <v>17.759</v>
      </c>
      <c r="X32" s="12" t="n">
        <f aca="false">X29-X30+X31</f>
        <v>10.043</v>
      </c>
      <c r="Y32" s="12" t="n">
        <f aca="false">Y29-Y30+Y31</f>
        <v>2.072</v>
      </c>
      <c r="Z32" s="12" t="n">
        <f aca="false">Z29-Z30+Z31</f>
        <v>0.25799999999999</v>
      </c>
      <c r="AA32" s="12" t="n">
        <f aca="false">AA29-AA30+AA31</f>
        <v>10.972</v>
      </c>
      <c r="AB32" s="12" t="n">
        <f aca="false">AB29-AB30+AB31</f>
        <v>-13.918</v>
      </c>
      <c r="AC32" s="12" t="n">
        <f aca="false">AC29-AC30+AC31</f>
        <v>2.55600000000001</v>
      </c>
      <c r="AD32" s="12" t="n">
        <f aca="false">AD29-AD30+AD31</f>
        <v>-0.0350000000000031</v>
      </c>
      <c r="AE32" s="12" t="n">
        <f aca="false">AE29-AE30+AE31</f>
        <v>7.21200000000002</v>
      </c>
      <c r="AF32" s="12" t="n">
        <f aca="false">AF29-AF30+AF31</f>
        <v>-8.389</v>
      </c>
      <c r="AG32" s="12" t="n">
        <f aca="false">AG29-AG30+AG31</f>
        <v>-6.629</v>
      </c>
      <c r="AH32" s="12" t="n">
        <f aca="false">AH29-AH30+AH31</f>
        <v>-0.676000000000008</v>
      </c>
      <c r="AI32" s="12" t="n">
        <f aca="false">AI29-AI30+AI31</f>
        <v>-160.473</v>
      </c>
      <c r="AJ32" s="12" t="n">
        <f aca="false">AJ29-AJ30+AJ31</f>
        <v>21.895</v>
      </c>
      <c r="AK32" s="12" t="n">
        <f aca="false">AK29-AK30+AK31</f>
        <v>17.84</v>
      </c>
      <c r="AL32" s="12" t="n">
        <f aca="false">AL29-AL30+AL31</f>
        <v>13.885</v>
      </c>
      <c r="AM32" s="12" t="n">
        <f aca="false">AM29-AM30+AM31</f>
        <v>6.04600000000002</v>
      </c>
      <c r="AN32" s="12" t="n">
        <f aca="false">AN29-AN30+AN31</f>
        <v>21.166</v>
      </c>
      <c r="AO32" s="12" t="n">
        <f aca="false">AO29-AO30+AO31</f>
        <v>7.54299999999999</v>
      </c>
      <c r="AP32" s="12" t="n">
        <f aca="false">AP29-AP30+AP31</f>
        <v>-1.75400000000002</v>
      </c>
      <c r="AQ32" s="12" t="n">
        <f aca="false">AQ29-AQ30+AQ31</f>
        <v>16.664</v>
      </c>
      <c r="AR32" s="12" t="n">
        <f aca="false">AR29-AR30+AR31</f>
        <v>-67.37</v>
      </c>
      <c r="AS32" s="12" t="n">
        <f aca="false">AS29-AS30+AS31</f>
        <v>-17.103</v>
      </c>
      <c r="AT32" s="12" t="n">
        <f aca="false">AT29-AT30+AT31</f>
        <v>-243.823</v>
      </c>
      <c r="AU32" s="15" t="n">
        <f aca="false">AU29-AU30+AU31</f>
        <v>-0.918417268899982</v>
      </c>
      <c r="AV32" s="15" t="n">
        <f aca="false">AV29-AV30+AV31</f>
        <v>10.9955497075</v>
      </c>
      <c r="AW32" s="15" t="n">
        <f aca="false">AW29-AW30+AW31</f>
        <v>11.2615364875</v>
      </c>
      <c r="AX32" s="15" t="n">
        <f aca="false">AX29-AX30+AX31</f>
        <v>9.5878033075</v>
      </c>
      <c r="AY32" s="15" t="n">
        <f aca="false">AY29-AY30+AY31</f>
        <v>13.9995361891375</v>
      </c>
      <c r="AZ32" s="15" t="n">
        <f aca="false">AZ29-AZ30+AZ31</f>
        <v>26.7752586657</v>
      </c>
      <c r="BA32" s="15" t="n">
        <f aca="false">BA29-BA30+BA31</f>
        <v>27.6426811081</v>
      </c>
      <c r="BB32" s="15" t="n">
        <f aca="false">BB29-BB30+BB31</f>
        <v>23.6707870565</v>
      </c>
    </row>
    <row r="33" customFormat="false" ht="15" hidden="false" customHeight="true" outlineLevel="0" collapsed="false">
      <c r="A33" s="4" t="s">
        <v>84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 t="n">
        <v>-1.488</v>
      </c>
      <c r="M33" s="9" t="n">
        <v>-0.033</v>
      </c>
      <c r="N33" s="9" t="n">
        <v>-0.129</v>
      </c>
      <c r="O33" s="9" t="n">
        <v>-2.237</v>
      </c>
      <c r="P33" s="9" t="n">
        <v>6.993</v>
      </c>
      <c r="Q33" s="9" t="n">
        <v>-0.99</v>
      </c>
      <c r="R33" s="9" t="n">
        <v>-0.062</v>
      </c>
      <c r="S33" s="9" t="n">
        <v>-0.415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0</v>
      </c>
      <c r="BB33" s="15" t="n">
        <v>0</v>
      </c>
    </row>
    <row r="34" customFormat="false" ht="15" hidden="false" customHeight="true" outlineLevel="0" collapsed="false">
      <c r="A34" s="11" t="s">
        <v>85</v>
      </c>
      <c r="B34" s="12" t="n">
        <f aca="false">B32+B33</f>
        <v>2.325</v>
      </c>
      <c r="C34" s="12" t="n">
        <f aca="false">C32+C33</f>
        <v>7.08000000000001</v>
      </c>
      <c r="D34" s="12" t="n">
        <f aca="false">D32+D33</f>
        <v>-6.981</v>
      </c>
      <c r="E34" s="12" t="n">
        <f aca="false">E32+E33</f>
        <v>4.41899999999999</v>
      </c>
      <c r="F34" s="12" t="n">
        <f aca="false">F32+F33</f>
        <v>6.164</v>
      </c>
      <c r="G34" s="12" t="n">
        <f aca="false">G32+G33</f>
        <v>5.36400000000001</v>
      </c>
      <c r="H34" s="12" t="n">
        <f aca="false">H32+H33</f>
        <v>-11.642</v>
      </c>
      <c r="I34" s="12" t="n">
        <f aca="false">I32+I33</f>
        <v>-4.172</v>
      </c>
      <c r="J34" s="12" t="n">
        <f aca="false">J32+J33</f>
        <v>-2.18299999999999</v>
      </c>
      <c r="K34" s="12" t="n">
        <f aca="false">K32+K33</f>
        <v>30.504</v>
      </c>
      <c r="L34" s="12" t="n">
        <f aca="false">L32+L33</f>
        <v>-5.882</v>
      </c>
      <c r="M34" s="12" t="n">
        <f aca="false">M32+M33</f>
        <v>7.517</v>
      </c>
      <c r="N34" s="12" t="n">
        <f aca="false">N32+N33</f>
        <v>-0.785000000000001</v>
      </c>
      <c r="O34" s="12" t="n">
        <f aca="false">O32+O33</f>
        <v>16.797</v>
      </c>
      <c r="P34" s="12" t="n">
        <f aca="false">P32+P33</f>
        <v>27.316</v>
      </c>
      <c r="Q34" s="12" t="n">
        <f aca="false">Q32+Q33</f>
        <v>6.05</v>
      </c>
      <c r="R34" s="12" t="n">
        <f aca="false">R32+R33</f>
        <v>8.35</v>
      </c>
      <c r="S34" s="12" t="n">
        <f aca="false">S32+S33</f>
        <v>5.70300000000001</v>
      </c>
      <c r="T34" s="12" t="n">
        <f aca="false">T32+T33</f>
        <v>17.099</v>
      </c>
      <c r="U34" s="12" t="n">
        <f aca="false">U32+U33</f>
        <v>7.505</v>
      </c>
      <c r="V34" s="12" t="n">
        <f aca="false">V32+V33</f>
        <v>-1.02799999999999</v>
      </c>
      <c r="W34" s="12" t="n">
        <f aca="false">W32+W33</f>
        <v>17.759</v>
      </c>
      <c r="X34" s="12" t="n">
        <f aca="false">X32+X33</f>
        <v>10.043</v>
      </c>
      <c r="Y34" s="12" t="n">
        <f aca="false">Y32+Y33</f>
        <v>2.072</v>
      </c>
      <c r="Z34" s="12" t="n">
        <f aca="false">Z32+Z33</f>
        <v>0.25799999999999</v>
      </c>
      <c r="AA34" s="12" t="n">
        <f aca="false">AA32+AA33</f>
        <v>10.972</v>
      </c>
      <c r="AB34" s="12" t="n">
        <f aca="false">AB32+AB33</f>
        <v>-13.918</v>
      </c>
      <c r="AC34" s="12" t="n">
        <f aca="false">AC32+AC33</f>
        <v>2.55600000000001</v>
      </c>
      <c r="AD34" s="12" t="n">
        <f aca="false">AD32+AD33</f>
        <v>-0.0350000000000031</v>
      </c>
      <c r="AE34" s="12" t="n">
        <f aca="false">AE32+AE33</f>
        <v>7.21200000000002</v>
      </c>
      <c r="AF34" s="12" t="n">
        <f aca="false">AF32+AF33</f>
        <v>-8.389</v>
      </c>
      <c r="AG34" s="12" t="n">
        <f aca="false">AG32+AG33</f>
        <v>-6.629</v>
      </c>
      <c r="AH34" s="12" t="n">
        <f aca="false">AH32+AH33</f>
        <v>-0.676000000000008</v>
      </c>
      <c r="AI34" s="12" t="n">
        <f aca="false">AI32+AI33</f>
        <v>-160.473</v>
      </c>
      <c r="AJ34" s="12" t="n">
        <f aca="false">AJ32+AJ33</f>
        <v>21.895</v>
      </c>
      <c r="AK34" s="12" t="n">
        <f aca="false">AK32+AK33</f>
        <v>17.84</v>
      </c>
      <c r="AL34" s="12" t="n">
        <f aca="false">AL32+AL33</f>
        <v>13.885</v>
      </c>
      <c r="AM34" s="12" t="n">
        <f aca="false">AM32+AM33</f>
        <v>6.04600000000002</v>
      </c>
      <c r="AN34" s="12" t="n">
        <f aca="false">AN32+AN33</f>
        <v>21.166</v>
      </c>
      <c r="AO34" s="12" t="n">
        <f aca="false">AO32+AO33</f>
        <v>7.54299999999999</v>
      </c>
      <c r="AP34" s="12" t="n">
        <f aca="false">AP32+AP33</f>
        <v>-1.75400000000002</v>
      </c>
      <c r="AQ34" s="12" t="n">
        <f aca="false">AQ32+AQ33</f>
        <v>16.664</v>
      </c>
      <c r="AR34" s="12" t="n">
        <f aca="false">AR32+AR33</f>
        <v>-67.37</v>
      </c>
      <c r="AS34" s="12" t="n">
        <f aca="false">AS32+AS33</f>
        <v>-17.103</v>
      </c>
      <c r="AT34" s="12" t="n">
        <f aca="false">AT32+AT33</f>
        <v>-243.823</v>
      </c>
      <c r="AU34" s="15" t="n">
        <f aca="false">AU32+AU33</f>
        <v>-0.918417268899982</v>
      </c>
      <c r="AV34" s="15" t="n">
        <f aca="false">AV32+AV33</f>
        <v>10.9955497075</v>
      </c>
      <c r="AW34" s="15" t="n">
        <f aca="false">AW32+AW33</f>
        <v>11.2615364875</v>
      </c>
      <c r="AX34" s="15" t="n">
        <f aca="false">AX32+AX33</f>
        <v>9.5878033075</v>
      </c>
      <c r="AY34" s="15" t="n">
        <f aca="false">AY32+AY33</f>
        <v>13.9995361891375</v>
      </c>
      <c r="AZ34" s="15" t="n">
        <f aca="false">AZ32+AZ33</f>
        <v>26.7752586657</v>
      </c>
      <c r="BA34" s="15" t="n">
        <f aca="false">BA32+BA33</f>
        <v>27.6426811081</v>
      </c>
      <c r="BB34" s="15" t="n">
        <f aca="false">BB32+BB33</f>
        <v>23.6707870565</v>
      </c>
    </row>
    <row r="35" customFormat="false" ht="15" hidden="false" customHeight="true" outlineLevel="0" collapsed="false">
      <c r="A35" s="4" t="s">
        <v>86</v>
      </c>
      <c r="B35" s="9"/>
      <c r="C35" s="9"/>
      <c r="D35" s="9"/>
      <c r="E35" s="9"/>
      <c r="F35" s="9"/>
      <c r="G35" s="9"/>
      <c r="H35" s="9"/>
      <c r="I35" s="9"/>
      <c r="J35" s="9"/>
      <c r="K35" s="9" t="n">
        <v>0.022</v>
      </c>
      <c r="L35" s="9" t="n">
        <v>0.023</v>
      </c>
      <c r="M35" s="9" t="n">
        <v>0.206</v>
      </c>
      <c r="N35" s="9" t="n">
        <v>0.009</v>
      </c>
      <c r="O35" s="9" t="n">
        <v>-0.022</v>
      </c>
      <c r="P35" s="9" t="n">
        <v>0.014</v>
      </c>
      <c r="Q35" s="9" t="n">
        <v>0.007</v>
      </c>
      <c r="R35" s="9" t="n">
        <v>0.019</v>
      </c>
      <c r="S35" s="9" t="n">
        <v>-0.021</v>
      </c>
      <c r="T35" s="9" t="n">
        <v>0.011</v>
      </c>
      <c r="U35" s="9" t="n">
        <v>-0.004</v>
      </c>
      <c r="V35" s="9" t="n">
        <v>0.02</v>
      </c>
      <c r="W35" s="9" t="n">
        <v>-0.023</v>
      </c>
      <c r="X35" s="9" t="n">
        <v>0.037</v>
      </c>
      <c r="Y35" s="9" t="n">
        <v>0.022</v>
      </c>
      <c r="Z35" s="9" t="n">
        <v>-0.047</v>
      </c>
      <c r="AA35" s="9" t="n">
        <v>-0.026</v>
      </c>
      <c r="AB35" s="9" t="n">
        <v>-0.063</v>
      </c>
      <c r="AC35" s="9" t="n">
        <v>-0.031</v>
      </c>
      <c r="AD35" s="9" t="n">
        <v>0.045</v>
      </c>
      <c r="AE35" s="9" t="n">
        <v>0.046</v>
      </c>
      <c r="AF35" s="9" t="n">
        <v>-0.006</v>
      </c>
      <c r="AG35" s="9" t="n">
        <v>-0.039</v>
      </c>
      <c r="AH35" s="9"/>
      <c r="AI35" s="9" t="n">
        <v>0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5" t="n">
        <f aca="false">Assumptions!$D$55</f>
        <v>0</v>
      </c>
      <c r="AV35" s="15" t="n">
        <f aca="false">Assumptions!$E$55</f>
        <v>0</v>
      </c>
      <c r="AW35" s="15" t="n">
        <f aca="false">Assumptions!$F$55</f>
        <v>0</v>
      </c>
      <c r="AX35" s="15" t="n">
        <f aca="false">Assumptions!$G$55</f>
        <v>0</v>
      </c>
      <c r="AY35" s="15" t="n">
        <f aca="false">Assumptions!$H$55</f>
        <v>0</v>
      </c>
      <c r="AZ35" s="15" t="n">
        <f aca="false">Assumptions!$I$55</f>
        <v>0</v>
      </c>
      <c r="BA35" s="15" t="n">
        <f aca="false">Assumptions!$J$55</f>
        <v>0</v>
      </c>
      <c r="BB35" s="15" t="n">
        <f aca="false">Assumptions!$K$55</f>
        <v>0</v>
      </c>
    </row>
    <row r="36" customFormat="false" ht="15" hidden="false" customHeight="true" outlineLevel="0" collapsed="false">
      <c r="A36" s="11" t="s">
        <v>87</v>
      </c>
      <c r="B36" s="12" t="n">
        <f aca="false">B34+B35</f>
        <v>2.325</v>
      </c>
      <c r="C36" s="12" t="n">
        <f aca="false">C34+C35</f>
        <v>7.08000000000001</v>
      </c>
      <c r="D36" s="12" t="n">
        <f aca="false">D34+D35</f>
        <v>-6.981</v>
      </c>
      <c r="E36" s="12" t="n">
        <f aca="false">E34+E35</f>
        <v>4.41899999999999</v>
      </c>
      <c r="F36" s="12" t="n">
        <f aca="false">F34+F35</f>
        <v>6.164</v>
      </c>
      <c r="G36" s="12" t="n">
        <f aca="false">G34+G35</f>
        <v>5.36400000000001</v>
      </c>
      <c r="H36" s="12" t="n">
        <f aca="false">H34+H35</f>
        <v>-11.642</v>
      </c>
      <c r="I36" s="12" t="n">
        <f aca="false">I34+I35</f>
        <v>-4.172</v>
      </c>
      <c r="J36" s="12" t="n">
        <f aca="false">J34+J35</f>
        <v>-2.18299999999999</v>
      </c>
      <c r="K36" s="12" t="n">
        <f aca="false">K34+K35</f>
        <v>30.526</v>
      </c>
      <c r="L36" s="12" t="n">
        <f aca="false">L34+L35</f>
        <v>-5.859</v>
      </c>
      <c r="M36" s="12" t="n">
        <f aca="false">M34+M35</f>
        <v>7.723</v>
      </c>
      <c r="N36" s="12" t="n">
        <f aca="false">N34+N35</f>
        <v>-0.776000000000001</v>
      </c>
      <c r="O36" s="12" t="n">
        <f aca="false">O34+O35</f>
        <v>16.775</v>
      </c>
      <c r="P36" s="12" t="n">
        <f aca="false">P34+P35</f>
        <v>27.33</v>
      </c>
      <c r="Q36" s="12" t="n">
        <f aca="false">Q34+Q35</f>
        <v>6.057</v>
      </c>
      <c r="R36" s="12" t="n">
        <f aca="false">R34+R35</f>
        <v>8.369</v>
      </c>
      <c r="S36" s="12" t="n">
        <f aca="false">S34+S35</f>
        <v>5.68200000000001</v>
      </c>
      <c r="T36" s="12" t="n">
        <f aca="false">T34+T35</f>
        <v>17.11</v>
      </c>
      <c r="U36" s="12" t="n">
        <f aca="false">U34+U35</f>
        <v>7.501</v>
      </c>
      <c r="V36" s="12" t="n">
        <f aca="false">V34+V35</f>
        <v>-1.00799999999999</v>
      </c>
      <c r="W36" s="12" t="n">
        <f aca="false">W34+W35</f>
        <v>17.736</v>
      </c>
      <c r="X36" s="12" t="n">
        <f aca="false">X34+X35</f>
        <v>10.08</v>
      </c>
      <c r="Y36" s="12" t="n">
        <f aca="false">Y34+Y35</f>
        <v>2.094</v>
      </c>
      <c r="Z36" s="12" t="n">
        <f aca="false">Z34+Z35</f>
        <v>0.21099999999999</v>
      </c>
      <c r="AA36" s="12" t="n">
        <f aca="false">AA34+AA35</f>
        <v>10.946</v>
      </c>
      <c r="AB36" s="12" t="n">
        <f aca="false">AB34+AB35</f>
        <v>-13.981</v>
      </c>
      <c r="AC36" s="12" t="n">
        <f aca="false">AC34+AC35</f>
        <v>2.52500000000001</v>
      </c>
      <c r="AD36" s="12" t="n">
        <f aca="false">AD34+AD35</f>
        <v>0.00999999999999694</v>
      </c>
      <c r="AE36" s="12" t="n">
        <f aca="false">AE34+AE35</f>
        <v>7.25800000000002</v>
      </c>
      <c r="AF36" s="12" t="n">
        <f aca="false">AF34+AF35</f>
        <v>-8.395</v>
      </c>
      <c r="AG36" s="12" t="n">
        <f aca="false">AG34+AG35</f>
        <v>-6.668</v>
      </c>
      <c r="AH36" s="12" t="n">
        <f aca="false">AH34+AH35</f>
        <v>-0.676000000000008</v>
      </c>
      <c r="AI36" s="12" t="n">
        <f aca="false">AI34+AI35</f>
        <v>-160.473</v>
      </c>
      <c r="AJ36" s="12" t="n">
        <f aca="false">AJ34+AJ35</f>
        <v>21.895</v>
      </c>
      <c r="AK36" s="12" t="n">
        <f aca="false">AK34+AK35</f>
        <v>17.84</v>
      </c>
      <c r="AL36" s="12" t="n">
        <f aca="false">AL34+AL35</f>
        <v>13.885</v>
      </c>
      <c r="AM36" s="12" t="n">
        <f aca="false">AM34+AM35</f>
        <v>6.04600000000002</v>
      </c>
      <c r="AN36" s="12" t="n">
        <f aca="false">AN34+AN35</f>
        <v>21.166</v>
      </c>
      <c r="AO36" s="12" t="n">
        <f aca="false">AO34+AO35</f>
        <v>7.54299999999999</v>
      </c>
      <c r="AP36" s="12" t="n">
        <f aca="false">AP34+AP35</f>
        <v>-1.75400000000002</v>
      </c>
      <c r="AQ36" s="12" t="n">
        <f aca="false">AQ34+AQ35</f>
        <v>16.664</v>
      </c>
      <c r="AR36" s="12" t="n">
        <f aca="false">AR34+AR35</f>
        <v>-67.37</v>
      </c>
      <c r="AS36" s="12" t="n">
        <f aca="false">AS34+AS35</f>
        <v>-17.103</v>
      </c>
      <c r="AT36" s="12" t="n">
        <f aca="false">AT34+AT35</f>
        <v>-243.823</v>
      </c>
      <c r="AU36" s="15" t="n">
        <f aca="false">AU34+AU35</f>
        <v>-0.918417268899982</v>
      </c>
      <c r="AV36" s="15" t="n">
        <f aca="false">AV34+AV35</f>
        <v>10.9955497075</v>
      </c>
      <c r="AW36" s="15" t="n">
        <f aca="false">AW34+AW35</f>
        <v>11.2615364875</v>
      </c>
      <c r="AX36" s="15" t="n">
        <f aca="false">AX34+AX35</f>
        <v>9.5878033075</v>
      </c>
      <c r="AY36" s="15" t="n">
        <f aca="false">AY34+AY35</f>
        <v>13.9995361891375</v>
      </c>
      <c r="AZ36" s="15" t="n">
        <f aca="false">AZ34+AZ35</f>
        <v>26.7752586657</v>
      </c>
      <c r="BA36" s="15" t="n">
        <f aca="false">BA34+BA35</f>
        <v>27.6426811081</v>
      </c>
      <c r="BB36" s="15" t="n">
        <f aca="false">BB34+BB35</f>
        <v>23.6707870565</v>
      </c>
    </row>
    <row r="37" customFormat="false" ht="14.25" hidden="false" customHeight="true" outlineLevel="0" collapsed="false">
      <c r="A37" s="8" t="s">
        <v>88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4"/>
      <c r="AV37" s="14"/>
      <c r="AW37" s="14"/>
      <c r="AX37" s="14"/>
      <c r="AY37" s="14"/>
      <c r="AZ37" s="14"/>
      <c r="BA37" s="14"/>
      <c r="BB37" s="14"/>
    </row>
    <row r="38" customFormat="false" ht="15" hidden="false" customHeight="true" outlineLevel="0" collapsed="false">
      <c r="A38" s="4" t="s">
        <v>89</v>
      </c>
      <c r="B38" s="9" t="n">
        <v>22.8905</v>
      </c>
      <c r="C38" s="9" t="n">
        <v>22.9052</v>
      </c>
      <c r="D38" s="9" t="n">
        <v>22.9475</v>
      </c>
      <c r="E38" s="9" t="n">
        <v>22.986</v>
      </c>
      <c r="F38" s="9" t="n">
        <v>22.8905</v>
      </c>
      <c r="G38" s="9" t="n">
        <v>22.9215</v>
      </c>
      <c r="H38" s="9" t="n">
        <v>22.9566</v>
      </c>
      <c r="I38" s="9" t="n">
        <v>23.0491</v>
      </c>
      <c r="J38" s="9" t="n">
        <v>23.083</v>
      </c>
      <c r="K38" s="9" t="n">
        <v>23.1466</v>
      </c>
      <c r="L38" s="9" t="n">
        <v>23.3363</v>
      </c>
      <c r="M38" s="9" t="n">
        <v>23.4779</v>
      </c>
      <c r="N38" s="9" t="n">
        <v>23.5156</v>
      </c>
      <c r="O38" s="9" t="n">
        <v>23.5519</v>
      </c>
      <c r="P38" s="9" t="n">
        <v>23.5746</v>
      </c>
      <c r="Q38" s="9" t="n">
        <v>23.6674</v>
      </c>
      <c r="R38" s="9" t="n">
        <v>23.6877</v>
      </c>
      <c r="S38" s="9" t="n">
        <v>23.718</v>
      </c>
      <c r="T38" s="9" t="n">
        <v>23.7452</v>
      </c>
      <c r="U38" s="9" t="n">
        <v>23.8044</v>
      </c>
      <c r="V38" s="9" t="n">
        <v>23.8211</v>
      </c>
      <c r="W38" s="9" t="n">
        <v>23.8496</v>
      </c>
      <c r="X38" s="9" t="n">
        <v>23.893</v>
      </c>
      <c r="Y38" s="9" t="n">
        <v>23.937</v>
      </c>
      <c r="Z38" s="9" t="n">
        <v>23.9428</v>
      </c>
      <c r="AA38" s="9" t="n">
        <v>24.4343</v>
      </c>
      <c r="AB38" s="9" t="n">
        <v>24.6202</v>
      </c>
      <c r="AC38" s="9" t="n">
        <v>24.6416</v>
      </c>
      <c r="AD38" s="9" t="n">
        <v>24.711</v>
      </c>
      <c r="AE38" s="9" t="n">
        <v>24.7689</v>
      </c>
      <c r="AF38" s="9" t="n">
        <v>24.8042</v>
      </c>
      <c r="AG38" s="9" t="n">
        <v>24.9009</v>
      </c>
      <c r="AH38" s="9" t="n">
        <v>25.0124</v>
      </c>
      <c r="AI38" s="9" t="n">
        <v>25.451</v>
      </c>
      <c r="AJ38" s="9" t="n">
        <v>26.0883</v>
      </c>
      <c r="AK38" s="9" t="n">
        <v>26.8658</v>
      </c>
      <c r="AL38" s="9" t="n">
        <v>27.9076</v>
      </c>
      <c r="AM38" s="9" t="n">
        <v>27.9163</v>
      </c>
      <c r="AN38" s="9" t="n">
        <v>27.9597</v>
      </c>
      <c r="AO38" s="9" t="n">
        <v>28.01</v>
      </c>
      <c r="AP38" s="9" t="n">
        <v>28.0319</v>
      </c>
      <c r="AQ38" s="9" t="n">
        <v>28.0686</v>
      </c>
      <c r="AR38" s="9" t="n">
        <v>46.8824</v>
      </c>
      <c r="AS38" s="9" t="n">
        <v>49.7233</v>
      </c>
      <c r="AT38" s="9" t="n">
        <v>49.7414</v>
      </c>
      <c r="AU38" s="15" t="n">
        <f aca="false">Assumptions!$D$54</f>
        <v>49.8</v>
      </c>
      <c r="AV38" s="15" t="n">
        <f aca="false">Assumptions!$E$54</f>
        <v>49.9</v>
      </c>
      <c r="AW38" s="15" t="n">
        <f aca="false">Assumptions!$F$54</f>
        <v>50</v>
      </c>
      <c r="AX38" s="15" t="n">
        <f aca="false">Assumptions!$G$54</f>
        <v>50.1</v>
      </c>
      <c r="AY38" s="15" t="n">
        <f aca="false">Assumptions!$H$54</f>
        <v>50.2</v>
      </c>
      <c r="AZ38" s="15" t="n">
        <f aca="false">Assumptions!$I$54</f>
        <v>50.3</v>
      </c>
      <c r="BA38" s="15" t="n">
        <f aca="false">Assumptions!$J$54</f>
        <v>50.4</v>
      </c>
      <c r="BB38" s="15" t="n">
        <f aca="false">Assumptions!$K$54</f>
        <v>50.5</v>
      </c>
    </row>
    <row r="39" customFormat="false" ht="15" hidden="false" customHeight="true" outlineLevel="0" collapsed="false">
      <c r="A39" s="4" t="s">
        <v>90</v>
      </c>
      <c r="B39" s="9" t="n">
        <v>23.1094</v>
      </c>
      <c r="C39" s="9" t="n">
        <v>23.1483</v>
      </c>
      <c r="D39" s="9" t="n">
        <v>22.9475</v>
      </c>
      <c r="E39" s="9" t="n">
        <v>23.1485</v>
      </c>
      <c r="F39" s="9" t="n">
        <v>23.0838</v>
      </c>
      <c r="G39" s="9" t="n">
        <v>23.1435</v>
      </c>
      <c r="H39" s="9" t="n">
        <v>22.9566</v>
      </c>
      <c r="I39" s="9" t="n">
        <v>23.0491</v>
      </c>
      <c r="J39" s="9" t="n">
        <v>23.083</v>
      </c>
      <c r="K39" s="9" t="n">
        <v>23.3714</v>
      </c>
      <c r="L39" s="9" t="n">
        <v>23.3363</v>
      </c>
      <c r="M39" s="9" t="n">
        <v>23.833</v>
      </c>
      <c r="N39" s="9" t="n">
        <v>23.5156</v>
      </c>
      <c r="O39" s="9" t="n">
        <v>23.9169</v>
      </c>
      <c r="P39" s="9" t="n">
        <v>24.0103</v>
      </c>
      <c r="Q39" s="9" t="n">
        <v>24.0988</v>
      </c>
      <c r="R39" s="9" t="n">
        <v>24.0818</v>
      </c>
      <c r="S39" s="9" t="n">
        <v>24.0947</v>
      </c>
      <c r="T39" s="9" t="n">
        <v>24.0699</v>
      </c>
      <c r="U39" s="9" t="n">
        <v>24.0618</v>
      </c>
      <c r="V39" s="9" t="n">
        <v>23.8211</v>
      </c>
      <c r="W39" s="9" t="n">
        <v>24.1338</v>
      </c>
      <c r="X39" s="9" t="n">
        <v>24.1862</v>
      </c>
      <c r="Y39" s="9" t="n">
        <v>24.1969</v>
      </c>
      <c r="Z39" s="9" t="n">
        <v>24.2609</v>
      </c>
      <c r="AA39" s="9" t="n">
        <v>24.7799</v>
      </c>
      <c r="AB39" s="9" t="n">
        <v>24.6202</v>
      </c>
      <c r="AC39" s="9" t="n">
        <v>24.8859</v>
      </c>
      <c r="AD39" s="9" t="n">
        <v>24.8796</v>
      </c>
      <c r="AE39" s="9" t="n">
        <v>24.9362</v>
      </c>
      <c r="AF39" s="9" t="n">
        <v>24.8042</v>
      </c>
      <c r="AG39" s="9" t="n">
        <v>24.9009</v>
      </c>
      <c r="AH39" s="9" t="n">
        <v>25.0124</v>
      </c>
      <c r="AI39" s="9" t="n">
        <v>25.451</v>
      </c>
      <c r="AJ39" s="9" t="n">
        <v>26.179</v>
      </c>
      <c r="AK39" s="9" t="n">
        <v>26.9568</v>
      </c>
      <c r="AL39" s="9" t="n">
        <v>28.0441</v>
      </c>
      <c r="AM39" s="9" t="n">
        <v>28.0967</v>
      </c>
      <c r="AN39" s="9" t="n">
        <v>28.2818</v>
      </c>
      <c r="AO39" s="9" t="n">
        <v>28.1456</v>
      </c>
      <c r="AP39" s="9" t="n">
        <v>28.0319</v>
      </c>
      <c r="AQ39" s="9" t="n">
        <v>28.265</v>
      </c>
      <c r="AR39" s="9" t="n">
        <v>46.8824</v>
      </c>
      <c r="AS39" s="9" t="n">
        <v>49.7233</v>
      </c>
      <c r="AT39" s="9" t="n">
        <v>49.7414</v>
      </c>
      <c r="AU39" s="15" t="n">
        <f aca="false">Assumptions!$D$53</f>
        <v>50</v>
      </c>
      <c r="AV39" s="15" t="n">
        <f aca="false">Assumptions!$E$53</f>
        <v>50.1</v>
      </c>
      <c r="AW39" s="15" t="n">
        <f aca="false">Assumptions!$F$53</f>
        <v>50.2</v>
      </c>
      <c r="AX39" s="15" t="n">
        <f aca="false">Assumptions!$G$53</f>
        <v>50.3</v>
      </c>
      <c r="AY39" s="15" t="n">
        <f aca="false">Assumptions!$H$53</f>
        <v>50.4</v>
      </c>
      <c r="AZ39" s="15" t="n">
        <f aca="false">Assumptions!$I$53</f>
        <v>50.5</v>
      </c>
      <c r="BA39" s="15" t="n">
        <f aca="false">Assumptions!$J$53</f>
        <v>50.6</v>
      </c>
      <c r="BB39" s="15" t="n">
        <f aca="false">Assumptions!$K$53</f>
        <v>50.7</v>
      </c>
    </row>
    <row r="40" customFormat="false" ht="15" hidden="false" customHeight="true" outlineLevel="0" collapsed="false">
      <c r="A40" s="11" t="s">
        <v>91</v>
      </c>
      <c r="B40" s="16" t="n">
        <f aca="false">IF(B38=0,"",B36/B38)</f>
        <v>0.101570520521614</v>
      </c>
      <c r="C40" s="16" t="n">
        <f aca="false">IF(C38=0,"",C36/C38)</f>
        <v>0.309100117003999</v>
      </c>
      <c r="D40" s="16" t="n">
        <f aca="false">IF(D38=0,"",D36/D38)</f>
        <v>-0.304216145549624</v>
      </c>
      <c r="E40" s="16" t="n">
        <f aca="false">IF(E38=0,"",E36/E38)</f>
        <v>0.192247454972592</v>
      </c>
      <c r="F40" s="16" t="n">
        <f aca="false">IF(F38=0,"",F36/F38)</f>
        <v>0.269282016557087</v>
      </c>
      <c r="G40" s="16" t="n">
        <f aca="false">IF(G38=0,"",G36/G38)</f>
        <v>0.234016098422879</v>
      </c>
      <c r="H40" s="16" t="n">
        <f aca="false">IF(H38=0,"",H36/H38)</f>
        <v>-0.507130846902416</v>
      </c>
      <c r="I40" s="16" t="n">
        <f aca="false">IF(I38=0,"",I36/I38)</f>
        <v>-0.181004898238977</v>
      </c>
      <c r="J40" s="16" t="n">
        <f aca="false">IF(J38=0,"",J36/J38)</f>
        <v>-0.0945717627691372</v>
      </c>
      <c r="K40" s="16" t="n">
        <f aca="false">IF(K38=0,"",K36/K38)</f>
        <v>1.31881140210657</v>
      </c>
      <c r="L40" s="16" t="n">
        <f aca="false">IF(L38=0,"",L36/L38)</f>
        <v>-0.251068078487164</v>
      </c>
      <c r="M40" s="16" t="n">
        <f aca="false">IF(M38=0,"",M36/M38)</f>
        <v>0.328947648639785</v>
      </c>
      <c r="N40" s="16" t="n">
        <f aca="false">IF(N38=0,"",N36/N38)</f>
        <v>-0.0329993706305602</v>
      </c>
      <c r="O40" s="16" t="n">
        <f aca="false">IF(O38=0,"",O36/O38)</f>
        <v>0.712256760601056</v>
      </c>
      <c r="P40" s="16" t="n">
        <f aca="false">IF(P38=0,"",P36/P38)</f>
        <v>1.15929856710188</v>
      </c>
      <c r="Q40" s="16" t="n">
        <f aca="false">IF(Q38=0,"",Q36/Q38)</f>
        <v>0.255921647498246</v>
      </c>
      <c r="R40" s="16" t="n">
        <f aca="false">IF(R38=0,"",R36/R38)</f>
        <v>0.353305724067765</v>
      </c>
      <c r="S40" s="16" t="n">
        <f aca="false">IF(S38=0,"",S36/S38)</f>
        <v>0.239564887427271</v>
      </c>
      <c r="T40" s="16" t="n">
        <f aca="false">IF(T38=0,"",T36/T38)</f>
        <v>0.72056668295066</v>
      </c>
      <c r="U40" s="16" t="n">
        <f aca="false">IF(U38=0,"",U36/U38)</f>
        <v>0.315109811631463</v>
      </c>
      <c r="V40" s="16" t="n">
        <f aca="false">IF(V38=0,"",V36/V38)</f>
        <v>-0.0423154262397618</v>
      </c>
      <c r="W40" s="16" t="n">
        <f aca="false">IF(W38=0,"",W36/W38)</f>
        <v>0.7436602710318</v>
      </c>
      <c r="X40" s="16" t="n">
        <f aca="false">IF(X38=0,"",X36/X38)</f>
        <v>0.421880885615034</v>
      </c>
      <c r="Y40" s="16" t="n">
        <f aca="false">IF(Y38=0,"",Y36/Y38)</f>
        <v>0.0874796340393531</v>
      </c>
      <c r="Z40" s="16" t="n">
        <f aca="false">IF(Z38=0,"",Z36/Z38)</f>
        <v>0.00881267019730316</v>
      </c>
      <c r="AA40" s="16" t="n">
        <f aca="false">IF(AA38=0,"",AA36/AA38)</f>
        <v>0.447976819470989</v>
      </c>
      <c r="AB40" s="16" t="n">
        <f aca="false">IF(AB38=0,"",AB36/AB38)</f>
        <v>-0.56786703601108</v>
      </c>
      <c r="AC40" s="16" t="n">
        <f aca="false">IF(AC38=0,"",AC36/AC38)</f>
        <v>0.102468995519772</v>
      </c>
      <c r="AD40" s="16" t="n">
        <f aca="false">IF(AD38=0,"",AD36/AD38)</f>
        <v>0.000404678078588359</v>
      </c>
      <c r="AE40" s="16" t="n">
        <f aca="false">IF(AE38=0,"",AE36/AE38)</f>
        <v>0.29302875783745</v>
      </c>
      <c r="AF40" s="16" t="n">
        <f aca="false">IF(AF38=0,"",AF36/AF38)</f>
        <v>-0.338450746244588</v>
      </c>
      <c r="AG40" s="16" t="n">
        <f aca="false">IF(AG38=0,"",AG36/AG38)</f>
        <v>-0.26778148580975</v>
      </c>
      <c r="AH40" s="16" t="n">
        <f aca="false">IF(AH38=0,"",AH36/AH38)</f>
        <v>-0.0270265948089751</v>
      </c>
      <c r="AI40" s="16" t="n">
        <f aca="false">IF(AI38=0,"",AI36/AI38)</f>
        <v>-6.30517464932616</v>
      </c>
      <c r="AJ40" s="16" t="n">
        <f aca="false">IF(AJ38=0,"",AJ36/AJ38)</f>
        <v>0.839265111180108</v>
      </c>
      <c r="AK40" s="16" t="n">
        <f aca="false">IF(AK38=0,"",AK36/AK38)</f>
        <v>0.664041271802813</v>
      </c>
      <c r="AL40" s="16" t="n">
        <f aca="false">IF(AL38=0,"",AL36/AL38)</f>
        <v>0.497534721724548</v>
      </c>
      <c r="AM40" s="16" t="n">
        <f aca="false">IF(AM38=0,"",AM36/AM38)</f>
        <v>0.21657597890838</v>
      </c>
      <c r="AN40" s="16" t="n">
        <f aca="false">IF(AN38=0,"",AN36/AN38)</f>
        <v>0.757018136818349</v>
      </c>
      <c r="AO40" s="16" t="n">
        <f aca="false">IF(AO38=0,"",AO36/AO38)</f>
        <v>0.269296679757229</v>
      </c>
      <c r="AP40" s="16" t="n">
        <f aca="false">IF(AP38=0,"",AP36/AP38)</f>
        <v>-0.0625715702467552</v>
      </c>
      <c r="AQ40" s="16" t="n">
        <f aca="false">IF(AQ38=0,"",AQ36/AQ38)</f>
        <v>0.593688320757002</v>
      </c>
      <c r="AR40" s="16" t="n">
        <f aca="false">IF(AR38=0,"",AR36/AR38)</f>
        <v>-1.4369998122963</v>
      </c>
      <c r="AS40" s="16" t="n">
        <f aca="false">IF(AS38=0,"",AS36/AS38)</f>
        <v>-0.343963493975662</v>
      </c>
      <c r="AT40" s="16" t="n">
        <f aca="false">IF(AT38=0,"",AT36/AT38)</f>
        <v>-4.90181217255646</v>
      </c>
      <c r="AU40" s="15" t="n">
        <f aca="false">IF(AU38=0,"",AU36/AU38)</f>
        <v>-0.018442113833333</v>
      </c>
      <c r="AV40" s="15" t="n">
        <f aca="false">IF(AV38=0,"",AV36/AV38)</f>
        <v>0.22035169754509</v>
      </c>
      <c r="AW40" s="15" t="n">
        <f aca="false">IF(AW38=0,"",AW36/AW38)</f>
        <v>0.22523072975</v>
      </c>
      <c r="AX40" s="15" t="n">
        <f aca="false">IF(AX38=0,"",AX36/AX38)</f>
        <v>0.191373319510978</v>
      </c>
      <c r="AY40" s="15" t="n">
        <f aca="false">IF(AY38=0,"",AY36/AY38)</f>
        <v>0.278875222891186</v>
      </c>
      <c r="AZ40" s="15" t="n">
        <f aca="false">IF(AZ38=0,"",AZ36/AZ38)</f>
        <v>0.532311305481114</v>
      </c>
      <c r="BA40" s="15" t="n">
        <f aca="false">IF(BA38=0,"",BA36/BA38)</f>
        <v>0.548465895001983</v>
      </c>
      <c r="BB40" s="15" t="n">
        <f aca="false">IF(BB38=0,"",BB36/BB38)</f>
        <v>0.468728456564356</v>
      </c>
    </row>
    <row r="41" customFormat="false" ht="15" hidden="false" customHeight="true" outlineLevel="0" collapsed="false">
      <c r="A41" s="11" t="s">
        <v>92</v>
      </c>
      <c r="B41" s="16" t="n">
        <f aca="false">IF(B39=0,"",B36/B39)</f>
        <v>0.100608410430388</v>
      </c>
      <c r="C41" s="16" t="n">
        <f aca="false">IF(C39=0,"",C36/C39)</f>
        <v>0.305853993597802</v>
      </c>
      <c r="D41" s="16" t="n">
        <f aca="false">IF(D39=0,"",D36/D39)</f>
        <v>-0.304216145549624</v>
      </c>
      <c r="E41" s="16" t="n">
        <f aca="false">IF(E39=0,"",E36/E39)</f>
        <v>0.190897898351945</v>
      </c>
      <c r="F41" s="16" t="n">
        <f aca="false">IF(F39=0,"",F36/F39)</f>
        <v>0.267027092593074</v>
      </c>
      <c r="G41" s="16" t="n">
        <f aca="false">IF(G39=0,"",G36/G39)</f>
        <v>0.231771339685009</v>
      </c>
      <c r="H41" s="16" t="n">
        <f aca="false">IF(H39=0,"",H36/H39)</f>
        <v>-0.507130846902416</v>
      </c>
      <c r="I41" s="16" t="n">
        <f aca="false">IF(I39=0,"",I36/I39)</f>
        <v>-0.181004898238977</v>
      </c>
      <c r="J41" s="16" t="n">
        <f aca="false">IF(J39=0,"",J36/J39)</f>
        <v>-0.0945717627691372</v>
      </c>
      <c r="K41" s="16" t="n">
        <f aca="false">IF(K39=0,"",K36/K39)</f>
        <v>1.30612629110793</v>
      </c>
      <c r="L41" s="16" t="n">
        <f aca="false">IF(L39=0,"",L36/L39)</f>
        <v>-0.251068078487164</v>
      </c>
      <c r="M41" s="16" t="n">
        <f aca="false">IF(M39=0,"",M36/M39)</f>
        <v>0.324046490160702</v>
      </c>
      <c r="N41" s="16" t="n">
        <f aca="false">IF(N39=0,"",N36/N39)</f>
        <v>-0.0329993706305602</v>
      </c>
      <c r="O41" s="16" t="n">
        <f aca="false">IF(O39=0,"",O36/O39)</f>
        <v>0.701386885424114</v>
      </c>
      <c r="P41" s="16" t="n">
        <f aca="false">IF(P39=0,"",P36/P39)</f>
        <v>1.13826149610792</v>
      </c>
      <c r="Q41" s="16" t="n">
        <f aca="false">IF(Q39=0,"",Q36/Q39)</f>
        <v>0.251340315700367</v>
      </c>
      <c r="R41" s="16" t="n">
        <f aca="false">IF(R39=0,"",R36/R39)</f>
        <v>0.347523856190152</v>
      </c>
      <c r="S41" s="16" t="n">
        <f aca="false">IF(S39=0,"",S36/S39)</f>
        <v>0.235819495573716</v>
      </c>
      <c r="T41" s="16" t="n">
        <f aca="false">IF(T39=0,"",T36/T39)</f>
        <v>0.710846326740036</v>
      </c>
      <c r="U41" s="16" t="n">
        <f aca="false">IF(U39=0,"",U36/U39)</f>
        <v>0.311738938899002</v>
      </c>
      <c r="V41" s="16" t="n">
        <f aca="false">IF(V39=0,"",V36/V39)</f>
        <v>-0.0423154262397618</v>
      </c>
      <c r="W41" s="16" t="n">
        <f aca="false">IF(W39=0,"",W36/W39)</f>
        <v>0.734902916241951</v>
      </c>
      <c r="X41" s="16" t="n">
        <f aca="false">IF(X39=0,"",X36/X39)</f>
        <v>0.416766585904359</v>
      </c>
      <c r="Y41" s="16" t="n">
        <f aca="false">IF(Y39=0,"",Y36/Y39)</f>
        <v>0.0865400113237644</v>
      </c>
      <c r="Z41" s="16" t="n">
        <f aca="false">IF(Z39=0,"",Z36/Z39)</f>
        <v>0.00869712170611931</v>
      </c>
      <c r="AA41" s="16" t="n">
        <f aca="false">IF(AA39=0,"",AA36/AA39)</f>
        <v>0.44172898195715</v>
      </c>
      <c r="AB41" s="16" t="n">
        <f aca="false">IF(AB39=0,"",AB36/AB39)</f>
        <v>-0.56786703601108</v>
      </c>
      <c r="AC41" s="16" t="n">
        <f aca="false">IF(AC39=0,"",AC36/AC39)</f>
        <v>0.101463077485645</v>
      </c>
      <c r="AD41" s="16" t="n">
        <f aca="false">IF(AD39=0,"",AD36/AD39)</f>
        <v>0.000401935722439145</v>
      </c>
      <c r="AE41" s="16" t="n">
        <f aca="false">IF(AE39=0,"",AE36/AE39)</f>
        <v>0.291062792245812</v>
      </c>
      <c r="AF41" s="16" t="n">
        <f aca="false">IF(AF39=0,"",AF36/AF39)</f>
        <v>-0.338450746244588</v>
      </c>
      <c r="AG41" s="16" t="n">
        <f aca="false">IF(AG39=0,"",AG36/AG39)</f>
        <v>-0.26778148580975</v>
      </c>
      <c r="AH41" s="16" t="n">
        <f aca="false">IF(AH39=0,"",AH36/AH39)</f>
        <v>-0.0270265948089751</v>
      </c>
      <c r="AI41" s="16" t="n">
        <f aca="false">IF(AI39=0,"",AI36/AI39)</f>
        <v>-6.30517464932616</v>
      </c>
      <c r="AJ41" s="16" t="n">
        <f aca="false">IF(AJ39=0,"",AJ36/AJ39)</f>
        <v>0.836357385690821</v>
      </c>
      <c r="AK41" s="16" t="n">
        <f aca="false">IF(AK39=0,"",AK36/AK39)</f>
        <v>0.661799620132954</v>
      </c>
      <c r="AL41" s="16" t="n">
        <f aca="false">IF(AL39=0,"",AL36/AL39)</f>
        <v>0.495113054082677</v>
      </c>
      <c r="AM41" s="16" t="n">
        <f aca="false">IF(AM39=0,"",AM36/AM39)</f>
        <v>0.215185413233583</v>
      </c>
      <c r="AN41" s="16" t="n">
        <f aca="false">IF(AN39=0,"",AN36/AN39)</f>
        <v>0.748396495272578</v>
      </c>
      <c r="AO41" s="16" t="n">
        <f aca="false">IF(AO39=0,"",AO36/AO39)</f>
        <v>0.267999260985731</v>
      </c>
      <c r="AP41" s="16" t="n">
        <f aca="false">IF(AP39=0,"",AP36/AP39)</f>
        <v>-0.0625715702467552</v>
      </c>
      <c r="AQ41" s="16" t="n">
        <f aca="false">IF(AQ39=0,"",AQ36/AQ39)</f>
        <v>0.589563063859897</v>
      </c>
      <c r="AR41" s="16" t="n">
        <f aca="false">IF(AR39=0,"",AR36/AR39)</f>
        <v>-1.4369998122963</v>
      </c>
      <c r="AS41" s="16" t="n">
        <f aca="false">IF(AS39=0,"",AS36/AS39)</f>
        <v>-0.343963493975662</v>
      </c>
      <c r="AT41" s="16" t="n">
        <f aca="false">IF(AT39=0,"",AT36/AT39)</f>
        <v>-4.90181217255646</v>
      </c>
      <c r="AU41" s="15" t="n">
        <f aca="false">IF(AU39=0,"",AU36/AU39)</f>
        <v>-0.0183683453779996</v>
      </c>
      <c r="AV41" s="15" t="n">
        <f aca="false">IF(AV39=0,"",AV36/AV39)</f>
        <v>0.2194720500499</v>
      </c>
      <c r="AW41" s="15" t="n">
        <f aca="false">IF(AW39=0,"",AW36/AW39)</f>
        <v>0.224333396165339</v>
      </c>
      <c r="AX41" s="15" t="n">
        <f aca="false">IF(AX39=0,"",AX36/AX39)</f>
        <v>0.190612391799205</v>
      </c>
      <c r="AY41" s="15" t="n">
        <f aca="false">IF(AY39=0,"",AY36/AY39)</f>
        <v>0.2777685751813</v>
      </c>
      <c r="AZ41" s="15" t="n">
        <f aca="false">IF(AZ39=0,"",AZ36/AZ39)</f>
        <v>0.53020314189505</v>
      </c>
      <c r="BA41" s="15" t="n">
        <f aca="false">IF(BA39=0,"",BA36/BA39)</f>
        <v>0.546298045614624</v>
      </c>
      <c r="BB41" s="15" t="n">
        <f aca="false">IF(BB39=0,"",BB36/BB39)</f>
        <v>0.466879429122288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46" min="2" style="1" width="10.14"/>
  </cols>
  <sheetData>
    <row r="1" customFormat="false" ht="16.5" hidden="false" customHeight="true" outlineLevel="0" collapsed="false">
      <c r="A1" s="2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customFormat="false" ht="15" hidden="false" customHeight="true" outlineLevel="0" collapsed="false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 t="s">
        <v>35</v>
      </c>
      <c r="AG4" s="7" t="s">
        <v>36</v>
      </c>
      <c r="AH4" s="7" t="s">
        <v>37</v>
      </c>
      <c r="AI4" s="7" t="s">
        <v>38</v>
      </c>
      <c r="AJ4" s="7" t="s">
        <v>39</v>
      </c>
      <c r="AK4" s="7" t="s">
        <v>40</v>
      </c>
      <c r="AL4" s="7" t="s">
        <v>41</v>
      </c>
      <c r="AM4" s="7" t="s">
        <v>42</v>
      </c>
      <c r="AN4" s="7" t="s">
        <v>43</v>
      </c>
      <c r="AO4" s="7" t="s">
        <v>44</v>
      </c>
      <c r="AP4" s="7" t="s">
        <v>45</v>
      </c>
      <c r="AQ4" s="7" t="s">
        <v>46</v>
      </c>
      <c r="AR4" s="7" t="s">
        <v>47</v>
      </c>
      <c r="AS4" s="7" t="s">
        <v>48</v>
      </c>
      <c r="AT4" s="7" t="s">
        <v>49</v>
      </c>
    </row>
    <row r="5" customFormat="false" ht="14.25" hidden="false" customHeight="true" outlineLevel="0" collapsed="false">
      <c r="A5" s="8" t="s">
        <v>95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customFormat="false" ht="15" hidden="false" customHeight="true" outlineLevel="0" collapsed="false">
      <c r="A6" s="4" t="s">
        <v>96</v>
      </c>
      <c r="B6" s="9" t="n">
        <v>125.977</v>
      </c>
      <c r="C6" s="9" t="n">
        <v>143.41</v>
      </c>
      <c r="D6" s="9" t="n">
        <v>146.45</v>
      </c>
      <c r="E6" s="9" t="n">
        <v>128.032</v>
      </c>
      <c r="F6" s="9" t="n">
        <v>122.706</v>
      </c>
      <c r="G6" s="9" t="n">
        <v>124.287</v>
      </c>
      <c r="H6" s="9" t="n">
        <v>122.313</v>
      </c>
      <c r="I6" s="9" t="n">
        <v>88.876</v>
      </c>
      <c r="J6" s="9" t="n">
        <v>73.278</v>
      </c>
      <c r="K6" s="9" t="n">
        <v>79.904</v>
      </c>
      <c r="L6" s="9" t="n">
        <v>117.473</v>
      </c>
      <c r="M6" s="9" t="n">
        <v>117.109</v>
      </c>
      <c r="N6" s="9" t="n">
        <v>112.304</v>
      </c>
      <c r="O6" s="9" t="n">
        <v>143.517</v>
      </c>
      <c r="P6" s="9" t="n">
        <v>170.788</v>
      </c>
      <c r="Q6" s="9" t="n">
        <v>151.255</v>
      </c>
      <c r="R6" s="9" t="n">
        <v>149.369</v>
      </c>
      <c r="S6" s="9" t="n">
        <v>172.708</v>
      </c>
      <c r="T6" s="9" t="n">
        <v>137.094</v>
      </c>
      <c r="U6" s="9" t="n">
        <v>130.742</v>
      </c>
      <c r="V6" s="9" t="n">
        <v>131.496</v>
      </c>
      <c r="W6" s="9" t="n">
        <v>255.142</v>
      </c>
      <c r="X6" s="9" t="n">
        <v>246.839</v>
      </c>
      <c r="Y6" s="9" t="n">
        <v>280.099</v>
      </c>
      <c r="Z6" s="9" t="n">
        <v>324.543</v>
      </c>
      <c r="AA6" s="9" t="n">
        <v>148.741</v>
      </c>
      <c r="AB6" s="9" t="n">
        <v>93.924</v>
      </c>
      <c r="AC6" s="9" t="n">
        <v>104.77</v>
      </c>
      <c r="AD6" s="9" t="n">
        <v>82.528</v>
      </c>
      <c r="AE6" s="9" t="n">
        <v>77.231</v>
      </c>
      <c r="AF6" s="9" t="n">
        <v>93.183</v>
      </c>
      <c r="AG6" s="9" t="n">
        <v>101.417</v>
      </c>
      <c r="AH6" s="9" t="n">
        <v>78.276</v>
      </c>
      <c r="AI6" s="9" t="n">
        <v>132.859</v>
      </c>
      <c r="AJ6" s="9" t="n">
        <v>105.871</v>
      </c>
      <c r="AK6" s="9" t="n">
        <v>100.908</v>
      </c>
      <c r="AL6" s="9" t="n">
        <v>107.694</v>
      </c>
      <c r="AM6" s="9" t="n">
        <v>73.301</v>
      </c>
      <c r="AN6" s="9" t="n">
        <v>81.162</v>
      </c>
      <c r="AO6" s="9" t="n">
        <v>68.96</v>
      </c>
      <c r="AP6" s="9" t="n">
        <v>47</v>
      </c>
      <c r="AQ6" s="9" t="n">
        <v>40.862</v>
      </c>
      <c r="AR6" s="9" t="n">
        <v>685.803</v>
      </c>
      <c r="AS6" s="9" t="n">
        <v>359.434</v>
      </c>
      <c r="AT6" s="9" t="n">
        <v>289.878</v>
      </c>
    </row>
    <row r="7" customFormat="false" ht="15" hidden="false" customHeight="true" outlineLevel="0" collapsed="false">
      <c r="A7" s="4" t="s">
        <v>97</v>
      </c>
      <c r="B7" s="9" t="n">
        <v>77.581</v>
      </c>
      <c r="C7" s="9" t="n">
        <v>85.381</v>
      </c>
      <c r="D7" s="9" t="n">
        <v>71.018</v>
      </c>
      <c r="E7" s="9" t="n">
        <v>77.967</v>
      </c>
      <c r="F7" s="9" t="n">
        <v>97.69</v>
      </c>
      <c r="G7" s="9" t="n">
        <v>103.404</v>
      </c>
      <c r="H7" s="9" t="n">
        <v>101.802</v>
      </c>
      <c r="I7" s="9" t="n">
        <v>118.208</v>
      </c>
      <c r="J7" s="9" t="n">
        <v>121.095</v>
      </c>
      <c r="K7" s="9" t="n">
        <v>119.971</v>
      </c>
      <c r="L7" s="9" t="n">
        <v>107.831</v>
      </c>
      <c r="M7" s="9" t="n">
        <v>110.751</v>
      </c>
      <c r="N7" s="9" t="n">
        <v>109.543</v>
      </c>
      <c r="O7" s="9" t="n">
        <v>113.649</v>
      </c>
      <c r="P7" s="9" t="n">
        <v>118.303</v>
      </c>
      <c r="Q7" s="9" t="n">
        <v>138.536</v>
      </c>
      <c r="R7" s="9" t="n">
        <v>144.815</v>
      </c>
      <c r="S7" s="9" t="n">
        <v>150.487</v>
      </c>
      <c r="T7" s="9" t="n">
        <v>163.634</v>
      </c>
      <c r="U7" s="9" t="n">
        <v>161.635</v>
      </c>
      <c r="V7" s="9" t="n">
        <v>148.502</v>
      </c>
      <c r="W7" s="9" t="n">
        <v>47.507</v>
      </c>
      <c r="X7" s="9" t="n">
        <v>71.334</v>
      </c>
      <c r="Y7" s="9" t="n">
        <v>67.137</v>
      </c>
      <c r="Z7" s="9" t="n">
        <v>48.499</v>
      </c>
      <c r="AA7" s="9" t="n">
        <v>31.971</v>
      </c>
      <c r="AB7" s="9" t="n">
        <v>17.953</v>
      </c>
      <c r="AC7" s="9" t="n">
        <v>6.311</v>
      </c>
      <c r="AD7" s="9" t="n">
        <v>3.969</v>
      </c>
      <c r="AE7" s="9" t="n">
        <v>24.716</v>
      </c>
      <c r="AF7" s="9" t="n">
        <v>12.655</v>
      </c>
      <c r="AG7" s="9"/>
      <c r="AH7" s="9" t="n">
        <v>0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 t="n">
        <v>229.046</v>
      </c>
      <c r="AT7" s="9" t="n">
        <v>297.259</v>
      </c>
    </row>
    <row r="8" customFormat="false" ht="15" hidden="false" customHeight="true" outlineLevel="0" collapsed="false">
      <c r="A8" s="4" t="s">
        <v>98</v>
      </c>
      <c r="B8" s="9" t="n">
        <v>37.834</v>
      </c>
      <c r="C8" s="9" t="n">
        <v>33.607</v>
      </c>
      <c r="D8" s="9" t="n">
        <v>28.205</v>
      </c>
      <c r="E8" s="9" t="n">
        <v>42.746</v>
      </c>
      <c r="F8" s="9" t="n">
        <v>38.991</v>
      </c>
      <c r="G8" s="9" t="n">
        <v>56.045</v>
      </c>
      <c r="H8" s="9" t="n">
        <v>32.635</v>
      </c>
      <c r="I8" s="9" t="n">
        <v>26.102</v>
      </c>
      <c r="J8" s="9" t="n">
        <v>23.121</v>
      </c>
      <c r="K8" s="9" t="n">
        <v>68.719</v>
      </c>
      <c r="L8" s="9" t="n">
        <v>30.685</v>
      </c>
      <c r="M8" s="9" t="n">
        <v>35.106</v>
      </c>
      <c r="N8" s="9" t="n">
        <v>25.69</v>
      </c>
      <c r="O8" s="9" t="n">
        <v>56.813</v>
      </c>
      <c r="P8" s="9" t="n">
        <v>13.802</v>
      </c>
      <c r="Q8" s="9" t="n">
        <v>34.639</v>
      </c>
      <c r="R8" s="9" t="n">
        <v>34.064</v>
      </c>
      <c r="S8" s="9" t="n">
        <v>31.051</v>
      </c>
      <c r="T8" s="9" t="n">
        <v>42.724</v>
      </c>
      <c r="U8" s="9" t="n">
        <v>40.564</v>
      </c>
      <c r="V8" s="9" t="n">
        <v>27.936</v>
      </c>
      <c r="W8" s="9" t="n">
        <v>73.66</v>
      </c>
      <c r="X8" s="9" t="n">
        <v>43.357</v>
      </c>
      <c r="Y8" s="9" t="n">
        <v>30.701</v>
      </c>
      <c r="Z8" s="9" t="n">
        <v>26.621</v>
      </c>
      <c r="AA8" s="9" t="n">
        <v>62.647</v>
      </c>
      <c r="AB8" s="9" t="n">
        <v>45.764</v>
      </c>
      <c r="AC8" s="9" t="n">
        <v>26.552</v>
      </c>
      <c r="AD8" s="9" t="n">
        <v>41.739</v>
      </c>
      <c r="AE8" s="9" t="n">
        <v>60.17</v>
      </c>
      <c r="AF8" s="9" t="n">
        <v>52.062</v>
      </c>
      <c r="AG8" s="9" t="n">
        <v>31.664</v>
      </c>
      <c r="AH8" s="9" t="n">
        <v>52.871</v>
      </c>
      <c r="AI8" s="9" t="n">
        <v>87.633</v>
      </c>
      <c r="AJ8" s="9" t="n">
        <v>79.214</v>
      </c>
      <c r="AK8" s="9" t="n">
        <v>73.865</v>
      </c>
      <c r="AL8" s="9" t="n">
        <v>53.236</v>
      </c>
      <c r="AM8" s="9" t="n">
        <v>70.305</v>
      </c>
      <c r="AN8" s="9" t="n">
        <v>35.487</v>
      </c>
      <c r="AO8" s="9" t="n">
        <v>73.935</v>
      </c>
      <c r="AP8" s="9" t="n">
        <v>81.231</v>
      </c>
      <c r="AQ8" s="9" t="n">
        <v>101.967</v>
      </c>
      <c r="AR8" s="9" t="n">
        <v>198.293</v>
      </c>
      <c r="AS8" s="9" t="n">
        <v>232.342</v>
      </c>
      <c r="AT8" s="9" t="n">
        <v>201.046</v>
      </c>
    </row>
    <row r="9" customFormat="false" ht="15" hidden="false" customHeight="true" outlineLevel="0" collapsed="false">
      <c r="A9" s="4" t="s">
        <v>99</v>
      </c>
      <c r="B9" s="9" t="n">
        <v>8.345</v>
      </c>
      <c r="C9" s="9" t="n">
        <v>17.356</v>
      </c>
      <c r="D9" s="9" t="n">
        <v>13.998</v>
      </c>
      <c r="E9" s="9" t="n">
        <v>11.798</v>
      </c>
      <c r="F9" s="9" t="n">
        <v>10.44</v>
      </c>
      <c r="G9" s="9" t="n">
        <v>18.899</v>
      </c>
      <c r="H9" s="9" t="n">
        <v>14.493</v>
      </c>
      <c r="I9" s="9" t="n">
        <v>16.87</v>
      </c>
      <c r="J9" s="9" t="n">
        <v>14.82</v>
      </c>
      <c r="K9" s="9" t="n">
        <v>14.12</v>
      </c>
      <c r="L9" s="9" t="n">
        <v>10.753</v>
      </c>
      <c r="M9" s="9" t="n">
        <v>13.494</v>
      </c>
      <c r="N9" s="9" t="n">
        <v>24.961</v>
      </c>
      <c r="O9" s="9" t="n">
        <v>16.872</v>
      </c>
      <c r="P9" s="9" t="n">
        <v>59.87</v>
      </c>
      <c r="Q9" s="9" t="n">
        <v>45.654</v>
      </c>
      <c r="R9" s="9" t="n">
        <v>51.632</v>
      </c>
      <c r="S9" s="9" t="n">
        <v>53.047</v>
      </c>
      <c r="T9" s="9" t="n">
        <v>47.935</v>
      </c>
      <c r="U9" s="9" t="n">
        <v>62.397</v>
      </c>
      <c r="V9" s="9" t="n">
        <v>77.411</v>
      </c>
      <c r="W9" s="9" t="n">
        <v>75.837</v>
      </c>
      <c r="X9" s="9" t="n">
        <v>73.791</v>
      </c>
      <c r="Y9" s="9" t="n">
        <v>70.573</v>
      </c>
      <c r="Z9" s="9" t="n">
        <v>61.084</v>
      </c>
      <c r="AA9" s="9" t="n">
        <v>71.632</v>
      </c>
      <c r="AB9" s="9" t="n">
        <v>87.131</v>
      </c>
      <c r="AC9" s="9" t="n">
        <v>119.031</v>
      </c>
      <c r="AD9" s="9" t="n">
        <v>97.993</v>
      </c>
      <c r="AE9" s="9" t="n">
        <v>104.194</v>
      </c>
      <c r="AF9" s="9" t="n">
        <v>89.397</v>
      </c>
      <c r="AG9" s="9" t="n">
        <v>92.457</v>
      </c>
      <c r="AH9" s="9" t="n">
        <v>109.289</v>
      </c>
      <c r="AI9" s="9" t="n">
        <v>105.653</v>
      </c>
      <c r="AJ9" s="9" t="n">
        <v>107.258</v>
      </c>
      <c r="AK9" s="9" t="n">
        <v>141.812</v>
      </c>
      <c r="AL9" s="9" t="n">
        <v>148.588</v>
      </c>
      <c r="AM9" s="9" t="n">
        <v>199.474</v>
      </c>
      <c r="AN9" s="9" t="n">
        <v>219.766</v>
      </c>
      <c r="AO9" s="9" t="n">
        <v>204.18</v>
      </c>
      <c r="AP9" s="9" t="n">
        <v>229.651</v>
      </c>
      <c r="AQ9" s="9" t="n">
        <v>290.009</v>
      </c>
      <c r="AR9" s="9" t="n">
        <v>463.87</v>
      </c>
      <c r="AS9" s="9" t="n">
        <v>513.486</v>
      </c>
      <c r="AT9" s="9" t="n">
        <v>528.557</v>
      </c>
    </row>
    <row r="10" customFormat="false" ht="15" hidden="false" customHeight="true" outlineLevel="0" collapsed="false">
      <c r="A10" s="4" t="s">
        <v>100</v>
      </c>
      <c r="B10" s="9" t="n">
        <v>48.799</v>
      </c>
      <c r="C10" s="9" t="n">
        <v>39.414</v>
      </c>
      <c r="D10" s="9" t="n">
        <v>43.921</v>
      </c>
      <c r="E10" s="9" t="n">
        <v>48.336</v>
      </c>
      <c r="F10" s="9" t="n">
        <v>46.434</v>
      </c>
      <c r="G10" s="9" t="n">
        <v>37.486</v>
      </c>
      <c r="H10" s="9" t="n">
        <v>44.105</v>
      </c>
      <c r="I10" s="9" t="n">
        <v>55.168</v>
      </c>
      <c r="J10" s="9" t="n">
        <v>68.806</v>
      </c>
      <c r="K10" s="9" t="n">
        <v>40.908</v>
      </c>
      <c r="L10" s="9" t="n">
        <v>72.017</v>
      </c>
      <c r="M10" s="9" t="n">
        <v>76.039</v>
      </c>
      <c r="N10" s="9" t="n">
        <v>77.327</v>
      </c>
      <c r="O10" s="9" t="n">
        <v>37.425</v>
      </c>
      <c r="P10" s="9" t="n">
        <v>42.244</v>
      </c>
      <c r="Q10" s="9" t="n">
        <v>46.096</v>
      </c>
      <c r="R10" s="9" t="n">
        <v>50.379</v>
      </c>
      <c r="S10" s="9" t="n">
        <v>54.056</v>
      </c>
      <c r="T10" s="9" t="n">
        <v>56.336</v>
      </c>
      <c r="U10" s="9" t="n">
        <v>52.769</v>
      </c>
      <c r="V10" s="9" t="n">
        <v>65.156</v>
      </c>
      <c r="W10" s="9" t="n">
        <v>45.535</v>
      </c>
      <c r="X10" s="9" t="n">
        <v>45.53</v>
      </c>
      <c r="Y10" s="9" t="n">
        <v>51.779</v>
      </c>
      <c r="Z10" s="9" t="n">
        <v>53.104</v>
      </c>
      <c r="AA10" s="9" t="n">
        <v>71.646</v>
      </c>
      <c r="AB10" s="9" t="n">
        <v>84.852</v>
      </c>
      <c r="AC10" s="9" t="n">
        <v>81.944</v>
      </c>
      <c r="AD10" s="9" t="n">
        <v>89.616</v>
      </c>
      <c r="AE10" s="9" t="n">
        <v>90.629</v>
      </c>
      <c r="AF10" s="9" t="n">
        <v>98.603</v>
      </c>
      <c r="AG10" s="9" t="n">
        <v>109.81</v>
      </c>
      <c r="AH10" s="9" t="n">
        <v>125.942</v>
      </c>
      <c r="AI10" s="9" t="n">
        <v>138.814</v>
      </c>
      <c r="AJ10" s="9" t="n">
        <v>175.396</v>
      </c>
      <c r="AK10" s="9" t="n">
        <v>181.767</v>
      </c>
      <c r="AL10" s="9" t="n">
        <v>161.384</v>
      </c>
      <c r="AM10" s="9" t="n">
        <v>150.168</v>
      </c>
      <c r="AN10" s="9" t="n">
        <v>143.835</v>
      </c>
      <c r="AO10" s="9" t="n">
        <v>139.698</v>
      </c>
      <c r="AP10" s="9" t="n">
        <v>147.973</v>
      </c>
      <c r="AQ10" s="9" t="n">
        <v>144.09</v>
      </c>
      <c r="AR10" s="9" t="n">
        <v>232.888</v>
      </c>
      <c r="AS10" s="9" t="n">
        <v>259.213</v>
      </c>
      <c r="AT10" s="9" t="n">
        <v>299.277</v>
      </c>
    </row>
    <row r="11" customFormat="false" ht="15" hidden="false" customHeight="true" outlineLevel="0" collapsed="false">
      <c r="A11" s="4" t="s">
        <v>101</v>
      </c>
      <c r="B11" s="9" t="n">
        <v>5.217</v>
      </c>
      <c r="C11" s="9" t="n">
        <v>5.265</v>
      </c>
      <c r="D11" s="9" t="n">
        <v>5.062</v>
      </c>
      <c r="E11" s="9" t="n">
        <v>5.05</v>
      </c>
      <c r="F11" s="9" t="n">
        <v>5.247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customFormat="false" ht="15" hidden="false" customHeight="true" outlineLevel="0" collapsed="false">
      <c r="A12" s="4" t="s">
        <v>102</v>
      </c>
      <c r="B12" s="9" t="n">
        <v>1.94</v>
      </c>
      <c r="C12" s="9"/>
      <c r="D12" s="9" t="n">
        <v>5.569</v>
      </c>
      <c r="E12" s="9" t="n">
        <v>2.836</v>
      </c>
      <c r="F12" s="9" t="n">
        <v>3.901</v>
      </c>
      <c r="G12" s="9"/>
      <c r="H12" s="9" t="n">
        <v>4.25</v>
      </c>
      <c r="I12" s="9" t="n">
        <v>3.957</v>
      </c>
      <c r="J12" s="9" t="n">
        <v>2.487</v>
      </c>
      <c r="K12" s="9"/>
      <c r="L12" s="9" t="n">
        <v>2.969</v>
      </c>
      <c r="M12" s="9"/>
      <c r="N12" s="9" t="n">
        <v>0.292</v>
      </c>
      <c r="O12" s="9"/>
      <c r="P12" s="9"/>
      <c r="Q12" s="9"/>
      <c r="R12" s="9"/>
      <c r="S12" s="9" t="n">
        <v>0.821</v>
      </c>
      <c r="T12" s="9"/>
      <c r="U12" s="9"/>
      <c r="V12" s="9"/>
      <c r="W12" s="9"/>
      <c r="X12" s="9"/>
      <c r="Y12" s="9"/>
      <c r="Z12" s="9"/>
      <c r="AA12" s="9"/>
      <c r="AB12" s="9" t="n">
        <v>0.322</v>
      </c>
      <c r="AC12" s="9" t="n">
        <v>11.708</v>
      </c>
      <c r="AD12" s="9" t="n">
        <v>26.578</v>
      </c>
      <c r="AE12" s="9" t="n">
        <v>0.442</v>
      </c>
      <c r="AF12" s="9"/>
      <c r="AG12" s="9" t="n">
        <v>8.94</v>
      </c>
      <c r="AH12" s="9" t="n">
        <v>9.18</v>
      </c>
      <c r="AI12" s="9"/>
      <c r="AJ12" s="9"/>
      <c r="AK12" s="9" t="n">
        <v>5.735</v>
      </c>
      <c r="AL12" s="9" t="n">
        <v>8.081</v>
      </c>
      <c r="AM12" s="9"/>
      <c r="AN12" s="9" t="n">
        <v>0.338</v>
      </c>
      <c r="AO12" s="9" t="n">
        <v>9.628</v>
      </c>
      <c r="AP12" s="9" t="n">
        <v>15.112</v>
      </c>
      <c r="AQ12" s="9" t="n">
        <v>0.622</v>
      </c>
      <c r="AR12" s="9" t="n">
        <v>20.778</v>
      </c>
      <c r="AS12" s="9" t="n">
        <v>26.446</v>
      </c>
      <c r="AT12" s="9" t="n">
        <v>43.031</v>
      </c>
    </row>
    <row r="13" customFormat="false" ht="15" hidden="false" customHeight="true" outlineLevel="0" collapsed="false">
      <c r="A13" s="4" t="s">
        <v>103</v>
      </c>
      <c r="B13" s="9"/>
      <c r="C13" s="9"/>
      <c r="D13" s="9"/>
      <c r="E13" s="9"/>
      <c r="F13" s="9"/>
      <c r="G13" s="9"/>
      <c r="H13" s="9"/>
      <c r="I13" s="9"/>
      <c r="J13" s="9"/>
      <c r="K13" s="9" t="n">
        <v>24.93</v>
      </c>
      <c r="L13" s="9"/>
      <c r="M13" s="9"/>
      <c r="N13" s="9"/>
      <c r="O13" s="9" t="n">
        <v>25.668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customFormat="false" ht="15" hidden="false" customHeight="true" outlineLevel="0" collapsed="false">
      <c r="A14" s="4" t="s">
        <v>104</v>
      </c>
      <c r="B14" s="9" t="n">
        <v>4.203</v>
      </c>
      <c r="C14" s="9" t="n">
        <v>4.599</v>
      </c>
      <c r="D14" s="9" t="n">
        <v>3.958</v>
      </c>
      <c r="E14" s="9" t="n">
        <v>4.555</v>
      </c>
      <c r="F14" s="9" t="n">
        <v>4.219</v>
      </c>
      <c r="G14" s="9" t="n">
        <v>4.15</v>
      </c>
      <c r="H14" s="9" t="n">
        <v>4.167</v>
      </c>
      <c r="I14" s="9" t="n">
        <v>4.706</v>
      </c>
      <c r="J14" s="9" t="n">
        <v>5.341</v>
      </c>
      <c r="K14" s="9" t="n">
        <v>5.533</v>
      </c>
      <c r="L14" s="9" t="n">
        <v>5.266</v>
      </c>
      <c r="M14" s="9" t="n">
        <v>5.175</v>
      </c>
      <c r="N14" s="9" t="n">
        <v>5.138</v>
      </c>
      <c r="O14" s="9" t="n">
        <v>5.103</v>
      </c>
      <c r="P14" s="9" t="n">
        <v>5.196</v>
      </c>
      <c r="Q14" s="9" t="n">
        <v>5.732</v>
      </c>
      <c r="R14" s="9" t="n">
        <v>6.616</v>
      </c>
      <c r="S14" s="9" t="n">
        <v>7.418</v>
      </c>
      <c r="T14" s="9" t="n">
        <v>7.606</v>
      </c>
      <c r="U14" s="9" t="n">
        <v>8.045</v>
      </c>
      <c r="V14" s="9" t="n">
        <v>6.833</v>
      </c>
      <c r="W14" s="9" t="n">
        <v>6.246</v>
      </c>
      <c r="X14" s="9" t="n">
        <v>5.941</v>
      </c>
      <c r="Y14" s="9" t="n">
        <v>7.31</v>
      </c>
      <c r="Z14" s="9" t="n">
        <v>7.693</v>
      </c>
      <c r="AA14" s="9" t="n">
        <v>15.001</v>
      </c>
      <c r="AB14" s="9" t="n">
        <v>14.972</v>
      </c>
      <c r="AC14" s="9" t="n">
        <v>13.761</v>
      </c>
      <c r="AD14" s="9" t="n">
        <v>12.099</v>
      </c>
      <c r="AE14" s="9" t="n">
        <v>11.527</v>
      </c>
      <c r="AF14" s="9" t="n">
        <v>11.368</v>
      </c>
      <c r="AG14" s="9" t="n">
        <v>13.244</v>
      </c>
      <c r="AH14" s="9" t="n">
        <v>15.323</v>
      </c>
      <c r="AI14" s="9" t="n">
        <v>12.043</v>
      </c>
      <c r="AJ14" s="9" t="n">
        <v>13.949</v>
      </c>
      <c r="AK14" s="9" t="n">
        <v>19.958</v>
      </c>
      <c r="AL14" s="9" t="n">
        <v>21.708</v>
      </c>
      <c r="AM14" s="9" t="n">
        <v>22.333</v>
      </c>
      <c r="AN14" s="9" t="n">
        <v>19.758</v>
      </c>
      <c r="AO14" s="9" t="n">
        <v>18.444</v>
      </c>
      <c r="AP14" s="9" t="n">
        <v>22.919</v>
      </c>
      <c r="AQ14" s="9" t="n">
        <v>28.966</v>
      </c>
      <c r="AR14" s="9" t="n">
        <v>37.707</v>
      </c>
      <c r="AS14" s="9" t="n">
        <v>46.49</v>
      </c>
      <c r="AT14" s="9" t="n">
        <v>45.199</v>
      </c>
    </row>
    <row r="15" customFormat="false" ht="15" hidden="false" customHeight="true" outlineLevel="0" collapsed="false">
      <c r="A15" s="11" t="s">
        <v>105</v>
      </c>
      <c r="B15" s="12" t="n">
        <f aca="false">SUM(B6,B7,B8,B9,B10,B11,B12,B13,B14)</f>
        <v>309.896</v>
      </c>
      <c r="C15" s="12" t="n">
        <f aca="false">SUM(C6,C7,C8,C9,C10,C11,C12,C13,C14)</f>
        <v>329.032</v>
      </c>
      <c r="D15" s="12" t="n">
        <f aca="false">SUM(D6,D7,D8,D9,D10,D11,D12,D13,D14)</f>
        <v>318.181</v>
      </c>
      <c r="E15" s="12" t="n">
        <f aca="false">SUM(E6,E7,E8,E9,E10,E11,E12,E13,E14)</f>
        <v>321.32</v>
      </c>
      <c r="F15" s="12" t="n">
        <f aca="false">SUM(F6,F7,F8,F9,F10,F11,F12,F13,F14)</f>
        <v>329.628</v>
      </c>
      <c r="G15" s="12" t="n">
        <f aca="false">SUM(G6,G7,G8,G9,G10,G11,G12,G13,G14)</f>
        <v>344.271</v>
      </c>
      <c r="H15" s="12" t="n">
        <f aca="false">SUM(H6,H7,H8,H9,H10,H11,H12,H13,H14)</f>
        <v>323.765</v>
      </c>
      <c r="I15" s="12" t="n">
        <f aca="false">SUM(I6,I7,I8,I9,I10,I11,I12,I13,I14)</f>
        <v>313.887</v>
      </c>
      <c r="J15" s="12" t="n">
        <f aca="false">SUM(J6,J7,J8,J9,J10,J11,J12,J13,J14)</f>
        <v>308.948</v>
      </c>
      <c r="K15" s="12" t="n">
        <f aca="false">SUM(K6,K7,K8,K9,K10,K11,K12,K13,K14)</f>
        <v>354.085</v>
      </c>
      <c r="L15" s="12" t="n">
        <f aca="false">SUM(L6,L7,L8,L9,L10,L11,L12,L13,L14)</f>
        <v>346.994</v>
      </c>
      <c r="M15" s="12" t="n">
        <f aca="false">SUM(M6,M7,M8,M9,M10,M11,M12,M13,M14)</f>
        <v>357.674</v>
      </c>
      <c r="N15" s="12" t="n">
        <f aca="false">SUM(N6,N7,N8,N9,N10,N11,N12,N13,N14)</f>
        <v>355.255</v>
      </c>
      <c r="O15" s="12" t="n">
        <f aca="false">SUM(O6,O7,O8,O9,O10,O11,O12,O13,O14)</f>
        <v>399.047</v>
      </c>
      <c r="P15" s="12" t="n">
        <f aca="false">SUM(P6,P7,P8,P9,P10,P11,P12,P13,P14)</f>
        <v>410.203</v>
      </c>
      <c r="Q15" s="12" t="n">
        <f aca="false">SUM(Q6,Q7,Q8,Q9,Q10,Q11,Q12,Q13,Q14)</f>
        <v>421.912</v>
      </c>
      <c r="R15" s="12" t="n">
        <f aca="false">SUM(R6,R7,R8,R9,R10,R11,R12,R13,R14)</f>
        <v>436.875</v>
      </c>
      <c r="S15" s="12" t="n">
        <f aca="false">SUM(S6,S7,S8,S9,S10,S11,S12,S13,S14)</f>
        <v>469.588</v>
      </c>
      <c r="T15" s="12" t="n">
        <f aca="false">SUM(T6,T7,T8,T9,T10,T11,T12,T13,T14)</f>
        <v>455.329</v>
      </c>
      <c r="U15" s="12" t="n">
        <f aca="false">SUM(U6,U7,U8,U9,U10,U11,U12,U13,U14)</f>
        <v>456.152</v>
      </c>
      <c r="V15" s="12" t="n">
        <f aca="false">SUM(V6,V7,V8,V9,V10,V11,V12,V13,V14)</f>
        <v>457.334</v>
      </c>
      <c r="W15" s="12" t="n">
        <f aca="false">SUM(W6,W7,W8,W9,W10,W11,W12,W13,W14)</f>
        <v>503.927</v>
      </c>
      <c r="X15" s="12" t="n">
        <f aca="false">SUM(X6,X7,X8,X9,X10,X11,X12,X13,X14)</f>
        <v>486.792</v>
      </c>
      <c r="Y15" s="12" t="n">
        <f aca="false">SUM(Y6,Y7,Y8,Y9,Y10,Y11,Y12,Y13,Y14)</f>
        <v>507.599</v>
      </c>
      <c r="Z15" s="12" t="n">
        <f aca="false">SUM(Z6,Z7,Z8,Z9,Z10,Z11,Z12,Z13,Z14)</f>
        <v>521.544</v>
      </c>
      <c r="AA15" s="12" t="n">
        <f aca="false">SUM(AA6,AA7,AA8,AA9,AA10,AA11,AA12,AA13,AA14)</f>
        <v>401.638</v>
      </c>
      <c r="AB15" s="12" t="n">
        <f aca="false">SUM(AB6,AB7,AB8,AB9,AB10,AB11,AB12,AB13,AB14)</f>
        <v>344.918</v>
      </c>
      <c r="AC15" s="12" t="n">
        <f aca="false">SUM(AC6,AC7,AC8,AC9,AC10,AC11,AC12,AC13,AC14)</f>
        <v>364.077</v>
      </c>
      <c r="AD15" s="12" t="n">
        <f aca="false">SUM(AD6,AD7,AD8,AD9,AD10,AD11,AD12,AD13,AD14)</f>
        <v>354.522</v>
      </c>
      <c r="AE15" s="12" t="n">
        <f aca="false">SUM(AE6,AE7,AE8,AE9,AE10,AE11,AE12,AE13,AE14)</f>
        <v>368.909</v>
      </c>
      <c r="AF15" s="12" t="n">
        <f aca="false">SUM(AF6,AF7,AF8,AF9,AF10,AF11,AF12,AF13,AF14)</f>
        <v>357.268</v>
      </c>
      <c r="AG15" s="12" t="n">
        <f aca="false">SUM(AG6,AG7,AG8,AG9,AG10,AG11,AG12,AG13,AG14)</f>
        <v>357.532</v>
      </c>
      <c r="AH15" s="12" t="n">
        <f aca="false">SUM(AH6,AH7,AH8,AH9,AH10,AH11,AH12,AH13,AH14)</f>
        <v>390.881</v>
      </c>
      <c r="AI15" s="12" t="n">
        <f aca="false">SUM(AI6,AI7,AI8,AI9,AI10,AI11,AI12,AI13,AI14)</f>
        <v>477.002</v>
      </c>
      <c r="AJ15" s="12" t="n">
        <f aca="false">SUM(AJ6,AJ7,AJ8,AJ9,AJ10,AJ11,AJ12,AJ13,AJ14)</f>
        <v>481.688</v>
      </c>
      <c r="AK15" s="12" t="n">
        <f aca="false">SUM(AK6,AK7,AK8,AK9,AK10,AK11,AK12,AK13,AK14)</f>
        <v>524.045</v>
      </c>
      <c r="AL15" s="12" t="n">
        <f aca="false">SUM(AL6,AL7,AL8,AL9,AL10,AL11,AL12,AL13,AL14)</f>
        <v>500.691</v>
      </c>
      <c r="AM15" s="12" t="n">
        <f aca="false">SUM(AM6,AM7,AM8,AM9,AM10,AM11,AM12,AM13,AM14)</f>
        <v>515.581</v>
      </c>
      <c r="AN15" s="12" t="n">
        <f aca="false">SUM(AN6,AN7,AN8,AN9,AN10,AN11,AN12,AN13,AN14)</f>
        <v>500.346</v>
      </c>
      <c r="AO15" s="12" t="n">
        <f aca="false">SUM(AO6,AO7,AO8,AO9,AO10,AO11,AO12,AO13,AO14)</f>
        <v>514.845</v>
      </c>
      <c r="AP15" s="12" t="n">
        <f aca="false">SUM(AP6,AP7,AP8,AP9,AP10,AP11,AP12,AP13,AP14)</f>
        <v>543.886</v>
      </c>
      <c r="AQ15" s="12" t="n">
        <f aca="false">SUM(AQ6,AQ7,AQ8,AQ9,AQ10,AQ11,AQ12,AQ13,AQ14)</f>
        <v>606.516</v>
      </c>
      <c r="AR15" s="12" t="n">
        <f aca="false">SUM(AR6,AR7,AR8,AR9,AR10,AR11,AR12,AR13,AR14)</f>
        <v>1639.339</v>
      </c>
      <c r="AS15" s="12" t="n">
        <f aca="false">SUM(AS6,AS7,AS8,AS9,AS10,AS11,AS12,AS13,AS14)</f>
        <v>1666.457</v>
      </c>
      <c r="AT15" s="12" t="n">
        <f aca="false">SUM(AT6,AT7,AT8,AT9,AT10,AT11,AT12,AT13,AT14)</f>
        <v>1704.247</v>
      </c>
    </row>
    <row r="16" customFormat="false" ht="15" hidden="false" customHeight="true" outlineLevel="0" collapsed="false">
      <c r="A16" s="4" t="s">
        <v>106</v>
      </c>
      <c r="B16" s="9" t="n">
        <v>54.575</v>
      </c>
      <c r="C16" s="9" t="n">
        <v>46.769</v>
      </c>
      <c r="D16" s="9" t="n">
        <v>44.727</v>
      </c>
      <c r="E16" s="9" t="n">
        <v>37.715</v>
      </c>
      <c r="F16" s="9" t="n">
        <v>38.175</v>
      </c>
      <c r="G16" s="9" t="n">
        <v>33.859</v>
      </c>
      <c r="H16" s="9" t="n">
        <v>33.097</v>
      </c>
      <c r="I16" s="9" t="n">
        <v>42.559</v>
      </c>
      <c r="J16" s="9" t="n">
        <v>43.749</v>
      </c>
      <c r="K16" s="9" t="n">
        <v>42.096</v>
      </c>
      <c r="L16" s="9" t="n">
        <v>35.844</v>
      </c>
      <c r="M16" s="9" t="n">
        <v>33.024</v>
      </c>
      <c r="N16" s="9" t="n">
        <v>38.822</v>
      </c>
      <c r="O16" s="9" t="n">
        <v>40.656</v>
      </c>
      <c r="P16" s="9" t="n">
        <v>36.712</v>
      </c>
      <c r="Q16" s="9" t="n">
        <v>30.459</v>
      </c>
      <c r="R16" s="9" t="n">
        <v>27.954</v>
      </c>
      <c r="S16" s="9" t="n">
        <v>9.386</v>
      </c>
      <c r="T16" s="9" t="n">
        <v>4.887</v>
      </c>
      <c r="U16" s="9" t="n">
        <v>13.478</v>
      </c>
      <c r="V16" s="9" t="n">
        <v>26.409</v>
      </c>
      <c r="W16" s="9" t="n">
        <v>15.03</v>
      </c>
      <c r="X16" s="9" t="n">
        <v>20.338</v>
      </c>
      <c r="Y16" s="9" t="n">
        <v>20.976</v>
      </c>
      <c r="Z16" s="9" t="n">
        <v>11.222</v>
      </c>
      <c r="AA16" s="9" t="n">
        <v>12.156</v>
      </c>
      <c r="AB16" s="9" t="n">
        <v>10.165</v>
      </c>
      <c r="AC16" s="9" t="n">
        <v>11.971</v>
      </c>
      <c r="AD16" s="9" t="n">
        <v>12.388</v>
      </c>
      <c r="AE16" s="9" t="n">
        <v>15.433</v>
      </c>
      <c r="AF16" s="9" t="n">
        <v>17.707</v>
      </c>
      <c r="AG16" s="9" t="n">
        <v>22.462</v>
      </c>
      <c r="AH16" s="9" t="n">
        <v>19.319</v>
      </c>
      <c r="AI16" s="9" t="n">
        <v>23.613</v>
      </c>
      <c r="AJ16" s="9" t="n">
        <v>22.578</v>
      </c>
      <c r="AK16" s="9" t="n">
        <v>20.611</v>
      </c>
      <c r="AL16" s="9" t="n">
        <v>21.282</v>
      </c>
      <c r="AM16" s="9" t="n">
        <v>20.96</v>
      </c>
      <c r="AN16" s="9" t="n">
        <v>21.887</v>
      </c>
      <c r="AO16" s="9" t="n">
        <v>22.942</v>
      </c>
      <c r="AP16" s="9" t="n">
        <v>25.522</v>
      </c>
      <c r="AQ16" s="9" t="n">
        <v>31.627</v>
      </c>
      <c r="AR16" s="9" t="n">
        <v>36.267</v>
      </c>
      <c r="AS16" s="9" t="n">
        <v>80.97</v>
      </c>
      <c r="AT16" s="9" t="n">
        <v>61.659</v>
      </c>
    </row>
    <row r="17" customFormat="false" ht="15" hidden="false" customHeight="true" outlineLevel="0" collapsed="false">
      <c r="A17" s="4" t="s">
        <v>107</v>
      </c>
      <c r="B17" s="9" t="n">
        <v>16.143</v>
      </c>
      <c r="C17" s="9" t="n">
        <v>13.499</v>
      </c>
      <c r="D17" s="9" t="n">
        <v>13.023</v>
      </c>
      <c r="E17" s="9" t="n">
        <v>13.579</v>
      </c>
      <c r="F17" s="9" t="n">
        <v>14.313</v>
      </c>
      <c r="G17" s="9" t="n">
        <v>16.762</v>
      </c>
      <c r="H17" s="9" t="n">
        <v>16.91</v>
      </c>
      <c r="I17" s="9" t="n">
        <v>17.445</v>
      </c>
      <c r="J17" s="9" t="n">
        <v>18.41</v>
      </c>
      <c r="K17" s="9" t="n">
        <v>15.962</v>
      </c>
      <c r="L17" s="9" t="n">
        <v>20.317</v>
      </c>
      <c r="M17" s="9" t="n">
        <v>21.614</v>
      </c>
      <c r="N17" s="9" t="n">
        <v>21.626</v>
      </c>
      <c r="O17" s="9" t="n">
        <v>19.219</v>
      </c>
      <c r="P17" s="9" t="n">
        <v>19.347</v>
      </c>
      <c r="Q17" s="9" t="n">
        <v>20.46</v>
      </c>
      <c r="R17" s="9" t="n">
        <v>20.542</v>
      </c>
      <c r="S17" s="9" t="n">
        <v>16.905</v>
      </c>
      <c r="T17" s="9" t="n">
        <v>17.747</v>
      </c>
      <c r="U17" s="9" t="n">
        <v>20.571</v>
      </c>
      <c r="V17" s="9" t="n">
        <v>19.877</v>
      </c>
      <c r="W17" s="9" t="n">
        <v>21.694</v>
      </c>
      <c r="X17" s="9" t="n">
        <v>22.907</v>
      </c>
      <c r="Y17" s="9" t="n">
        <v>22.868</v>
      </c>
      <c r="Z17" s="9" t="n">
        <v>22.92</v>
      </c>
      <c r="AA17" s="9" t="n">
        <v>58.896</v>
      </c>
      <c r="AB17" s="9" t="n">
        <v>66.563</v>
      </c>
      <c r="AC17" s="9" t="n">
        <v>68.217</v>
      </c>
      <c r="AD17" s="9" t="n">
        <v>65.377</v>
      </c>
      <c r="AE17" s="9" t="n">
        <v>62.296</v>
      </c>
      <c r="AF17" s="9" t="n">
        <v>61.862</v>
      </c>
      <c r="AG17" s="9" t="n">
        <v>52.415</v>
      </c>
      <c r="AH17" s="9" t="n">
        <v>45.388</v>
      </c>
      <c r="AI17" s="9" t="n">
        <v>39.795</v>
      </c>
      <c r="AJ17" s="9" t="n">
        <v>39.77</v>
      </c>
      <c r="AK17" s="9" t="n">
        <v>43.772</v>
      </c>
      <c r="AL17" s="9" t="n">
        <v>45.053</v>
      </c>
      <c r="AM17" s="9" t="n">
        <v>46.602</v>
      </c>
      <c r="AN17" s="9" t="n">
        <v>48.071</v>
      </c>
      <c r="AO17" s="9" t="n">
        <v>49.681</v>
      </c>
      <c r="AP17" s="9" t="n">
        <v>49.587</v>
      </c>
      <c r="AQ17" s="9" t="n">
        <v>50.704</v>
      </c>
      <c r="AR17" s="9" t="n">
        <v>148.807</v>
      </c>
      <c r="AS17" s="9" t="n">
        <v>155.383</v>
      </c>
      <c r="AT17" s="9" t="n">
        <v>158.867</v>
      </c>
    </row>
    <row r="18" customFormat="false" ht="15" hidden="false" customHeight="true" outlineLevel="0" collapsed="false">
      <c r="A18" s="4" t="s">
        <v>108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 t="n">
        <v>9.917</v>
      </c>
      <c r="U18" s="9" t="n">
        <v>8.902</v>
      </c>
      <c r="V18" s="9" t="n">
        <v>9.472</v>
      </c>
      <c r="W18" s="9" t="n">
        <v>8.793</v>
      </c>
      <c r="X18" s="9" t="n">
        <v>13.612</v>
      </c>
      <c r="Y18" s="9" t="n">
        <v>12.363</v>
      </c>
      <c r="Z18" s="9" t="n">
        <v>11.281</v>
      </c>
      <c r="AA18" s="9" t="n">
        <v>22.902</v>
      </c>
      <c r="AB18" s="9" t="n">
        <v>27.649</v>
      </c>
      <c r="AC18" s="9" t="n">
        <v>22.902</v>
      </c>
      <c r="AD18" s="9" t="n">
        <v>24.848</v>
      </c>
      <c r="AE18" s="9" t="n">
        <v>26.769</v>
      </c>
      <c r="AF18" s="9" t="n">
        <v>25.385</v>
      </c>
      <c r="AG18" s="9" t="n">
        <v>25.58</v>
      </c>
      <c r="AH18" s="9" t="n">
        <v>28.336</v>
      </c>
      <c r="AI18" s="9" t="n">
        <v>27.363</v>
      </c>
      <c r="AJ18" s="9" t="n">
        <v>25.742</v>
      </c>
      <c r="AK18" s="9" t="n">
        <v>30.632</v>
      </c>
      <c r="AL18" s="9" t="n">
        <v>28.904</v>
      </c>
      <c r="AM18" s="9" t="n">
        <v>41.303</v>
      </c>
      <c r="AN18" s="9" t="n">
        <v>28.283</v>
      </c>
      <c r="AO18" s="9" t="n">
        <v>32.502</v>
      </c>
      <c r="AP18" s="9" t="n">
        <v>31.696</v>
      </c>
      <c r="AQ18" s="9" t="n">
        <v>61.46</v>
      </c>
      <c r="AR18" s="9" t="n">
        <v>98.514</v>
      </c>
      <c r="AS18" s="9" t="n">
        <v>94.291</v>
      </c>
      <c r="AT18" s="9" t="n">
        <v>91.81</v>
      </c>
    </row>
    <row r="19" customFormat="false" ht="15" hidden="false" customHeight="true" outlineLevel="0" collapsed="false">
      <c r="A19" s="4" t="s">
        <v>101</v>
      </c>
      <c r="B19" s="9" t="n">
        <v>4.638</v>
      </c>
      <c r="C19" s="9" t="n">
        <v>7.426</v>
      </c>
      <c r="D19" s="9" t="n">
        <v>6.671</v>
      </c>
      <c r="E19" s="9" t="n">
        <v>6.725</v>
      </c>
      <c r="F19" s="9" t="n">
        <v>6.72</v>
      </c>
      <c r="G19" s="9" t="n">
        <v>15.016</v>
      </c>
      <c r="H19" s="9" t="n">
        <v>15.104</v>
      </c>
      <c r="I19" s="9" t="n">
        <v>15.409</v>
      </c>
      <c r="J19" s="9" t="n">
        <v>15.779</v>
      </c>
      <c r="K19" s="9" t="n">
        <v>15.089</v>
      </c>
      <c r="L19" s="9" t="n">
        <v>15.646</v>
      </c>
      <c r="M19" s="9" t="n">
        <v>16.113</v>
      </c>
      <c r="N19" s="9" t="n">
        <v>14.837</v>
      </c>
      <c r="O19" s="9" t="n">
        <v>11.494</v>
      </c>
      <c r="P19" s="9" t="n">
        <v>11.8</v>
      </c>
      <c r="Q19" s="9" t="n">
        <v>12.108</v>
      </c>
      <c r="R19" s="9" t="n">
        <v>12.708</v>
      </c>
      <c r="S19" s="9" t="n">
        <v>6.685</v>
      </c>
      <c r="T19" s="9" t="n">
        <v>7.699</v>
      </c>
      <c r="U19" s="9" t="n">
        <v>8.019</v>
      </c>
      <c r="V19" s="9" t="n">
        <v>8.296</v>
      </c>
      <c r="W19" s="9" t="n">
        <v>4.928</v>
      </c>
      <c r="X19" s="9" t="n">
        <v>5.262</v>
      </c>
      <c r="Y19" s="9" t="n">
        <v>5.546</v>
      </c>
      <c r="Z19" s="9" t="n">
        <v>5.821</v>
      </c>
      <c r="AA19" s="9" t="n">
        <v>2.061</v>
      </c>
      <c r="AB19" s="9" t="n">
        <v>2.534</v>
      </c>
      <c r="AC19" s="9" t="n">
        <v>2.9</v>
      </c>
      <c r="AD19" s="9" t="n">
        <v>3.258</v>
      </c>
      <c r="AE19" s="9" t="n">
        <v>7.29</v>
      </c>
      <c r="AF19" s="9" t="n">
        <v>7.671</v>
      </c>
      <c r="AG19" s="9" t="n">
        <v>8.098</v>
      </c>
      <c r="AH19" s="9" t="n">
        <v>8.54</v>
      </c>
      <c r="AI19" s="9" t="n">
        <v>27.206</v>
      </c>
      <c r="AJ19" s="9" t="n">
        <v>27.633</v>
      </c>
      <c r="AK19" s="9" t="n">
        <v>20.78</v>
      </c>
      <c r="AL19" s="9" t="n">
        <v>21.378</v>
      </c>
      <c r="AM19" s="9" t="n">
        <v>30.033</v>
      </c>
      <c r="AN19" s="9" t="n">
        <v>41.303</v>
      </c>
      <c r="AO19" s="9" t="n">
        <v>41.303</v>
      </c>
      <c r="AP19" s="9" t="n">
        <v>41.303</v>
      </c>
      <c r="AQ19" s="9" t="n">
        <v>31.879</v>
      </c>
      <c r="AR19" s="9"/>
      <c r="AS19" s="9"/>
      <c r="AT19" s="9"/>
    </row>
    <row r="20" customFormat="false" ht="15" hidden="false" customHeight="true" outlineLevel="0" collapsed="false">
      <c r="A20" s="4" t="s">
        <v>109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n">
        <v>0.459</v>
      </c>
      <c r="T20" s="9" t="n">
        <v>16.727</v>
      </c>
      <c r="U20" s="9" t="n">
        <v>15.952</v>
      </c>
      <c r="V20" s="9" t="n">
        <v>14.357</v>
      </c>
      <c r="W20" s="9" t="n">
        <v>13.637</v>
      </c>
      <c r="X20" s="9" t="n">
        <v>12.928</v>
      </c>
      <c r="Y20" s="9" t="n">
        <v>12.213</v>
      </c>
      <c r="Z20" s="9" t="n">
        <v>11.552</v>
      </c>
      <c r="AA20" s="9" t="n">
        <v>106.268</v>
      </c>
      <c r="AB20" s="9" t="n">
        <v>117.855</v>
      </c>
      <c r="AC20" s="9" t="n">
        <v>110.62</v>
      </c>
      <c r="AD20" s="9" t="n">
        <v>103.825</v>
      </c>
      <c r="AE20" s="9" t="n">
        <v>97.224</v>
      </c>
      <c r="AF20" s="9" t="n">
        <v>91.009</v>
      </c>
      <c r="AG20" s="9" t="n">
        <v>88.66</v>
      </c>
      <c r="AH20" s="9" t="n">
        <v>83.442</v>
      </c>
      <c r="AI20" s="9" t="n">
        <v>43.577</v>
      </c>
      <c r="AJ20" s="9" t="n">
        <v>40.54</v>
      </c>
      <c r="AK20" s="9" t="n">
        <v>82.848</v>
      </c>
      <c r="AL20" s="9" t="n">
        <v>77.597</v>
      </c>
      <c r="AM20" s="9" t="n">
        <v>72.224</v>
      </c>
      <c r="AN20" s="9" t="n">
        <v>67.521</v>
      </c>
      <c r="AO20" s="9" t="n">
        <v>62.703</v>
      </c>
      <c r="AP20" s="9" t="n">
        <v>57.78</v>
      </c>
      <c r="AQ20" s="9" t="n">
        <v>48.711</v>
      </c>
      <c r="AR20" s="9" t="n">
        <v>1118.85</v>
      </c>
      <c r="AS20" s="9" t="n">
        <v>971.787</v>
      </c>
      <c r="AT20" s="9" t="n">
        <v>925.925</v>
      </c>
    </row>
    <row r="21" customFormat="false" ht="15" hidden="false" customHeight="true" outlineLevel="0" collapsed="false">
      <c r="A21" s="4" t="s">
        <v>110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 t="n">
        <v>8.08</v>
      </c>
      <c r="U21" s="9" t="n">
        <v>8.08</v>
      </c>
      <c r="V21" s="9" t="n">
        <v>6.34</v>
      </c>
      <c r="W21" s="9" t="n">
        <v>6.34</v>
      </c>
      <c r="X21" s="9" t="n">
        <v>6.34</v>
      </c>
      <c r="Y21" s="9" t="n">
        <v>6.34</v>
      </c>
      <c r="Z21" s="9" t="n">
        <v>6.34</v>
      </c>
      <c r="AA21" s="9" t="n">
        <v>314.205</v>
      </c>
      <c r="AB21" s="9" t="n">
        <v>335.029</v>
      </c>
      <c r="AC21" s="9" t="n">
        <v>335.888</v>
      </c>
      <c r="AD21" s="9" t="n">
        <v>335.164</v>
      </c>
      <c r="AE21" s="9" t="n">
        <v>334.347</v>
      </c>
      <c r="AF21" s="9" t="n">
        <v>333.791</v>
      </c>
      <c r="AG21" s="9" t="n">
        <v>334.963</v>
      </c>
      <c r="AH21" s="9" t="n">
        <v>336.555</v>
      </c>
      <c r="AI21" s="9" t="n">
        <v>180.801</v>
      </c>
      <c r="AJ21" s="9" t="n">
        <v>180.797</v>
      </c>
      <c r="AK21" s="9" t="n">
        <v>274.781</v>
      </c>
      <c r="AL21" s="9" t="n">
        <v>275.189</v>
      </c>
      <c r="AM21" s="9" t="n">
        <v>275.652</v>
      </c>
      <c r="AN21" s="9" t="n">
        <v>275.932</v>
      </c>
      <c r="AO21" s="9" t="n">
        <v>275.827</v>
      </c>
      <c r="AP21" s="9" t="n">
        <v>275.289</v>
      </c>
      <c r="AQ21" s="9" t="n">
        <v>256.781</v>
      </c>
      <c r="AR21" s="9" t="n">
        <v>2539.56</v>
      </c>
      <c r="AS21" s="9" t="n">
        <v>2623.67</v>
      </c>
      <c r="AT21" s="9" t="n">
        <v>2372.31</v>
      </c>
    </row>
    <row r="22" customFormat="false" ht="15" hidden="false" customHeight="true" outlineLevel="0" collapsed="false">
      <c r="A22" s="4" t="s">
        <v>111</v>
      </c>
      <c r="B22" s="9" t="n">
        <v>1.219</v>
      </c>
      <c r="C22" s="9" t="n">
        <v>0.741</v>
      </c>
      <c r="D22" s="9" t="n">
        <v>0.672</v>
      </c>
      <c r="E22" s="9" t="n">
        <v>0.69</v>
      </c>
      <c r="F22" s="9" t="n">
        <v>0.653</v>
      </c>
      <c r="G22" s="9" t="n">
        <v>0.75</v>
      </c>
      <c r="H22" s="9" t="n">
        <v>0.658</v>
      </c>
      <c r="I22" s="9" t="n">
        <v>0.598</v>
      </c>
      <c r="J22" s="9" t="n">
        <v>0.57</v>
      </c>
      <c r="K22" s="9" t="n">
        <v>2.01</v>
      </c>
      <c r="L22" s="9" t="n">
        <v>1.938</v>
      </c>
      <c r="M22" s="9" t="n">
        <v>0.838</v>
      </c>
      <c r="N22" s="9" t="n">
        <v>2.305</v>
      </c>
      <c r="O22" s="9" t="n">
        <v>3.002</v>
      </c>
      <c r="P22" s="9" t="n">
        <v>2.299</v>
      </c>
      <c r="Q22" s="9" t="n">
        <v>1.628</v>
      </c>
      <c r="R22" s="9" t="n">
        <v>0.884</v>
      </c>
      <c r="S22" s="9" t="n">
        <v>5.821</v>
      </c>
      <c r="T22" s="9" t="n">
        <v>14.196</v>
      </c>
      <c r="U22" s="9" t="n">
        <v>13.339</v>
      </c>
      <c r="V22" s="9" t="n">
        <v>16.995</v>
      </c>
      <c r="W22" s="9" t="n">
        <v>10.605</v>
      </c>
      <c r="X22" s="9" t="n">
        <v>9.64</v>
      </c>
      <c r="Y22" s="9" t="n">
        <v>0.102</v>
      </c>
      <c r="Z22" s="9" t="n">
        <v>0.312</v>
      </c>
      <c r="AA22" s="9" t="n">
        <v>10.44</v>
      </c>
      <c r="AB22" s="9" t="n">
        <v>3.84</v>
      </c>
      <c r="AC22" s="9" t="n">
        <v>6.276</v>
      </c>
      <c r="AD22" s="9" t="n">
        <v>5.881</v>
      </c>
      <c r="AE22" s="9" t="n">
        <v>1.932</v>
      </c>
      <c r="AF22" s="9" t="n">
        <v>1.961</v>
      </c>
      <c r="AG22" s="9" t="n">
        <v>1.972</v>
      </c>
      <c r="AH22" s="9" t="n">
        <v>8.741</v>
      </c>
      <c r="AI22" s="9" t="n">
        <v>5.22</v>
      </c>
      <c r="AJ22" s="9" t="n">
        <v>7.312</v>
      </c>
      <c r="AK22" s="9" t="n">
        <v>9.231</v>
      </c>
      <c r="AL22" s="9" t="n">
        <v>10.205</v>
      </c>
      <c r="AM22" s="9" t="n">
        <v>13.505</v>
      </c>
      <c r="AN22" s="9" t="n">
        <v>15.826</v>
      </c>
      <c r="AO22" s="9" t="n">
        <v>19.282</v>
      </c>
      <c r="AP22" s="9" t="n">
        <v>23.08</v>
      </c>
      <c r="AQ22" s="9" t="n">
        <v>32.889</v>
      </c>
      <c r="AR22" s="9" t="n">
        <v>42.702</v>
      </c>
      <c r="AS22" s="9" t="n">
        <v>45.909</v>
      </c>
      <c r="AT22" s="9" t="n">
        <v>49.414</v>
      </c>
    </row>
    <row r="23" customFormat="false" ht="15" hidden="false" customHeight="true" outlineLevel="0" collapsed="false">
      <c r="A23" s="4" t="s">
        <v>112</v>
      </c>
      <c r="B23" s="9"/>
      <c r="C23" s="9"/>
      <c r="D23" s="9"/>
      <c r="E23" s="9"/>
      <c r="F23" s="9"/>
      <c r="G23" s="9"/>
      <c r="H23" s="9"/>
      <c r="I23" s="9"/>
      <c r="J23" s="9"/>
      <c r="K23" s="9" t="n">
        <v>3.258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customFormat="false" ht="15" hidden="false" customHeight="true" outlineLevel="0" collapsed="false">
      <c r="A24" s="4" t="s">
        <v>113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 t="n">
        <v>2.45600000000025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customFormat="false" ht="15" hidden="false" customHeight="true" outlineLevel="0" collapsed="false">
      <c r="A25" s="11" t="s">
        <v>114</v>
      </c>
      <c r="B25" s="12" t="n">
        <f aca="false">SUM(B15,B16,B17,B18,B19,B20,B21,B22,B23,B24)</f>
        <v>386.471</v>
      </c>
      <c r="C25" s="12" t="n">
        <f aca="false">SUM(C15,C16,C17,C18,C19,C20,C21,C22,C23,C24)</f>
        <v>397.467</v>
      </c>
      <c r="D25" s="12" t="n">
        <f aca="false">SUM(D15,D16,D17,D18,D19,D20,D21,D22,D23,D24)</f>
        <v>383.274</v>
      </c>
      <c r="E25" s="12" t="n">
        <f aca="false">SUM(E15,E16,E17,E18,E19,E20,E21,E22,E23,E24)</f>
        <v>380.029</v>
      </c>
      <c r="F25" s="12" t="n">
        <f aca="false">SUM(F15,F16,F17,F18,F19,F20,F21,F22,F23,F24)</f>
        <v>389.489</v>
      </c>
      <c r="G25" s="12" t="n">
        <f aca="false">SUM(G15,G16,G17,G18,G19,G20,G21,G22,G23,G24)</f>
        <v>410.658</v>
      </c>
      <c r="H25" s="12" t="n">
        <f aca="false">SUM(H15,H16,H17,H18,H19,H20,H21,H22,H23,H24)</f>
        <v>389.534</v>
      </c>
      <c r="I25" s="12" t="n">
        <f aca="false">SUM(I15,I16,I17,I18,I19,I20,I21,I22,I23,I24)</f>
        <v>389.898</v>
      </c>
      <c r="J25" s="12" t="n">
        <f aca="false">SUM(J15,J16,J17,J18,J19,J20,J21,J22,J23,J24)</f>
        <v>387.456</v>
      </c>
      <c r="K25" s="12" t="n">
        <f aca="false">SUM(K15,K16,K17,K18,K19,K20,K21,K22,K23,K24)</f>
        <v>432.5</v>
      </c>
      <c r="L25" s="12" t="n">
        <f aca="false">SUM(L15,L16,L17,L18,L19,L20,L21,L22,L23,L24)</f>
        <v>420.739</v>
      </c>
      <c r="M25" s="12" t="n">
        <f aca="false">SUM(M15,M16,M17,M18,M19,M20,M21,M22,M23,M24)</f>
        <v>429.263</v>
      </c>
      <c r="N25" s="12" t="n">
        <f aca="false">SUM(N15,N16,N17,N18,N19,N20,N21,N22,N23,N24)</f>
        <v>432.845</v>
      </c>
      <c r="O25" s="12" t="n">
        <f aca="false">SUM(O15,O16,O17,O18,O19,O20,O21,O22,O23,O24)</f>
        <v>473.418</v>
      </c>
      <c r="P25" s="12" t="n">
        <f aca="false">SUM(P15,P16,P17,P18,P19,P20,P21,P22,P23,P24)</f>
        <v>480.361</v>
      </c>
      <c r="Q25" s="12" t="n">
        <f aca="false">SUM(Q15,Q16,Q17,Q18,Q19,Q20,Q21,Q22,Q23,Q24)</f>
        <v>486.567</v>
      </c>
      <c r="R25" s="12" t="n">
        <f aca="false">SUM(R15,R16,R17,R18,R19,R20,R21,R22,R23,R24)</f>
        <v>498.963</v>
      </c>
      <c r="S25" s="12" t="n">
        <f aca="false">SUM(S15,S16,S17,S18,S19,S20,S21,S22,S23,S24)</f>
        <v>508.844</v>
      </c>
      <c r="T25" s="12" t="n">
        <f aca="false">SUM(T15,T16,T17,T18,T19,T20,T21,T22,T23,T24)</f>
        <v>534.582</v>
      </c>
      <c r="U25" s="12" t="n">
        <f aca="false">SUM(U15,U16,U17,U18,U19,U20,U21,U22,U23,U24)</f>
        <v>544.493</v>
      </c>
      <c r="V25" s="12" t="n">
        <f aca="false">SUM(V15,V16,V17,V18,V19,V20,V21,V22,V23,V24)</f>
        <v>559.08</v>
      </c>
      <c r="W25" s="12" t="n">
        <f aca="false">SUM(W15,W16,W17,W18,W19,W20,W21,W22,W23,W24)</f>
        <v>584.954</v>
      </c>
      <c r="X25" s="12" t="n">
        <f aca="false">SUM(X15,X16,X17,X18,X19,X20,X21,X22,X23,X24)</f>
        <v>577.819</v>
      </c>
      <c r="Y25" s="12" t="n">
        <f aca="false">SUM(Y15,Y16,Y17,Y18,Y19,Y20,Y21,Y22,Y23,Y24)</f>
        <v>588.007</v>
      </c>
      <c r="Z25" s="12" t="n">
        <f aca="false">SUM(Z15,Z16,Z17,Z18,Z19,Z20,Z21,Z22,Z23,Z24)</f>
        <v>590.992</v>
      </c>
      <c r="AA25" s="12" t="n">
        <f aca="false">SUM(AA15,AA16,AA17,AA18,AA19,AA20,AA21,AA22,AA23,AA24)</f>
        <v>928.566</v>
      </c>
      <c r="AB25" s="12" t="n">
        <f aca="false">SUM(AB15,AB16,AB17,AB18,AB19,AB20,AB21,AB22,AB23,AB24)</f>
        <v>908.553</v>
      </c>
      <c r="AC25" s="12" t="n">
        <f aca="false">SUM(AC15,AC16,AC17,AC18,AC19,AC20,AC21,AC22,AC23,AC24)</f>
        <v>925.307</v>
      </c>
      <c r="AD25" s="12" t="n">
        <f aca="false">SUM(AD15,AD16,AD17,AD18,AD19,AD20,AD21,AD22,AD23,AD24)</f>
        <v>905.263</v>
      </c>
      <c r="AE25" s="12" t="n">
        <f aca="false">SUM(AE15,AE16,AE17,AE18,AE19,AE20,AE21,AE22,AE23,AE24)</f>
        <v>914.2</v>
      </c>
      <c r="AF25" s="12" t="n">
        <f aca="false">SUM(AF15,AF16,AF17,AF18,AF19,AF20,AF21,AF22,AF23,AF24)</f>
        <v>896.654</v>
      </c>
      <c r="AG25" s="12" t="n">
        <f aca="false">SUM(AG15,AG16,AG17,AG18,AG19,AG20,AG21,AG22,AG23,AG24)</f>
        <v>891.682</v>
      </c>
      <c r="AH25" s="12" t="n">
        <f aca="false">SUM(AH15,AH16,AH17,AH18,AH19,AH20,AH21,AH22,AH23,AH24)</f>
        <v>921.202</v>
      </c>
      <c r="AI25" s="12" t="n">
        <f aca="false">SUM(AI15,AI16,AI17,AI18,AI19,AI20,AI21,AI22,AI23,AI24)</f>
        <v>824.577</v>
      </c>
      <c r="AJ25" s="12" t="n">
        <f aca="false">SUM(AJ15,AJ16,AJ17,AJ18,AJ19,AJ20,AJ21,AJ22,AJ23,AJ24)</f>
        <v>826.06</v>
      </c>
      <c r="AK25" s="12" t="n">
        <f aca="false">SUM(AK15,AK16,AK17,AK18,AK19,AK20,AK21,AK22,AK23,AK24)</f>
        <v>1006.7</v>
      </c>
      <c r="AL25" s="12" t="n">
        <f aca="false">SUM(AL15,AL16,AL17,AL18,AL19,AL20,AL21,AL22,AL23,AL24)</f>
        <v>980.299</v>
      </c>
      <c r="AM25" s="12" t="n">
        <f aca="false">SUM(AM15,AM16,AM17,AM18,AM19,AM20,AM21,AM22,AM23,AM24)</f>
        <v>1015.86</v>
      </c>
      <c r="AN25" s="12" t="n">
        <f aca="false">SUM(AN15,AN16,AN17,AN18,AN19,AN20,AN21,AN22,AN23,AN24)</f>
        <v>999.169</v>
      </c>
      <c r="AO25" s="12" t="n">
        <f aca="false">SUM(AO15,AO16,AO17,AO18,AO19,AO20,AO21,AO22,AO23,AO24)</f>
        <v>1019.085</v>
      </c>
      <c r="AP25" s="12" t="n">
        <f aca="false">SUM(AP15,AP16,AP17,AP18,AP19,AP20,AP21,AP22,AP23,AP24)</f>
        <v>1048.143</v>
      </c>
      <c r="AQ25" s="12" t="n">
        <f aca="false">SUM(AQ15,AQ16,AQ17,AQ18,AQ19,AQ20,AQ21,AQ22,AQ23,AQ24)</f>
        <v>1120.567</v>
      </c>
      <c r="AR25" s="12" t="n">
        <f aca="false">SUM(AR15,AR16,AR17,AR18,AR19,AR20,AR21,AR22,AR23,AR24)</f>
        <v>5624.039</v>
      </c>
      <c r="AS25" s="12" t="n">
        <f aca="false">SUM(AS15,AS16,AS17,AS18,AS19,AS20,AS21,AS22,AS23,AS24)</f>
        <v>5638.467</v>
      </c>
      <c r="AT25" s="12" t="n">
        <f aca="false">SUM(AT15,AT16,AT17,AT18,AT19,AT20,AT21,AT22,AT23,AT24)</f>
        <v>5364.232</v>
      </c>
    </row>
    <row r="26" customFormat="false" ht="14.25" hidden="false" customHeight="true" outlineLevel="0" collapsed="false">
      <c r="A26" s="8" t="s">
        <v>115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 customFormat="false" ht="15" hidden="false" customHeight="true" outlineLevel="0" collapsed="false">
      <c r="A27" s="4" t="s">
        <v>116</v>
      </c>
      <c r="B27" s="9" t="n">
        <v>16.215</v>
      </c>
      <c r="C27" s="9" t="n">
        <v>19.243</v>
      </c>
      <c r="D27" s="9" t="n">
        <v>12.944</v>
      </c>
      <c r="E27" s="9" t="n">
        <v>11.59</v>
      </c>
      <c r="F27" s="9" t="n">
        <v>9.786</v>
      </c>
      <c r="G27" s="9" t="n">
        <v>17.712</v>
      </c>
      <c r="H27" s="9" t="n">
        <v>10.529</v>
      </c>
      <c r="I27" s="9" t="n">
        <v>18.662</v>
      </c>
      <c r="J27" s="9" t="n">
        <v>13.792</v>
      </c>
      <c r="K27" s="9" t="n">
        <v>15.896</v>
      </c>
      <c r="L27" s="9" t="n">
        <v>13.966</v>
      </c>
      <c r="M27" s="9" t="n">
        <v>15.724</v>
      </c>
      <c r="N27" s="9" t="n">
        <v>13.249</v>
      </c>
      <c r="O27" s="9" t="n">
        <v>21.34</v>
      </c>
      <c r="P27" s="9" t="n">
        <v>12.939</v>
      </c>
      <c r="Q27" s="9" t="n">
        <v>14.149</v>
      </c>
      <c r="R27" s="9" t="n">
        <v>11.629</v>
      </c>
      <c r="S27" s="9" t="n">
        <v>15.972</v>
      </c>
      <c r="T27" s="9" t="n">
        <v>11.45</v>
      </c>
      <c r="U27" s="9" t="n">
        <v>11.022</v>
      </c>
      <c r="V27" s="9" t="n">
        <v>14.269</v>
      </c>
      <c r="W27" s="9" t="n">
        <v>19.859</v>
      </c>
      <c r="X27" s="9" t="n">
        <v>11.74</v>
      </c>
      <c r="Y27" s="9" t="n">
        <v>14.225</v>
      </c>
      <c r="Z27" s="9" t="n">
        <v>15.837</v>
      </c>
      <c r="AA27" s="9" t="n">
        <v>24.841</v>
      </c>
      <c r="AB27" s="9" t="n">
        <v>18.046</v>
      </c>
      <c r="AC27" s="9" t="n">
        <v>21.443</v>
      </c>
      <c r="AD27" s="9" t="n">
        <v>15.118</v>
      </c>
      <c r="AE27" s="9" t="n">
        <v>19.244</v>
      </c>
      <c r="AF27" s="9" t="n">
        <v>21.945</v>
      </c>
      <c r="AG27" s="9" t="n">
        <v>26.317</v>
      </c>
      <c r="AH27" s="9" t="n">
        <v>26.42</v>
      </c>
      <c r="AI27" s="9" t="n">
        <v>31.355</v>
      </c>
      <c r="AJ27" s="9" t="n">
        <v>28.824</v>
      </c>
      <c r="AK27" s="9" t="n">
        <v>28.834</v>
      </c>
      <c r="AL27" s="9" t="n">
        <v>26.969</v>
      </c>
      <c r="AM27" s="9" t="n">
        <v>48.298</v>
      </c>
      <c r="AN27" s="9" t="n">
        <v>43.596</v>
      </c>
      <c r="AO27" s="9" t="n">
        <v>40.646</v>
      </c>
      <c r="AP27" s="9" t="n">
        <v>48.766</v>
      </c>
      <c r="AQ27" s="9" t="n">
        <v>72.462</v>
      </c>
      <c r="AR27" s="9" t="n">
        <v>91.133</v>
      </c>
      <c r="AS27" s="9" t="n">
        <v>119.531</v>
      </c>
      <c r="AT27" s="9" t="n">
        <v>109.633</v>
      </c>
    </row>
    <row r="28" customFormat="false" ht="15" hidden="false" customHeight="true" outlineLevel="0" collapsed="false">
      <c r="A28" s="4" t="s">
        <v>117</v>
      </c>
      <c r="B28" s="9" t="n">
        <v>12.968</v>
      </c>
      <c r="C28" s="9" t="n">
        <v>13.395</v>
      </c>
      <c r="D28" s="9" t="n">
        <v>10.438</v>
      </c>
      <c r="E28" s="9" t="n">
        <v>10.503</v>
      </c>
      <c r="F28" s="9" t="n">
        <v>13.463</v>
      </c>
      <c r="G28" s="9" t="n">
        <v>13.973</v>
      </c>
      <c r="H28" s="9" t="n">
        <v>9.934</v>
      </c>
      <c r="I28" s="9" t="n">
        <v>10.021</v>
      </c>
      <c r="J28" s="9" t="n">
        <v>10.967</v>
      </c>
      <c r="K28" s="9" t="n">
        <v>10.947</v>
      </c>
      <c r="L28" s="9" t="n">
        <v>10.608</v>
      </c>
      <c r="M28" s="9" t="n">
        <v>10.415</v>
      </c>
      <c r="N28" s="9" t="n">
        <v>15.09</v>
      </c>
      <c r="O28" s="9" t="n">
        <v>16.851</v>
      </c>
      <c r="P28" s="9" t="n">
        <v>10.624</v>
      </c>
      <c r="Q28" s="9" t="n">
        <v>11.071</v>
      </c>
      <c r="R28" s="9" t="n">
        <v>14.363</v>
      </c>
      <c r="S28" s="9" t="n">
        <v>18.507</v>
      </c>
      <c r="T28" s="9" t="n">
        <v>12.085</v>
      </c>
      <c r="U28" s="9" t="n">
        <v>13.218</v>
      </c>
      <c r="V28" s="9" t="n">
        <v>17.636</v>
      </c>
      <c r="W28" s="9" t="n">
        <v>23.972</v>
      </c>
      <c r="X28" s="9" t="n">
        <v>13.025</v>
      </c>
      <c r="Y28" s="9" t="n">
        <v>18.737</v>
      </c>
      <c r="Z28" s="9" t="n">
        <v>20.081</v>
      </c>
      <c r="AA28" s="9" t="n">
        <v>28.068</v>
      </c>
      <c r="AB28" s="9" t="n">
        <v>20.067</v>
      </c>
      <c r="AC28" s="9" t="n">
        <v>21.697</v>
      </c>
      <c r="AD28" s="9" t="n">
        <v>21.207</v>
      </c>
      <c r="AE28" s="9" t="n">
        <v>25.398</v>
      </c>
      <c r="AF28" s="9" t="n">
        <v>17.403</v>
      </c>
      <c r="AG28" s="9" t="n">
        <v>25.049</v>
      </c>
      <c r="AH28" s="9" t="n">
        <v>27.135</v>
      </c>
      <c r="AI28" s="9" t="n">
        <v>35.637</v>
      </c>
      <c r="AJ28" s="9" t="n">
        <v>16.875</v>
      </c>
      <c r="AK28" s="9" t="n">
        <v>26.671</v>
      </c>
      <c r="AL28" s="9" t="n">
        <v>28.443</v>
      </c>
      <c r="AM28" s="9" t="n">
        <v>44.312</v>
      </c>
      <c r="AN28" s="9" t="n">
        <v>20.413</v>
      </c>
      <c r="AO28" s="9" t="n">
        <v>31.594</v>
      </c>
      <c r="AP28" s="9" t="n">
        <v>36.55</v>
      </c>
      <c r="AQ28" s="9" t="n">
        <v>44.253</v>
      </c>
      <c r="AR28" s="9" t="n">
        <v>73.752</v>
      </c>
      <c r="AS28" s="9" t="n">
        <v>79.294</v>
      </c>
      <c r="AT28" s="9" t="n">
        <v>75.765</v>
      </c>
    </row>
    <row r="29" customFormat="false" ht="15" hidden="false" customHeight="true" outlineLevel="0" collapsed="false">
      <c r="A29" s="4" t="s">
        <v>118</v>
      </c>
      <c r="B29" s="9" t="n">
        <v>4.213</v>
      </c>
      <c r="C29" s="9" t="n">
        <v>4.235</v>
      </c>
      <c r="D29" s="9" t="n">
        <v>4.259</v>
      </c>
      <c r="E29" s="9" t="n">
        <v>3.835</v>
      </c>
      <c r="F29" s="9" t="n">
        <v>3.213</v>
      </c>
      <c r="G29" s="9" t="n">
        <v>2.544</v>
      </c>
      <c r="H29" s="9" t="n">
        <v>2.416</v>
      </c>
      <c r="I29" s="9" t="n">
        <v>3.72</v>
      </c>
      <c r="J29" s="9" t="n">
        <v>5.456</v>
      </c>
      <c r="K29" s="9" t="n">
        <v>2.057</v>
      </c>
      <c r="L29" s="9" t="n">
        <v>4.593</v>
      </c>
      <c r="M29" s="9" t="n">
        <v>3.921</v>
      </c>
      <c r="N29" s="9" t="n">
        <v>3.555</v>
      </c>
      <c r="O29" s="9" t="n">
        <v>3.564</v>
      </c>
      <c r="P29" s="9" t="n">
        <v>1.627</v>
      </c>
      <c r="Q29" s="9" t="n">
        <v>2.449</v>
      </c>
      <c r="R29" s="9" t="n">
        <v>2.875</v>
      </c>
      <c r="S29" s="9" t="n">
        <v>2.962</v>
      </c>
      <c r="T29" s="9" t="n">
        <v>3.268</v>
      </c>
      <c r="U29" s="9" t="n">
        <v>2.55</v>
      </c>
      <c r="V29" s="9" t="n">
        <v>10.633</v>
      </c>
      <c r="W29" s="9" t="n">
        <v>7.899</v>
      </c>
      <c r="X29" s="9" t="n">
        <v>5.725</v>
      </c>
      <c r="Y29" s="9" t="n">
        <v>2.957</v>
      </c>
      <c r="Z29" s="9" t="n">
        <v>4.279</v>
      </c>
      <c r="AA29" s="9" t="n">
        <v>7.183</v>
      </c>
      <c r="AB29" s="9" t="n">
        <v>9.117</v>
      </c>
      <c r="AC29" s="9" t="n">
        <v>10.322</v>
      </c>
      <c r="AD29" s="9" t="n">
        <v>6.864</v>
      </c>
      <c r="AE29" s="9" t="n">
        <v>8.968</v>
      </c>
      <c r="AF29" s="9" t="n">
        <v>10.258</v>
      </c>
      <c r="AG29" s="9" t="n">
        <v>7.074</v>
      </c>
      <c r="AH29" s="9" t="n">
        <v>22.553</v>
      </c>
      <c r="AI29" s="9" t="n">
        <v>16.645</v>
      </c>
      <c r="AJ29" s="9" t="n">
        <v>19.94</v>
      </c>
      <c r="AK29" s="9" t="n">
        <v>20.44</v>
      </c>
      <c r="AL29" s="9" t="n">
        <v>17.536</v>
      </c>
      <c r="AM29" s="9" t="n">
        <v>11.192</v>
      </c>
      <c r="AN29" s="9" t="n">
        <v>10.993</v>
      </c>
      <c r="AO29" s="9" t="n">
        <v>10.64</v>
      </c>
      <c r="AP29" s="9" t="n">
        <v>12.064</v>
      </c>
      <c r="AQ29" s="9" t="n">
        <v>15.952</v>
      </c>
      <c r="AR29" s="9" t="n">
        <v>61.269</v>
      </c>
      <c r="AS29" s="9" t="n">
        <v>71.167</v>
      </c>
      <c r="AT29" s="9" t="n">
        <v>67.543</v>
      </c>
    </row>
    <row r="30" customFormat="false" ht="15" hidden="false" customHeight="true" outlineLevel="0" collapsed="false">
      <c r="A30" s="4" t="s">
        <v>119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 t="n">
        <v>10</v>
      </c>
      <c r="AB30" s="9" t="n">
        <v>10</v>
      </c>
      <c r="AC30" s="9" t="n">
        <v>10</v>
      </c>
      <c r="AD30" s="9" t="n">
        <v>10</v>
      </c>
      <c r="AE30" s="9" t="n">
        <v>10</v>
      </c>
      <c r="AF30" s="9" t="n">
        <v>10</v>
      </c>
      <c r="AG30" s="9" t="n">
        <v>10</v>
      </c>
      <c r="AH30" s="9" t="n">
        <v>10</v>
      </c>
      <c r="AI30" s="9" t="n">
        <v>7.5</v>
      </c>
      <c r="AJ30" s="9" t="n">
        <v>10</v>
      </c>
      <c r="AK30" s="9" t="n">
        <v>5</v>
      </c>
      <c r="AL30" s="9" t="n">
        <v>7.5</v>
      </c>
      <c r="AM30" s="9" t="n">
        <v>10</v>
      </c>
      <c r="AN30" s="9" t="n">
        <v>10</v>
      </c>
      <c r="AO30" s="9"/>
      <c r="AP30" s="9"/>
      <c r="AQ30" s="9"/>
      <c r="AR30" s="9"/>
      <c r="AS30" s="9"/>
      <c r="AT30" s="9"/>
    </row>
    <row r="31" customFormat="false" ht="15" hidden="false" customHeight="true" outlineLevel="0" collapsed="false">
      <c r="A31" s="4" t="s">
        <v>120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n">
        <v>2.771</v>
      </c>
      <c r="U31" s="9" t="n">
        <v>2.29</v>
      </c>
      <c r="V31" s="9" t="n">
        <v>2.083</v>
      </c>
      <c r="W31" s="9" t="n">
        <v>3.38</v>
      </c>
      <c r="X31" s="9" t="n">
        <v>4.478</v>
      </c>
      <c r="Y31" s="9" t="n">
        <v>4.03</v>
      </c>
      <c r="Z31" s="9" t="n">
        <v>4.403</v>
      </c>
      <c r="AA31" s="9" t="n">
        <v>6.154</v>
      </c>
      <c r="AB31" s="9" t="n">
        <v>6.747</v>
      </c>
      <c r="AC31" s="9" t="n">
        <v>6.44</v>
      </c>
      <c r="AD31" s="9" t="n">
        <v>6.15</v>
      </c>
      <c r="AE31" s="9" t="n">
        <v>6.819</v>
      </c>
      <c r="AF31" s="9" t="n">
        <v>7.029</v>
      </c>
      <c r="AG31" s="9" t="n">
        <v>7.564</v>
      </c>
      <c r="AH31" s="9" t="n">
        <v>7.794</v>
      </c>
      <c r="AI31" s="9" t="n">
        <v>8.229</v>
      </c>
      <c r="AJ31" s="9" t="n">
        <v>8.272</v>
      </c>
      <c r="AK31" s="9" t="n">
        <v>8.818</v>
      </c>
      <c r="AL31" s="9" t="n">
        <v>8.934</v>
      </c>
      <c r="AM31" s="9" t="n">
        <v>9.841</v>
      </c>
      <c r="AN31" s="9" t="n">
        <v>9.428</v>
      </c>
      <c r="AO31" s="9" t="n">
        <v>9.591</v>
      </c>
      <c r="AP31" s="9" t="n">
        <v>9.365</v>
      </c>
      <c r="AQ31" s="9" t="n">
        <v>10.479</v>
      </c>
      <c r="AR31" s="9" t="n">
        <v>16.759</v>
      </c>
      <c r="AS31" s="9" t="n">
        <v>14.829</v>
      </c>
      <c r="AT31" s="9" t="n">
        <v>15.569</v>
      </c>
    </row>
    <row r="32" customFormat="false" ht="15" hidden="false" customHeight="true" outlineLevel="0" collapsed="false">
      <c r="A32" s="4" t="s">
        <v>121</v>
      </c>
      <c r="B32" s="9"/>
      <c r="C32" s="9" t="n">
        <v>0.692</v>
      </c>
      <c r="D32" s="9"/>
      <c r="E32" s="9"/>
      <c r="F32" s="9"/>
      <c r="G32" s="9" t="n">
        <v>0.943</v>
      </c>
      <c r="H32" s="9"/>
      <c r="I32" s="9"/>
      <c r="J32" s="9"/>
      <c r="K32" s="9" t="n">
        <v>1.418</v>
      </c>
      <c r="L32" s="9"/>
      <c r="M32" s="9" t="n">
        <v>0.35</v>
      </c>
      <c r="N32" s="9"/>
      <c r="O32" s="9" t="n">
        <v>4.085</v>
      </c>
      <c r="P32" s="9" t="n">
        <v>8.898</v>
      </c>
      <c r="Q32" s="9" t="n">
        <v>4.851</v>
      </c>
      <c r="R32" s="9" t="n">
        <v>4.857</v>
      </c>
      <c r="S32" s="9"/>
      <c r="T32" s="9" t="n">
        <v>1.367</v>
      </c>
      <c r="U32" s="9" t="n">
        <v>2.57</v>
      </c>
      <c r="V32" s="9" t="n">
        <v>2.809</v>
      </c>
      <c r="W32" s="9" t="n">
        <v>1.065</v>
      </c>
      <c r="X32" s="9" t="n">
        <v>2.62</v>
      </c>
      <c r="Y32" s="9" t="n">
        <v>3.018</v>
      </c>
      <c r="Z32" s="9" t="n">
        <v>2.37</v>
      </c>
      <c r="AA32" s="9" t="n">
        <v>0.861</v>
      </c>
      <c r="AB32" s="9" t="n">
        <v>0.549</v>
      </c>
      <c r="AC32" s="9" t="n">
        <v>0.214</v>
      </c>
      <c r="AD32" s="9" t="n">
        <v>0.247</v>
      </c>
      <c r="AE32" s="9" t="n">
        <v>0.759</v>
      </c>
      <c r="AF32" s="9" t="n">
        <v>2.962</v>
      </c>
      <c r="AG32" s="9" t="n">
        <v>0.026</v>
      </c>
      <c r="AH32" s="9" t="n">
        <v>0.026</v>
      </c>
      <c r="AI32" s="9" t="n">
        <v>2.342</v>
      </c>
      <c r="AJ32" s="9" t="n">
        <v>4.058</v>
      </c>
      <c r="AK32" s="9" t="n">
        <v>0.595</v>
      </c>
      <c r="AL32" s="9" t="n">
        <v>0.797</v>
      </c>
      <c r="AM32" s="9" t="n">
        <v>4.162</v>
      </c>
      <c r="AN32" s="9" t="n">
        <v>5.597</v>
      </c>
      <c r="AO32" s="9" t="n">
        <v>0.028</v>
      </c>
      <c r="AP32" s="9" t="n">
        <v>0.025</v>
      </c>
      <c r="AQ32" s="9" t="n">
        <v>0.356</v>
      </c>
      <c r="AR32" s="9"/>
      <c r="AS32" s="9" t="n">
        <v>0.215</v>
      </c>
      <c r="AT32" s="9" t="n">
        <v>0.32</v>
      </c>
    </row>
    <row r="33" customFormat="false" ht="15" hidden="false" customHeight="true" outlineLevel="0" collapsed="false">
      <c r="A33" s="4" t="s">
        <v>122</v>
      </c>
      <c r="B33" s="9" t="n">
        <v>10.264</v>
      </c>
      <c r="C33" s="9" t="n">
        <v>9.17</v>
      </c>
      <c r="D33" s="9" t="n">
        <v>8.757</v>
      </c>
      <c r="E33" s="9" t="n">
        <v>5.669</v>
      </c>
      <c r="F33" s="9" t="n">
        <v>6.408</v>
      </c>
      <c r="G33" s="9" t="n">
        <v>11.173</v>
      </c>
      <c r="H33" s="9" t="n">
        <v>12.708</v>
      </c>
      <c r="I33" s="9" t="n">
        <v>6.997</v>
      </c>
      <c r="J33" s="9" t="n">
        <v>7.753</v>
      </c>
      <c r="K33" s="9" t="n">
        <v>8.444</v>
      </c>
      <c r="L33" s="9" t="n">
        <v>8.53</v>
      </c>
      <c r="M33" s="9" t="n">
        <v>7.441</v>
      </c>
      <c r="N33" s="9" t="n">
        <v>8.651</v>
      </c>
      <c r="O33" s="9" t="n">
        <v>6.954</v>
      </c>
      <c r="P33" s="9" t="n">
        <v>6.664</v>
      </c>
      <c r="Q33" s="9" t="n">
        <v>6.971</v>
      </c>
      <c r="R33" s="9" t="n">
        <v>8.062</v>
      </c>
      <c r="S33" s="9" t="n">
        <v>7.425</v>
      </c>
      <c r="T33" s="9" t="n">
        <v>12.167</v>
      </c>
      <c r="U33" s="9" t="n">
        <v>13.141</v>
      </c>
      <c r="V33" s="9" t="n">
        <v>13.046</v>
      </c>
      <c r="W33" s="9" t="n">
        <v>10.778</v>
      </c>
      <c r="X33" s="9" t="n">
        <v>8.735</v>
      </c>
      <c r="Y33" s="9" t="n">
        <v>10.511</v>
      </c>
      <c r="Z33" s="9" t="n">
        <v>9.158</v>
      </c>
      <c r="AA33" s="9" t="n">
        <v>19.078</v>
      </c>
      <c r="AB33" s="9" t="n">
        <v>18.134</v>
      </c>
      <c r="AC33" s="9" t="n">
        <v>31.313</v>
      </c>
      <c r="AD33" s="9" t="n">
        <v>27.897</v>
      </c>
      <c r="AE33" s="9" t="n">
        <v>30.203</v>
      </c>
      <c r="AF33" s="9" t="n">
        <v>26.279</v>
      </c>
      <c r="AG33" s="9" t="n">
        <v>27.824</v>
      </c>
      <c r="AH33" s="9" t="n">
        <v>22.469</v>
      </c>
      <c r="AI33" s="9" t="n">
        <v>19.626</v>
      </c>
      <c r="AJ33" s="9" t="n">
        <v>19.22</v>
      </c>
      <c r="AK33" s="9" t="n">
        <v>18.946</v>
      </c>
      <c r="AL33" s="9" t="n">
        <v>17.352</v>
      </c>
      <c r="AM33" s="9" t="n">
        <v>17.074</v>
      </c>
      <c r="AN33" s="9" t="n">
        <v>17.331</v>
      </c>
      <c r="AO33" s="9" t="n">
        <v>19.112</v>
      </c>
      <c r="AP33" s="9" t="n">
        <v>22.138</v>
      </c>
      <c r="AQ33" s="9" t="n">
        <v>28.659</v>
      </c>
      <c r="AR33" s="9" t="n">
        <v>32.017</v>
      </c>
      <c r="AS33" s="9" t="n">
        <v>42.991</v>
      </c>
      <c r="AT33" s="9" t="n">
        <v>40.489</v>
      </c>
    </row>
    <row r="34" customFormat="false" ht="15" hidden="false" customHeight="true" outlineLevel="0" collapsed="false">
      <c r="A34" s="4" t="s">
        <v>123</v>
      </c>
      <c r="B34" s="9"/>
      <c r="C34" s="9"/>
      <c r="D34" s="9"/>
      <c r="E34" s="9"/>
      <c r="F34" s="9"/>
      <c r="G34" s="9"/>
      <c r="H34" s="9"/>
      <c r="I34" s="9"/>
      <c r="J34" s="9"/>
      <c r="K34" s="9" t="n">
        <v>9.301</v>
      </c>
      <c r="L34" s="9"/>
      <c r="M34" s="9"/>
      <c r="N34" s="9"/>
      <c r="O34" s="9" t="n">
        <v>9.294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</row>
    <row r="35" customFormat="false" ht="15" hidden="false" customHeight="true" outlineLevel="0" collapsed="false">
      <c r="A35" s="11" t="s">
        <v>124</v>
      </c>
      <c r="B35" s="12" t="n">
        <f aca="false">SUM(B27,B28,B29,B30,B31,B32,B33,B34)</f>
        <v>43.66</v>
      </c>
      <c r="C35" s="12" t="n">
        <f aca="false">SUM(C27,C28,C29,C30,C31,C32,C33,C34)</f>
        <v>46.735</v>
      </c>
      <c r="D35" s="12" t="n">
        <f aca="false">SUM(D27,D28,D29,D30,D31,D32,D33,D34)</f>
        <v>36.398</v>
      </c>
      <c r="E35" s="12" t="n">
        <f aca="false">SUM(E27,E28,E29,E30,E31,E32,E33,E34)</f>
        <v>31.597</v>
      </c>
      <c r="F35" s="12" t="n">
        <f aca="false">SUM(F27,F28,F29,F30,F31,F32,F33,F34)</f>
        <v>32.87</v>
      </c>
      <c r="G35" s="12" t="n">
        <f aca="false">SUM(G27,G28,G29,G30,G31,G32,G33,G34)</f>
        <v>46.345</v>
      </c>
      <c r="H35" s="12" t="n">
        <f aca="false">SUM(H27,H28,H29,H30,H31,H32,H33,H34)</f>
        <v>35.587</v>
      </c>
      <c r="I35" s="12" t="n">
        <f aca="false">SUM(I27,I28,I29,I30,I31,I32,I33,I34)</f>
        <v>39.4</v>
      </c>
      <c r="J35" s="12" t="n">
        <f aca="false">SUM(J27,J28,J29,J30,J31,J32,J33,J34)</f>
        <v>37.968</v>
      </c>
      <c r="K35" s="12" t="n">
        <f aca="false">SUM(K27,K28,K29,K30,K31,K32,K33,K34)</f>
        <v>48.063</v>
      </c>
      <c r="L35" s="12" t="n">
        <f aca="false">SUM(L27,L28,L29,L30,L31,L32,L33,L34)</f>
        <v>37.697</v>
      </c>
      <c r="M35" s="12" t="n">
        <f aca="false">SUM(M27,M28,M29,M30,M31,M32,M33,M34)</f>
        <v>37.851</v>
      </c>
      <c r="N35" s="12" t="n">
        <f aca="false">SUM(N27,N28,N29,N30,N31,N32,N33,N34)</f>
        <v>40.545</v>
      </c>
      <c r="O35" s="12" t="n">
        <f aca="false">SUM(O27,O28,O29,O30,O31,O32,O33,O34)</f>
        <v>62.088</v>
      </c>
      <c r="P35" s="12" t="n">
        <f aca="false">SUM(P27,P28,P29,P30,P31,P32,P33,P34)</f>
        <v>40.752</v>
      </c>
      <c r="Q35" s="12" t="n">
        <f aca="false">SUM(Q27,Q28,Q29,Q30,Q31,Q32,Q33,Q34)</f>
        <v>39.491</v>
      </c>
      <c r="R35" s="12" t="n">
        <f aca="false">SUM(R27,R28,R29,R30,R31,R32,R33,R34)</f>
        <v>41.786</v>
      </c>
      <c r="S35" s="12" t="n">
        <f aca="false">SUM(S27,S28,S29,S30,S31,S32,S33,S34)</f>
        <v>44.866</v>
      </c>
      <c r="T35" s="12" t="n">
        <f aca="false">SUM(T27,T28,T29,T30,T31,T32,T33,T34)</f>
        <v>43.108</v>
      </c>
      <c r="U35" s="12" t="n">
        <f aca="false">SUM(U27,U28,U29,U30,U31,U32,U33,U34)</f>
        <v>44.791</v>
      </c>
      <c r="V35" s="12" t="n">
        <f aca="false">SUM(V27,V28,V29,V30,V31,V32,V33,V34)</f>
        <v>60.476</v>
      </c>
      <c r="W35" s="12" t="n">
        <f aca="false">SUM(W27,W28,W29,W30,W31,W32,W33,W34)</f>
        <v>66.953</v>
      </c>
      <c r="X35" s="12" t="n">
        <f aca="false">SUM(X27,X28,X29,X30,X31,X32,X33,X34)</f>
        <v>46.323</v>
      </c>
      <c r="Y35" s="12" t="n">
        <f aca="false">SUM(Y27,Y28,Y29,Y30,Y31,Y32,Y33,Y34)</f>
        <v>53.478</v>
      </c>
      <c r="Z35" s="12" t="n">
        <f aca="false">SUM(Z27,Z28,Z29,Z30,Z31,Z32,Z33,Z34)</f>
        <v>56.128</v>
      </c>
      <c r="AA35" s="12" t="n">
        <f aca="false">SUM(AA27,AA28,AA29,AA30,AA31,AA32,AA33,AA34)</f>
        <v>96.185</v>
      </c>
      <c r="AB35" s="12" t="n">
        <f aca="false">SUM(AB27,AB28,AB29,AB30,AB31,AB32,AB33,AB34)</f>
        <v>82.66</v>
      </c>
      <c r="AC35" s="12" t="n">
        <f aca="false">SUM(AC27,AC28,AC29,AC30,AC31,AC32,AC33,AC34)</f>
        <v>101.429</v>
      </c>
      <c r="AD35" s="12" t="n">
        <f aca="false">SUM(AD27,AD28,AD29,AD30,AD31,AD32,AD33,AD34)</f>
        <v>87.483</v>
      </c>
      <c r="AE35" s="12" t="n">
        <f aca="false">SUM(AE27,AE28,AE29,AE30,AE31,AE32,AE33,AE34)</f>
        <v>101.391</v>
      </c>
      <c r="AF35" s="12" t="n">
        <f aca="false">SUM(AF27,AF28,AF29,AF30,AF31,AF32,AF33,AF34)</f>
        <v>95.876</v>
      </c>
      <c r="AG35" s="12" t="n">
        <f aca="false">SUM(AG27,AG28,AG29,AG30,AG31,AG32,AG33,AG34)</f>
        <v>103.854</v>
      </c>
      <c r="AH35" s="12" t="n">
        <f aca="false">SUM(AH27,AH28,AH29,AH30,AH31,AH32,AH33,AH34)</f>
        <v>116.397</v>
      </c>
      <c r="AI35" s="12" t="n">
        <f aca="false">SUM(AI27,AI28,AI29,AI30,AI31,AI32,AI33,AI34)</f>
        <v>121.334</v>
      </c>
      <c r="AJ35" s="12" t="n">
        <f aca="false">SUM(AJ27,AJ28,AJ29,AJ30,AJ31,AJ32,AJ33,AJ34)</f>
        <v>107.189</v>
      </c>
      <c r="AK35" s="12" t="n">
        <f aca="false">SUM(AK27,AK28,AK29,AK30,AK31,AK32,AK33,AK34)</f>
        <v>109.304</v>
      </c>
      <c r="AL35" s="12" t="n">
        <f aca="false">SUM(AL27,AL28,AL29,AL30,AL31,AL32,AL33,AL34)</f>
        <v>107.531</v>
      </c>
      <c r="AM35" s="12" t="n">
        <f aca="false">SUM(AM27,AM28,AM29,AM30,AM31,AM32,AM33,AM34)</f>
        <v>144.879</v>
      </c>
      <c r="AN35" s="12" t="n">
        <f aca="false">SUM(AN27,AN28,AN29,AN30,AN31,AN32,AN33,AN34)</f>
        <v>117.358</v>
      </c>
      <c r="AO35" s="12" t="n">
        <f aca="false">SUM(AO27,AO28,AO29,AO30,AO31,AO32,AO33,AO34)</f>
        <v>111.611</v>
      </c>
      <c r="AP35" s="12" t="n">
        <f aca="false">SUM(AP27,AP28,AP29,AP30,AP31,AP32,AP33,AP34)</f>
        <v>128.908</v>
      </c>
      <c r="AQ35" s="12" t="n">
        <f aca="false">SUM(AQ27,AQ28,AQ29,AQ30,AQ31,AQ32,AQ33,AQ34)</f>
        <v>172.161</v>
      </c>
      <c r="AR35" s="12" t="n">
        <f aca="false">SUM(AR27,AR28,AR29,AR30,AR31,AR32,AR33,AR34)</f>
        <v>274.93</v>
      </c>
      <c r="AS35" s="12" t="n">
        <f aca="false">SUM(AS27,AS28,AS29,AS30,AS31,AS32,AS33,AS34)</f>
        <v>328.027</v>
      </c>
      <c r="AT35" s="12" t="n">
        <f aca="false">SUM(AT27,AT28,AT29,AT30,AT31,AT32,AT33,AT34)</f>
        <v>309.319</v>
      </c>
    </row>
    <row r="36" customFormat="false" ht="15" hidden="false" customHeight="true" outlineLevel="0" collapsed="false">
      <c r="A36" s="4" t="s">
        <v>125</v>
      </c>
      <c r="B36" s="9" t="n">
        <v>1.336</v>
      </c>
      <c r="C36" s="9" t="n">
        <v>1.381</v>
      </c>
      <c r="D36" s="9" t="n">
        <v>1.33</v>
      </c>
      <c r="E36" s="9" t="n">
        <v>1.266</v>
      </c>
      <c r="F36" s="9" t="n">
        <v>1.223</v>
      </c>
      <c r="G36" s="9" t="n">
        <v>1.714</v>
      </c>
      <c r="H36" s="9" t="n">
        <v>1.864</v>
      </c>
      <c r="I36" s="9" t="n">
        <v>1.82</v>
      </c>
      <c r="J36" s="9" t="n">
        <v>1.769</v>
      </c>
      <c r="K36" s="9" t="n">
        <v>1.719</v>
      </c>
      <c r="L36" s="9" t="n">
        <v>1.673</v>
      </c>
      <c r="M36" s="9" t="n">
        <v>1.637</v>
      </c>
      <c r="N36" s="9" t="n">
        <v>1.589</v>
      </c>
      <c r="O36" s="9" t="n">
        <v>1.536</v>
      </c>
      <c r="P36" s="9" t="n">
        <v>1.476</v>
      </c>
      <c r="Q36" s="9" t="n">
        <v>1.478</v>
      </c>
      <c r="R36" s="9" t="n">
        <v>1.352</v>
      </c>
      <c r="S36" s="9" t="n">
        <v>1.173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</row>
    <row r="37" customFormat="false" ht="15" hidden="false" customHeight="true" outlineLevel="0" collapsed="false">
      <c r="A37" s="4" t="s">
        <v>126</v>
      </c>
      <c r="B37" s="9"/>
      <c r="C37" s="9"/>
      <c r="D37" s="9"/>
      <c r="E37" s="9"/>
      <c r="F37" s="9" t="n">
        <v>0.388</v>
      </c>
      <c r="G37" s="9" t="n">
        <v>0.449</v>
      </c>
      <c r="H37" s="9" t="n">
        <v>0.357</v>
      </c>
      <c r="I37" s="9" t="n">
        <v>0.276</v>
      </c>
      <c r="J37" s="9" t="n">
        <v>0.218</v>
      </c>
      <c r="K37" s="9" t="n">
        <v>0.161</v>
      </c>
      <c r="L37" s="9" t="n">
        <v>0.104</v>
      </c>
      <c r="M37" s="9" t="n">
        <v>0.05</v>
      </c>
      <c r="N37" s="9" t="n">
        <v>0.007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</row>
    <row r="38" customFormat="false" ht="15" hidden="false" customHeight="true" outlineLevel="0" collapsed="false">
      <c r="A38" s="4" t="s">
        <v>127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 t="n">
        <v>187.512</v>
      </c>
      <c r="AB38" s="9" t="n">
        <v>185.141</v>
      </c>
      <c r="AC38" s="9" t="n">
        <v>182.769</v>
      </c>
      <c r="AD38" s="9" t="n">
        <v>180.398</v>
      </c>
      <c r="AE38" s="9" t="n">
        <v>177.84</v>
      </c>
      <c r="AF38" s="9" t="n">
        <v>175.481</v>
      </c>
      <c r="AG38" s="9" t="n">
        <v>155.622</v>
      </c>
      <c r="AH38" s="9" t="n">
        <v>155.763</v>
      </c>
      <c r="AI38" s="9" t="n">
        <v>125.904</v>
      </c>
      <c r="AJ38" s="9" t="n">
        <v>118.537</v>
      </c>
      <c r="AK38" s="9" t="n">
        <v>73.678</v>
      </c>
      <c r="AL38" s="9" t="n">
        <v>31.292</v>
      </c>
      <c r="AM38" s="9" t="n">
        <v>17.092</v>
      </c>
      <c r="AN38" s="9" t="n">
        <v>6.788</v>
      </c>
      <c r="AO38" s="9" t="n">
        <v>15</v>
      </c>
      <c r="AP38" s="9" t="n">
        <v>25</v>
      </c>
      <c r="AQ38" s="9" t="n">
        <v>30</v>
      </c>
      <c r="AR38" s="9" t="n">
        <v>725.703</v>
      </c>
      <c r="AS38" s="9" t="n">
        <v>726.793</v>
      </c>
      <c r="AT38" s="9" t="n">
        <v>727.877</v>
      </c>
    </row>
    <row r="39" customFormat="false" ht="15" hidden="false" customHeight="true" outlineLevel="0" collapsed="false">
      <c r="A39" s="4" t="s">
        <v>128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 t="n">
        <v>7.597</v>
      </c>
      <c r="U39" s="9" t="n">
        <v>6.843</v>
      </c>
      <c r="V39" s="9" t="n">
        <v>7.556</v>
      </c>
      <c r="W39" s="9" t="n">
        <v>6.833</v>
      </c>
      <c r="X39" s="9" t="n">
        <v>10.344</v>
      </c>
      <c r="Y39" s="9" t="n">
        <v>9.422</v>
      </c>
      <c r="Z39" s="9" t="n">
        <v>8.426</v>
      </c>
      <c r="AA39" s="9" t="n">
        <v>19.103</v>
      </c>
      <c r="AB39" s="9" t="n">
        <v>23.048</v>
      </c>
      <c r="AC39" s="9" t="n">
        <v>21.665</v>
      </c>
      <c r="AD39" s="9" t="n">
        <v>20.678</v>
      </c>
      <c r="AE39" s="9" t="n">
        <v>21.915</v>
      </c>
      <c r="AF39" s="9" t="n">
        <v>20.371</v>
      </c>
      <c r="AG39" s="9" t="n">
        <v>20.043</v>
      </c>
      <c r="AH39" s="9" t="n">
        <v>22.63</v>
      </c>
      <c r="AI39" s="9" t="n">
        <v>21.189</v>
      </c>
      <c r="AJ39" s="9" t="n">
        <v>19.454</v>
      </c>
      <c r="AK39" s="9" t="n">
        <v>23.727</v>
      </c>
      <c r="AL39" s="9" t="n">
        <v>21.978</v>
      </c>
      <c r="AM39" s="9" t="n">
        <v>22.745</v>
      </c>
      <c r="AN39" s="9" t="n">
        <v>21.086</v>
      </c>
      <c r="AO39" s="9" t="n">
        <v>25.69</v>
      </c>
      <c r="AP39" s="9" t="n">
        <v>24.82</v>
      </c>
      <c r="AQ39" s="9" t="n">
        <v>23.812</v>
      </c>
      <c r="AR39" s="9" t="n">
        <v>87.246</v>
      </c>
      <c r="AS39" s="9" t="n">
        <v>84.313</v>
      </c>
      <c r="AT39" s="9" t="n">
        <v>82.567</v>
      </c>
    </row>
    <row r="40" customFormat="false" ht="15" hidden="false" customHeight="true" outlineLevel="0" collapsed="false">
      <c r="A40" s="4" t="s">
        <v>129</v>
      </c>
      <c r="B40" s="9"/>
      <c r="C40" s="9"/>
      <c r="D40" s="9"/>
      <c r="E40" s="9"/>
      <c r="F40" s="9"/>
      <c r="G40" s="9" t="n">
        <v>0.184</v>
      </c>
      <c r="H40" s="9" t="n">
        <v>0.184</v>
      </c>
      <c r="I40" s="9" t="n">
        <v>0.193</v>
      </c>
      <c r="J40" s="9" t="n">
        <v>0.193</v>
      </c>
      <c r="K40" s="9" t="n">
        <v>0.184</v>
      </c>
      <c r="L40" s="9" t="n">
        <v>0.184</v>
      </c>
      <c r="M40" s="9" t="n">
        <v>0.184</v>
      </c>
      <c r="N40" s="9" t="n">
        <v>0.184</v>
      </c>
      <c r="O40" s="9" t="n">
        <v>0.622</v>
      </c>
      <c r="P40" s="9" t="n">
        <v>0.958</v>
      </c>
      <c r="Q40" s="9" t="n">
        <v>1.306</v>
      </c>
      <c r="R40" s="9" t="n">
        <v>0.16</v>
      </c>
      <c r="S40" s="9" t="n">
        <v>0.15</v>
      </c>
      <c r="T40" s="9" t="n">
        <v>2.298</v>
      </c>
      <c r="U40" s="9" t="n">
        <v>2.422</v>
      </c>
      <c r="V40" s="9" t="n">
        <v>0.25</v>
      </c>
      <c r="W40" s="9" t="n">
        <v>0.25</v>
      </c>
      <c r="X40" s="9" t="n">
        <v>0.243</v>
      </c>
      <c r="Y40" s="9" t="n">
        <v>0.243</v>
      </c>
      <c r="Z40" s="9" t="n">
        <v>0.243</v>
      </c>
      <c r="AA40" s="9" t="n">
        <v>10.141</v>
      </c>
      <c r="AB40" s="9" t="n">
        <v>10.336</v>
      </c>
      <c r="AC40" s="9" t="n">
        <v>10.302</v>
      </c>
      <c r="AD40" s="9" t="n">
        <v>5.273</v>
      </c>
      <c r="AE40" s="9" t="n">
        <v>0.768</v>
      </c>
      <c r="AF40" s="9" t="n">
        <v>0.759</v>
      </c>
      <c r="AG40" s="9" t="n">
        <v>0.748</v>
      </c>
      <c r="AH40" s="9" t="n">
        <v>0.742</v>
      </c>
      <c r="AI40" s="9" t="n">
        <v>0.746</v>
      </c>
      <c r="AJ40" s="9" t="n">
        <v>1.901</v>
      </c>
      <c r="AK40" s="9" t="n">
        <v>1.898</v>
      </c>
      <c r="AL40" s="9" t="n">
        <v>2.105</v>
      </c>
      <c r="AM40" s="9" t="n">
        <v>2.132</v>
      </c>
      <c r="AN40" s="9" t="n">
        <v>2.123</v>
      </c>
      <c r="AO40" s="9" t="n">
        <v>2.114</v>
      </c>
      <c r="AP40" s="9" t="n">
        <v>2.106</v>
      </c>
      <c r="AQ40" s="9" t="n">
        <v>2.026</v>
      </c>
      <c r="AR40" s="9" t="n">
        <v>2.016</v>
      </c>
      <c r="AS40" s="9" t="n">
        <v>2.003</v>
      </c>
      <c r="AT40" s="9" t="n">
        <v>1.995</v>
      </c>
    </row>
    <row r="41" customFormat="false" ht="15" hidden="false" customHeight="true" outlineLevel="0" collapsed="false">
      <c r="A41" s="4" t="s">
        <v>130</v>
      </c>
      <c r="B41" s="9" t="n">
        <v>0.645</v>
      </c>
      <c r="C41" s="9" t="n">
        <v>0.439</v>
      </c>
      <c r="D41" s="9" t="n">
        <v>0.439</v>
      </c>
      <c r="E41" s="9" t="n">
        <v>0.439</v>
      </c>
      <c r="F41" s="9" t="n">
        <v>0.439</v>
      </c>
      <c r="G41" s="9" t="n">
        <v>0.441</v>
      </c>
      <c r="H41" s="9" t="n">
        <v>0.062</v>
      </c>
      <c r="I41" s="9" t="n">
        <v>0.062</v>
      </c>
      <c r="J41" s="9" t="n">
        <v>0.062</v>
      </c>
      <c r="K41" s="9" t="n">
        <v>0.064</v>
      </c>
      <c r="L41" s="9" t="n">
        <v>0.064</v>
      </c>
      <c r="M41" s="9" t="n">
        <v>0.064</v>
      </c>
      <c r="N41" s="9" t="n">
        <v>0.064</v>
      </c>
      <c r="O41" s="9" t="n">
        <v>0.049</v>
      </c>
      <c r="P41" s="9" t="n">
        <v>0.049</v>
      </c>
      <c r="Q41" s="9" t="n">
        <v>0.049</v>
      </c>
      <c r="R41" s="9" t="n">
        <v>0.049</v>
      </c>
      <c r="S41" s="9" t="n">
        <v>0.051</v>
      </c>
      <c r="T41" s="9" t="n">
        <v>0.051</v>
      </c>
      <c r="U41" s="9" t="n">
        <v>0.051</v>
      </c>
      <c r="V41" s="9" t="n">
        <v>0.051</v>
      </c>
      <c r="W41" s="9" t="n">
        <v>1.017</v>
      </c>
      <c r="X41" s="9" t="n">
        <v>1.017</v>
      </c>
      <c r="Y41" s="9" t="n">
        <v>1.017</v>
      </c>
      <c r="Z41" s="9" t="n">
        <v>1.017</v>
      </c>
      <c r="AA41" s="9" t="n">
        <v>3.518</v>
      </c>
      <c r="AB41" s="9" t="n">
        <v>3.518</v>
      </c>
      <c r="AC41" s="9" t="n">
        <v>3.518</v>
      </c>
      <c r="AD41" s="9" t="n">
        <v>3.518</v>
      </c>
      <c r="AE41" s="9" t="n">
        <v>1.45</v>
      </c>
      <c r="AF41" s="9" t="n">
        <v>1.45</v>
      </c>
      <c r="AG41" s="9" t="n">
        <v>1.45</v>
      </c>
      <c r="AH41" s="9" t="n">
        <v>1.45</v>
      </c>
      <c r="AI41" s="9" t="n">
        <v>2.705</v>
      </c>
      <c r="AJ41" s="9" t="n">
        <v>2.705</v>
      </c>
      <c r="AK41" s="9" t="n">
        <v>2.705</v>
      </c>
      <c r="AL41" s="9" t="n">
        <v>2.705</v>
      </c>
      <c r="AM41" s="9" t="n">
        <v>5.603</v>
      </c>
      <c r="AN41" s="9" t="n">
        <v>5.603</v>
      </c>
      <c r="AO41" s="9" t="n">
        <v>5.603</v>
      </c>
      <c r="AP41" s="9" t="n">
        <v>5.603</v>
      </c>
      <c r="AQ41" s="9" t="n">
        <v>6.061</v>
      </c>
      <c r="AR41" s="9" t="n">
        <v>6.061</v>
      </c>
      <c r="AS41" s="9" t="n">
        <v>6.061</v>
      </c>
      <c r="AT41" s="9" t="n">
        <v>6.061</v>
      </c>
    </row>
    <row r="42" customFormat="false" ht="15" hidden="false" customHeight="true" outlineLevel="0" collapsed="false">
      <c r="A42" s="4" t="s">
        <v>101</v>
      </c>
      <c r="B42" s="9"/>
      <c r="C42" s="9"/>
      <c r="D42" s="9"/>
      <c r="E42" s="9"/>
      <c r="F42" s="9"/>
      <c r="G42" s="9"/>
      <c r="H42" s="9"/>
      <c r="I42" s="9"/>
      <c r="J42" s="9"/>
      <c r="K42" s="9" t="n">
        <v>0.116</v>
      </c>
      <c r="L42" s="9" t="n">
        <v>0.079</v>
      </c>
      <c r="M42" s="9" t="n">
        <v>0.067</v>
      </c>
      <c r="N42" s="9" t="n">
        <v>0.067</v>
      </c>
      <c r="O42" s="9" t="n">
        <v>0.067</v>
      </c>
      <c r="P42" s="9" t="n">
        <v>0.067</v>
      </c>
      <c r="Q42" s="9" t="n">
        <v>0.067</v>
      </c>
      <c r="R42" s="9" t="n">
        <v>0.067</v>
      </c>
      <c r="S42" s="9" t="n">
        <v>0.029</v>
      </c>
      <c r="T42" s="9" t="n">
        <v>0.029</v>
      </c>
      <c r="U42" s="9" t="n">
        <v>0.029</v>
      </c>
      <c r="V42" s="9" t="n">
        <v>0.029</v>
      </c>
      <c r="W42" s="9"/>
      <c r="X42" s="9"/>
      <c r="Y42" s="9"/>
      <c r="Z42" s="9"/>
      <c r="AA42" s="9"/>
      <c r="AB42" s="9" t="n">
        <v>5.533</v>
      </c>
      <c r="AC42" s="9" t="n">
        <v>5.39</v>
      </c>
      <c r="AD42" s="9" t="n">
        <v>5.198</v>
      </c>
      <c r="AE42" s="9" t="n">
        <v>2.626</v>
      </c>
      <c r="AF42" s="9" t="n">
        <v>2.547</v>
      </c>
      <c r="AG42" s="9" t="n">
        <v>2.482</v>
      </c>
      <c r="AH42" s="9" t="n">
        <v>2.707</v>
      </c>
      <c r="AI42" s="9" t="n">
        <v>1.729</v>
      </c>
      <c r="AJ42" s="9" t="n">
        <v>1.729</v>
      </c>
      <c r="AK42" s="9" t="n">
        <v>1.658</v>
      </c>
      <c r="AL42" s="9" t="n">
        <v>1.703</v>
      </c>
      <c r="AM42" s="9" t="n">
        <v>0.664</v>
      </c>
      <c r="AN42" s="9" t="n">
        <v>0.673</v>
      </c>
      <c r="AO42" s="9" t="n">
        <v>0.67</v>
      </c>
      <c r="AP42" s="9" t="n">
        <v>0.651</v>
      </c>
      <c r="AQ42" s="9"/>
      <c r="AR42" s="9" t="n">
        <v>101.002</v>
      </c>
      <c r="AS42" s="9" t="n">
        <v>73.188</v>
      </c>
      <c r="AT42" s="9" t="n">
        <v>51.497</v>
      </c>
    </row>
    <row r="43" customFormat="false" ht="15" hidden="false" customHeight="true" outlineLevel="0" collapsed="false">
      <c r="A43" s="11" t="s">
        <v>131</v>
      </c>
      <c r="B43" s="12" t="n">
        <f aca="false">SUM(B35,B36,B37,B38,B39,B40,B41,B42)</f>
        <v>45.641</v>
      </c>
      <c r="C43" s="12" t="n">
        <f aca="false">SUM(C35,C36,C37,C38,C39,C40,C41,C42)</f>
        <v>48.555</v>
      </c>
      <c r="D43" s="12" t="n">
        <f aca="false">SUM(D35,D36,D37,D38,D39,D40,D41,D42)</f>
        <v>38.167</v>
      </c>
      <c r="E43" s="12" t="n">
        <f aca="false">SUM(E35,E36,E37,E38,E39,E40,E41,E42)</f>
        <v>33.302</v>
      </c>
      <c r="F43" s="12" t="n">
        <f aca="false">SUM(F35,F36,F37,F38,F39,F40,F41,F42)</f>
        <v>34.92</v>
      </c>
      <c r="G43" s="12" t="n">
        <f aca="false">SUM(G35,G36,G37,G38,G39,G40,G41,G42)</f>
        <v>49.133</v>
      </c>
      <c r="H43" s="12" t="n">
        <f aca="false">SUM(H35,H36,H37,H38,H39,H40,H41,H42)</f>
        <v>38.054</v>
      </c>
      <c r="I43" s="12" t="n">
        <f aca="false">SUM(I35,I36,I37,I38,I39,I40,I41,I42)</f>
        <v>41.751</v>
      </c>
      <c r="J43" s="12" t="n">
        <f aca="false">SUM(J35,J36,J37,J38,J39,J40,J41,J42)</f>
        <v>40.21</v>
      </c>
      <c r="K43" s="12" t="n">
        <f aca="false">SUM(K35,K36,K37,K38,K39,K40,K41,K42)</f>
        <v>50.307</v>
      </c>
      <c r="L43" s="12" t="n">
        <f aca="false">SUM(L35,L36,L37,L38,L39,L40,L41,L42)</f>
        <v>39.801</v>
      </c>
      <c r="M43" s="12" t="n">
        <f aca="false">SUM(M35,M36,M37,M38,M39,M40,M41,M42)</f>
        <v>39.853</v>
      </c>
      <c r="N43" s="12" t="n">
        <f aca="false">SUM(N35,N36,N37,N38,N39,N40,N41,N42)</f>
        <v>42.456</v>
      </c>
      <c r="O43" s="12" t="n">
        <f aca="false">SUM(O35,O36,O37,O38,O39,O40,O41,O42)</f>
        <v>64.362</v>
      </c>
      <c r="P43" s="12" t="n">
        <f aca="false">SUM(P35,P36,P37,P38,P39,P40,P41,P42)</f>
        <v>43.302</v>
      </c>
      <c r="Q43" s="12" t="n">
        <f aca="false">SUM(Q35,Q36,Q37,Q38,Q39,Q40,Q41,Q42)</f>
        <v>42.391</v>
      </c>
      <c r="R43" s="12" t="n">
        <f aca="false">SUM(R35,R36,R37,R38,R39,R40,R41,R42)</f>
        <v>43.414</v>
      </c>
      <c r="S43" s="12" t="n">
        <f aca="false">SUM(S35,S36,S37,S38,S39,S40,S41,S42)</f>
        <v>46.269</v>
      </c>
      <c r="T43" s="12" t="n">
        <f aca="false">SUM(T35,T36,T37,T38,T39,T40,T41,T42)</f>
        <v>53.083</v>
      </c>
      <c r="U43" s="12" t="n">
        <f aca="false">SUM(U35,U36,U37,U38,U39,U40,U41,U42)</f>
        <v>54.136</v>
      </c>
      <c r="V43" s="12" t="n">
        <f aca="false">SUM(V35,V36,V37,V38,V39,V40,V41,V42)</f>
        <v>68.362</v>
      </c>
      <c r="W43" s="12" t="n">
        <f aca="false">SUM(W35,W36,W37,W38,W39,W40,W41,W42)</f>
        <v>75.053</v>
      </c>
      <c r="X43" s="12" t="n">
        <f aca="false">SUM(X35,X36,X37,X38,X39,X40,X41,X42)</f>
        <v>57.927</v>
      </c>
      <c r="Y43" s="12" t="n">
        <f aca="false">SUM(Y35,Y36,Y37,Y38,Y39,Y40,Y41,Y42)</f>
        <v>64.16</v>
      </c>
      <c r="Z43" s="12" t="n">
        <f aca="false">SUM(Z35,Z36,Z37,Z38,Z39,Z40,Z41,Z42)</f>
        <v>65.814</v>
      </c>
      <c r="AA43" s="12" t="n">
        <f aca="false">SUM(AA35,AA36,AA37,AA38,AA39,AA40,AA41,AA42)</f>
        <v>316.459</v>
      </c>
      <c r="AB43" s="12" t="n">
        <f aca="false">SUM(AB35,AB36,AB37,AB38,AB39,AB40,AB41,AB42)</f>
        <v>310.236</v>
      </c>
      <c r="AC43" s="12" t="n">
        <f aca="false">SUM(AC35,AC36,AC37,AC38,AC39,AC40,AC41,AC42)</f>
        <v>325.073</v>
      </c>
      <c r="AD43" s="12" t="n">
        <f aca="false">SUM(AD35,AD36,AD37,AD38,AD39,AD40,AD41,AD42)</f>
        <v>302.548</v>
      </c>
      <c r="AE43" s="12" t="n">
        <f aca="false">SUM(AE35,AE36,AE37,AE38,AE39,AE40,AE41,AE42)</f>
        <v>305.99</v>
      </c>
      <c r="AF43" s="12" t="n">
        <f aca="false">SUM(AF35,AF36,AF37,AF38,AF39,AF40,AF41,AF42)</f>
        <v>296.484</v>
      </c>
      <c r="AG43" s="12" t="n">
        <f aca="false">SUM(AG35,AG36,AG37,AG38,AG39,AG40,AG41,AG42)</f>
        <v>284.199</v>
      </c>
      <c r="AH43" s="12" t="n">
        <f aca="false">SUM(AH35,AH36,AH37,AH38,AH39,AH40,AH41,AH42)</f>
        <v>299.689</v>
      </c>
      <c r="AI43" s="12" t="n">
        <f aca="false">SUM(AI35,AI36,AI37,AI38,AI39,AI40,AI41,AI42)</f>
        <v>273.607</v>
      </c>
      <c r="AJ43" s="12" t="n">
        <f aca="false">SUM(AJ35,AJ36,AJ37,AJ38,AJ39,AJ40,AJ41,AJ42)</f>
        <v>251.515</v>
      </c>
      <c r="AK43" s="12" t="n">
        <f aca="false">SUM(AK35,AK36,AK37,AK38,AK39,AK40,AK41,AK42)</f>
        <v>212.97</v>
      </c>
      <c r="AL43" s="12" t="n">
        <f aca="false">SUM(AL35,AL36,AL37,AL38,AL39,AL40,AL41,AL42)</f>
        <v>167.314</v>
      </c>
      <c r="AM43" s="12" t="n">
        <f aca="false">SUM(AM35,AM36,AM37,AM38,AM39,AM40,AM41,AM42)</f>
        <v>193.115</v>
      </c>
      <c r="AN43" s="12" t="n">
        <f aca="false">SUM(AN35,AN36,AN37,AN38,AN39,AN40,AN41,AN42)</f>
        <v>153.631</v>
      </c>
      <c r="AO43" s="12" t="n">
        <f aca="false">SUM(AO35,AO36,AO37,AO38,AO39,AO40,AO41,AO42)</f>
        <v>160.688</v>
      </c>
      <c r="AP43" s="12" t="n">
        <f aca="false">SUM(AP35,AP36,AP37,AP38,AP39,AP40,AP41,AP42)</f>
        <v>187.088</v>
      </c>
      <c r="AQ43" s="12" t="n">
        <f aca="false">SUM(AQ35,AQ36,AQ37,AQ38,AQ39,AQ40,AQ41,AQ42)</f>
        <v>234.06</v>
      </c>
      <c r="AR43" s="12" t="n">
        <f aca="false">SUM(AR35,AR36,AR37,AR38,AR39,AR40,AR41,AR42)</f>
        <v>1196.958</v>
      </c>
      <c r="AS43" s="12" t="n">
        <f aca="false">SUM(AS35,AS36,AS37,AS38,AS39,AS40,AS41,AS42)</f>
        <v>1220.385</v>
      </c>
      <c r="AT43" s="12" t="n">
        <f aca="false">SUM(AT35,AT36,AT37,AT38,AT39,AT40,AT41,AT42)</f>
        <v>1179.316</v>
      </c>
    </row>
    <row r="44" customFormat="false" ht="14.25" hidden="false" customHeight="true" outlineLevel="0" collapsed="false">
      <c r="A44" s="8" t="s">
        <v>132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customFormat="false" ht="15" hidden="false" customHeight="true" outlineLevel="0" collapsed="false">
      <c r="A45" s="4" t="s">
        <v>133</v>
      </c>
      <c r="B45" s="9" t="n">
        <v>0.002</v>
      </c>
      <c r="C45" s="9" t="n">
        <v>0.002</v>
      </c>
      <c r="D45" s="9" t="n">
        <v>0.002</v>
      </c>
      <c r="E45" s="9" t="n">
        <v>0.002</v>
      </c>
      <c r="F45" s="9" t="n">
        <v>0.002</v>
      </c>
      <c r="G45" s="9" t="n">
        <v>0.002</v>
      </c>
      <c r="H45" s="9" t="n">
        <v>0.002</v>
      </c>
      <c r="I45" s="9" t="n">
        <v>0.002</v>
      </c>
      <c r="J45" s="9" t="n">
        <v>0.002</v>
      </c>
      <c r="K45" s="9" t="n">
        <v>0.002</v>
      </c>
      <c r="L45" s="9" t="n">
        <v>0.002</v>
      </c>
      <c r="M45" s="9" t="n">
        <v>0.002</v>
      </c>
      <c r="N45" s="9" t="n">
        <v>0.002</v>
      </c>
      <c r="O45" s="9" t="n">
        <v>0.002</v>
      </c>
      <c r="P45" s="9" t="n">
        <v>0.002</v>
      </c>
      <c r="Q45" s="9" t="n">
        <v>0.002</v>
      </c>
      <c r="R45" s="9" t="n">
        <v>0.002</v>
      </c>
      <c r="S45" s="9" t="n">
        <v>0.002</v>
      </c>
      <c r="T45" s="9" t="n">
        <v>0.002</v>
      </c>
      <c r="U45" s="9" t="n">
        <v>0.002</v>
      </c>
      <c r="V45" s="9" t="n">
        <v>0.002</v>
      </c>
      <c r="W45" s="9" t="n">
        <v>0.002</v>
      </c>
      <c r="X45" s="9" t="n">
        <v>0.002</v>
      </c>
      <c r="Y45" s="9" t="n">
        <v>0.002</v>
      </c>
      <c r="Z45" s="9" t="n">
        <v>0.002</v>
      </c>
      <c r="AA45" s="9" t="n">
        <v>0.002</v>
      </c>
      <c r="AB45" s="9" t="n">
        <v>0.002</v>
      </c>
      <c r="AC45" s="9" t="n">
        <v>0.002</v>
      </c>
      <c r="AD45" s="9" t="n">
        <v>0.002</v>
      </c>
      <c r="AE45" s="9" t="n">
        <v>0.002</v>
      </c>
      <c r="AF45" s="9" t="n">
        <v>0.002</v>
      </c>
      <c r="AG45" s="9" t="n">
        <v>0.004</v>
      </c>
      <c r="AH45" s="9" t="n">
        <v>0.004</v>
      </c>
      <c r="AI45" s="9" t="n">
        <v>0.004</v>
      </c>
      <c r="AJ45" s="9" t="n">
        <v>0.004</v>
      </c>
      <c r="AK45" s="9" t="n">
        <v>0.004</v>
      </c>
      <c r="AL45" s="9" t="n">
        <v>0.004</v>
      </c>
      <c r="AM45" s="9" t="n">
        <v>0.004</v>
      </c>
      <c r="AN45" s="9" t="n">
        <v>0.004</v>
      </c>
      <c r="AO45" s="9" t="n">
        <v>0.004</v>
      </c>
      <c r="AP45" s="9" t="n">
        <v>0.004</v>
      </c>
      <c r="AQ45" s="9" t="n">
        <v>0.004</v>
      </c>
      <c r="AR45" s="9" t="n">
        <v>0.006</v>
      </c>
      <c r="AS45" s="9" t="n">
        <v>0.006</v>
      </c>
      <c r="AT45" s="9" t="n">
        <v>0.006</v>
      </c>
    </row>
    <row r="46" customFormat="false" ht="15" hidden="false" customHeight="true" outlineLevel="0" collapsed="false">
      <c r="A46" s="4" t="s">
        <v>134</v>
      </c>
      <c r="B46" s="9" t="n">
        <v>147.374</v>
      </c>
      <c r="C46" s="9" t="n">
        <v>148.293</v>
      </c>
      <c r="D46" s="9" t="n">
        <v>150.337</v>
      </c>
      <c r="E46" s="9" t="n">
        <v>151.269</v>
      </c>
      <c r="F46" s="9" t="n">
        <v>152.942</v>
      </c>
      <c r="G46" s="9" t="n">
        <v>154.274</v>
      </c>
      <c r="H46" s="9" t="n">
        <v>155.853</v>
      </c>
      <c r="I46" s="9" t="n">
        <v>156.667</v>
      </c>
      <c r="J46" s="9" t="n">
        <v>157.96</v>
      </c>
      <c r="K46" s="9" t="n">
        <v>162.15</v>
      </c>
      <c r="L46" s="9" t="n">
        <v>165.359</v>
      </c>
      <c r="M46" s="9" t="n">
        <v>166.993</v>
      </c>
      <c r="N46" s="9" t="n">
        <v>168.735</v>
      </c>
      <c r="O46" s="9" t="n">
        <v>170.139</v>
      </c>
      <c r="P46" s="9" t="n">
        <v>170.789</v>
      </c>
      <c r="Q46" s="9" t="n">
        <v>171.867</v>
      </c>
      <c r="R46" s="9" t="n">
        <v>174.891</v>
      </c>
      <c r="S46" s="9" t="n">
        <v>176.216</v>
      </c>
      <c r="T46" s="9" t="n">
        <v>177.207</v>
      </c>
      <c r="U46" s="9" t="n">
        <v>178.55</v>
      </c>
      <c r="V46" s="9" t="n">
        <v>180.051</v>
      </c>
      <c r="W46" s="9" t="n">
        <v>181.481</v>
      </c>
      <c r="X46" s="9" t="n">
        <v>181.406</v>
      </c>
      <c r="Y46" s="9" t="n">
        <v>183.298</v>
      </c>
      <c r="Z46" s="9" t="n">
        <v>184.366</v>
      </c>
      <c r="AA46" s="9" t="n">
        <v>260.327</v>
      </c>
      <c r="AB46" s="9" t="n">
        <v>261.192</v>
      </c>
      <c r="AC46" s="9" t="n">
        <v>261.612</v>
      </c>
      <c r="AD46" s="9" t="n">
        <v>265.885</v>
      </c>
      <c r="AE46" s="9" t="n">
        <v>267.248</v>
      </c>
      <c r="AF46" s="9" t="n">
        <v>268.641</v>
      </c>
      <c r="AG46" s="9" t="n">
        <v>283.789</v>
      </c>
      <c r="AH46" s="9" t="n">
        <v>295.07</v>
      </c>
      <c r="AI46" s="9" t="n">
        <v>384.397</v>
      </c>
      <c r="AJ46" s="9" t="n">
        <v>386.14</v>
      </c>
      <c r="AK46" s="9" t="n">
        <v>589.047</v>
      </c>
      <c r="AL46" s="9" t="n">
        <v>593.228</v>
      </c>
      <c r="AM46" s="9" t="n">
        <v>597.646</v>
      </c>
      <c r="AN46" s="9" t="n">
        <v>598.735</v>
      </c>
      <c r="AO46" s="9" t="n">
        <v>604.225</v>
      </c>
      <c r="AP46" s="9" t="n">
        <v>609.606</v>
      </c>
      <c r="AQ46" s="9" t="n">
        <v>618.711</v>
      </c>
      <c r="AR46" s="9" t="n">
        <v>4226.01</v>
      </c>
      <c r="AS46" s="9" t="n">
        <v>4234.46</v>
      </c>
      <c r="AT46" s="9" t="n">
        <v>4244.42</v>
      </c>
    </row>
    <row r="47" customFormat="false" ht="15" hidden="false" customHeight="true" outlineLevel="0" collapsed="false">
      <c r="A47" s="4" t="s">
        <v>135</v>
      </c>
      <c r="B47" s="9" t="n">
        <v>-1.441</v>
      </c>
      <c r="C47" s="9" t="n">
        <v>-1.358</v>
      </c>
      <c r="D47" s="9" t="n">
        <v>-0.226</v>
      </c>
      <c r="E47" s="9" t="n">
        <v>-0.201</v>
      </c>
      <c r="F47" s="9" t="n">
        <v>-0.194</v>
      </c>
      <c r="G47" s="9" t="n">
        <v>-0.201</v>
      </c>
      <c r="H47" s="9" t="n">
        <v>-0.183</v>
      </c>
      <c r="I47" s="9" t="n">
        <v>-0.158</v>
      </c>
      <c r="J47" s="9" t="n">
        <v>-0.169</v>
      </c>
      <c r="K47" s="9" t="n">
        <v>-0.127</v>
      </c>
      <c r="L47" s="9" t="n">
        <v>-0.125</v>
      </c>
      <c r="M47" s="9" t="n">
        <v>-0.098</v>
      </c>
      <c r="N47" s="9" t="n">
        <v>-0.025</v>
      </c>
      <c r="O47" s="9" t="n">
        <v>-0.021</v>
      </c>
      <c r="P47" s="9" t="n">
        <v>0.016</v>
      </c>
      <c r="Q47" s="9" t="n">
        <v>0.005</v>
      </c>
      <c r="R47" s="9" t="n">
        <v>0.004</v>
      </c>
      <c r="S47" s="9" t="n">
        <v>0.002</v>
      </c>
      <c r="T47" s="9" t="n">
        <v>0.171</v>
      </c>
      <c r="U47" s="9" t="n">
        <v>0.181</v>
      </c>
      <c r="V47" s="9" t="n">
        <v>0.069</v>
      </c>
      <c r="W47" s="9" t="n">
        <v>0.328</v>
      </c>
      <c r="X47" s="9" t="n">
        <v>0.351</v>
      </c>
      <c r="Y47" s="9" t="n">
        <v>0.342</v>
      </c>
      <c r="Z47" s="9" t="n">
        <v>0.347</v>
      </c>
      <c r="AA47" s="9" t="n">
        <v>0.343</v>
      </c>
      <c r="AB47" s="9" t="n">
        <v>-0.394</v>
      </c>
      <c r="AC47" s="9" t="n">
        <v>-1.677</v>
      </c>
      <c r="AD47" s="9" t="n">
        <v>-3.434</v>
      </c>
      <c r="AE47" s="9" t="n">
        <v>-6.514</v>
      </c>
      <c r="AF47" s="9" t="n">
        <v>-7.558</v>
      </c>
      <c r="AG47" s="9" t="n">
        <v>-8.48</v>
      </c>
      <c r="AH47" s="9" t="n">
        <v>-5.055</v>
      </c>
      <c r="AI47" s="9" t="n">
        <v>-4.452</v>
      </c>
      <c r="AJ47" s="9" t="n">
        <v>-4.515</v>
      </c>
      <c r="AK47" s="9" t="n">
        <v>-6.077</v>
      </c>
      <c r="AL47" s="9" t="n">
        <v>-4.888</v>
      </c>
      <c r="AM47" s="9" t="n">
        <v>-5.592</v>
      </c>
      <c r="AN47" s="9" t="n">
        <v>-5.054</v>
      </c>
      <c r="AO47" s="9" t="n">
        <v>-5.228</v>
      </c>
      <c r="AP47" s="9" t="n">
        <v>-6.197</v>
      </c>
      <c r="AQ47" s="9" t="n">
        <v>-6.514</v>
      </c>
      <c r="AR47" s="9" t="n">
        <v>-5.875</v>
      </c>
      <c r="AS47" s="9" t="n">
        <v>-6.222</v>
      </c>
      <c r="AT47" s="9" t="n">
        <v>-5.514</v>
      </c>
    </row>
    <row r="48" customFormat="false" ht="15" hidden="false" customHeight="true" outlineLevel="0" collapsed="false">
      <c r="A48" s="4" t="s">
        <v>136</v>
      </c>
      <c r="B48" s="9" t="n">
        <v>194.895</v>
      </c>
      <c r="C48" s="9" t="n">
        <v>201.975</v>
      </c>
      <c r="D48" s="9" t="n">
        <v>194.994</v>
      </c>
      <c r="E48" s="9" t="n">
        <v>195.657</v>
      </c>
      <c r="F48" s="9" t="n">
        <v>201.821</v>
      </c>
      <c r="G48" s="9" t="n">
        <v>207.45</v>
      </c>
      <c r="H48" s="9" t="n">
        <v>195.808</v>
      </c>
      <c r="I48" s="9" t="n">
        <v>191.636</v>
      </c>
      <c r="J48" s="9" t="n">
        <v>189.453</v>
      </c>
      <c r="K48" s="9" t="n">
        <v>219.929</v>
      </c>
      <c r="L48" s="9" t="n">
        <v>215.486</v>
      </c>
      <c r="M48" s="9" t="n">
        <v>222.504</v>
      </c>
      <c r="N48" s="9" t="n">
        <v>221.676</v>
      </c>
      <c r="O48" s="9" t="n">
        <v>238.913</v>
      </c>
      <c r="P48" s="9" t="n">
        <v>266.243</v>
      </c>
      <c r="Q48" s="9" t="n">
        <v>272.3</v>
      </c>
      <c r="R48" s="9" t="n">
        <v>280.669</v>
      </c>
      <c r="S48" s="9" t="n">
        <v>286.351</v>
      </c>
      <c r="T48" s="9" t="n">
        <v>304.126</v>
      </c>
      <c r="U48" s="9" t="n">
        <v>311.627</v>
      </c>
      <c r="V48" s="9" t="n">
        <v>310.619</v>
      </c>
      <c r="W48" s="9" t="n">
        <v>328.09</v>
      </c>
      <c r="X48" s="9" t="n">
        <v>338.17</v>
      </c>
      <c r="Y48" s="9" t="n">
        <v>340.264</v>
      </c>
      <c r="Z48" s="9" t="n">
        <v>340.475</v>
      </c>
      <c r="AA48" s="9" t="n">
        <v>351.421</v>
      </c>
      <c r="AB48" s="9" t="n">
        <v>337.44</v>
      </c>
      <c r="AC48" s="9" t="n">
        <v>339.965</v>
      </c>
      <c r="AD48" s="9" t="n">
        <v>339.975</v>
      </c>
      <c r="AE48" s="9" t="n">
        <v>347.233</v>
      </c>
      <c r="AF48" s="9" t="n">
        <v>338.838</v>
      </c>
      <c r="AG48" s="9" t="n">
        <v>332.17</v>
      </c>
      <c r="AH48" s="9" t="n">
        <v>331.494</v>
      </c>
      <c r="AI48" s="9" t="n">
        <v>171.021</v>
      </c>
      <c r="AJ48" s="9" t="n">
        <v>192.916</v>
      </c>
      <c r="AK48" s="9" t="n">
        <v>210.756</v>
      </c>
      <c r="AL48" s="9" t="n">
        <v>224.641</v>
      </c>
      <c r="AM48" s="9" t="n">
        <v>230.687</v>
      </c>
      <c r="AN48" s="9" t="n">
        <v>251.853</v>
      </c>
      <c r="AO48" s="9" t="n">
        <v>259.396</v>
      </c>
      <c r="AP48" s="9" t="n">
        <v>257.642</v>
      </c>
      <c r="AQ48" s="9" t="n">
        <v>274.306</v>
      </c>
      <c r="AR48" s="9" t="n">
        <v>206.936</v>
      </c>
      <c r="AS48" s="9" t="n">
        <v>189.833</v>
      </c>
      <c r="AT48" s="9" t="n">
        <v>-53.99</v>
      </c>
    </row>
    <row r="49" customFormat="false" ht="15" hidden="false" customHeight="true" outlineLevel="0" collapsed="false">
      <c r="A49" s="11" t="s">
        <v>137</v>
      </c>
      <c r="B49" s="12" t="n">
        <f aca="false">SUM(B45,B46,B47,B48)</f>
        <v>340.83</v>
      </c>
      <c r="C49" s="12" t="n">
        <f aca="false">SUM(C45,C46,C47,C48)</f>
        <v>348.912</v>
      </c>
      <c r="D49" s="12" t="n">
        <f aca="false">SUM(D45,D46,D47,D48)</f>
        <v>345.107</v>
      </c>
      <c r="E49" s="12" t="n">
        <f aca="false">SUM(E45,E46,E47,E48)</f>
        <v>346.727</v>
      </c>
      <c r="F49" s="12" t="n">
        <f aca="false">SUM(F45,F46,F47,F48)</f>
        <v>354.571</v>
      </c>
      <c r="G49" s="12" t="n">
        <f aca="false">SUM(G45,G46,G47,G48)</f>
        <v>361.525</v>
      </c>
      <c r="H49" s="12" t="n">
        <f aca="false">SUM(H45,H46,H47,H48)</f>
        <v>351.48</v>
      </c>
      <c r="I49" s="12" t="n">
        <f aca="false">SUM(I45,I46,I47,I48)</f>
        <v>348.147</v>
      </c>
      <c r="J49" s="12" t="n">
        <f aca="false">SUM(J45,J46,J47,J48)</f>
        <v>347.246</v>
      </c>
      <c r="K49" s="12" t="n">
        <f aca="false">SUM(K45,K46,K47,K48)</f>
        <v>381.954</v>
      </c>
      <c r="L49" s="12" t="n">
        <f aca="false">SUM(L45,L46,L47,L48)</f>
        <v>380.722</v>
      </c>
      <c r="M49" s="12" t="n">
        <f aca="false">SUM(M45,M46,M47,M48)</f>
        <v>389.401</v>
      </c>
      <c r="N49" s="12" t="n">
        <f aca="false">SUM(N45,N46,N47,N48)</f>
        <v>390.388</v>
      </c>
      <c r="O49" s="12" t="n">
        <f aca="false">SUM(O45,O46,O47,O48)</f>
        <v>409.033</v>
      </c>
      <c r="P49" s="12" t="n">
        <f aca="false">SUM(P45,P46,P47,P48)</f>
        <v>437.05</v>
      </c>
      <c r="Q49" s="12" t="n">
        <f aca="false">SUM(Q45,Q46,Q47,Q48)</f>
        <v>444.174</v>
      </c>
      <c r="R49" s="12" t="n">
        <f aca="false">SUM(R45,R46,R47,R48)</f>
        <v>455.566</v>
      </c>
      <c r="S49" s="12" t="n">
        <f aca="false">SUM(S45,S46,S47,S48)</f>
        <v>462.571</v>
      </c>
      <c r="T49" s="12" t="n">
        <f aca="false">SUM(T45,T46,T47,T48)</f>
        <v>481.506</v>
      </c>
      <c r="U49" s="12" t="n">
        <f aca="false">SUM(U45,U46,U47,U48)</f>
        <v>490.36</v>
      </c>
      <c r="V49" s="12" t="n">
        <f aca="false">SUM(V45,V46,V47,V48)</f>
        <v>490.741</v>
      </c>
      <c r="W49" s="12" t="n">
        <f aca="false">SUM(W45,W46,W47,W48)</f>
        <v>509.901</v>
      </c>
      <c r="X49" s="12" t="n">
        <f aca="false">SUM(X45,X46,X47,X48)</f>
        <v>519.929</v>
      </c>
      <c r="Y49" s="12" t="n">
        <f aca="false">SUM(Y45,Y46,Y47,Y48)</f>
        <v>523.906</v>
      </c>
      <c r="Z49" s="12" t="n">
        <f aca="false">SUM(Z45,Z46,Z47,Z48)</f>
        <v>525.19</v>
      </c>
      <c r="AA49" s="12" t="n">
        <f aca="false">SUM(AA45,AA46,AA47,AA48)</f>
        <v>612.093</v>
      </c>
      <c r="AB49" s="12" t="n">
        <f aca="false">SUM(AB45,AB46,AB47,AB48)</f>
        <v>598.24</v>
      </c>
      <c r="AC49" s="12" t="n">
        <f aca="false">SUM(AC45,AC46,AC47,AC48)</f>
        <v>599.902</v>
      </c>
      <c r="AD49" s="12" t="n">
        <f aca="false">SUM(AD45,AD46,AD47,AD48)</f>
        <v>602.428</v>
      </c>
      <c r="AE49" s="12" t="n">
        <f aca="false">SUM(AE45,AE46,AE47,AE48)</f>
        <v>607.969</v>
      </c>
      <c r="AF49" s="12" t="n">
        <f aca="false">SUM(AF45,AF46,AF47,AF48)</f>
        <v>599.923</v>
      </c>
      <c r="AG49" s="12" t="n">
        <f aca="false">SUM(AG45,AG46,AG47,AG48)</f>
        <v>607.483</v>
      </c>
      <c r="AH49" s="12" t="n">
        <f aca="false">SUM(AH45,AH46,AH47,AH48)</f>
        <v>621.513</v>
      </c>
      <c r="AI49" s="12" t="n">
        <f aca="false">SUM(AI45,AI46,AI47,AI48)</f>
        <v>550.97</v>
      </c>
      <c r="AJ49" s="12" t="n">
        <f aca="false">SUM(AJ45,AJ46,AJ47,AJ48)</f>
        <v>574.545</v>
      </c>
      <c r="AK49" s="12" t="n">
        <f aca="false">SUM(AK45,AK46,AK47,AK48)</f>
        <v>793.73</v>
      </c>
      <c r="AL49" s="12" t="n">
        <f aca="false">SUM(AL45,AL46,AL47,AL48)</f>
        <v>812.985</v>
      </c>
      <c r="AM49" s="12" t="n">
        <f aca="false">SUM(AM45,AM46,AM47,AM48)</f>
        <v>822.745</v>
      </c>
      <c r="AN49" s="12" t="n">
        <f aca="false">SUM(AN45,AN46,AN47,AN48)</f>
        <v>845.538</v>
      </c>
      <c r="AO49" s="12" t="n">
        <f aca="false">SUM(AO45,AO46,AO47,AO48)</f>
        <v>858.397</v>
      </c>
      <c r="AP49" s="12" t="n">
        <f aca="false">SUM(AP45,AP46,AP47,AP48)</f>
        <v>861.055</v>
      </c>
      <c r="AQ49" s="12" t="n">
        <f aca="false">SUM(AQ45,AQ46,AQ47,AQ48)</f>
        <v>886.507</v>
      </c>
      <c r="AR49" s="12" t="n">
        <f aca="false">SUM(AR45,AR46,AR47,AR48)</f>
        <v>4427.077</v>
      </c>
      <c r="AS49" s="12" t="n">
        <f aca="false">SUM(AS45,AS46,AS47,AS48)</f>
        <v>4418.077</v>
      </c>
      <c r="AT49" s="12" t="n">
        <f aca="false">SUM(AT45,AT46,AT47,AT48)</f>
        <v>4184.922</v>
      </c>
    </row>
    <row r="50" customFormat="false" ht="15" hidden="false" customHeight="true" outlineLevel="0" collapsed="false">
      <c r="A50" s="4" t="s">
        <v>138</v>
      </c>
      <c r="B50" s="9"/>
      <c r="C50" s="9"/>
      <c r="D50" s="9"/>
      <c r="E50" s="9"/>
      <c r="F50" s="9"/>
      <c r="G50" s="9"/>
      <c r="H50" s="9"/>
      <c r="I50" s="9"/>
      <c r="J50" s="9"/>
      <c r="K50" s="9" t="n">
        <v>0.239</v>
      </c>
      <c r="L50" s="9" t="n">
        <v>0.216</v>
      </c>
      <c r="M50" s="9" t="n">
        <v>0.009</v>
      </c>
      <c r="N50" s="9" t="n">
        <v>0.001</v>
      </c>
      <c r="O50" s="9" t="n">
        <v>0.023</v>
      </c>
      <c r="P50" s="9" t="n">
        <v>0.009</v>
      </c>
      <c r="Q50" s="9" t="n">
        <v>0.002</v>
      </c>
      <c r="R50" s="9" t="n">
        <v>-0.017</v>
      </c>
      <c r="S50" s="9" t="n">
        <v>0.004</v>
      </c>
      <c r="T50" s="9" t="n">
        <v>-0.007</v>
      </c>
      <c r="U50" s="9" t="n">
        <v>-0.003</v>
      </c>
      <c r="V50" s="9" t="n">
        <v>-0.023</v>
      </c>
      <c r="W50" s="9"/>
      <c r="X50" s="9" t="n">
        <v>-0.037</v>
      </c>
      <c r="Y50" s="9" t="n">
        <v>-0.059</v>
      </c>
      <c r="Z50" s="9" t="n">
        <v>-0.012</v>
      </c>
      <c r="AA50" s="9" t="n">
        <v>0.014</v>
      </c>
      <c r="AB50" s="9" t="n">
        <v>0.077</v>
      </c>
      <c r="AC50" s="9" t="n">
        <v>0.332</v>
      </c>
      <c r="AD50" s="9" t="n">
        <v>0.287</v>
      </c>
      <c r="AE50" s="9" t="n">
        <v>0.241</v>
      </c>
      <c r="AF50" s="9" t="n">
        <v>0.247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</row>
    <row r="51" customFormat="false" ht="15" hidden="false" customHeight="true" outlineLevel="0" collapsed="false">
      <c r="A51" s="11" t="s">
        <v>139</v>
      </c>
      <c r="B51" s="12" t="n">
        <f aca="false">SUM(B49,B50)</f>
        <v>340.83</v>
      </c>
      <c r="C51" s="12" t="n">
        <f aca="false">SUM(C49,C50)</f>
        <v>348.912</v>
      </c>
      <c r="D51" s="12" t="n">
        <f aca="false">SUM(D49,D50)</f>
        <v>345.107</v>
      </c>
      <c r="E51" s="12" t="n">
        <f aca="false">SUM(E49,E50)</f>
        <v>346.727</v>
      </c>
      <c r="F51" s="12" t="n">
        <f aca="false">SUM(F49,F50)</f>
        <v>354.571</v>
      </c>
      <c r="G51" s="12" t="n">
        <f aca="false">SUM(G49,G50)</f>
        <v>361.525</v>
      </c>
      <c r="H51" s="12" t="n">
        <f aca="false">SUM(H49,H50)</f>
        <v>351.48</v>
      </c>
      <c r="I51" s="12" t="n">
        <f aca="false">SUM(I49,I50)</f>
        <v>348.147</v>
      </c>
      <c r="J51" s="12" t="n">
        <f aca="false">SUM(J49,J50)</f>
        <v>347.246</v>
      </c>
      <c r="K51" s="12" t="n">
        <f aca="false">SUM(K49,K50)</f>
        <v>382.193</v>
      </c>
      <c r="L51" s="12" t="n">
        <f aca="false">SUM(L49,L50)</f>
        <v>380.938</v>
      </c>
      <c r="M51" s="12" t="n">
        <f aca="false">SUM(M49,M50)</f>
        <v>389.41</v>
      </c>
      <c r="N51" s="12" t="n">
        <f aca="false">SUM(N49,N50)</f>
        <v>390.389</v>
      </c>
      <c r="O51" s="12" t="n">
        <f aca="false">SUM(O49,O50)</f>
        <v>409.056</v>
      </c>
      <c r="P51" s="12" t="n">
        <f aca="false">SUM(P49,P50)</f>
        <v>437.059</v>
      </c>
      <c r="Q51" s="12" t="n">
        <f aca="false">SUM(Q49,Q50)</f>
        <v>444.176</v>
      </c>
      <c r="R51" s="12" t="n">
        <f aca="false">SUM(R49,R50)</f>
        <v>455.549</v>
      </c>
      <c r="S51" s="12" t="n">
        <f aca="false">SUM(S49,S50)</f>
        <v>462.575</v>
      </c>
      <c r="T51" s="12" t="n">
        <f aca="false">SUM(T49,T50)</f>
        <v>481.499</v>
      </c>
      <c r="U51" s="12" t="n">
        <f aca="false">SUM(U49,U50)</f>
        <v>490.357</v>
      </c>
      <c r="V51" s="12" t="n">
        <f aca="false">SUM(V49,V50)</f>
        <v>490.718</v>
      </c>
      <c r="W51" s="12" t="n">
        <f aca="false">SUM(W49,W50)</f>
        <v>509.901</v>
      </c>
      <c r="X51" s="12" t="n">
        <f aca="false">SUM(X49,X50)</f>
        <v>519.892</v>
      </c>
      <c r="Y51" s="12" t="n">
        <f aca="false">SUM(Y49,Y50)</f>
        <v>523.847</v>
      </c>
      <c r="Z51" s="12" t="n">
        <f aca="false">SUM(Z49,Z50)</f>
        <v>525.178</v>
      </c>
      <c r="AA51" s="12" t="n">
        <f aca="false">SUM(AA49,AA50)</f>
        <v>612.107</v>
      </c>
      <c r="AB51" s="12" t="n">
        <f aca="false">SUM(AB49,AB50)</f>
        <v>598.317</v>
      </c>
      <c r="AC51" s="12" t="n">
        <f aca="false">SUM(AC49,AC50)</f>
        <v>600.234</v>
      </c>
      <c r="AD51" s="12" t="n">
        <f aca="false">SUM(AD49,AD50)</f>
        <v>602.715</v>
      </c>
      <c r="AE51" s="12" t="n">
        <f aca="false">SUM(AE49,AE50)</f>
        <v>608.21</v>
      </c>
      <c r="AF51" s="12" t="n">
        <f aca="false">SUM(AF49,AF50)</f>
        <v>600.17</v>
      </c>
      <c r="AG51" s="12" t="n">
        <f aca="false">SUM(AG49,AG50)</f>
        <v>607.483</v>
      </c>
      <c r="AH51" s="12" t="n">
        <f aca="false">SUM(AH49,AH50)</f>
        <v>621.513</v>
      </c>
      <c r="AI51" s="12" t="n">
        <f aca="false">SUM(AI49,AI50)</f>
        <v>550.97</v>
      </c>
      <c r="AJ51" s="12" t="n">
        <f aca="false">SUM(AJ49,AJ50)</f>
        <v>574.545</v>
      </c>
      <c r="AK51" s="12" t="n">
        <f aca="false">SUM(AK49,AK50)</f>
        <v>793.73</v>
      </c>
      <c r="AL51" s="12" t="n">
        <f aca="false">SUM(AL49,AL50)</f>
        <v>812.985</v>
      </c>
      <c r="AM51" s="12" t="n">
        <f aca="false">SUM(AM49,AM50)</f>
        <v>822.745</v>
      </c>
      <c r="AN51" s="12" t="n">
        <f aca="false">SUM(AN49,AN50)</f>
        <v>845.538</v>
      </c>
      <c r="AO51" s="12" t="n">
        <f aca="false">SUM(AO49,AO50)</f>
        <v>858.397</v>
      </c>
      <c r="AP51" s="12" t="n">
        <f aca="false">SUM(AP49,AP50)</f>
        <v>861.055</v>
      </c>
      <c r="AQ51" s="12" t="n">
        <f aca="false">SUM(AQ49,AQ50)</f>
        <v>886.507</v>
      </c>
      <c r="AR51" s="12" t="n">
        <f aca="false">SUM(AR49,AR50)</f>
        <v>4427.077</v>
      </c>
      <c r="AS51" s="12" t="n">
        <f aca="false">SUM(AS49,AS50)</f>
        <v>4418.077</v>
      </c>
      <c r="AT51" s="12" t="n">
        <f aca="false">SUM(AT49,AT50)</f>
        <v>4184.922</v>
      </c>
    </row>
    <row r="52" customFormat="false" ht="15" hidden="false" customHeight="true" outlineLevel="0" collapsed="false">
      <c r="A52" s="11" t="s">
        <v>140</v>
      </c>
      <c r="B52" s="12" t="n">
        <f aca="false">SUM(B43,B51)</f>
        <v>386.471</v>
      </c>
      <c r="C52" s="12" t="n">
        <f aca="false">SUM(C43,C51)</f>
        <v>397.467</v>
      </c>
      <c r="D52" s="12" t="n">
        <f aca="false">SUM(D43,D51)</f>
        <v>383.274</v>
      </c>
      <c r="E52" s="12" t="n">
        <f aca="false">SUM(E43,E51)</f>
        <v>380.029</v>
      </c>
      <c r="F52" s="12" t="n">
        <f aca="false">SUM(F43,F51)</f>
        <v>389.491</v>
      </c>
      <c r="G52" s="12" t="n">
        <f aca="false">SUM(G43,G51)</f>
        <v>410.658</v>
      </c>
      <c r="H52" s="12" t="n">
        <f aca="false">SUM(H43,H51)</f>
        <v>389.534</v>
      </c>
      <c r="I52" s="12" t="n">
        <f aca="false">SUM(I43,I51)</f>
        <v>389.898</v>
      </c>
      <c r="J52" s="12" t="n">
        <f aca="false">SUM(J43,J51)</f>
        <v>387.456</v>
      </c>
      <c r="K52" s="12" t="n">
        <f aca="false">SUM(K43,K51)</f>
        <v>432.5</v>
      </c>
      <c r="L52" s="12" t="n">
        <f aca="false">SUM(L43,L51)</f>
        <v>420.739</v>
      </c>
      <c r="M52" s="12" t="n">
        <f aca="false">SUM(M43,M51)</f>
        <v>429.263</v>
      </c>
      <c r="N52" s="12" t="n">
        <f aca="false">SUM(N43,N51)</f>
        <v>432.845</v>
      </c>
      <c r="O52" s="12" t="n">
        <f aca="false">SUM(O43,O51)</f>
        <v>473.418</v>
      </c>
      <c r="P52" s="12" t="n">
        <f aca="false">SUM(P43,P51)</f>
        <v>480.361</v>
      </c>
      <c r="Q52" s="12" t="n">
        <f aca="false">SUM(Q43,Q51)</f>
        <v>486.567</v>
      </c>
      <c r="R52" s="12" t="n">
        <f aca="false">SUM(R43,R51)</f>
        <v>498.963</v>
      </c>
      <c r="S52" s="12" t="n">
        <f aca="false">SUM(S43,S51)</f>
        <v>508.844</v>
      </c>
      <c r="T52" s="12" t="n">
        <f aca="false">SUM(T43,T51)</f>
        <v>534.582</v>
      </c>
      <c r="U52" s="12" t="n">
        <f aca="false">SUM(U43,U51)</f>
        <v>544.493</v>
      </c>
      <c r="V52" s="12" t="n">
        <f aca="false">SUM(V43,V51)</f>
        <v>559.08</v>
      </c>
      <c r="W52" s="12" t="n">
        <f aca="false">SUM(W43,W51)</f>
        <v>584.954</v>
      </c>
      <c r="X52" s="12" t="n">
        <f aca="false">SUM(X43,X51)</f>
        <v>577.819</v>
      </c>
      <c r="Y52" s="12" t="n">
        <f aca="false">SUM(Y43,Y51)</f>
        <v>588.007</v>
      </c>
      <c r="Z52" s="12" t="n">
        <f aca="false">SUM(Z43,Z51)</f>
        <v>590.992</v>
      </c>
      <c r="AA52" s="12" t="n">
        <f aca="false">SUM(AA43,AA51)</f>
        <v>928.566</v>
      </c>
      <c r="AB52" s="12" t="n">
        <f aca="false">SUM(AB43,AB51)</f>
        <v>908.553</v>
      </c>
      <c r="AC52" s="12" t="n">
        <f aca="false">SUM(AC43,AC51)</f>
        <v>925.307</v>
      </c>
      <c r="AD52" s="12" t="n">
        <f aca="false">SUM(AD43,AD51)</f>
        <v>905.263</v>
      </c>
      <c r="AE52" s="12" t="n">
        <f aca="false">SUM(AE43,AE51)</f>
        <v>914.2</v>
      </c>
      <c r="AF52" s="12" t="n">
        <f aca="false">SUM(AF43,AF51)</f>
        <v>896.654</v>
      </c>
      <c r="AG52" s="12" t="n">
        <f aca="false">SUM(AG43,AG51)</f>
        <v>891.682</v>
      </c>
      <c r="AH52" s="12" t="n">
        <f aca="false">SUM(AH43,AH51)</f>
        <v>921.202</v>
      </c>
      <c r="AI52" s="12" t="n">
        <f aca="false">SUM(AI43,AI51)</f>
        <v>824.577</v>
      </c>
      <c r="AJ52" s="12" t="n">
        <f aca="false">SUM(AJ43,AJ51)</f>
        <v>826.06</v>
      </c>
      <c r="AK52" s="12" t="n">
        <f aca="false">SUM(AK43,AK51)</f>
        <v>1006.7</v>
      </c>
      <c r="AL52" s="12" t="n">
        <f aca="false">SUM(AL43,AL51)</f>
        <v>980.299</v>
      </c>
      <c r="AM52" s="12" t="n">
        <f aca="false">SUM(AM43,AM51)</f>
        <v>1015.86</v>
      </c>
      <c r="AN52" s="12" t="n">
        <f aca="false">SUM(AN43,AN51)</f>
        <v>999.169</v>
      </c>
      <c r="AO52" s="12" t="n">
        <f aca="false">SUM(AO43,AO51)</f>
        <v>1019.085</v>
      </c>
      <c r="AP52" s="12" t="n">
        <f aca="false">SUM(AP43,AP51)</f>
        <v>1048.143</v>
      </c>
      <c r="AQ52" s="12" t="n">
        <f aca="false">SUM(AQ43,AQ51)</f>
        <v>1120.567</v>
      </c>
      <c r="AR52" s="12" t="n">
        <f aca="false">SUM(AR43,AR51)</f>
        <v>5624.035</v>
      </c>
      <c r="AS52" s="12" t="n">
        <f aca="false">SUM(AS43,AS51)</f>
        <v>5638.462</v>
      </c>
      <c r="AT52" s="12" t="n">
        <f aca="false">SUM(AT43,AT51)</f>
        <v>5364.238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45" min="2" style="1" width="10.14"/>
  </cols>
  <sheetData>
    <row r="1" customFormat="false" ht="16.5" hidden="false" customHeight="true" outlineLevel="0" collapsed="false">
      <c r="A1" s="2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customFormat="false" ht="15" hidden="false" customHeight="true" outlineLevel="0" collapsed="false">
      <c r="A4" s="7" t="s">
        <v>4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  <c r="AF4" s="7" t="s">
        <v>36</v>
      </c>
      <c r="AG4" s="7" t="s">
        <v>37</v>
      </c>
      <c r="AH4" s="7" t="s">
        <v>38</v>
      </c>
      <c r="AI4" s="7" t="s">
        <v>39</v>
      </c>
      <c r="AJ4" s="7" t="s">
        <v>40</v>
      </c>
      <c r="AK4" s="7" t="s">
        <v>41</v>
      </c>
      <c r="AL4" s="7" t="s">
        <v>42</v>
      </c>
      <c r="AM4" s="7" t="s">
        <v>43</v>
      </c>
      <c r="AN4" s="7" t="s">
        <v>44</v>
      </c>
      <c r="AO4" s="7" t="s">
        <v>45</v>
      </c>
      <c r="AP4" s="7" t="s">
        <v>46</v>
      </c>
      <c r="AQ4" s="7" t="s">
        <v>47</v>
      </c>
      <c r="AR4" s="7" t="s">
        <v>48</v>
      </c>
      <c r="AS4" s="7" t="s">
        <v>49</v>
      </c>
    </row>
    <row r="5" customFormat="false" ht="14.25" hidden="false" customHeight="true" outlineLevel="0" collapsed="false">
      <c r="A5" s="8" t="s">
        <v>142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customFormat="false" ht="15" hidden="false" customHeight="true" outlineLevel="0" collapsed="false">
      <c r="A6" s="4" t="s">
        <v>143</v>
      </c>
      <c r="B6" s="9" t="n">
        <v>7.08</v>
      </c>
      <c r="C6" s="9" t="n">
        <v>-6.981</v>
      </c>
      <c r="D6" s="9" t="n">
        <v>4.419</v>
      </c>
      <c r="E6" s="9" t="n">
        <v>6.164</v>
      </c>
      <c r="F6" s="9" t="n">
        <v>5.364</v>
      </c>
      <c r="G6" s="9" t="n">
        <v>-11.642</v>
      </c>
      <c r="H6" s="9" t="n">
        <v>-4.172</v>
      </c>
      <c r="I6" s="9" t="n">
        <v>-2.183</v>
      </c>
      <c r="J6" s="9" t="n">
        <v>30.454</v>
      </c>
      <c r="K6" s="9" t="n">
        <v>-5.882</v>
      </c>
      <c r="L6" s="9" t="n">
        <v>7.517</v>
      </c>
      <c r="M6" s="9" t="n">
        <v>-0.785</v>
      </c>
      <c r="N6" s="9" t="n">
        <v>16.797</v>
      </c>
      <c r="O6" s="9" t="n">
        <v>27.316</v>
      </c>
      <c r="P6" s="9" t="n">
        <v>6.05</v>
      </c>
      <c r="Q6" s="9" t="n">
        <v>8.35</v>
      </c>
      <c r="R6" s="9" t="n">
        <v>5.703</v>
      </c>
      <c r="S6" s="9" t="n">
        <v>17.099</v>
      </c>
      <c r="T6" s="9" t="n">
        <v>7.505</v>
      </c>
      <c r="U6" s="9" t="n">
        <v>-1.028</v>
      </c>
      <c r="V6" s="9" t="n">
        <v>17.494</v>
      </c>
      <c r="W6" s="9" t="n">
        <v>10.043</v>
      </c>
      <c r="X6" s="9" t="n">
        <v>2.072</v>
      </c>
      <c r="Y6" s="9" t="n">
        <v>0.258</v>
      </c>
      <c r="Z6" s="9" t="n">
        <v>10.972</v>
      </c>
      <c r="AA6" s="9" t="n">
        <v>-13.918</v>
      </c>
      <c r="AB6" s="9" t="n">
        <v>2.556</v>
      </c>
      <c r="AC6" s="9" t="n">
        <v>-0.035</v>
      </c>
      <c r="AD6" s="9" t="n">
        <v>7.212</v>
      </c>
      <c r="AE6" s="9" t="n">
        <v>-8.389</v>
      </c>
      <c r="AF6" s="9" t="n">
        <v>-6.629</v>
      </c>
      <c r="AG6" s="9" t="n">
        <v>-0.676</v>
      </c>
      <c r="AH6" s="9" t="n">
        <v>-160.473</v>
      </c>
      <c r="AI6" s="9" t="n">
        <v>21.895</v>
      </c>
      <c r="AJ6" s="9" t="n">
        <v>17.84</v>
      </c>
      <c r="AK6" s="9" t="n">
        <v>13.885</v>
      </c>
      <c r="AL6" s="9" t="n">
        <v>6.046</v>
      </c>
      <c r="AM6" s="9" t="n">
        <v>21.166</v>
      </c>
      <c r="AN6" s="9" t="n">
        <v>7.543</v>
      </c>
      <c r="AO6" s="9" t="n">
        <v>-1.754</v>
      </c>
      <c r="AP6" s="9" t="n">
        <v>16.664</v>
      </c>
      <c r="AQ6" s="9" t="n">
        <v>-67.37</v>
      </c>
      <c r="AR6" s="9" t="n">
        <v>-17.103</v>
      </c>
      <c r="AS6" s="9" t="n">
        <v>-156.551</v>
      </c>
    </row>
    <row r="7" customFormat="false" ht="15" hidden="false" customHeight="true" outlineLevel="0" collapsed="false">
      <c r="A7" s="4" t="s">
        <v>144</v>
      </c>
      <c r="B7" s="9"/>
      <c r="C7" s="9"/>
      <c r="D7" s="9"/>
      <c r="E7" s="9"/>
      <c r="F7" s="9"/>
      <c r="G7" s="9"/>
      <c r="H7" s="9"/>
      <c r="I7" s="9"/>
      <c r="J7" s="9"/>
      <c r="K7" s="9" t="n">
        <v>1.488</v>
      </c>
      <c r="L7" s="9" t="n">
        <v>-1.488</v>
      </c>
      <c r="M7" s="9"/>
      <c r="N7" s="9"/>
      <c r="O7" s="9" t="n">
        <v>-8.843</v>
      </c>
      <c r="P7" s="9" t="n">
        <v>0.391</v>
      </c>
      <c r="Q7" s="9" t="n">
        <v>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customFormat="false" ht="15" hidden="false" customHeight="true" outlineLevel="0" collapsed="false">
      <c r="A8" s="4" t="s">
        <v>145</v>
      </c>
      <c r="B8" s="9"/>
      <c r="C8" s="9"/>
      <c r="D8" s="9"/>
      <c r="E8" s="9"/>
      <c r="F8" s="9"/>
      <c r="G8" s="9"/>
      <c r="H8" s="9"/>
      <c r="I8" s="9"/>
      <c r="J8" s="9"/>
      <c r="K8" s="9"/>
      <c r="L8" s="9" t="n">
        <v>1.521</v>
      </c>
      <c r="M8" s="9" t="n">
        <v>0.129</v>
      </c>
      <c r="N8" s="9" t="n">
        <v>-1.65</v>
      </c>
      <c r="O8" s="9" t="n">
        <v>1.05</v>
      </c>
      <c r="P8" s="9" t="n">
        <v>1.399</v>
      </c>
      <c r="Q8" s="9" t="n">
        <v>0.062</v>
      </c>
      <c r="R8" s="9" t="n">
        <v>0.453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</row>
    <row r="9" customFormat="false" ht="15" hidden="false" customHeight="true" outlineLevel="0" collapsed="false">
      <c r="A9" s="4" t="s">
        <v>146</v>
      </c>
      <c r="B9" s="9"/>
      <c r="C9" s="9"/>
      <c r="D9" s="9"/>
      <c r="E9" s="9"/>
      <c r="F9" s="9"/>
      <c r="G9" s="9"/>
      <c r="H9" s="9"/>
      <c r="I9" s="9"/>
      <c r="J9" s="9"/>
      <c r="K9" s="9" t="n">
        <v>-4.394</v>
      </c>
      <c r="L9" s="9" t="n">
        <v>7.55</v>
      </c>
      <c r="M9" s="9" t="n">
        <v>-0.656</v>
      </c>
      <c r="N9" s="9"/>
      <c r="O9" s="9" t="n">
        <v>20.323</v>
      </c>
      <c r="P9" s="9" t="n">
        <v>7.04</v>
      </c>
      <c r="Q9" s="9" t="n">
        <v>8.412</v>
      </c>
      <c r="R9" s="9" t="n">
        <v>6.118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customFormat="false" ht="15" hidden="false" customHeight="true" outlineLevel="0" collapsed="false">
      <c r="A10" s="4" t="s">
        <v>147</v>
      </c>
      <c r="B10" s="9" t="n">
        <v>1.998</v>
      </c>
      <c r="C10" s="9" t="n">
        <v>1.402</v>
      </c>
      <c r="D10" s="9" t="n">
        <v>1.363</v>
      </c>
      <c r="E10" s="9" t="n">
        <v>1.782</v>
      </c>
      <c r="F10" s="9" t="n">
        <v>1.527</v>
      </c>
      <c r="G10" s="9" t="n">
        <v>1.653</v>
      </c>
      <c r="H10" s="9" t="n">
        <v>1.748</v>
      </c>
      <c r="I10" s="9" t="n">
        <v>1.787</v>
      </c>
      <c r="J10" s="9" t="n">
        <v>1.866</v>
      </c>
      <c r="K10" s="9" t="n">
        <v>1.406</v>
      </c>
      <c r="L10" s="9" t="n">
        <v>1.378</v>
      </c>
      <c r="M10" s="9" t="n">
        <v>1.493</v>
      </c>
      <c r="N10" s="9" t="n">
        <v>1.705</v>
      </c>
      <c r="O10" s="9" t="n">
        <v>1.746</v>
      </c>
      <c r="P10" s="9" t="n">
        <v>1.838</v>
      </c>
      <c r="Q10" s="9" t="n">
        <v>1.946</v>
      </c>
      <c r="R10" s="9" t="n">
        <v>2.139</v>
      </c>
      <c r="S10" s="9" t="n">
        <v>2.079</v>
      </c>
      <c r="T10" s="9" t="n">
        <v>2.407</v>
      </c>
      <c r="U10" s="9" t="n">
        <v>2.621</v>
      </c>
      <c r="V10" s="9" t="n">
        <v>2.781</v>
      </c>
      <c r="W10" s="9" t="n">
        <v>2.779</v>
      </c>
      <c r="X10" s="9" t="n">
        <v>2.914</v>
      </c>
      <c r="Y10" s="9" t="n">
        <v>2.957</v>
      </c>
      <c r="Z10" s="9" t="n">
        <v>10.612</v>
      </c>
      <c r="AA10" s="9" t="n">
        <v>13.654</v>
      </c>
      <c r="AB10" s="9" t="n">
        <v>16.365</v>
      </c>
      <c r="AC10" s="9" t="n">
        <v>17.418</v>
      </c>
      <c r="AD10" s="9" t="n">
        <v>13.388</v>
      </c>
      <c r="AE10" s="9" t="n">
        <v>14</v>
      </c>
      <c r="AF10" s="9" t="n">
        <v>18.275</v>
      </c>
      <c r="AG10" s="9" t="n">
        <v>15.834</v>
      </c>
      <c r="AH10" s="9" t="n">
        <v>51.89</v>
      </c>
      <c r="AI10" s="9" t="n">
        <v>6.951</v>
      </c>
      <c r="AJ10" s="9" t="n">
        <v>8.436</v>
      </c>
      <c r="AK10" s="9" t="n">
        <v>9.582</v>
      </c>
      <c r="AL10" s="9" t="n">
        <v>10.78</v>
      </c>
      <c r="AM10" s="9" t="n">
        <v>8.852</v>
      </c>
      <c r="AN10" s="9" t="n">
        <v>9.002</v>
      </c>
      <c r="AO10" s="9" t="n">
        <v>9.29</v>
      </c>
      <c r="AP10" s="9" t="n">
        <v>13.854</v>
      </c>
      <c r="AQ10" s="9" t="n">
        <v>90.254</v>
      </c>
      <c r="AR10" s="9" t="n">
        <v>58.073</v>
      </c>
      <c r="AS10" s="9" t="n">
        <v>54.633</v>
      </c>
    </row>
    <row r="11" customFormat="false" ht="15" hidden="false" customHeight="true" outlineLevel="0" collapsed="false">
      <c r="A11" s="4" t="s">
        <v>148</v>
      </c>
      <c r="B11" s="9" t="n">
        <v>0.088</v>
      </c>
      <c r="C11" s="9" t="n">
        <v>0.065</v>
      </c>
      <c r="D11" s="9" t="n">
        <v>0.057</v>
      </c>
      <c r="E11" s="9" t="n">
        <v>0.126</v>
      </c>
      <c r="F11" s="9" t="n">
        <v>-0.11</v>
      </c>
      <c r="G11" s="9" t="n">
        <v>0.072</v>
      </c>
      <c r="H11" s="9" t="n">
        <v>0.039</v>
      </c>
      <c r="I11" s="9" t="n">
        <v>0.008</v>
      </c>
      <c r="J11" s="9"/>
      <c r="K11" s="9" t="n">
        <v>0.009</v>
      </c>
      <c r="L11" s="9"/>
      <c r="M11" s="9" t="n">
        <v>0.418</v>
      </c>
      <c r="N11" s="9"/>
      <c r="O11" s="9" t="n">
        <v>0.602</v>
      </c>
      <c r="P11" s="9" t="n">
        <v>0.752</v>
      </c>
      <c r="Q11" s="9" t="n">
        <v>0.717</v>
      </c>
      <c r="R11" s="9"/>
      <c r="S11" s="9" t="n">
        <v>1.347</v>
      </c>
      <c r="T11" s="9" t="n">
        <v>0.863</v>
      </c>
      <c r="U11" s="9" t="n">
        <v>1.2</v>
      </c>
      <c r="V11" s="9"/>
      <c r="W11" s="9" t="n">
        <v>1.288</v>
      </c>
      <c r="X11" s="9" t="n">
        <v>5.405</v>
      </c>
      <c r="Y11" s="9" t="n">
        <v>0.081</v>
      </c>
      <c r="Z11" s="9"/>
      <c r="AA11" s="9" t="n">
        <v>1.141</v>
      </c>
      <c r="AB11" s="9" t="n">
        <v>-1.661</v>
      </c>
      <c r="AC11" s="9" t="n">
        <v>-0.279</v>
      </c>
      <c r="AD11" s="9"/>
      <c r="AE11" s="9" t="n">
        <v>0.5</v>
      </c>
      <c r="AF11" s="9" t="n">
        <v>1.273</v>
      </c>
      <c r="AG11" s="9" t="n">
        <v>0.417</v>
      </c>
      <c r="AH11" s="9"/>
      <c r="AI11" s="9" t="n">
        <v>0.021</v>
      </c>
      <c r="AJ11" s="9" t="n">
        <v>1.393</v>
      </c>
      <c r="AK11" s="9" t="n">
        <v>0.08</v>
      </c>
      <c r="AL11" s="9" t="n">
        <v>0.18</v>
      </c>
      <c r="AM11" s="9" t="n">
        <v>-0.065</v>
      </c>
      <c r="AN11" s="9" t="n">
        <v>-0.5275</v>
      </c>
      <c r="AO11" s="9" t="n">
        <v>0</v>
      </c>
      <c r="AP11" s="9" t="n">
        <v>-3.782</v>
      </c>
      <c r="AQ11" s="9" t="n">
        <v>-1.787</v>
      </c>
      <c r="AR11" s="9" t="n">
        <v>-1.4915</v>
      </c>
      <c r="AS11" s="9" t="n">
        <v>0.295</v>
      </c>
    </row>
    <row r="12" customFormat="false" ht="15" hidden="false" customHeight="true" outlineLevel="0" collapsed="false">
      <c r="A12" s="4" t="s">
        <v>149</v>
      </c>
      <c r="B12" s="9"/>
      <c r="C12" s="9" t="n">
        <v>2.186</v>
      </c>
      <c r="D12" s="9" t="n">
        <v>0</v>
      </c>
      <c r="E12" s="9" t="n">
        <v>0</v>
      </c>
      <c r="F12" s="9" t="n">
        <v>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customFormat="false" ht="15" hidden="false" customHeight="true" outlineLevel="0" collapsed="false">
      <c r="A13" s="4" t="s">
        <v>71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 t="n">
        <v>18.359</v>
      </c>
      <c r="AQ13" s="9"/>
      <c r="AR13" s="9"/>
      <c r="AS13" s="9"/>
    </row>
    <row r="14" customFormat="false" ht="15" hidden="false" customHeight="true" outlineLevel="0" collapsed="false">
      <c r="A14" s="4" t="s">
        <v>150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 t="n">
        <v>0.0945</v>
      </c>
      <c r="AG14" s="9" t="n">
        <v>-0.001</v>
      </c>
      <c r="AH14" s="9" t="n">
        <v>0.6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customFormat="false" ht="15" hidden="false" customHeight="true" outlineLevel="0" collapsed="false">
      <c r="A15" s="4" t="s">
        <v>151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 t="n">
        <v>0</v>
      </c>
      <c r="Z15" s="9" t="n">
        <v>10.481</v>
      </c>
      <c r="AA15" s="9" t="n">
        <v>0.129</v>
      </c>
      <c r="AB15" s="9" t="n">
        <v>0.129</v>
      </c>
      <c r="AC15" s="9" t="n">
        <v>0.128</v>
      </c>
      <c r="AD15" s="9" t="n">
        <v>0.403</v>
      </c>
      <c r="AE15" s="9" t="n">
        <v>0.211</v>
      </c>
      <c r="AF15" s="9" t="n">
        <v>0.211</v>
      </c>
      <c r="AG15" s="9" t="n">
        <v>0.212</v>
      </c>
      <c r="AH15" s="9" t="n">
        <v>0.211</v>
      </c>
      <c r="AI15" s="9" t="n">
        <v>0.214</v>
      </c>
      <c r="AJ15" s="9" t="n">
        <v>0.21</v>
      </c>
      <c r="AK15" s="9" t="n">
        <v>0.214</v>
      </c>
      <c r="AL15" s="9" t="n">
        <v>0.351</v>
      </c>
      <c r="AM15" s="9" t="n">
        <v>0.266</v>
      </c>
      <c r="AN15" s="9" t="n">
        <v>0.781</v>
      </c>
      <c r="AO15" s="9" t="n">
        <v>0.074</v>
      </c>
      <c r="AP15" s="9" t="n">
        <v>0.074</v>
      </c>
      <c r="AQ15" s="9" t="n">
        <v>7.829</v>
      </c>
      <c r="AR15" s="9" t="n">
        <v>1.225</v>
      </c>
      <c r="AS15" s="9" t="n">
        <v>1.219</v>
      </c>
    </row>
    <row r="16" customFormat="false" ht="15" hidden="false" customHeight="true" outlineLevel="0" collapsed="false">
      <c r="A16" s="4" t="s">
        <v>152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 t="n">
        <v>-0.002</v>
      </c>
      <c r="V16" s="9" t="n">
        <v>-0.178</v>
      </c>
      <c r="W16" s="9" t="n">
        <v>-0.011</v>
      </c>
      <c r="X16" s="9" t="n">
        <v>0</v>
      </c>
      <c r="Y16" s="9" t="n">
        <v>0</v>
      </c>
      <c r="Z16" s="9" t="n">
        <v>0.156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customFormat="false" ht="15" hidden="false" customHeight="true" outlineLevel="0" collapsed="false">
      <c r="A17" s="4" t="s">
        <v>153</v>
      </c>
      <c r="B17" s="9"/>
      <c r="C17" s="9"/>
      <c r="D17" s="9"/>
      <c r="E17" s="9"/>
      <c r="F17" s="9"/>
      <c r="G17" s="9" t="n">
        <v>0.171</v>
      </c>
      <c r="H17" s="9" t="n">
        <v>-0.171</v>
      </c>
      <c r="I17" s="9" t="n">
        <v>0</v>
      </c>
      <c r="J17" s="9" t="n">
        <v>0.046</v>
      </c>
      <c r="K17" s="9" t="n">
        <v>0.209</v>
      </c>
      <c r="L17" s="9" t="n">
        <v>0.046</v>
      </c>
      <c r="M17" s="9" t="n">
        <v>0</v>
      </c>
      <c r="N17" s="9" t="n">
        <v>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customFormat="false" ht="15" hidden="false" customHeight="true" outlineLevel="0" collapsed="false">
      <c r="A18" s="4" t="s">
        <v>154</v>
      </c>
      <c r="B18" s="9" t="n">
        <v>-0.005</v>
      </c>
      <c r="C18" s="9" t="n">
        <v>-0.147</v>
      </c>
      <c r="D18" s="9" t="n">
        <v>-0.084</v>
      </c>
      <c r="E18" s="9" t="n">
        <v>-0.021</v>
      </c>
      <c r="F18" s="9" t="n">
        <v>0.074</v>
      </c>
      <c r="G18" s="9" t="n">
        <v>0.226</v>
      </c>
      <c r="H18" s="9" t="n">
        <v>-0.107</v>
      </c>
      <c r="I18" s="9" t="n">
        <v>-0.004</v>
      </c>
      <c r="J18" s="9" t="n">
        <v>-0.069</v>
      </c>
      <c r="K18" s="9" t="n">
        <v>-0.106</v>
      </c>
      <c r="L18" s="9" t="n">
        <v>1.031</v>
      </c>
      <c r="M18" s="9" t="n">
        <v>0.159</v>
      </c>
      <c r="N18" s="9" t="n">
        <v>0.037</v>
      </c>
      <c r="O18" s="9" t="n">
        <v>-0.048</v>
      </c>
      <c r="P18" s="9" t="n">
        <v>0.021</v>
      </c>
      <c r="Q18" s="9" t="n">
        <v>-0.006</v>
      </c>
      <c r="R18" s="9" t="n">
        <v>-0.006</v>
      </c>
      <c r="S18" s="9" t="n">
        <v>0.011</v>
      </c>
      <c r="T18" s="9" t="n">
        <v>0.003</v>
      </c>
      <c r="U18" s="9" t="n">
        <v>-0.016</v>
      </c>
      <c r="V18" s="9" t="n">
        <v>0.39</v>
      </c>
      <c r="W18" s="9" t="n">
        <v>-0.136</v>
      </c>
      <c r="X18" s="9" t="n">
        <v>-0.02</v>
      </c>
      <c r="Y18" s="9" t="n">
        <v>0.011</v>
      </c>
      <c r="Z18" s="9" t="n">
        <v>0.031</v>
      </c>
      <c r="AA18" s="9" t="n">
        <v>-0.02</v>
      </c>
      <c r="AB18" s="9" t="n">
        <v>-0.015</v>
      </c>
      <c r="AC18" s="9" t="n">
        <v>0.015</v>
      </c>
      <c r="AD18" s="9" t="n">
        <v>0.014</v>
      </c>
      <c r="AE18" s="9" t="n">
        <v>0.023</v>
      </c>
      <c r="AF18" s="9" t="n">
        <v>-0.004</v>
      </c>
      <c r="AG18" s="9" t="n">
        <v>-0.014</v>
      </c>
      <c r="AH18" s="9" t="n">
        <v>0.094</v>
      </c>
      <c r="AI18" s="9" t="n">
        <v>-0.015</v>
      </c>
      <c r="AJ18" s="9" t="n">
        <v>0.019</v>
      </c>
      <c r="AK18" s="9" t="n">
        <v>-0.071</v>
      </c>
      <c r="AL18" s="9" t="n">
        <v>0.071</v>
      </c>
      <c r="AM18" s="9" t="n">
        <v>-0.101</v>
      </c>
      <c r="AN18" s="9" t="n">
        <v>0.034</v>
      </c>
      <c r="AO18" s="9" t="n">
        <v>-0.097</v>
      </c>
      <c r="AP18" s="9" t="n">
        <v>0.207</v>
      </c>
      <c r="AQ18" s="9" t="n">
        <v>0.173</v>
      </c>
      <c r="AR18" s="9" t="n">
        <v>1.805</v>
      </c>
      <c r="AS18" s="9" t="n">
        <v>-0.111</v>
      </c>
    </row>
    <row r="19" customFormat="false" ht="15" hidden="false" customHeight="true" outlineLevel="0" collapsed="false">
      <c r="A19" s="4" t="s">
        <v>155</v>
      </c>
      <c r="B19" s="9"/>
      <c r="C19" s="9" t="n">
        <v>0.058</v>
      </c>
      <c r="D19" s="9" t="n">
        <v>0.005</v>
      </c>
      <c r="E19" s="9" t="n">
        <v>0</v>
      </c>
      <c r="F19" s="9"/>
      <c r="G19" s="9" t="n">
        <v>-0.069</v>
      </c>
      <c r="H19" s="9" t="n">
        <v>0.338</v>
      </c>
      <c r="I19" s="9" t="n">
        <v>0.003</v>
      </c>
      <c r="J19" s="9" t="n">
        <v>0.012</v>
      </c>
      <c r="K19" s="9"/>
      <c r="L19" s="9" t="n">
        <v>-0.108</v>
      </c>
      <c r="M19" s="9" t="n">
        <v>0.072</v>
      </c>
      <c r="N19" s="9"/>
      <c r="O19" s="9" t="n">
        <v>-0.306</v>
      </c>
      <c r="P19" s="9" t="n">
        <v>-0.308</v>
      </c>
      <c r="Q19" s="9"/>
      <c r="R19" s="9"/>
      <c r="S19" s="9"/>
      <c r="T19" s="9" t="n">
        <v>-0.669</v>
      </c>
      <c r="U19" s="9" t="n">
        <v>-0.277</v>
      </c>
      <c r="V19" s="9"/>
      <c r="W19" s="9" t="n">
        <v>0.001</v>
      </c>
      <c r="X19" s="9" t="n">
        <v>0.001</v>
      </c>
      <c r="Y19" s="9" t="n">
        <v>-0.001</v>
      </c>
      <c r="Z19" s="9"/>
      <c r="AA19" s="9" t="n">
        <v>0.019</v>
      </c>
      <c r="AB19" s="9" t="n">
        <v>0.011</v>
      </c>
      <c r="AC19" s="9"/>
      <c r="AD19" s="9"/>
      <c r="AE19" s="9" t="n">
        <v>-0.044</v>
      </c>
      <c r="AF19" s="9" t="n">
        <v>-0.0295</v>
      </c>
      <c r="AG19" s="9"/>
      <c r="AH19" s="9" t="n">
        <v>-2.995</v>
      </c>
      <c r="AI19" s="9" t="n">
        <v>0.132</v>
      </c>
      <c r="AJ19" s="9" t="n">
        <v>-0.092</v>
      </c>
      <c r="AK19" s="9" t="n">
        <v>0.238</v>
      </c>
      <c r="AL19" s="9"/>
      <c r="AM19" s="9" t="n">
        <v>0.142</v>
      </c>
      <c r="AN19" s="9" t="n">
        <v>-0.11</v>
      </c>
      <c r="AO19" s="9" t="n">
        <v>0.2295</v>
      </c>
      <c r="AP19" s="9" t="n">
        <v>0.2295</v>
      </c>
      <c r="AQ19" s="9" t="n">
        <v>0.161</v>
      </c>
      <c r="AR19" s="9" t="n">
        <v>0.054</v>
      </c>
      <c r="AS19" s="9"/>
    </row>
    <row r="20" customFormat="false" ht="15" hidden="false" customHeight="true" outlineLevel="0" collapsed="false">
      <c r="A20" s="4" t="s">
        <v>156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 t="n">
        <v>0.5105</v>
      </c>
      <c r="M20" s="9" t="n">
        <v>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customFormat="false" ht="15" hidden="false" customHeight="true" outlineLevel="0" collapsed="false">
      <c r="A21" s="4" t="s">
        <v>157</v>
      </c>
      <c r="B21" s="9" t="n">
        <v>0.391</v>
      </c>
      <c r="C21" s="9" t="n">
        <v>0.145</v>
      </c>
      <c r="D21" s="9" t="n">
        <v>0.074</v>
      </c>
      <c r="E21" s="9" t="n">
        <v>0</v>
      </c>
      <c r="F21" s="9" t="n">
        <v>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 customFormat="false" ht="15" hidden="false" customHeight="true" outlineLevel="0" collapsed="false">
      <c r="A22" s="4" t="s">
        <v>158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 t="n">
        <v>-0.421</v>
      </c>
      <c r="S22" s="9" t="n">
        <v>0.032</v>
      </c>
      <c r="T22" s="9" t="n">
        <v>0.049</v>
      </c>
      <c r="U22" s="9"/>
      <c r="V22" s="9"/>
      <c r="W22" s="9"/>
      <c r="X22" s="9" t="n">
        <v>-0.473</v>
      </c>
      <c r="Y22" s="9" t="n">
        <v>0</v>
      </c>
      <c r="Z22" s="9"/>
      <c r="AA22" s="9" t="n">
        <v>0.048</v>
      </c>
      <c r="AB22" s="9" t="n">
        <v>0.109</v>
      </c>
      <c r="AC22" s="9" t="n">
        <v>0.283</v>
      </c>
      <c r="AD22" s="9"/>
      <c r="AE22" s="9" t="n">
        <v>0.153</v>
      </c>
      <c r="AF22" s="9" t="n">
        <v>0.412</v>
      </c>
      <c r="AG22" s="9" t="n">
        <v>0.37</v>
      </c>
      <c r="AH22" s="9" t="n">
        <v>1.06</v>
      </c>
      <c r="AI22" s="9" t="n">
        <v>0.173</v>
      </c>
      <c r="AJ22" s="9" t="n">
        <v>0.158</v>
      </c>
      <c r="AK22" s="9" t="n">
        <v>0.452</v>
      </c>
      <c r="AL22" s="9" t="n">
        <v>0.533</v>
      </c>
      <c r="AM22" s="9" t="n">
        <v>0.616</v>
      </c>
      <c r="AN22" s="9" t="n">
        <v>0.578</v>
      </c>
      <c r="AO22" s="9" t="n">
        <v>0.616</v>
      </c>
      <c r="AP22" s="9" t="n">
        <v>0.796</v>
      </c>
      <c r="AQ22" s="9" t="n">
        <v>0.616</v>
      </c>
      <c r="AR22" s="9" t="n">
        <v>1.473</v>
      </c>
      <c r="AS22" s="9" t="n">
        <v>1.454</v>
      </c>
    </row>
    <row r="23" customFormat="false" ht="15" hidden="false" customHeight="true" outlineLevel="0" collapsed="false">
      <c r="A23" s="4" t="s">
        <v>159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 t="n">
        <v>0.22</v>
      </c>
      <c r="AF23" s="9" t="n">
        <v>2.639</v>
      </c>
      <c r="AG23" s="9" t="n">
        <v>0.928</v>
      </c>
      <c r="AH23" s="9" t="n">
        <v>4.349</v>
      </c>
      <c r="AI23" s="9" t="n">
        <v>3.33</v>
      </c>
      <c r="AJ23" s="9" t="n">
        <v>5.008</v>
      </c>
      <c r="AK23" s="9" t="n">
        <v>3.33</v>
      </c>
      <c r="AL23" s="9" t="n">
        <v>2.269</v>
      </c>
      <c r="AM23" s="9" t="n">
        <v>2.667</v>
      </c>
      <c r="AN23" s="9" t="n">
        <v>-0.635</v>
      </c>
      <c r="AO23" s="9" t="n">
        <v>-0.007</v>
      </c>
      <c r="AP23" s="9" t="n">
        <v>0.857</v>
      </c>
      <c r="AQ23" s="9" t="n">
        <v>1.178</v>
      </c>
      <c r="AR23" s="9" t="n">
        <v>1.501</v>
      </c>
      <c r="AS23" s="9" t="n">
        <v>2.446</v>
      </c>
    </row>
    <row r="24" customFormat="false" ht="15" hidden="false" customHeight="true" outlineLevel="0" collapsed="false">
      <c r="A24" s="4" t="s">
        <v>160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n">
        <v>-0.013</v>
      </c>
      <c r="Q24" s="9" t="n">
        <v>0.013</v>
      </c>
      <c r="R24" s="9" t="n">
        <v>3.878</v>
      </c>
      <c r="S24" s="9" t="n">
        <v>-0.251</v>
      </c>
      <c r="T24" s="9" t="n">
        <v>2.506</v>
      </c>
      <c r="U24" s="9" t="n">
        <v>1.198</v>
      </c>
      <c r="V24" s="9" t="n">
        <v>1.121</v>
      </c>
      <c r="W24" s="9" t="n">
        <v>1.19</v>
      </c>
      <c r="X24" s="9" t="n">
        <v>1.203</v>
      </c>
      <c r="Y24" s="9" t="n">
        <v>1.202</v>
      </c>
      <c r="Z24" s="9" t="n">
        <v>1.555</v>
      </c>
      <c r="AA24" s="9" t="n">
        <v>1.677</v>
      </c>
      <c r="AB24" s="9" t="n">
        <v>1.681</v>
      </c>
      <c r="AC24" s="9" t="n">
        <v>1.675</v>
      </c>
      <c r="AD24" s="9" t="n">
        <v>1.781</v>
      </c>
      <c r="AE24" s="9" t="n">
        <v>1.59</v>
      </c>
      <c r="AF24" s="9" t="n">
        <v>2.185</v>
      </c>
      <c r="AG24" s="9" t="n">
        <v>2.091</v>
      </c>
      <c r="AH24" s="9" t="n">
        <v>2.182</v>
      </c>
      <c r="AI24" s="9" t="n">
        <v>2.184</v>
      </c>
      <c r="AJ24" s="9" t="n">
        <v>2.302</v>
      </c>
      <c r="AK24" s="9" t="n">
        <v>2.437</v>
      </c>
      <c r="AL24" s="9" t="n">
        <v>3.477</v>
      </c>
      <c r="AM24" s="9" t="n">
        <v>2.43</v>
      </c>
      <c r="AN24" s="9" t="n">
        <v>2.55</v>
      </c>
      <c r="AO24" s="9" t="n">
        <v>2.399</v>
      </c>
      <c r="AP24" s="9" t="n">
        <v>2.784</v>
      </c>
      <c r="AQ24" s="9" t="n">
        <v>6.85</v>
      </c>
      <c r="AR24" s="9" t="n">
        <v>5.805</v>
      </c>
      <c r="AS24" s="9" t="n">
        <v>6.234</v>
      </c>
    </row>
    <row r="25" customFormat="false" ht="15" hidden="false" customHeight="true" outlineLevel="0" collapsed="false">
      <c r="A25" s="4" t="s">
        <v>161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 t="n">
        <v>-0.464</v>
      </c>
      <c r="AG25" s="9" t="n">
        <v>0.53</v>
      </c>
      <c r="AH25" s="9" t="n">
        <v>0.53</v>
      </c>
      <c r="AI25" s="9" t="n">
        <v>1.013</v>
      </c>
      <c r="AJ25" s="9" t="n">
        <v>2.45</v>
      </c>
      <c r="AK25" s="9"/>
      <c r="AL25" s="9" t="n">
        <v>1.233</v>
      </c>
      <c r="AM25" s="9" t="n">
        <v>0.321</v>
      </c>
      <c r="AN25" s="9" t="n">
        <v>-0.054</v>
      </c>
      <c r="AO25" s="9" t="n">
        <v>-1.454</v>
      </c>
      <c r="AP25" s="9" t="n">
        <v>1.01</v>
      </c>
      <c r="AQ25" s="9" t="n">
        <v>-2.702</v>
      </c>
      <c r="AR25" s="9" t="n">
        <v>-6.156</v>
      </c>
      <c r="AS25" s="9" t="n">
        <v>1.412</v>
      </c>
    </row>
    <row r="26" customFormat="false" ht="15" hidden="false" customHeight="true" outlineLevel="0" collapsed="false">
      <c r="A26" s="4" t="s">
        <v>101</v>
      </c>
      <c r="B26" s="9" t="n">
        <v>-3.18</v>
      </c>
      <c r="C26" s="9" t="n">
        <v>0.203</v>
      </c>
      <c r="D26" s="9" t="n">
        <v>0.012</v>
      </c>
      <c r="E26" s="9" t="n">
        <v>-0.197</v>
      </c>
      <c r="F26" s="9" t="n">
        <v>-2.93</v>
      </c>
      <c r="G26" s="9" t="n">
        <v>0.992</v>
      </c>
      <c r="H26" s="9" t="n">
        <v>-1.321</v>
      </c>
      <c r="I26" s="9" t="n">
        <v>-0.369</v>
      </c>
      <c r="J26" s="9" t="n">
        <v>0.646</v>
      </c>
      <c r="K26" s="9" t="n">
        <v>-0.597</v>
      </c>
      <c r="L26" s="9" t="n">
        <v>-0.497</v>
      </c>
      <c r="M26" s="9" t="n">
        <v>1.268</v>
      </c>
      <c r="N26" s="9" t="n">
        <v>3.66</v>
      </c>
      <c r="O26" s="9"/>
      <c r="P26" s="9" t="n">
        <v>1.2585</v>
      </c>
      <c r="Q26" s="9" t="n">
        <v>-3.731</v>
      </c>
      <c r="R26" s="9" t="n">
        <v>6.006</v>
      </c>
      <c r="S26" s="9" t="n">
        <v>-0.349</v>
      </c>
      <c r="T26" s="9" t="n">
        <v>3.333</v>
      </c>
      <c r="U26" s="9" t="n">
        <v>-3.93</v>
      </c>
      <c r="V26" s="9" t="n">
        <v>-1.332</v>
      </c>
      <c r="W26" s="9" t="n">
        <v>0.002</v>
      </c>
      <c r="X26" s="9" t="n">
        <v>-0.623</v>
      </c>
      <c r="Y26" s="9" t="n">
        <v>-0.276</v>
      </c>
      <c r="Z26" s="9" t="n">
        <v>-0.797</v>
      </c>
      <c r="AA26" s="9" t="n">
        <v>-0.472</v>
      </c>
      <c r="AB26" s="9" t="n">
        <v>-0.368</v>
      </c>
      <c r="AC26" s="9" t="n">
        <v>-0.355</v>
      </c>
      <c r="AD26" s="9" t="n">
        <v>-6.087</v>
      </c>
      <c r="AE26" s="9" t="n">
        <v>-0.381</v>
      </c>
      <c r="AF26" s="9" t="n">
        <v>-0.427</v>
      </c>
      <c r="AG26" s="9" t="n">
        <v>-0.442</v>
      </c>
      <c r="AH26" s="9" t="n">
        <v>-17.411</v>
      </c>
      <c r="AI26" s="9" t="n">
        <v>-0.427</v>
      </c>
      <c r="AJ26" s="9" t="n">
        <v>-0.579</v>
      </c>
      <c r="AK26" s="9" t="n">
        <v>-0.598</v>
      </c>
      <c r="AL26" s="9" t="n">
        <v>-21.846</v>
      </c>
      <c r="AM26" s="9"/>
      <c r="AN26" s="9"/>
      <c r="AO26" s="9"/>
      <c r="AP26" s="9" t="n">
        <v>-20.157</v>
      </c>
      <c r="AQ26" s="9" t="n">
        <v>-0.001</v>
      </c>
      <c r="AR26" s="9"/>
      <c r="AS26" s="9"/>
    </row>
    <row r="27" customFormat="false" ht="15" hidden="false" customHeight="true" outlineLevel="0" collapsed="false">
      <c r="A27" s="4" t="s">
        <v>162</v>
      </c>
      <c r="B27" s="9" t="n">
        <v>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 customFormat="false" ht="15" hidden="false" customHeight="true" outlineLevel="0" collapsed="false">
      <c r="A28" s="4" t="s">
        <v>163</v>
      </c>
      <c r="B28" s="9" t="n">
        <v>1.054</v>
      </c>
      <c r="C28" s="9" t="n">
        <v>1.039</v>
      </c>
      <c r="D28" s="9" t="n">
        <v>1.043</v>
      </c>
      <c r="E28" s="9" t="n">
        <v>1.088</v>
      </c>
      <c r="F28" s="9" t="n">
        <v>1.392</v>
      </c>
      <c r="G28" s="9" t="n">
        <v>0.022</v>
      </c>
      <c r="H28" s="9" t="n">
        <v>1.791</v>
      </c>
      <c r="I28" s="9" t="n">
        <v>0.923</v>
      </c>
      <c r="J28" s="9" t="n">
        <v>0.973</v>
      </c>
      <c r="K28" s="9" t="n">
        <v>1.326</v>
      </c>
      <c r="L28" s="9" t="n">
        <v>1.209</v>
      </c>
      <c r="M28" s="9" t="n">
        <v>1.291</v>
      </c>
      <c r="N28" s="9" t="n">
        <v>1.254</v>
      </c>
      <c r="O28" s="9" t="n">
        <v>1.287</v>
      </c>
      <c r="P28" s="9" t="n">
        <v>-1.287</v>
      </c>
      <c r="Q28" s="9" t="n">
        <v>5.599</v>
      </c>
      <c r="R28" s="9" t="n">
        <v>1.386</v>
      </c>
      <c r="S28" s="9" t="n">
        <v>1.566</v>
      </c>
      <c r="T28" s="9" t="n">
        <v>-1.641</v>
      </c>
      <c r="U28" s="9" t="n">
        <v>4.826</v>
      </c>
      <c r="V28" s="9" t="n">
        <v>6.298</v>
      </c>
      <c r="W28" s="9" t="n">
        <v>-0.339</v>
      </c>
      <c r="X28" s="9" t="n">
        <v>3.848</v>
      </c>
      <c r="Y28" s="9" t="n">
        <v>1.245</v>
      </c>
      <c r="Z28" s="9" t="n">
        <v>2.178</v>
      </c>
      <c r="AA28" s="9" t="n">
        <v>0.09</v>
      </c>
      <c r="AB28" s="9" t="n">
        <v>2.252</v>
      </c>
      <c r="AC28" s="9" t="n">
        <v>1.615</v>
      </c>
      <c r="AD28" s="9" t="n">
        <v>4.433</v>
      </c>
      <c r="AE28" s="9" t="n">
        <v>2.217</v>
      </c>
      <c r="AF28" s="9" t="n">
        <v>2.185</v>
      </c>
      <c r="AG28" s="9" t="n">
        <v>2.706</v>
      </c>
      <c r="AH28" s="9" t="n">
        <v>3.657</v>
      </c>
      <c r="AI28" s="9" t="n">
        <v>3.204</v>
      </c>
      <c r="AJ28" s="9" t="n">
        <v>5.04</v>
      </c>
      <c r="AK28" s="9" t="n">
        <v>4.181</v>
      </c>
      <c r="AL28" s="9" t="n">
        <v>4.644</v>
      </c>
      <c r="AM28" s="9" t="n">
        <v>4.536</v>
      </c>
      <c r="AN28" s="9" t="n">
        <v>5.601</v>
      </c>
      <c r="AO28" s="9" t="n">
        <v>5.381</v>
      </c>
      <c r="AP28" s="9" t="n">
        <v>5.943</v>
      </c>
      <c r="AQ28" s="9" t="n">
        <v>11.429</v>
      </c>
      <c r="AR28" s="9" t="n">
        <v>8.566</v>
      </c>
      <c r="AS28" s="9" t="n">
        <v>8.07</v>
      </c>
    </row>
    <row r="29" customFormat="false" ht="15" hidden="false" customHeight="true" outlineLevel="0" collapsed="false">
      <c r="A29" s="4" t="s">
        <v>164</v>
      </c>
      <c r="B29" s="9" t="n">
        <v>0.22</v>
      </c>
      <c r="C29" s="9" t="n">
        <v>0.101</v>
      </c>
      <c r="D29" s="9" t="n">
        <v>0</v>
      </c>
      <c r="E29" s="9" t="n">
        <v>0.106</v>
      </c>
      <c r="F29" s="9" t="n">
        <v>-0.141</v>
      </c>
      <c r="G29" s="9" t="n">
        <v>-0.007</v>
      </c>
      <c r="H29" s="9" t="n">
        <v>0.029</v>
      </c>
      <c r="I29" s="9" t="n">
        <v>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customFormat="false" ht="15" hidden="false" customHeight="true" outlineLevel="0" collapsed="false">
      <c r="A30" s="4" t="s">
        <v>165</v>
      </c>
      <c r="B30" s="9"/>
      <c r="C30" s="9"/>
      <c r="D30" s="9"/>
      <c r="E30" s="9"/>
      <c r="F30" s="9" t="n">
        <v>0.032</v>
      </c>
      <c r="G30" s="9" t="n">
        <v>0.661</v>
      </c>
      <c r="H30" s="9" t="n">
        <v>-0.0035</v>
      </c>
      <c r="I30" s="9" t="n">
        <v>0.044</v>
      </c>
      <c r="J30" s="9" t="n">
        <v>0</v>
      </c>
      <c r="K30" s="9"/>
      <c r="L30" s="9" t="n">
        <v>0.0075</v>
      </c>
      <c r="M30" s="9" t="n">
        <v>0</v>
      </c>
      <c r="N30" s="9"/>
      <c r="O30" s="9"/>
      <c r="P30" s="9" t="n">
        <v>-0.459</v>
      </c>
      <c r="Q30" s="9" t="n">
        <v>0.51</v>
      </c>
      <c r="R30" s="9"/>
      <c r="S30" s="9" t="n">
        <v>-0.075</v>
      </c>
      <c r="T30" s="9" t="n">
        <v>-0.909</v>
      </c>
      <c r="U30" s="9" t="n">
        <v>-0.307</v>
      </c>
      <c r="V30" s="9"/>
      <c r="W30" s="9" t="n">
        <v>1.595</v>
      </c>
      <c r="X30" s="9" t="n">
        <v>0.001</v>
      </c>
      <c r="Y30" s="9" t="n">
        <v>0</v>
      </c>
      <c r="Z30" s="9"/>
      <c r="AA30" s="9" t="n">
        <v>1.922</v>
      </c>
      <c r="AB30" s="9" t="n">
        <v>1.114</v>
      </c>
      <c r="AC30" s="9" t="n">
        <v>2.027</v>
      </c>
      <c r="AD30" s="9"/>
      <c r="AE30" s="9" t="n">
        <v>0.485</v>
      </c>
      <c r="AF30" s="9" t="n">
        <v>0.34</v>
      </c>
      <c r="AG30" s="9" t="n">
        <v>0.368</v>
      </c>
      <c r="AH30" s="9" t="n">
        <v>0.304</v>
      </c>
      <c r="AI30" s="9" t="n">
        <v>0.116</v>
      </c>
      <c r="AJ30" s="9" t="n">
        <v>0.02</v>
      </c>
      <c r="AK30" s="9" t="n">
        <v>-0.021</v>
      </c>
      <c r="AL30" s="9" t="n">
        <v>0.506</v>
      </c>
      <c r="AM30" s="9" t="n">
        <v>0.143</v>
      </c>
      <c r="AN30" s="9" t="n">
        <v>0.058</v>
      </c>
      <c r="AO30" s="9" t="n">
        <v>0.055</v>
      </c>
      <c r="AP30" s="9" t="n">
        <v>0.055</v>
      </c>
      <c r="AQ30" s="9" t="n">
        <v>0.048</v>
      </c>
      <c r="AR30" s="9" t="n">
        <v>0.546</v>
      </c>
      <c r="AS30" s="9"/>
    </row>
    <row r="31" customFormat="false" ht="15" hidden="false" customHeight="true" outlineLevel="0" collapsed="false">
      <c r="A31" s="4" t="s">
        <v>166</v>
      </c>
      <c r="B31" s="9" t="n">
        <v>4.232</v>
      </c>
      <c r="C31" s="9" t="n">
        <v>5.549</v>
      </c>
      <c r="D31" s="9" t="n">
        <v>-14.457</v>
      </c>
      <c r="E31" s="9" t="n">
        <v>3.856</v>
      </c>
      <c r="F31" s="9" t="n">
        <v>-17.208</v>
      </c>
      <c r="G31" s="9" t="n">
        <v>23.019</v>
      </c>
      <c r="H31" s="9" t="n">
        <v>6.543</v>
      </c>
      <c r="I31" s="9" t="n">
        <v>2.991</v>
      </c>
      <c r="J31" s="9" t="n">
        <v>-51.18</v>
      </c>
      <c r="K31" s="9" t="n">
        <v>43.819</v>
      </c>
      <c r="L31" s="9" t="n">
        <v>-5.137</v>
      </c>
      <c r="M31" s="9" t="n">
        <v>9.01</v>
      </c>
      <c r="N31" s="9" t="n">
        <v>-37.801</v>
      </c>
      <c r="O31" s="9" t="n">
        <v>43.189</v>
      </c>
      <c r="P31" s="9" t="n">
        <v>-20.928</v>
      </c>
      <c r="Q31" s="9" t="n">
        <v>0.556</v>
      </c>
      <c r="R31" s="9" t="n">
        <v>3.004</v>
      </c>
      <c r="S31" s="9" t="n">
        <v>-11.557</v>
      </c>
      <c r="T31" s="9" t="n">
        <v>2.157</v>
      </c>
      <c r="U31" s="9" t="n">
        <v>12.645</v>
      </c>
      <c r="V31" s="9" t="n">
        <v>-46.114</v>
      </c>
      <c r="W31" s="9" t="n">
        <v>30.439</v>
      </c>
      <c r="X31" s="9" t="n">
        <v>12.676</v>
      </c>
      <c r="Y31" s="9" t="n">
        <v>4.069</v>
      </c>
      <c r="Z31" s="9" t="n">
        <v>-30.007</v>
      </c>
      <c r="AA31" s="9" t="n">
        <v>17.914</v>
      </c>
      <c r="AB31" s="9" t="n">
        <v>19.22</v>
      </c>
      <c r="AC31" s="9" t="n">
        <v>-15.233</v>
      </c>
      <c r="AD31" s="9" t="n">
        <v>-18.817</v>
      </c>
      <c r="AE31" s="9" t="n">
        <v>8.053</v>
      </c>
      <c r="AF31" s="9" t="n">
        <v>19.959</v>
      </c>
      <c r="AG31" s="9" t="n">
        <v>-21.165</v>
      </c>
      <c r="AH31" s="9" t="n">
        <v>-34.27</v>
      </c>
      <c r="AI31" s="9" t="n">
        <v>8.207</v>
      </c>
      <c r="AJ31" s="9" t="n">
        <v>7.346</v>
      </c>
      <c r="AK31" s="9" t="n">
        <v>20.834</v>
      </c>
      <c r="AL31" s="9" t="n">
        <v>-17.179</v>
      </c>
      <c r="AM31" s="9" t="n">
        <v>34.993</v>
      </c>
      <c r="AN31" s="9" t="n">
        <v>-1.75</v>
      </c>
      <c r="AO31" s="9"/>
      <c r="AP31" s="9" t="n">
        <v>-20.666</v>
      </c>
      <c r="AQ31" s="9" t="n">
        <v>-15.693</v>
      </c>
      <c r="AR31" s="9" t="n">
        <v>-25.7595</v>
      </c>
      <c r="AS31" s="9"/>
    </row>
    <row r="32" customFormat="false" ht="15" hidden="false" customHeight="true" outlineLevel="0" collapsed="false">
      <c r="A32" s="4" t="s">
        <v>99</v>
      </c>
      <c r="B32" s="9" t="n">
        <v>-9.011</v>
      </c>
      <c r="C32" s="9" t="n">
        <v>3.358</v>
      </c>
      <c r="D32" s="9" t="n">
        <v>2.2</v>
      </c>
      <c r="E32" s="9" t="n">
        <v>1.358</v>
      </c>
      <c r="F32" s="9" t="n">
        <v>-8.471</v>
      </c>
      <c r="G32" s="9" t="n">
        <v>4.406</v>
      </c>
      <c r="H32" s="9" t="n">
        <v>-2.377</v>
      </c>
      <c r="I32" s="9" t="n">
        <v>2.05</v>
      </c>
      <c r="J32" s="9" t="n">
        <v>0.7</v>
      </c>
      <c r="K32" s="9" t="n">
        <v>6.234</v>
      </c>
      <c r="L32" s="9" t="n">
        <v>-5.634</v>
      </c>
      <c r="M32" s="9" t="n">
        <v>-12.668</v>
      </c>
      <c r="N32" s="9" t="n">
        <v>14.321</v>
      </c>
      <c r="O32" s="9" t="n">
        <v>-42.998</v>
      </c>
      <c r="P32" s="9" t="n">
        <v>14.216</v>
      </c>
      <c r="Q32" s="9" t="n">
        <v>-5.978</v>
      </c>
      <c r="R32" s="9" t="n">
        <v>-1.415</v>
      </c>
      <c r="S32" s="9" t="n">
        <v>5.112</v>
      </c>
      <c r="T32" s="9" t="n">
        <v>-14.462</v>
      </c>
      <c r="U32" s="9" t="n">
        <v>-15.014</v>
      </c>
      <c r="V32" s="9" t="n">
        <v>1.574</v>
      </c>
      <c r="W32" s="9" t="n">
        <v>2.046</v>
      </c>
      <c r="X32" s="9" t="n">
        <v>3.218</v>
      </c>
      <c r="Y32" s="9" t="n">
        <v>9.489</v>
      </c>
      <c r="Z32" s="9" t="n">
        <v>-6.372</v>
      </c>
      <c r="AA32" s="9" t="n">
        <v>-14.684</v>
      </c>
      <c r="AB32" s="9" t="n">
        <v>-31.935</v>
      </c>
      <c r="AC32" s="9" t="n">
        <v>21.022</v>
      </c>
      <c r="AD32" s="9" t="n">
        <v>-6.286</v>
      </c>
      <c r="AE32" s="9" t="n">
        <v>14.754</v>
      </c>
      <c r="AF32" s="9" t="n">
        <v>-3.058</v>
      </c>
      <c r="AG32" s="9" t="n">
        <v>-16.794</v>
      </c>
      <c r="AH32" s="9" t="n">
        <v>3.652</v>
      </c>
      <c r="AI32" s="9" t="n">
        <v>-1.603</v>
      </c>
      <c r="AJ32" s="9" t="n">
        <v>-33.572</v>
      </c>
      <c r="AK32" s="9" t="n">
        <v>-6.775</v>
      </c>
      <c r="AL32" s="9" t="n">
        <v>-50.9</v>
      </c>
      <c r="AM32" s="9" t="n">
        <v>-20.274</v>
      </c>
      <c r="AN32" s="9" t="n">
        <v>-2.342</v>
      </c>
      <c r="AO32" s="9"/>
      <c r="AP32" s="9" t="n">
        <v>-60.342</v>
      </c>
      <c r="AQ32" s="9" t="n">
        <v>-74.51</v>
      </c>
      <c r="AR32" s="9" t="n">
        <v>-62.0735</v>
      </c>
      <c r="AS32" s="9"/>
    </row>
    <row r="33" customFormat="false" ht="15" hidden="false" customHeight="true" outlineLevel="0" collapsed="false">
      <c r="A33" s="4" t="s">
        <v>167</v>
      </c>
      <c r="B33" s="9" t="n">
        <v>9.385</v>
      </c>
      <c r="C33" s="9" t="n">
        <v>-4.507</v>
      </c>
      <c r="D33" s="9" t="n">
        <v>-4.415</v>
      </c>
      <c r="E33" s="9" t="n">
        <v>1.902</v>
      </c>
      <c r="F33" s="9" t="n">
        <v>8.948</v>
      </c>
      <c r="G33" s="9" t="n">
        <v>-6.619</v>
      </c>
      <c r="H33" s="9" t="n">
        <v>-11.063</v>
      </c>
      <c r="I33" s="9" t="n">
        <v>-13.638</v>
      </c>
      <c r="J33" s="9" t="n">
        <v>8.73</v>
      </c>
      <c r="K33" s="9" t="n">
        <v>-10.224</v>
      </c>
      <c r="L33" s="9" t="n">
        <v>-3.548</v>
      </c>
      <c r="M33" s="9" t="n">
        <v>-1.536</v>
      </c>
      <c r="N33" s="9" t="n">
        <v>16.5</v>
      </c>
      <c r="O33" s="9" t="n">
        <v>-4.819</v>
      </c>
      <c r="P33" s="9" t="n">
        <v>-3.852</v>
      </c>
      <c r="Q33" s="9" t="n">
        <v>-4.283</v>
      </c>
      <c r="R33" s="9" t="n">
        <v>-3.677</v>
      </c>
      <c r="S33" s="9" t="n">
        <v>-1.946</v>
      </c>
      <c r="T33" s="9" t="n">
        <v>3.567</v>
      </c>
      <c r="U33" s="9" t="n">
        <v>-12.387</v>
      </c>
      <c r="V33" s="9" t="n">
        <v>19.621</v>
      </c>
      <c r="W33" s="9" t="n">
        <v>0.005</v>
      </c>
      <c r="X33" s="9" t="n">
        <v>-6.249</v>
      </c>
      <c r="Y33" s="9" t="n">
        <v>-1.325</v>
      </c>
      <c r="Z33" s="9" t="n">
        <v>2.39</v>
      </c>
      <c r="AA33" s="9" t="n">
        <v>-6.058</v>
      </c>
      <c r="AB33" s="9" t="n">
        <v>-4.017</v>
      </c>
      <c r="AC33" s="9" t="n">
        <v>-11.515</v>
      </c>
      <c r="AD33" s="9" t="n">
        <v>-7.841</v>
      </c>
      <c r="AE33" s="9" t="n">
        <v>-11.927</v>
      </c>
      <c r="AF33" s="9" t="n">
        <v>-12.129</v>
      </c>
      <c r="AG33" s="9" t="n">
        <v>-16.416</v>
      </c>
      <c r="AH33" s="9" t="n">
        <v>-18.735</v>
      </c>
      <c r="AI33" s="9" t="n">
        <v>-40.004</v>
      </c>
      <c r="AJ33" s="9" t="n">
        <v>-9.325</v>
      </c>
      <c r="AK33" s="9" t="n">
        <v>17.428</v>
      </c>
      <c r="AL33" s="9" t="n">
        <v>8.856</v>
      </c>
      <c r="AM33" s="9" t="n">
        <v>3.867</v>
      </c>
      <c r="AN33" s="9" t="n">
        <v>3.7425</v>
      </c>
      <c r="AO33" s="9"/>
      <c r="AP33" s="9" t="n">
        <v>4.133</v>
      </c>
      <c r="AQ33" s="9" t="n">
        <v>-12.704</v>
      </c>
      <c r="AR33" s="9" t="n">
        <v>-24.68</v>
      </c>
      <c r="AS33" s="9"/>
    </row>
    <row r="34" customFormat="false" ht="15" hidden="false" customHeight="true" outlineLevel="0" collapsed="false">
      <c r="A34" s="4" t="s">
        <v>102</v>
      </c>
      <c r="B34" s="9" t="n">
        <v>1.94</v>
      </c>
      <c r="C34" s="9" t="n">
        <v>-5.569</v>
      </c>
      <c r="D34" s="9" t="n">
        <v>2.682</v>
      </c>
      <c r="E34" s="9" t="n">
        <v>-1.065</v>
      </c>
      <c r="F34" s="9"/>
      <c r="G34" s="9" t="n">
        <v>-4.25</v>
      </c>
      <c r="H34" s="9" t="n">
        <v>0.293</v>
      </c>
      <c r="I34" s="9" t="n">
        <v>1.47</v>
      </c>
      <c r="J34" s="9" t="n">
        <v>2.487</v>
      </c>
      <c r="K34" s="9" t="n">
        <v>-3.385</v>
      </c>
      <c r="L34" s="9" t="n">
        <v>3.078</v>
      </c>
      <c r="M34" s="9" t="n">
        <v>-0.292</v>
      </c>
      <c r="N34" s="9" t="n">
        <v>0.72</v>
      </c>
      <c r="O34" s="9"/>
      <c r="P34" s="9"/>
      <c r="Q34" s="9" t="n">
        <v>0</v>
      </c>
      <c r="R34" s="9" t="n">
        <v>-0.821</v>
      </c>
      <c r="S34" s="9" t="n">
        <v>0.821</v>
      </c>
      <c r="T34" s="9" t="n">
        <v>0</v>
      </c>
      <c r="U34" s="9" t="n">
        <v>0</v>
      </c>
      <c r="V34" s="9"/>
      <c r="W34" s="9"/>
      <c r="X34" s="9"/>
      <c r="Y34" s="9"/>
      <c r="Z34" s="9"/>
      <c r="AA34" s="9" t="n">
        <v>-0.326</v>
      </c>
      <c r="AB34" s="9" t="n">
        <v>-10.341</v>
      </c>
      <c r="AC34" s="9" t="n">
        <v>-15.541</v>
      </c>
      <c r="AD34" s="9" t="n">
        <v>25.766</v>
      </c>
      <c r="AE34" s="9" t="n">
        <v>0.442</v>
      </c>
      <c r="AF34" s="9" t="n">
        <v>-8.981</v>
      </c>
      <c r="AG34" s="9" t="n">
        <v>-0.849</v>
      </c>
      <c r="AH34" s="9" t="n">
        <v>9.246</v>
      </c>
      <c r="AI34" s="9"/>
      <c r="AJ34" s="9" t="n">
        <v>-5.735</v>
      </c>
      <c r="AK34" s="9" t="n">
        <v>-2.279</v>
      </c>
      <c r="AL34" s="9" t="n">
        <v>8.014</v>
      </c>
      <c r="AM34" s="9" t="n">
        <v>-0.336</v>
      </c>
      <c r="AN34" s="9" t="n">
        <v>-4.818</v>
      </c>
      <c r="AO34" s="9"/>
      <c r="AP34" s="9" t="n">
        <v>14.148</v>
      </c>
      <c r="AQ34" s="9" t="n">
        <v>-16.39</v>
      </c>
      <c r="AR34" s="9" t="n">
        <v>-11.115</v>
      </c>
      <c r="AS34" s="9"/>
    </row>
    <row r="35" customFormat="false" ht="15" hidden="false" customHeight="true" outlineLevel="0" collapsed="false">
      <c r="A35" s="4" t="s">
        <v>168</v>
      </c>
      <c r="B35" s="9"/>
      <c r="C35" s="9" t="n">
        <v>0.71</v>
      </c>
      <c r="D35" s="9" t="n">
        <v>-0.591</v>
      </c>
      <c r="E35" s="9" t="n">
        <v>0.336</v>
      </c>
      <c r="F35" s="9" t="n">
        <v>0.062</v>
      </c>
      <c r="G35" s="9" t="n">
        <v>-0.017</v>
      </c>
      <c r="H35" s="9" t="n">
        <v>-0.538</v>
      </c>
      <c r="I35" s="9" t="n">
        <v>-0.635</v>
      </c>
      <c r="J35" s="9" t="n">
        <v>-0.294</v>
      </c>
      <c r="K35" s="9" t="n">
        <v>0.358</v>
      </c>
      <c r="L35" s="9" t="n">
        <v>0.055</v>
      </c>
      <c r="M35" s="9" t="n">
        <v>0.004</v>
      </c>
      <c r="N35" s="9" t="n">
        <v>-0.278</v>
      </c>
      <c r="O35" s="9" t="n">
        <v>-0.133</v>
      </c>
      <c r="P35" s="9" t="n">
        <v>-0.698</v>
      </c>
      <c r="Q35" s="9" t="n">
        <v>-0.96</v>
      </c>
      <c r="R35" s="9" t="n">
        <v>-0.61</v>
      </c>
      <c r="S35" s="9" t="n">
        <v>-0.616</v>
      </c>
      <c r="T35" s="9" t="n">
        <v>-0.435</v>
      </c>
      <c r="U35" s="9" t="n">
        <v>1.267</v>
      </c>
      <c r="V35" s="9" t="n">
        <v>0.615</v>
      </c>
      <c r="W35" s="9" t="n">
        <v>0.324</v>
      </c>
      <c r="X35" s="9" t="n">
        <v>-1.353</v>
      </c>
      <c r="Y35" s="9" t="n">
        <v>-0.593</v>
      </c>
      <c r="Z35" s="9" t="n">
        <v>-4.482</v>
      </c>
      <c r="AA35" s="9" t="n">
        <v>0.481</v>
      </c>
      <c r="AB35" s="9" t="n">
        <v>-0.209</v>
      </c>
      <c r="AC35" s="9" t="n">
        <v>1.517</v>
      </c>
      <c r="AD35" s="9" t="n">
        <v>-6.323</v>
      </c>
      <c r="AE35" s="9" t="n">
        <v>0.046</v>
      </c>
      <c r="AF35" s="9" t="n">
        <v>-1.163</v>
      </c>
      <c r="AG35" s="9" t="n">
        <v>-1.997</v>
      </c>
      <c r="AH35" s="9" t="n">
        <v>-0.707</v>
      </c>
      <c r="AI35" s="9" t="n">
        <v>-4.401</v>
      </c>
      <c r="AJ35" s="9" t="n">
        <v>-8.319</v>
      </c>
      <c r="AK35" s="9" t="n">
        <v>-3.176</v>
      </c>
      <c r="AL35" s="9" t="n">
        <v>-4.383</v>
      </c>
      <c r="AM35" s="9" t="n">
        <v>-0.814</v>
      </c>
      <c r="AN35" s="9" t="n">
        <v>-1.1235</v>
      </c>
      <c r="AO35" s="9"/>
      <c r="AP35" s="9" t="n">
        <v>-11.696</v>
      </c>
      <c r="AQ35" s="9" t="n">
        <v>-1.749</v>
      </c>
      <c r="AR35" s="9" t="n">
        <v>-6.3735</v>
      </c>
      <c r="AS35" s="9"/>
    </row>
    <row r="36" customFormat="false" ht="15" hidden="false" customHeight="true" outlineLevel="0" collapsed="false">
      <c r="A36" s="4" t="s">
        <v>116</v>
      </c>
      <c r="B36" s="9" t="n">
        <v>3.028</v>
      </c>
      <c r="C36" s="9" t="n">
        <v>-6.299</v>
      </c>
      <c r="D36" s="9" t="n">
        <v>-1.354</v>
      </c>
      <c r="E36" s="9" t="n">
        <v>-1.804</v>
      </c>
      <c r="F36" s="9" t="n">
        <v>6.752</v>
      </c>
      <c r="G36" s="9" t="n">
        <v>-6.336</v>
      </c>
      <c r="H36" s="9" t="n">
        <v>7.749</v>
      </c>
      <c r="I36" s="9" t="n">
        <v>-4.583</v>
      </c>
      <c r="J36" s="9" t="n">
        <v>6.013</v>
      </c>
      <c r="K36" s="9" t="n">
        <v>-5.504</v>
      </c>
      <c r="L36" s="9" t="n">
        <v>2.532</v>
      </c>
      <c r="M36" s="9" t="n">
        <v>-1.479</v>
      </c>
      <c r="N36" s="9" t="n">
        <v>10.187</v>
      </c>
      <c r="O36" s="9" t="n">
        <v>-9.893</v>
      </c>
      <c r="P36" s="9" t="n">
        <v>1.052</v>
      </c>
      <c r="Q36" s="9" t="n">
        <v>-1.804</v>
      </c>
      <c r="R36" s="9" t="n">
        <v>3.591</v>
      </c>
      <c r="S36" s="9" t="n">
        <v>-5.11</v>
      </c>
      <c r="T36" s="9" t="n">
        <v>0.064</v>
      </c>
      <c r="U36" s="9" t="n">
        <v>3.745</v>
      </c>
      <c r="V36" s="9" t="n">
        <v>4.428</v>
      </c>
      <c r="W36" s="9" t="n">
        <v>-7.338</v>
      </c>
      <c r="X36" s="9" t="n">
        <v>2.31</v>
      </c>
      <c r="Y36" s="9" t="n">
        <v>1.682</v>
      </c>
      <c r="Z36" s="9" t="n">
        <v>5.911</v>
      </c>
      <c r="AA36" s="9" t="n">
        <v>-7.997</v>
      </c>
      <c r="AB36" s="9" t="n">
        <v>4.41</v>
      </c>
      <c r="AC36" s="9" t="n">
        <v>-6.643</v>
      </c>
      <c r="AD36" s="9" t="n">
        <v>3.676</v>
      </c>
      <c r="AE36" s="9" t="n">
        <v>3.323</v>
      </c>
      <c r="AF36" s="9" t="n">
        <v>3.5</v>
      </c>
      <c r="AG36" s="9" t="n">
        <v>0.966</v>
      </c>
      <c r="AH36" s="9" t="n">
        <v>4.749</v>
      </c>
      <c r="AI36" s="9" t="n">
        <v>-2.78</v>
      </c>
      <c r="AJ36" s="9" t="n">
        <v>-3.325</v>
      </c>
      <c r="AK36" s="9" t="n">
        <v>-3.898</v>
      </c>
      <c r="AL36" s="9" t="n">
        <v>22.971</v>
      </c>
      <c r="AM36" s="9" t="n">
        <v>-4.976</v>
      </c>
      <c r="AN36" s="9" t="n">
        <v>-3.812</v>
      </c>
      <c r="AO36" s="9"/>
      <c r="AP36" s="9" t="n">
        <v>23.69</v>
      </c>
      <c r="AQ36" s="9" t="n">
        <v>-29.625</v>
      </c>
      <c r="AR36" s="9" t="n">
        <v>-3.886</v>
      </c>
      <c r="AS36" s="9"/>
    </row>
    <row r="37" customFormat="false" ht="15" hidden="false" customHeight="true" outlineLevel="0" collapsed="false">
      <c r="A37" s="4" t="s">
        <v>169</v>
      </c>
      <c r="B37" s="9" t="n">
        <v>-0.089</v>
      </c>
      <c r="C37" s="9" t="n">
        <v>-3.766</v>
      </c>
      <c r="D37" s="9" t="n">
        <v>-3.651</v>
      </c>
      <c r="E37" s="9" t="n">
        <v>2.671</v>
      </c>
      <c r="F37" s="9" t="n">
        <v>6.267</v>
      </c>
      <c r="G37" s="9" t="n">
        <v>-3.594</v>
      </c>
      <c r="H37" s="9" t="n">
        <v>-4.339</v>
      </c>
      <c r="I37" s="9" t="n">
        <v>3.423</v>
      </c>
      <c r="J37" s="9" t="n">
        <v>3.564</v>
      </c>
      <c r="K37" s="9" t="n">
        <v>-4.306</v>
      </c>
      <c r="L37" s="9" t="n">
        <v>0.081</v>
      </c>
      <c r="M37" s="9" t="n">
        <v>4.8</v>
      </c>
      <c r="N37" s="9" t="n">
        <v>8.649</v>
      </c>
      <c r="O37" s="9" t="n">
        <v>-3.797</v>
      </c>
      <c r="P37" s="9" t="n">
        <v>-2.387</v>
      </c>
      <c r="Q37" s="9" t="n">
        <v>3.586</v>
      </c>
      <c r="R37" s="9" t="n">
        <v>6.441</v>
      </c>
      <c r="S37" s="9" t="n">
        <v>-4.524</v>
      </c>
      <c r="T37" s="9" t="n">
        <v>-0.059</v>
      </c>
      <c r="U37" s="9" t="n">
        <v>12.53</v>
      </c>
      <c r="V37" s="9" t="n">
        <v>0.233</v>
      </c>
      <c r="W37" s="9" t="n">
        <v>-15.004</v>
      </c>
      <c r="X37" s="9" t="n">
        <v>4.248</v>
      </c>
      <c r="Y37" s="9" t="n">
        <v>1.238</v>
      </c>
      <c r="Z37" s="9" t="n">
        <v>15.73</v>
      </c>
      <c r="AA37" s="9" t="n">
        <v>-9.283</v>
      </c>
      <c r="AB37" s="9" t="n">
        <v>18.925</v>
      </c>
      <c r="AC37" s="9" t="n">
        <v>-15.449</v>
      </c>
      <c r="AD37" s="9" t="n">
        <v>4.311</v>
      </c>
      <c r="AE37" s="9" t="n">
        <v>-9.519</v>
      </c>
      <c r="AF37" s="9" t="n">
        <v>0.855</v>
      </c>
      <c r="AG37" s="9" t="n">
        <v>8.507</v>
      </c>
      <c r="AH37" s="9" t="n">
        <v>-2.478</v>
      </c>
      <c r="AI37" s="9" t="n">
        <v>-15.272</v>
      </c>
      <c r="AJ37" s="9" t="n">
        <v>2.421</v>
      </c>
      <c r="AK37" s="9" t="n">
        <v>-2.47</v>
      </c>
      <c r="AL37" s="9" t="n">
        <v>12.489</v>
      </c>
      <c r="AM37" s="9" t="n">
        <v>-25.081</v>
      </c>
      <c r="AN37" s="9" t="n">
        <v>-10.208</v>
      </c>
      <c r="AO37" s="9"/>
      <c r="AP37" s="9" t="n">
        <v>13.337</v>
      </c>
      <c r="AQ37" s="9" t="n">
        <v>-19.734</v>
      </c>
      <c r="AR37" s="9" t="n">
        <v>-1.053</v>
      </c>
      <c r="AS37" s="9"/>
    </row>
    <row r="38" customFormat="false" ht="15" hidden="false" customHeight="true" outlineLevel="0" collapsed="false">
      <c r="A38" s="4" t="s">
        <v>170</v>
      </c>
      <c r="B38" s="9" t="n">
        <v>1.144</v>
      </c>
      <c r="C38" s="9" t="n">
        <v>1.149</v>
      </c>
      <c r="D38" s="9" t="n">
        <v>0.997</v>
      </c>
      <c r="E38" s="9" t="n">
        <v>0.94</v>
      </c>
      <c r="F38" s="9" t="n">
        <v>0.789</v>
      </c>
      <c r="G38" s="9"/>
      <c r="H38" s="9" t="n">
        <v>0.6295</v>
      </c>
      <c r="I38" s="9" t="n">
        <v>0.568</v>
      </c>
      <c r="J38" s="9" t="n">
        <v>0.655</v>
      </c>
      <c r="K38" s="9" t="n">
        <v>0.474</v>
      </c>
      <c r="L38" s="9" t="n">
        <v>0.423</v>
      </c>
      <c r="M38" s="9" t="n">
        <v>0.353</v>
      </c>
      <c r="N38" s="9" t="n">
        <v>0.174</v>
      </c>
      <c r="O38" s="9" t="n">
        <v>-0.115</v>
      </c>
      <c r="P38" s="9" t="n">
        <v>0.115</v>
      </c>
      <c r="Q38" s="9" t="n">
        <v>-0.941</v>
      </c>
      <c r="R38" s="9" t="n">
        <v>-0.565</v>
      </c>
      <c r="S38" s="9" t="n">
        <v>-0.527</v>
      </c>
      <c r="T38" s="9" t="n">
        <v>0.527</v>
      </c>
      <c r="U38" s="9" t="n">
        <v>0</v>
      </c>
      <c r="V38" s="9" t="n">
        <v>-1.423</v>
      </c>
      <c r="W38" s="9" t="n">
        <v>-0.043</v>
      </c>
      <c r="X38" s="9" t="n">
        <v>0.031</v>
      </c>
      <c r="Y38" s="9" t="n">
        <v>0.155</v>
      </c>
      <c r="Z38" s="9" t="n">
        <v>0.166</v>
      </c>
      <c r="AA38" s="9" t="n">
        <v>0.379</v>
      </c>
      <c r="AB38" s="9" t="n">
        <v>-0.266</v>
      </c>
      <c r="AC38" s="9" t="n">
        <v>0.004</v>
      </c>
      <c r="AD38" s="9" t="n">
        <v>0.125</v>
      </c>
      <c r="AE38" s="9" t="n">
        <v>0.13</v>
      </c>
      <c r="AF38" s="9" t="n">
        <v>-0.005</v>
      </c>
      <c r="AG38" s="9" t="n">
        <v>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 t="n">
        <v>-0.1005</v>
      </c>
      <c r="AS38" s="9" t="n">
        <v>-0.46</v>
      </c>
    </row>
    <row r="39" customFormat="false" ht="15" hidden="false" customHeight="true" outlineLevel="0" collapsed="false">
      <c r="A39" s="4" t="s">
        <v>171</v>
      </c>
      <c r="B39" s="9" t="n">
        <v>3.922</v>
      </c>
      <c r="C39" s="9"/>
      <c r="D39" s="9" t="n">
        <v>0.0950000000000006</v>
      </c>
      <c r="E39" s="9"/>
      <c r="F39" s="9" t="n">
        <v>3.903</v>
      </c>
      <c r="G39" s="9" t="n">
        <v>0.0690000000000015</v>
      </c>
      <c r="H39" s="9" t="n">
        <v>-0.103999999999998</v>
      </c>
      <c r="I39" s="9"/>
      <c r="J39" s="9" t="n">
        <v>-0.677999999999998</v>
      </c>
      <c r="K39" s="9" t="n">
        <v>4.39399999999999</v>
      </c>
      <c r="L39" s="9" t="n">
        <v>-5.85199999999999</v>
      </c>
      <c r="M39" s="9" t="n">
        <v>0.257</v>
      </c>
      <c r="N39" s="9" t="n">
        <v>3.725</v>
      </c>
      <c r="O39" s="9" t="n">
        <v>-19.525</v>
      </c>
      <c r="P39" s="9" t="n">
        <v>-6.5795</v>
      </c>
      <c r="Q39" s="9" t="n">
        <v>-7.808</v>
      </c>
      <c r="R39" s="9" t="n">
        <v>-11.155</v>
      </c>
      <c r="S39" s="9"/>
      <c r="T39" s="9"/>
      <c r="U39" s="9" t="n">
        <v>0.0760000000000014</v>
      </c>
      <c r="V39" s="9" t="n">
        <v>4.523</v>
      </c>
      <c r="W39" s="9"/>
      <c r="X39" s="9" t="n">
        <v>2.543</v>
      </c>
      <c r="Y39" s="9" t="n">
        <v>0.177</v>
      </c>
      <c r="Z39" s="9" t="n">
        <v>-10.954</v>
      </c>
      <c r="AA39" s="9"/>
      <c r="AB39" s="9" t="n">
        <v>-6</v>
      </c>
      <c r="AC39" s="9" t="n">
        <v>-0.486000000000001</v>
      </c>
      <c r="AD39" s="9" t="n">
        <v>-2.197</v>
      </c>
      <c r="AE39" s="9"/>
      <c r="AF39" s="9" t="n">
        <v>-2.994</v>
      </c>
      <c r="AG39" s="9" t="n">
        <v>2.294</v>
      </c>
      <c r="AH39" s="9" t="n">
        <v>157.144</v>
      </c>
      <c r="AI39" s="9"/>
      <c r="AJ39" s="9" t="n">
        <v>-0.223999999999998</v>
      </c>
      <c r="AK39" s="9" t="n">
        <v>-0.817999999999998</v>
      </c>
      <c r="AL39" s="9" t="n">
        <v>0.214999999999991</v>
      </c>
      <c r="AM39" s="9"/>
      <c r="AN39" s="9" t="n">
        <v>-8.1515</v>
      </c>
      <c r="AO39" s="9" t="n">
        <v>-40.4955</v>
      </c>
      <c r="AP39" s="9" t="n">
        <v>0.238500000000005</v>
      </c>
      <c r="AQ39" s="9"/>
      <c r="AR39" s="9" t="n">
        <v>35.6595</v>
      </c>
      <c r="AS39" s="9" t="n">
        <v>76.252</v>
      </c>
    </row>
    <row r="40" customFormat="false" ht="15" hidden="false" customHeight="true" outlineLevel="0" collapsed="false">
      <c r="A40" s="11" t="s">
        <v>172</v>
      </c>
      <c r="B40" s="12" t="n">
        <f aca="false">SUM(B6,B7,B8,B9,B10,B11,B12,B13,B14,B15,B16,B17,B18,B19,B20,B21,B22,B23,B24,B25,B26,B27,B28,B29,B30,B31,B32,B33,B34,B35,B36,B37,B38,B39)</f>
        <v>22.197</v>
      </c>
      <c r="C40" s="12" t="n">
        <f aca="false">SUM(C6,C7,C8,C9,C10,C11,C12,C13,C14,C15,C16,C17,C18,C19,C20,C21,C22,C23,C24,C25,C26,C27,C28,C29,C30,C31,C32,C33,C34,C35,C36,C37,C38,C39)</f>
        <v>-11.304</v>
      </c>
      <c r="D40" s="12" t="n">
        <f aca="false">SUM(D6,D7,D8,D9,D10,D11,D12,D13,D14,D15,D16,D17,D18,D19,D20,D21,D22,D23,D24,D25,D26,D27,D28,D29,D30,D31,D32,D33,D34,D35,D36,D37,D38,D39)</f>
        <v>-11.605</v>
      </c>
      <c r="E40" s="12" t="n">
        <f aca="false">SUM(E6,E7,E8,E9,E10,E11,E12,E13,E14,E15,E16,E17,E18,E19,E20,E21,E22,E23,E24,E25,E26,E27,E28,E29,E30,E31,E32,E33,E34,E35,E36,E37,E38,E39)</f>
        <v>17.242</v>
      </c>
      <c r="F40" s="12" t="n">
        <f aca="false">SUM(F6,F7,F8,F9,F10,F11,F12,F13,F14,F15,F16,F17,F18,F19,F20,F21,F22,F23,F24,F25,F26,F27,F28,F29,F30,F31,F32,F33,F34,F35,F36,F37,F38,F39)</f>
        <v>6.25</v>
      </c>
      <c r="G40" s="12" t="n">
        <f aca="false">SUM(G6,G7,G8,G9,G10,G11,G12,G13,G14,G15,G16,G17,G18,G19,G20,G21,G22,G23,G24,G25,G26,G27,G28,G29,G30,G31,G32,G33,G34,G35,G36,G37,G38,G39)</f>
        <v>-1.243</v>
      </c>
      <c r="H40" s="12" t="n">
        <f aca="false">SUM(H6,H7,H8,H9,H10,H11,H12,H13,H14,H15,H16,H17,H18,H19,H20,H21,H22,H23,H24,H25,H26,H27,H28,H29,H30,H31,H32,H33,H34,H35,H36,H37,H38,H39)</f>
        <v>-5.036</v>
      </c>
      <c r="I40" s="12" t="n">
        <f aca="false">SUM(I6,I7,I8,I9,I10,I11,I12,I13,I14,I15,I16,I17,I18,I19,I20,I21,I22,I23,I24,I25,I26,I27,I28,I29,I30,I31,I32,I33,I34,I35,I36,I37,I38,I39)</f>
        <v>-8.145</v>
      </c>
      <c r="J40" s="12" t="n">
        <f aca="false">SUM(J6,J7,J8,J9,J10,J11,J12,J13,J14,J15,J16,J17,J18,J19,J20,J21,J22,J23,J24,J25,J26,J27,J28,J29,J30,J31,J32,J33,J34,J35,J36,J37,J38,J39)</f>
        <v>3.925</v>
      </c>
      <c r="K40" s="12" t="n">
        <f aca="false">SUM(K6,K7,K8,K9,K10,K11,K12,K13,K14,K15,K16,K17,K18,K19,K20,K21,K22,K23,K24,K25,K26,K27,K28,K29,K30,K31,K32,K33,K34,K35,K36,K37,K38,K39)</f>
        <v>25.319</v>
      </c>
      <c r="L40" s="12" t="n">
        <f aca="false">SUM(L6,L7,L8,L9,L10,L11,L12,L13,L14,L15,L16,L17,L18,L19,L20,L21,L22,L23,L24,L25,L26,L27,L28,L29,L30,L31,L32,L33,L34,L35,L36,L37,L38,L39)</f>
        <v>4.67500000000001</v>
      </c>
      <c r="M40" s="12" t="n">
        <f aca="false">SUM(M6,M7,M8,M9,M10,M11,M12,M13,M14,M15,M16,M17,M18,M19,M20,M21,M22,M23,M24,M25,M26,M27,M28,M29,M30,M31,M32,M33,M34,M35,M36,M37,M38,M39)</f>
        <v>1.838</v>
      </c>
      <c r="N40" s="12" t="n">
        <f aca="false">SUM(N6,N7,N8,N9,N10,N11,N12,N13,N14,N15,N16,N17,N18,N19,N20,N21,N22,N23,N24,N25,N26,N27,N28,N29,N30,N31,N32,N33,N34,N35,N36,N37,N38,N39)</f>
        <v>38</v>
      </c>
      <c r="O40" s="12" t="n">
        <f aca="false">SUM(O6,O7,O8,O9,O10,O11,O12,O13,O14,O15,O16,O17,O18,O19,O20,O21,O22,O23,O24,O25,O26,O27,O28,O29,O30,O31,O32,O33,O34,O35,O36,O37,O38,O39)</f>
        <v>5.036</v>
      </c>
      <c r="P40" s="12" t="n">
        <f aca="false">SUM(P6,P7,P8,P9,P10,P11,P12,P13,P14,P15,P16,P17,P18,P19,P20,P21,P22,P23,P24,P25,P26,P27,P28,P29,P30,P31,P32,P33,P34,P35,P36,P37,P38,P39)</f>
        <v>-2.379</v>
      </c>
      <c r="Q40" s="12" t="n">
        <f aca="false">SUM(Q6,Q7,Q8,Q9,Q10,Q11,Q12,Q13,Q14,Q15,Q16,Q17,Q18,Q19,Q20,Q21,Q22,Q23,Q24,Q25,Q26,Q27,Q28,Q29,Q30,Q31,Q32,Q33,Q34,Q35,Q36,Q37,Q38,Q39)</f>
        <v>4.24</v>
      </c>
      <c r="R40" s="12" t="n">
        <f aca="false">SUM(R6,R7,R8,R9,R10,R11,R12,R13,R14,R15,R16,R17,R18,R19,R20,R21,R22,R23,R24,R25,R26,R27,R28,R29,R30,R31,R32,R33,R34,R35,R36,R37,R38,R39)</f>
        <v>20.049</v>
      </c>
      <c r="S40" s="12" t="n">
        <f aca="false">SUM(S6,S7,S8,S9,S10,S11,S12,S13,S14,S15,S16,S17,S18,S19,S20,S21,S22,S23,S24,S25,S26,S27,S28,S29,S30,S31,S32,S33,S34,S35,S36,S37,S38,S39)</f>
        <v>3.112</v>
      </c>
      <c r="T40" s="12" t="n">
        <f aca="false">SUM(T6,T7,T8,T9,T10,T11,T12,T13,T14,T15,T16,T17,T18,T19,T20,T21,T22,T23,T24,T25,T26,T27,T28,T29,T30,T31,T32,T33,T34,T35,T36,T37,T38,T39)</f>
        <v>4.806</v>
      </c>
      <c r="U40" s="12" t="n">
        <f aca="false">SUM(U6,U7,U8,U9,U10,U11,U12,U13,U14,U15,U16,U17,U18,U19,U20,U21,U22,U23,U24,U25,U26,U27,U28,U29,U30,U31,U32,U33,U34,U35,U36,U37,U38,U39)</f>
        <v>7.147</v>
      </c>
      <c r="V40" s="12" t="n">
        <f aca="false">SUM(V6,V7,V8,V9,V10,V11,V12,V13,V14,V15,V16,V17,V18,V19,V20,V21,V22,V23,V24,V25,V26,V27,V28,V29,V30,V31,V32,V33,V34,V35,V36,V37,V38,V39)</f>
        <v>10.031</v>
      </c>
      <c r="W40" s="12" t="n">
        <f aca="false">SUM(W6,W7,W8,W9,W10,W11,W12,W13,W14,W15,W16,W17,W18,W19,W20,W21,W22,W23,W24,W25,W26,W27,W28,W29,W30,W31,W32,W33,W34,W35,W36,W37,W38,W39)</f>
        <v>26.841</v>
      </c>
      <c r="X40" s="12" t="n">
        <f aca="false">SUM(X6,X7,X8,X9,X10,X11,X12,X13,X14,X15,X16,X17,X18,X19,X20,X21,X22,X23,X24,X25,X26,X27,X28,X29,X30,X31,X32,X33,X34,X35,X36,X37,X38,X39)</f>
        <v>31.752</v>
      </c>
      <c r="Y40" s="12" t="n">
        <f aca="false">SUM(Y6,Y7,Y8,Y9,Y10,Y11,Y12,Y13,Y14,Y15,Y16,Y17,Y18,Y19,Y20,Y21,Y22,Y23,Y24,Y25,Y26,Y27,Y28,Y29,Y30,Y31,Y32,Y33,Y34,Y35,Y36,Y37,Y38,Y39)</f>
        <v>20.369</v>
      </c>
      <c r="Z40" s="12" t="n">
        <f aca="false">SUM(Z6,Z7,Z8,Z9,Z10,Z11,Z12,Z13,Z14,Z15,Z16,Z17,Z18,Z19,Z20,Z21,Z22,Z23,Z24,Z25,Z26,Z27,Z28,Z29,Z30,Z31,Z32,Z33,Z34,Z35,Z36,Z37,Z38,Z39)</f>
        <v>7.57</v>
      </c>
      <c r="AA40" s="12" t="n">
        <f aca="false">SUM(AA6,AA7,AA8,AA9,AA10,AA11,AA12,AA13,AA14,AA15,AA16,AA17,AA18,AA19,AA20,AA21,AA22,AA23,AA24,AA25,AA26,AA27,AA28,AA29,AA30,AA31,AA32,AA33,AA34,AA35,AA36,AA37,AA38,AA39)</f>
        <v>-15.304</v>
      </c>
      <c r="AB40" s="12" t="n">
        <f aca="false">SUM(AB6,AB7,AB8,AB9,AB10,AB11,AB12,AB13,AB14,AB15,AB16,AB17,AB18,AB19,AB20,AB21,AB22,AB23,AB24,AB25,AB26,AB27,AB28,AB29,AB30,AB31,AB32,AB33,AB34,AB35,AB36,AB37,AB38,AB39)</f>
        <v>11.96</v>
      </c>
      <c r="AC40" s="12" t="n">
        <f aca="false">SUM(AC6,AC7,AC8,AC9,AC10,AC11,AC12,AC13,AC14,AC15,AC16,AC17,AC18,AC19,AC20,AC21,AC22,AC23,AC24,AC25,AC26,AC27,AC28,AC29,AC30,AC31,AC32,AC33,AC34,AC35,AC36,AC37,AC38,AC39)</f>
        <v>-19.832</v>
      </c>
      <c r="AD40" s="12" t="n">
        <f aca="false">SUM(AD6,AD7,AD8,AD9,AD10,AD11,AD12,AD13,AD14,AD15,AD16,AD17,AD18,AD19,AD20,AD21,AD22,AD23,AD24,AD25,AD26,AD27,AD28,AD29,AD30,AD31,AD32,AD33,AD34,AD35,AD36,AD37,AD38,AD39)</f>
        <v>13.558</v>
      </c>
      <c r="AE40" s="12" t="n">
        <f aca="false">SUM(AE6,AE7,AE8,AE9,AE10,AE11,AE12,AE13,AE14,AE15,AE16,AE17,AE18,AE19,AE20,AE21,AE22,AE23,AE24,AE25,AE26,AE27,AE28,AE29,AE30,AE31,AE32,AE33,AE34,AE35,AE36,AE37,AE38,AE39)</f>
        <v>15.887</v>
      </c>
      <c r="AF40" s="12" t="n">
        <f aca="false">SUM(AF6,AF7,AF8,AF9,AF10,AF11,AF12,AF13,AF14,AF15,AF16,AF17,AF18,AF19,AF20,AF21,AF22,AF23,AF24,AF25,AF26,AF27,AF28,AF29,AF30,AF31,AF32,AF33,AF34,AF35,AF36,AF37,AF38,AF39)</f>
        <v>16.045</v>
      </c>
      <c r="AG40" s="12" t="n">
        <f aca="false">SUM(AG6,AG7,AG8,AG9,AG10,AG11,AG12,AG13,AG14,AG15,AG16,AG17,AG18,AG19,AG20,AG21,AG22,AG23,AG24,AG25,AG26,AG27,AG28,AG29,AG30,AG31,AG32,AG33,AG34,AG35,AG36,AG37,AG38,AG39)</f>
        <v>-23.131</v>
      </c>
      <c r="AH40" s="12" t="n">
        <f aca="false">SUM(AH6,AH7,AH8,AH9,AH10,AH11,AH12,AH13,AH14,AH15,AH16,AH17,AH18,AH19,AH20,AH21,AH22,AH23,AH24,AH25,AH26,AH27,AH28,AH29,AH30,AH31,AH32,AH33,AH34,AH35,AH36,AH37,AH38,AH39)</f>
        <v>2.59899999999999</v>
      </c>
      <c r="AI40" s="12" t="n">
        <f aca="false">SUM(AI6,AI7,AI8,AI9,AI10,AI11,AI12,AI13,AI14,AI15,AI16,AI17,AI18,AI19,AI20,AI21,AI22,AI23,AI24,AI25,AI26,AI27,AI28,AI29,AI30,AI31,AI32,AI33,AI34,AI35,AI36,AI37,AI38,AI39)</f>
        <v>-17.062</v>
      </c>
      <c r="AJ40" s="12" t="n">
        <f aca="false">SUM(AJ6,AJ7,AJ8,AJ9,AJ10,AJ11,AJ12,AJ13,AJ14,AJ15,AJ16,AJ17,AJ18,AJ19,AJ20,AJ21,AJ22,AJ23,AJ24,AJ25,AJ26,AJ27,AJ28,AJ29,AJ30,AJ31,AJ32,AJ33,AJ34,AJ35,AJ36,AJ37,AJ38,AJ39)</f>
        <v>-8.528</v>
      </c>
      <c r="AK40" s="12" t="n">
        <f aca="false">SUM(AK6,AK7,AK8,AK9,AK10,AK11,AK12,AK13,AK14,AK15,AK16,AK17,AK18,AK19,AK20,AK21,AK22,AK23,AK24,AK25,AK26,AK27,AK28,AK29,AK30,AK31,AK32,AK33,AK34,AK35,AK36,AK37,AK38,AK39)</f>
        <v>52.555</v>
      </c>
      <c r="AL40" s="12" t="n">
        <f aca="false">SUM(AL6,AL7,AL8,AL9,AL10,AL11,AL12,AL13,AL14,AL15,AL16,AL17,AL18,AL19,AL20,AL21,AL22,AL23,AL24,AL25,AL26,AL27,AL28,AL29,AL30,AL31,AL32,AL33,AL34,AL35,AL36,AL37,AL38,AL39)</f>
        <v>-11.673</v>
      </c>
      <c r="AM40" s="12" t="n">
        <f aca="false">SUM(AM6,AM7,AM8,AM9,AM10,AM11,AM12,AM13,AM14,AM15,AM16,AM17,AM18,AM19,AM20,AM21,AM22,AM23,AM24,AM25,AM26,AM27,AM28,AM29,AM30,AM31,AM32,AM33,AM34,AM35,AM36,AM37,AM38,AM39)</f>
        <v>28.352</v>
      </c>
      <c r="AN40" s="12" t="n">
        <f aca="false">SUM(AN6,AN7,AN8,AN9,AN10,AN11,AN12,AN13,AN14,AN15,AN16,AN17,AN18,AN19,AN20,AN21,AN22,AN23,AN24,AN25,AN26,AN27,AN28,AN29,AN30,AN31,AN32,AN33,AN34,AN35,AN36,AN37,AN38,AN39)</f>
        <v>-3.642</v>
      </c>
      <c r="AO40" s="12" t="n">
        <f aca="false">SUM(AO6,AO7,AO8,AO9,AO10,AO11,AO12,AO13,AO14,AO15,AO16,AO17,AO18,AO19,AO20,AO21,AO22,AO23,AO24,AO25,AO26,AO27,AO28,AO29,AO30,AO31,AO32,AO33,AO34,AO35,AO36,AO37,AO38,AO39)</f>
        <v>-25.763</v>
      </c>
      <c r="AP40" s="12" t="n">
        <f aca="false">SUM(AP6,AP7,AP8,AP9,AP10,AP11,AP12,AP13,AP14,AP15,AP16,AP17,AP18,AP19,AP20,AP21,AP22,AP23,AP24,AP25,AP26,AP27,AP28,AP29,AP30,AP31,AP32,AP33,AP34,AP35,AP36,AP37,AP38,AP39)</f>
        <v>-0.263999999999991</v>
      </c>
      <c r="AQ40" s="12" t="n">
        <f aca="false">SUM(AQ6,AQ7,AQ8,AQ9,AQ10,AQ11,AQ12,AQ13,AQ14,AQ15,AQ16,AQ17,AQ18,AQ19,AQ20,AQ21,AQ22,AQ23,AQ24,AQ25,AQ26,AQ27,AQ28,AQ29,AQ30,AQ31,AQ32,AQ33,AQ34,AQ35,AQ36,AQ37,AQ38,AQ39)</f>
        <v>-123.727</v>
      </c>
      <c r="AR40" s="12" t="n">
        <f aca="false">SUM(AR6,AR7,AR8,AR9,AR10,AR11,AR12,AR13,AR14,AR15,AR16,AR17,AR18,AR19,AR20,AR21,AR22,AR23,AR24,AR25,AR26,AR27,AR28,AR29,AR30,AR31,AR32,AR33,AR34,AR35,AR36,AR37,AR38,AR39)</f>
        <v>-45.084</v>
      </c>
      <c r="AS40" s="12" t="n">
        <f aca="false">SUM(AS6,AS7,AS8,AS9,AS10,AS11,AS12,AS13,AS14,AS15,AS16,AS17,AS18,AS19,AS20,AS21,AS22,AS23,AS24,AS25,AS26,AS27,AS28,AS29,AS30,AS31,AS32,AS33,AS34,AS35,AS36,AS37,AS38,AS39)</f>
        <v>-5.10699999999999</v>
      </c>
    </row>
    <row r="41" customFormat="false" ht="14.25" hidden="false" customHeight="true" outlineLevel="0" collapsed="false">
      <c r="A41" s="8" t="s">
        <v>173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 customFormat="false" ht="15" hidden="false" customHeight="true" outlineLevel="0" collapsed="false">
      <c r="A42" s="4" t="s">
        <v>174</v>
      </c>
      <c r="B42" s="9" t="n">
        <v>-2.953</v>
      </c>
      <c r="C42" s="9" t="n">
        <v>-0.906</v>
      </c>
      <c r="D42" s="9" t="n">
        <v>-1.898</v>
      </c>
      <c r="E42" s="9" t="n">
        <v>-1.455</v>
      </c>
      <c r="F42" s="9" t="n">
        <v>-2.57</v>
      </c>
      <c r="G42" s="9" t="n">
        <v>-2.634</v>
      </c>
      <c r="H42" s="9" t="n">
        <v>-1.88</v>
      </c>
      <c r="I42" s="9" t="n">
        <v>-3.072</v>
      </c>
      <c r="J42" s="9" t="n">
        <v>-2.276</v>
      </c>
      <c r="K42" s="9" t="n">
        <v>-2.705</v>
      </c>
      <c r="L42" s="9" t="n">
        <v>-2.75</v>
      </c>
      <c r="M42" s="9" t="n">
        <v>-2.258</v>
      </c>
      <c r="N42" s="9" t="n">
        <v>-1.85</v>
      </c>
      <c r="O42" s="9" t="n">
        <v>-1.423</v>
      </c>
      <c r="P42" s="9" t="n">
        <v>-2.712</v>
      </c>
      <c r="Q42" s="9" t="n">
        <v>-2.671</v>
      </c>
      <c r="R42" s="9" t="n">
        <v>-2.09</v>
      </c>
      <c r="S42" s="9" t="n">
        <v>-1.902</v>
      </c>
      <c r="T42" s="9" t="n">
        <v>-4.948</v>
      </c>
      <c r="U42" s="9" t="n">
        <v>-1.654</v>
      </c>
      <c r="V42" s="9" t="n">
        <v>-2.716</v>
      </c>
      <c r="W42" s="9" t="n">
        <v>-4.067</v>
      </c>
      <c r="X42" s="9" t="n">
        <v>-1.985</v>
      </c>
      <c r="Y42" s="9" t="n">
        <v>-2.42</v>
      </c>
      <c r="Z42" s="9" t="n">
        <v>-2.791</v>
      </c>
      <c r="AA42" s="9" t="n">
        <v>-5.428</v>
      </c>
      <c r="AB42" s="9" t="n">
        <v>-7.719</v>
      </c>
      <c r="AC42" s="9" t="n">
        <v>-3.917</v>
      </c>
      <c r="AD42" s="9" t="n">
        <v>-5.225</v>
      </c>
      <c r="AE42" s="9" t="n">
        <v>-5.393</v>
      </c>
      <c r="AF42" s="9" t="n">
        <v>-2.194</v>
      </c>
      <c r="AG42" s="9" t="n">
        <v>-2.529</v>
      </c>
      <c r="AH42" s="9" t="n">
        <v>-4.752</v>
      </c>
      <c r="AI42" s="9" t="n">
        <v>-3.632</v>
      </c>
      <c r="AJ42" s="9" t="n">
        <v>-6.472</v>
      </c>
      <c r="AK42" s="9" t="n">
        <v>-3.797</v>
      </c>
      <c r="AL42" s="9" t="n">
        <v>-9.082</v>
      </c>
      <c r="AM42" s="9" t="n">
        <v>-5.43</v>
      </c>
      <c r="AN42" s="9" t="n">
        <v>-5.017</v>
      </c>
      <c r="AO42" s="9" t="n">
        <v>-3.845</v>
      </c>
      <c r="AP42" s="9" t="n">
        <v>-8.524</v>
      </c>
      <c r="AQ42" s="9" t="n">
        <v>-22.728</v>
      </c>
      <c r="AR42" s="9" t="n">
        <v>-10.809</v>
      </c>
      <c r="AS42" s="9" t="n">
        <v>-12.597</v>
      </c>
    </row>
    <row r="43" customFormat="false" ht="15" hidden="false" customHeight="true" outlineLevel="0" collapsed="false">
      <c r="A43" s="4" t="s">
        <v>175</v>
      </c>
      <c r="B43" s="9" t="n">
        <v>-0.11</v>
      </c>
      <c r="C43" s="9" t="n">
        <v>-0.085</v>
      </c>
      <c r="D43" s="9" t="n">
        <v>-0.101</v>
      </c>
      <c r="E43" s="9" t="n">
        <v>-0.109</v>
      </c>
      <c r="F43" s="9" t="n">
        <v>0</v>
      </c>
      <c r="G43" s="9"/>
      <c r="H43" s="9"/>
      <c r="I43" s="9"/>
      <c r="J43" s="9"/>
      <c r="K43" s="9"/>
      <c r="L43" s="9"/>
      <c r="M43" s="9"/>
      <c r="N43" s="9" t="n">
        <v>-1.407</v>
      </c>
      <c r="O43" s="9"/>
      <c r="P43" s="9"/>
      <c r="Q43" s="9" t="n">
        <v>0</v>
      </c>
      <c r="R43" s="9" t="n">
        <v>-7.598</v>
      </c>
      <c r="S43" s="9" t="n">
        <v>-4.569</v>
      </c>
      <c r="T43" s="9" t="n">
        <v>0</v>
      </c>
      <c r="U43" s="9" t="n">
        <v>-4.982</v>
      </c>
      <c r="V43" s="9" t="n">
        <v>-4.947</v>
      </c>
      <c r="W43" s="9" t="n">
        <v>-1.173</v>
      </c>
      <c r="X43" s="9" t="n">
        <v>0</v>
      </c>
      <c r="Y43" s="9" t="n">
        <v>-0.977</v>
      </c>
      <c r="Z43" s="9" t="n">
        <v>-0.525</v>
      </c>
      <c r="AA43" s="9" t="n">
        <v>-2.692</v>
      </c>
      <c r="AB43" s="9" t="n">
        <v>-3.553</v>
      </c>
      <c r="AC43" s="9" t="n">
        <v>-0.639</v>
      </c>
      <c r="AD43" s="9" t="n">
        <v>0</v>
      </c>
      <c r="AE43" s="9" t="n">
        <v>-2.774</v>
      </c>
      <c r="AF43" s="9" t="n">
        <v>0</v>
      </c>
      <c r="AG43" s="9" t="n">
        <v>0</v>
      </c>
      <c r="AH43" s="9" t="n">
        <v>-3.004</v>
      </c>
      <c r="AI43" s="9"/>
      <c r="AJ43" s="9" t="n">
        <v>-1.875</v>
      </c>
      <c r="AK43" s="9" t="n">
        <v>0</v>
      </c>
      <c r="AL43" s="9" t="n">
        <v>-1.199</v>
      </c>
      <c r="AM43" s="9" t="n">
        <v>-1.183</v>
      </c>
      <c r="AN43" s="9" t="n">
        <v>0</v>
      </c>
      <c r="AO43" s="9" t="n">
        <v>-1.126</v>
      </c>
      <c r="AP43" s="9" t="n">
        <v>-3.365</v>
      </c>
      <c r="AQ43" s="9"/>
      <c r="AR43" s="9" t="n">
        <v>-2.123</v>
      </c>
      <c r="AS43" s="9" t="n">
        <v>-1.12</v>
      </c>
    </row>
    <row r="44" customFormat="false" ht="15" hidden="false" customHeight="true" outlineLevel="0" collapsed="false">
      <c r="A44" s="4" t="s">
        <v>176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 t="n">
        <v>-2.55</v>
      </c>
      <c r="AG44" s="9" t="n">
        <v>0</v>
      </c>
      <c r="AH44" s="9" t="n">
        <v>0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customFormat="false" ht="15" hidden="false" customHeight="true" outlineLevel="0" collapsed="false">
      <c r="A45" s="4" t="s">
        <v>177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 t="n">
        <v>-2.693</v>
      </c>
      <c r="T45" s="9" t="n">
        <v>2.693</v>
      </c>
      <c r="U45" s="9" t="n">
        <v>-59.297</v>
      </c>
      <c r="V45" s="9" t="n">
        <v>-47.31</v>
      </c>
      <c r="W45" s="9" t="n">
        <v>-69.961</v>
      </c>
      <c r="X45" s="9" t="n">
        <v>-46.984</v>
      </c>
      <c r="Y45" s="9" t="n">
        <v>-8.699</v>
      </c>
      <c r="Z45" s="9" t="n">
        <v>0</v>
      </c>
      <c r="AA45" s="9"/>
      <c r="AB45" s="9"/>
      <c r="AC45" s="9" t="n">
        <v>-2.987</v>
      </c>
      <c r="AD45" s="9" t="n">
        <v>-20.895</v>
      </c>
      <c r="AE45" s="9" t="n">
        <v>-1.326</v>
      </c>
      <c r="AF45" s="9" t="n">
        <v>0</v>
      </c>
      <c r="AG45" s="9" t="n">
        <v>0</v>
      </c>
      <c r="AH45" s="9" t="n">
        <v>0</v>
      </c>
      <c r="AI45" s="9"/>
      <c r="AJ45" s="9"/>
      <c r="AK45" s="9"/>
      <c r="AL45" s="9"/>
      <c r="AM45" s="9"/>
      <c r="AN45" s="9"/>
      <c r="AO45" s="9"/>
      <c r="AP45" s="9"/>
      <c r="AQ45" s="9"/>
      <c r="AR45" s="9" t="n">
        <v>-132.108</v>
      </c>
      <c r="AS45" s="9" t="n">
        <v>-70.968</v>
      </c>
    </row>
    <row r="46" customFormat="false" ht="15" hidden="false" customHeight="true" outlineLevel="0" collapsed="false">
      <c r="A46" s="4" t="s">
        <v>178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 t="n">
        <v>0.112</v>
      </c>
      <c r="AC46" s="9" t="n">
        <v>0.001</v>
      </c>
      <c r="AD46" s="9" t="n">
        <v>-0.001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customFormat="false" ht="15" hidden="false" customHeight="true" outlineLevel="0" collapsed="false">
      <c r="A47" s="4" t="s">
        <v>179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 t="n">
        <v>-9.34</v>
      </c>
      <c r="AR47" s="9" t="n">
        <v>-3.926</v>
      </c>
      <c r="AS47" s="9" t="n">
        <v>-4.009</v>
      </c>
    </row>
    <row r="48" customFormat="false" ht="15" hidden="false" customHeight="true" outlineLevel="0" collapsed="false">
      <c r="A48" s="4" t="s">
        <v>180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n">
        <v>-18.641</v>
      </c>
      <c r="T48" s="9" t="n">
        <v>0</v>
      </c>
      <c r="U48" s="9" t="n">
        <v>0</v>
      </c>
      <c r="V48" s="9" t="n">
        <v>0</v>
      </c>
      <c r="W48" s="9"/>
      <c r="X48" s="9"/>
      <c r="Y48" s="9" t="n">
        <v>0</v>
      </c>
      <c r="Z48" s="9" t="n">
        <v>-385.614</v>
      </c>
      <c r="AA48" s="9" t="n">
        <v>-46.15</v>
      </c>
      <c r="AB48" s="9" t="n">
        <v>0</v>
      </c>
      <c r="AC48" s="9" t="n">
        <v>0</v>
      </c>
      <c r="AD48" s="9" t="n">
        <v>0</v>
      </c>
      <c r="AE48" s="9"/>
      <c r="AF48" s="9" t="n">
        <v>-2.5525</v>
      </c>
      <c r="AG48" s="9" t="n">
        <v>0</v>
      </c>
      <c r="AH48" s="9" t="n">
        <v>0</v>
      </c>
      <c r="AI48" s="9"/>
      <c r="AJ48" s="9" t="n">
        <v>-12.078</v>
      </c>
      <c r="AK48" s="9" t="n">
        <v>0</v>
      </c>
      <c r="AL48" s="9" t="n">
        <v>-0.001</v>
      </c>
      <c r="AM48" s="9"/>
      <c r="AN48" s="9"/>
      <c r="AO48" s="9"/>
      <c r="AP48" s="9"/>
      <c r="AQ48" s="9" t="n">
        <v>-844.58</v>
      </c>
      <c r="AR48" s="9" t="n">
        <v>0</v>
      </c>
      <c r="AS48" s="9" t="n">
        <v>-0.006</v>
      </c>
    </row>
    <row r="49" customFormat="false" ht="15" hidden="false" customHeight="true" outlineLevel="0" collapsed="false">
      <c r="A49" s="4" t="s">
        <v>181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 t="n">
        <v>31.994</v>
      </c>
      <c r="P49" s="9" t="n">
        <v>0</v>
      </c>
      <c r="Q49" s="9" t="n">
        <v>0</v>
      </c>
      <c r="R49" s="9" t="n">
        <v>0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customFormat="false" ht="15" hidden="false" customHeight="true" outlineLevel="0" collapsed="false">
      <c r="A50" s="4" t="s">
        <v>182</v>
      </c>
      <c r="B50" s="9" t="n">
        <v>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 t="n">
        <v>-0.75</v>
      </c>
      <c r="AK50" s="9" t="n">
        <v>0</v>
      </c>
      <c r="AL50" s="9" t="n">
        <v>0</v>
      </c>
      <c r="AM50" s="9"/>
      <c r="AN50" s="9"/>
      <c r="AO50" s="9"/>
      <c r="AP50" s="9"/>
      <c r="AQ50" s="9"/>
      <c r="AR50" s="9"/>
      <c r="AS50" s="9"/>
    </row>
    <row r="51" customFormat="false" ht="15" hidden="false" customHeight="true" outlineLevel="0" collapsed="false">
      <c r="A51" s="4" t="s">
        <v>183</v>
      </c>
      <c r="B51" s="9"/>
      <c r="C51" s="9"/>
      <c r="D51" s="9"/>
      <c r="E51" s="9"/>
      <c r="F51" s="9"/>
      <c r="G51" s="9" t="n">
        <v>0.007</v>
      </c>
      <c r="H51" s="9" t="n">
        <v>0</v>
      </c>
      <c r="I51" s="9" t="n">
        <v>0</v>
      </c>
      <c r="J51" s="9"/>
      <c r="K51" s="9"/>
      <c r="L51" s="9"/>
      <c r="M51" s="9"/>
      <c r="N51" s="9"/>
      <c r="O51" s="9"/>
      <c r="P51" s="9"/>
      <c r="Q51" s="9" t="n">
        <v>0</v>
      </c>
      <c r="R51" s="9" t="n">
        <v>260.918</v>
      </c>
      <c r="S51" s="9" t="n">
        <v>0.081</v>
      </c>
      <c r="T51" s="9" t="n">
        <v>0</v>
      </c>
      <c r="U51" s="9" t="n">
        <v>0</v>
      </c>
      <c r="V51" s="9" t="n">
        <v>0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customFormat="false" ht="15" hidden="false" customHeight="true" outlineLevel="0" collapsed="false">
      <c r="A52" s="4" t="s">
        <v>184</v>
      </c>
      <c r="B52" s="9" t="n">
        <v>7.28</v>
      </c>
      <c r="C52" s="9" t="n">
        <v>37.507</v>
      </c>
      <c r="D52" s="9" t="n">
        <v>18.34</v>
      </c>
      <c r="E52" s="9" t="n">
        <v>11.555</v>
      </c>
      <c r="F52" s="9" t="n">
        <v>17.031</v>
      </c>
      <c r="G52" s="9" t="n">
        <v>28.82</v>
      </c>
      <c r="H52" s="9" t="n">
        <v>25.141</v>
      </c>
      <c r="I52" s="9" t="n">
        <v>39.247</v>
      </c>
      <c r="J52" s="9" t="n">
        <v>28.314</v>
      </c>
      <c r="K52" s="9" t="n">
        <v>59.28</v>
      </c>
      <c r="L52" s="9" t="n">
        <v>46.478</v>
      </c>
      <c r="M52" s="9" t="n">
        <v>58.055</v>
      </c>
      <c r="N52" s="9" t="n">
        <v>63.85</v>
      </c>
      <c r="O52" s="9" t="n">
        <v>78.909</v>
      </c>
      <c r="P52" s="9" t="n">
        <v>74.12</v>
      </c>
      <c r="Q52" s="9" t="n">
        <v>38.426</v>
      </c>
      <c r="R52" s="9" t="n">
        <v>69.463</v>
      </c>
      <c r="S52" s="9" t="n">
        <v>65.035</v>
      </c>
      <c r="T52" s="9" t="n">
        <v>94.804</v>
      </c>
      <c r="U52" s="9" t="n">
        <v>7.078</v>
      </c>
      <c r="V52" s="9" t="n">
        <v>19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customFormat="false" ht="15" hidden="false" customHeight="true" outlineLevel="0" collapsed="false">
      <c r="A53" s="4" t="s">
        <v>185</v>
      </c>
      <c r="B53" s="9" t="n">
        <v>-9.39</v>
      </c>
      <c r="C53" s="9" t="n">
        <v>-22.97</v>
      </c>
      <c r="D53" s="9" t="n">
        <v>-20.102</v>
      </c>
      <c r="E53" s="9" t="n">
        <v>-32.668</v>
      </c>
      <c r="F53" s="9" t="n">
        <v>-19.214</v>
      </c>
      <c r="G53" s="9" t="n">
        <v>-27.487</v>
      </c>
      <c r="H53" s="9" t="n">
        <v>-51.565</v>
      </c>
      <c r="I53" s="9" t="n">
        <v>-43.926</v>
      </c>
      <c r="J53" s="9" t="n">
        <v>-26.013</v>
      </c>
      <c r="K53" s="9" t="n">
        <v>-41.806</v>
      </c>
      <c r="L53" s="9" t="n">
        <v>-46.957</v>
      </c>
      <c r="M53" s="9" t="n">
        <v>-62.977</v>
      </c>
      <c r="N53" s="9" t="n">
        <v>-69.94</v>
      </c>
      <c r="O53" s="9" t="n">
        <v>-81.646</v>
      </c>
      <c r="P53" s="9" t="n">
        <v>-87.756</v>
      </c>
      <c r="Q53" s="9" t="n">
        <v>-41.718</v>
      </c>
      <c r="R53" s="9" t="n">
        <v>-56.002</v>
      </c>
      <c r="S53" s="9" t="n">
        <v>-70.463</v>
      </c>
      <c r="T53" s="9" t="n">
        <v>-98.685</v>
      </c>
      <c r="U53" s="9" t="n">
        <v>6.631</v>
      </c>
      <c r="V53" s="9" t="n">
        <v>-14.24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</row>
    <row r="54" customFormat="false" ht="15" hidden="false" customHeight="true" outlineLevel="0" collapsed="false">
      <c r="A54" s="4" t="s">
        <v>186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 t="n">
        <v>-0.3175</v>
      </c>
      <c r="AG54" s="9" t="n">
        <v>0</v>
      </c>
      <c r="AH54" s="9" t="n">
        <v>0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</row>
    <row r="55" customFormat="false" ht="15" hidden="false" customHeight="true" outlineLevel="0" collapsed="false">
      <c r="A55" s="4" t="s">
        <v>187</v>
      </c>
      <c r="B55" s="9" t="n">
        <v>0.583</v>
      </c>
      <c r="C55" s="9" t="n">
        <v>0.217</v>
      </c>
      <c r="D55" s="9" t="n">
        <v>0.77</v>
      </c>
      <c r="E55" s="9" t="n">
        <v>0</v>
      </c>
      <c r="F55" s="9" t="n">
        <v>0</v>
      </c>
      <c r="G55" s="9" t="n">
        <v>0.4</v>
      </c>
      <c r="H55" s="9" t="n">
        <v>0</v>
      </c>
      <c r="I55" s="9" t="n">
        <v>0</v>
      </c>
      <c r="J55" s="9" t="n">
        <v>0</v>
      </c>
      <c r="K55" s="9" t="n">
        <v>0.45</v>
      </c>
      <c r="L55" s="9" t="n">
        <v>0</v>
      </c>
      <c r="M55" s="9" t="n">
        <v>0</v>
      </c>
      <c r="N55" s="9" t="n">
        <v>0</v>
      </c>
      <c r="O55" s="9" t="n">
        <v>2.25</v>
      </c>
      <c r="P55" s="9" t="n">
        <v>0</v>
      </c>
      <c r="Q55" s="9" t="n">
        <v>0</v>
      </c>
      <c r="R55" s="9" t="n">
        <v>-2.25</v>
      </c>
      <c r="S55" s="9"/>
      <c r="T55" s="9" t="n">
        <v>-4.947</v>
      </c>
      <c r="U55" s="9" t="n">
        <v>46.097</v>
      </c>
      <c r="V55" s="9" t="n">
        <v>159.742</v>
      </c>
      <c r="W55" s="9" t="n">
        <v>41.727</v>
      </c>
      <c r="X55" s="9" t="n">
        <v>50.499</v>
      </c>
      <c r="Y55" s="9" t="n">
        <v>37.84</v>
      </c>
      <c r="Z55" s="9" t="n">
        <v>-255.71</v>
      </c>
      <c r="AA55" s="9" t="n">
        <v>17.925</v>
      </c>
      <c r="AB55" s="9" t="n">
        <v>12.606</v>
      </c>
      <c r="AC55" s="9" t="n">
        <v>5.32</v>
      </c>
      <c r="AD55" s="9" t="n">
        <v>0</v>
      </c>
      <c r="AE55" s="9" t="n">
        <v>19.28</v>
      </c>
      <c r="AF55" s="9" t="n">
        <v>6.665</v>
      </c>
      <c r="AG55" s="9" t="n">
        <v>0</v>
      </c>
      <c r="AH55" s="9" t="n">
        <v>0.114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customFormat="false" ht="15" hidden="false" customHeight="true" outlineLevel="0" collapsed="false">
      <c r="A56" s="4" t="s">
        <v>188</v>
      </c>
      <c r="B56" s="9"/>
      <c r="C56" s="9"/>
      <c r="D56" s="9"/>
      <c r="E56" s="9"/>
      <c r="F56" s="9" t="n">
        <v>0.0800000000000001</v>
      </c>
      <c r="G56" s="9"/>
      <c r="H56" s="9"/>
      <c r="I56" s="9"/>
      <c r="J56" s="9" t="n">
        <v>0.408000000000001</v>
      </c>
      <c r="K56" s="9"/>
      <c r="L56" s="9" t="n">
        <v>-0.314000000000001</v>
      </c>
      <c r="M56" s="9" t="n">
        <v>-1.86</v>
      </c>
      <c r="N56" s="9"/>
      <c r="O56" s="9"/>
      <c r="P56" s="9"/>
      <c r="Q56" s="9"/>
      <c r="R56" s="9" t="n">
        <v>-258.668</v>
      </c>
      <c r="S56" s="9"/>
      <c r="T56" s="9"/>
      <c r="U56" s="9"/>
      <c r="V56" s="9"/>
      <c r="W56" s="9"/>
      <c r="X56" s="9"/>
      <c r="Y56" s="9"/>
      <c r="Z56" s="9" t="n">
        <v>272.069</v>
      </c>
      <c r="AA56" s="9"/>
      <c r="AB56" s="9" t="n">
        <v>0.112</v>
      </c>
      <c r="AC56" s="9"/>
      <c r="AD56" s="9" t="n">
        <v>10.842</v>
      </c>
      <c r="AE56" s="9"/>
      <c r="AF56" s="9" t="n">
        <v>-5.42</v>
      </c>
      <c r="AG56" s="9"/>
      <c r="AH56" s="9" t="n">
        <v>-0.25</v>
      </c>
      <c r="AI56" s="9"/>
      <c r="AJ56" s="9" t="n">
        <v>-12.828</v>
      </c>
      <c r="AK56" s="9"/>
      <c r="AL56" s="9"/>
      <c r="AM56" s="9"/>
      <c r="AN56" s="9"/>
      <c r="AO56" s="9"/>
      <c r="AP56" s="9"/>
      <c r="AQ56" s="9"/>
      <c r="AR56" s="9" t="n">
        <v>-132.107</v>
      </c>
      <c r="AS56" s="9" t="n">
        <v>21.5</v>
      </c>
    </row>
    <row r="57" customFormat="false" ht="15" hidden="false" customHeight="true" outlineLevel="0" collapsed="false">
      <c r="A57" s="11" t="s">
        <v>189</v>
      </c>
      <c r="B57" s="12" t="n">
        <f aca="false">SUM(B42,B43,B44,B45,B46,B47,B48,B49,B50,B51,B52,B53,B54,B55,B56)</f>
        <v>-4.59</v>
      </c>
      <c r="C57" s="12" t="n">
        <f aca="false">SUM(C42,C43,C44,C45,C46,C47,C48,C49,C50,C51,C52,C53,C54,C55,C56)</f>
        <v>13.763</v>
      </c>
      <c r="D57" s="12" t="n">
        <f aca="false">SUM(D42,D43,D44,D45,D46,D47,D48,D49,D50,D51,D52,D53,D54,D55,D56)</f>
        <v>-2.991</v>
      </c>
      <c r="E57" s="12" t="n">
        <f aca="false">SUM(E42,E43,E44,E45,E46,E47,E48,E49,E50,E51,E52,E53,E54,E55,E56)</f>
        <v>-22.677</v>
      </c>
      <c r="F57" s="12" t="n">
        <f aca="false">SUM(F42,F43,F44,F45,F46,F47,F48,F49,F50,F51,F52,F53,F54,F55,F56)</f>
        <v>-4.673</v>
      </c>
      <c r="G57" s="12" t="n">
        <f aca="false">SUM(G42,G43,G44,G45,G46,G47,G48,G49,G50,G51,G52,G53,G54,G55,G56)</f>
        <v>-0.893999999999998</v>
      </c>
      <c r="H57" s="12" t="n">
        <f aca="false">SUM(H42,H43,H44,H45,H46,H47,H48,H49,H50,H51,H52,H53,H54,H55,H56)</f>
        <v>-28.304</v>
      </c>
      <c r="I57" s="12" t="n">
        <f aca="false">SUM(I42,I43,I44,I45,I46,I47,I48,I49,I50,I51,I52,I53,I54,I55,I56)</f>
        <v>-7.751</v>
      </c>
      <c r="J57" s="12" t="n">
        <f aca="false">SUM(J42,J43,J44,J45,J46,J47,J48,J49,J50,J51,J52,J53,J54,J55,J56)</f>
        <v>0.433</v>
      </c>
      <c r="K57" s="12" t="n">
        <f aca="false">SUM(K42,K43,K44,K45,K46,K47,K48,K49,K50,K51,K52,K53,K54,K55,K56)</f>
        <v>15.219</v>
      </c>
      <c r="L57" s="12" t="n">
        <f aca="false">SUM(L42,L43,L44,L45,L46,L47,L48,L49,L50,L51,L52,L53,L54,L55,L56)</f>
        <v>-3.543</v>
      </c>
      <c r="M57" s="12" t="n">
        <f aca="false">SUM(M42,M43,M44,M45,M46,M47,M48,M49,M50,M51,M52,M53,M54,M55,M56)</f>
        <v>-9.04</v>
      </c>
      <c r="N57" s="12" t="n">
        <f aca="false">SUM(N42,N43,N44,N45,N46,N47,N48,N49,N50,N51,N52,N53,N54,N55,N56)</f>
        <v>-9.347</v>
      </c>
      <c r="O57" s="12" t="n">
        <f aca="false">SUM(O42,O43,O44,O45,O46,O47,O48,O49,O50,O51,O52,O53,O54,O55,O56)</f>
        <v>30.084</v>
      </c>
      <c r="P57" s="12" t="n">
        <f aca="false">SUM(P42,P43,P44,P45,P46,P47,P48,P49,P50,P51,P52,P53,P54,P55,P56)</f>
        <v>-16.348</v>
      </c>
      <c r="Q57" s="12" t="n">
        <f aca="false">SUM(Q42,Q43,Q44,Q45,Q46,Q47,Q48,Q49,Q50,Q51,Q52,Q53,Q54,Q55,Q56)</f>
        <v>-5.963</v>
      </c>
      <c r="R57" s="12" t="n">
        <f aca="false">SUM(R42,R43,R44,R45,R46,R47,R48,R49,R50,R51,R52,R53,R54,R55,R56)</f>
        <v>3.77299999999999</v>
      </c>
      <c r="S57" s="12" t="n">
        <f aca="false">SUM(S42,S43,S44,S45,S46,S47,S48,S49,S50,S51,S52,S53,S54,S55,S56)</f>
        <v>-33.152</v>
      </c>
      <c r="T57" s="12" t="n">
        <f aca="false">SUM(T42,T43,T44,T45,T46,T47,T48,T49,T50,T51,T52,T53,T54,T55,T56)</f>
        <v>-11.083</v>
      </c>
      <c r="U57" s="12" t="n">
        <f aca="false">SUM(U42,U43,U44,U45,U46,U47,U48,U49,U50,U51,U52,U53,U54,U55,U56)</f>
        <v>-6.127</v>
      </c>
      <c r="V57" s="12" t="n">
        <f aca="false">SUM(V42,V43,V44,V45,V46,V47,V48,V49,V50,V51,V52,V53,V54,V55,V56)</f>
        <v>109.529</v>
      </c>
      <c r="W57" s="12" t="n">
        <f aca="false">SUM(W42,W43,W44,W45,W46,W47,W48,W49,W50,W51,W52,W53,W54,W55,W56)</f>
        <v>-33.474</v>
      </c>
      <c r="X57" s="12" t="n">
        <f aca="false">SUM(X42,X43,X44,X45,X46,X47,X48,X49,X50,X51,X52,X53,X54,X55,X56)</f>
        <v>1.53</v>
      </c>
      <c r="Y57" s="12" t="n">
        <f aca="false">SUM(Y42,Y43,Y44,Y45,Y46,Y47,Y48,Y49,Y50,Y51,Y52,Y53,Y54,Y55,Y56)</f>
        <v>25.744</v>
      </c>
      <c r="Z57" s="12" t="n">
        <f aca="false">SUM(Z42,Z43,Z44,Z45,Z46,Z47,Z48,Z49,Z50,Z51,Z52,Z53,Z54,Z55,Z56)</f>
        <v>-372.571</v>
      </c>
      <c r="AA57" s="12" t="n">
        <f aca="false">SUM(AA42,AA43,AA44,AA45,AA46,AA47,AA48,AA49,AA50,AA51,AA52,AA53,AA54,AA55,AA56)</f>
        <v>-36.345</v>
      </c>
      <c r="AB57" s="12" t="n">
        <f aca="false">SUM(AB42,AB43,AB44,AB45,AB46,AB47,AB48,AB49,AB50,AB51,AB52,AB53,AB54,AB55,AB56)</f>
        <v>1.558</v>
      </c>
      <c r="AC57" s="12" t="n">
        <f aca="false">SUM(AC42,AC43,AC44,AC45,AC46,AC47,AC48,AC49,AC50,AC51,AC52,AC53,AC54,AC55,AC56)</f>
        <v>-2.222</v>
      </c>
      <c r="AD57" s="12" t="n">
        <f aca="false">SUM(AD42,AD43,AD44,AD45,AD46,AD47,AD48,AD49,AD50,AD51,AD52,AD53,AD54,AD55,AD56)</f>
        <v>-15.279</v>
      </c>
      <c r="AE57" s="12" t="n">
        <f aca="false">SUM(AE42,AE43,AE44,AE45,AE46,AE47,AE48,AE49,AE50,AE51,AE52,AE53,AE54,AE55,AE56)</f>
        <v>9.787</v>
      </c>
      <c r="AF57" s="12" t="n">
        <f aca="false">SUM(AF42,AF43,AF44,AF45,AF46,AF47,AF48,AF49,AF50,AF51,AF52,AF53,AF54,AF55,AF56)</f>
        <v>-6.369</v>
      </c>
      <c r="AG57" s="12" t="n">
        <f aca="false">SUM(AG42,AG43,AG44,AG45,AG46,AG47,AG48,AG49,AG50,AG51,AG52,AG53,AG54,AG55,AG56)</f>
        <v>-2.529</v>
      </c>
      <c r="AH57" s="12" t="n">
        <f aca="false">SUM(AH42,AH43,AH44,AH45,AH46,AH47,AH48,AH49,AH50,AH51,AH52,AH53,AH54,AH55,AH56)</f>
        <v>-7.892</v>
      </c>
      <c r="AI57" s="12" t="n">
        <f aca="false">SUM(AI42,AI43,AI44,AI45,AI46,AI47,AI48,AI49,AI50,AI51,AI52,AI53,AI54,AI55,AI56)</f>
        <v>-3.632</v>
      </c>
      <c r="AJ57" s="12" t="n">
        <f aca="false">SUM(AJ42,AJ43,AJ44,AJ45,AJ46,AJ47,AJ48,AJ49,AJ50,AJ51,AJ52,AJ53,AJ54,AJ55,AJ56)</f>
        <v>-34.003</v>
      </c>
      <c r="AK57" s="12" t="n">
        <f aca="false">SUM(AK42,AK43,AK44,AK45,AK46,AK47,AK48,AK49,AK50,AK51,AK52,AK53,AK54,AK55,AK56)</f>
        <v>-3.797</v>
      </c>
      <c r="AL57" s="12" t="n">
        <f aca="false">SUM(AL42,AL43,AL44,AL45,AL46,AL47,AL48,AL49,AL50,AL51,AL52,AL53,AL54,AL55,AL56)</f>
        <v>-10.282</v>
      </c>
      <c r="AM57" s="12" t="n">
        <f aca="false">SUM(AM42,AM43,AM44,AM45,AM46,AM47,AM48,AM49,AM50,AM51,AM52,AM53,AM54,AM55,AM56)</f>
        <v>-6.613</v>
      </c>
      <c r="AN57" s="12" t="n">
        <f aca="false">SUM(AN42,AN43,AN44,AN45,AN46,AN47,AN48,AN49,AN50,AN51,AN52,AN53,AN54,AN55,AN56)</f>
        <v>-5.017</v>
      </c>
      <c r="AO57" s="12" t="n">
        <f aca="false">SUM(AO42,AO43,AO44,AO45,AO46,AO47,AO48,AO49,AO50,AO51,AO52,AO53,AO54,AO55,AO56)</f>
        <v>-4.971</v>
      </c>
      <c r="AP57" s="12" t="n">
        <f aca="false">SUM(AP42,AP43,AP44,AP45,AP46,AP47,AP48,AP49,AP50,AP51,AP52,AP53,AP54,AP55,AP56)</f>
        <v>-11.889</v>
      </c>
      <c r="AQ57" s="12" t="n">
        <f aca="false">SUM(AQ42,AQ43,AQ44,AQ45,AQ46,AQ47,AQ48,AQ49,AQ50,AQ51,AQ52,AQ53,AQ54,AQ55,AQ56)</f>
        <v>-876.648</v>
      </c>
      <c r="AR57" s="12" t="n">
        <f aca="false">SUM(AR42,AR43,AR44,AR45,AR46,AR47,AR48,AR49,AR50,AR51,AR52,AR53,AR54,AR55,AR56)</f>
        <v>-281.073</v>
      </c>
      <c r="AS57" s="12" t="n">
        <f aca="false">SUM(AS42,AS43,AS44,AS45,AS46,AS47,AS48,AS49,AS50,AS51,AS52,AS53,AS54,AS55,AS56)</f>
        <v>-67.2</v>
      </c>
    </row>
    <row r="58" customFormat="false" ht="14.25" hidden="false" customHeight="true" outlineLevel="0" collapsed="false">
      <c r="A58" s="8" t="s">
        <v>190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 customFormat="false" ht="15" hidden="false" customHeight="true" outlineLevel="0" collapsed="false">
      <c r="A59" s="4" t="s">
        <v>191</v>
      </c>
      <c r="B59" s="9"/>
      <c r="C59" s="9"/>
      <c r="D59" s="9" t="n">
        <v>-1.878</v>
      </c>
      <c r="E59" s="9" t="n">
        <v>0</v>
      </c>
      <c r="F59" s="9" t="n">
        <v>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customFormat="false" ht="15" hidden="false" customHeight="true" outlineLevel="0" collapsed="false">
      <c r="A60" s="4" t="s">
        <v>192</v>
      </c>
      <c r="B60" s="9"/>
      <c r="C60" s="9"/>
      <c r="D60" s="9" t="n">
        <v>-0.029</v>
      </c>
      <c r="E60" s="9" t="n">
        <v>-0.312</v>
      </c>
      <c r="F60" s="9" t="n">
        <v>-0.131</v>
      </c>
      <c r="G60" s="9" t="n">
        <v>-0.095</v>
      </c>
      <c r="H60" s="9" t="n">
        <v>-0.097</v>
      </c>
      <c r="I60" s="9" t="n">
        <v>-0.099</v>
      </c>
      <c r="J60" s="9" t="n">
        <v>-0.099</v>
      </c>
      <c r="K60" s="9" t="n">
        <v>-0.092</v>
      </c>
      <c r="L60" s="9" t="n">
        <v>-0.081</v>
      </c>
      <c r="M60" s="9" t="n">
        <v>-0.058</v>
      </c>
      <c r="N60" s="9" t="n">
        <v>-0.057</v>
      </c>
      <c r="O60" s="9" t="n">
        <v>-0.057</v>
      </c>
      <c r="P60" s="9" t="n">
        <v>-0.054</v>
      </c>
      <c r="Q60" s="9" t="n">
        <v>-0.043</v>
      </c>
      <c r="R60" s="9" t="n">
        <v>-0.007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customFormat="false" ht="15" hidden="false" customHeight="true" outlineLevel="0" collapsed="false">
      <c r="A61" s="4" t="s">
        <v>193</v>
      </c>
      <c r="B61" s="9" t="n">
        <v>-0.181</v>
      </c>
      <c r="C61" s="9" t="n">
        <v>0.095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customFormat="false" ht="15" hidden="false" customHeight="true" outlineLevel="0" collapsed="false">
      <c r="A62" s="4" t="s">
        <v>194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 t="n">
        <v>-2.5</v>
      </c>
      <c r="AB62" s="9" t="n">
        <v>-2.5</v>
      </c>
      <c r="AC62" s="9" t="n">
        <v>-2.5</v>
      </c>
      <c r="AD62" s="9" t="n">
        <v>-2.5</v>
      </c>
      <c r="AE62" s="9" t="n">
        <v>-2.5</v>
      </c>
      <c r="AF62" s="9" t="n">
        <v>-20</v>
      </c>
      <c r="AG62" s="9" t="n">
        <v>0</v>
      </c>
      <c r="AH62" s="9" t="n">
        <v>-32.5</v>
      </c>
      <c r="AI62" s="9" t="n">
        <v>-5</v>
      </c>
      <c r="AJ62" s="9" t="n">
        <v>-50</v>
      </c>
      <c r="AK62" s="9" t="n">
        <v>-40</v>
      </c>
      <c r="AL62" s="9" t="n">
        <v>-12</v>
      </c>
      <c r="AM62" s="9" t="n">
        <v>-10.5</v>
      </c>
      <c r="AN62" s="9" t="n">
        <v>-17.5</v>
      </c>
      <c r="AO62" s="9" t="n">
        <v>0</v>
      </c>
      <c r="AP62" s="9" t="n">
        <v>0</v>
      </c>
      <c r="AQ62" s="9" t="n">
        <v>-700</v>
      </c>
      <c r="AR62" s="9" t="n">
        <v>0</v>
      </c>
      <c r="AS62" s="9" t="n">
        <v>0</v>
      </c>
    </row>
    <row r="63" customFormat="false" ht="15" hidden="false" customHeight="true" outlineLevel="0" collapsed="false">
      <c r="A63" s="4" t="s">
        <v>195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 t="n">
        <v>15</v>
      </c>
      <c r="AO63" s="9" t="n">
        <v>-15</v>
      </c>
      <c r="AP63" s="9"/>
      <c r="AQ63" s="9" t="n">
        <v>693.202</v>
      </c>
      <c r="AR63" s="9" t="n">
        <v>0</v>
      </c>
      <c r="AS63" s="9" t="n">
        <v>0</v>
      </c>
    </row>
    <row r="64" customFormat="false" ht="15" hidden="false" customHeight="true" outlineLevel="0" collapsed="false">
      <c r="A64" s="4" t="s">
        <v>196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 t="n">
        <v>0</v>
      </c>
      <c r="AP64" s="9" t="n">
        <v>-10</v>
      </c>
      <c r="AQ64" s="9" t="n">
        <v>-265</v>
      </c>
      <c r="AR64" s="9" t="n">
        <v>0</v>
      </c>
      <c r="AS64" s="9" t="n">
        <v>0</v>
      </c>
    </row>
    <row r="65" customFormat="false" ht="15" hidden="false" customHeight="true" outlineLevel="0" collapsed="false">
      <c r="A65" s="4" t="s">
        <v>197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 t="n">
        <v>-1.492</v>
      </c>
      <c r="Z65" s="9" t="n">
        <v>0</v>
      </c>
      <c r="AA65" s="9" t="n">
        <v>-5.991</v>
      </c>
      <c r="AB65" s="9" t="n">
        <v>0</v>
      </c>
      <c r="AC65" s="9" t="n">
        <v>0</v>
      </c>
      <c r="AD65" s="9" t="n">
        <v>-1.823</v>
      </c>
      <c r="AE65" s="9"/>
      <c r="AF65" s="9"/>
      <c r="AG65" s="9"/>
      <c r="AH65" s="9"/>
      <c r="AI65" s="9"/>
      <c r="AJ65" s="9" t="n">
        <v>-0.15</v>
      </c>
      <c r="AK65" s="9" t="n">
        <v>-0.2</v>
      </c>
      <c r="AL65" s="9" t="n">
        <v>0</v>
      </c>
      <c r="AM65" s="9"/>
      <c r="AN65" s="9"/>
      <c r="AO65" s="9"/>
      <c r="AP65" s="9" t="n">
        <v>0</v>
      </c>
      <c r="AQ65" s="9"/>
      <c r="AR65" s="9"/>
      <c r="AS65" s="9"/>
    </row>
    <row r="66" customFormat="false" ht="15" hidden="false" customHeight="true" outlineLevel="0" collapsed="false">
      <c r="A66" s="4" t="s">
        <v>198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 t="n">
        <v>-0.02</v>
      </c>
      <c r="AM66" s="9"/>
      <c r="AN66" s="9"/>
      <c r="AO66" s="9"/>
      <c r="AP66" s="9"/>
      <c r="AQ66" s="9"/>
      <c r="AR66" s="9"/>
      <c r="AS66" s="9"/>
    </row>
    <row r="67" customFormat="false" ht="15" hidden="false" customHeight="true" outlineLevel="0" collapsed="false">
      <c r="A67" s="4" t="s">
        <v>199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 t="n">
        <v>25</v>
      </c>
      <c r="AP67" s="9" t="n">
        <v>15</v>
      </c>
      <c r="AQ67" s="9" t="n">
        <v>233.939</v>
      </c>
      <c r="AR67" s="9" t="n">
        <v>0</v>
      </c>
      <c r="AS67" s="9" t="n">
        <v>0</v>
      </c>
    </row>
    <row r="68" customFormat="false" ht="15" hidden="false" customHeight="true" outlineLevel="0" collapsed="false">
      <c r="A68" s="4" t="s">
        <v>200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 t="n">
        <v>5.889</v>
      </c>
      <c r="AG68" s="9" t="n">
        <v>8.326</v>
      </c>
      <c r="AH68" s="9" t="n">
        <v>84.545</v>
      </c>
      <c r="AI68" s="9"/>
      <c r="AJ68" s="9" t="n">
        <v>44.2185</v>
      </c>
      <c r="AK68" s="9" t="n">
        <v>0</v>
      </c>
      <c r="AL68" s="9" t="n">
        <v>0</v>
      </c>
      <c r="AM68" s="9"/>
      <c r="AN68" s="9"/>
      <c r="AO68" s="9"/>
      <c r="AP68" s="9"/>
      <c r="AQ68" s="9" t="n">
        <v>968.515</v>
      </c>
      <c r="AR68" s="9" t="n">
        <v>0</v>
      </c>
      <c r="AS68" s="9" t="n">
        <v>0</v>
      </c>
    </row>
    <row r="69" customFormat="false" ht="15" hidden="false" customHeight="true" outlineLevel="0" collapsed="false">
      <c r="A69" s="4" t="s">
        <v>201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 t="n">
        <v>726.944</v>
      </c>
      <c r="AR69" s="9" t="n">
        <v>0</v>
      </c>
      <c r="AS69" s="9" t="n">
        <v>0</v>
      </c>
    </row>
    <row r="70" customFormat="false" ht="15" hidden="false" customHeight="true" outlineLevel="0" collapsed="false">
      <c r="A70" s="4" t="s">
        <v>202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 t="n">
        <v>-0.853</v>
      </c>
      <c r="AH70" s="9" t="n">
        <v>0.853</v>
      </c>
      <c r="AI70" s="9" t="n">
        <v>-0.009</v>
      </c>
      <c r="AJ70" s="9" t="n">
        <v>0.001</v>
      </c>
      <c r="AK70" s="9" t="n">
        <v>-0.029</v>
      </c>
      <c r="AL70" s="9" t="n">
        <v>0</v>
      </c>
      <c r="AM70" s="9"/>
      <c r="AN70" s="9" t="n">
        <v>-0.9</v>
      </c>
      <c r="AO70" s="9" t="n">
        <v>-0.156</v>
      </c>
      <c r="AP70" s="9" t="n">
        <v>-0.095</v>
      </c>
      <c r="AQ70" s="9" t="n">
        <v>-2.445</v>
      </c>
      <c r="AR70" s="9" t="n">
        <v>0</v>
      </c>
      <c r="AS70" s="9" t="n">
        <v>0</v>
      </c>
    </row>
    <row r="71" customFormat="false" ht="15" hidden="false" customHeight="true" outlineLevel="0" collapsed="false">
      <c r="A71" s="4" t="s">
        <v>203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n">
        <v>-0.365</v>
      </c>
      <c r="AP71" s="9" t="n">
        <v>-2.531</v>
      </c>
      <c r="AQ71" s="9" t="n">
        <v>-1.388</v>
      </c>
      <c r="AR71" s="9" t="n">
        <v>0</v>
      </c>
      <c r="AS71" s="9" t="n">
        <v>0</v>
      </c>
    </row>
    <row r="72" customFormat="false" ht="15" hidden="false" customHeight="true" outlineLevel="0" collapsed="false">
      <c r="A72" s="4" t="s">
        <v>204</v>
      </c>
      <c r="B72" s="9" t="n">
        <v>0</v>
      </c>
      <c r="C72" s="9" t="n">
        <v>-0.029</v>
      </c>
      <c r="D72" s="9" t="n">
        <v>0.029</v>
      </c>
      <c r="E72" s="9" t="n">
        <v>-0.029</v>
      </c>
      <c r="F72" s="9" t="n">
        <v>0</v>
      </c>
      <c r="G72" s="9"/>
      <c r="H72" s="9"/>
      <c r="I72" s="9" t="n">
        <v>0</v>
      </c>
      <c r="J72" s="9" t="n">
        <v>-0.005</v>
      </c>
      <c r="K72" s="9" t="n">
        <v>-0.212</v>
      </c>
      <c r="L72" s="9" t="n">
        <v>-0.101</v>
      </c>
      <c r="M72" s="9" t="n">
        <v>-0.076</v>
      </c>
      <c r="N72" s="9" t="n">
        <v>-0.008</v>
      </c>
      <c r="O72" s="9" t="n">
        <v>-0.819</v>
      </c>
      <c r="P72" s="9" t="n">
        <v>-0.156</v>
      </c>
      <c r="Q72" s="9" t="n">
        <v>-0.058</v>
      </c>
      <c r="R72" s="9" t="n">
        <v>-0.061</v>
      </c>
      <c r="S72" s="9" t="n">
        <v>-0.668</v>
      </c>
      <c r="T72" s="9" t="n">
        <v>-0.075</v>
      </c>
      <c r="U72" s="9" t="n">
        <v>-0.266</v>
      </c>
      <c r="V72" s="9" t="n">
        <v>1.009</v>
      </c>
      <c r="W72" s="9" t="n">
        <v>-1.756</v>
      </c>
      <c r="X72" s="9" t="n">
        <v>-0.022</v>
      </c>
      <c r="Y72" s="9" t="n">
        <v>-0.177</v>
      </c>
      <c r="Z72" s="9" t="n">
        <v>-0.037</v>
      </c>
      <c r="AA72" s="9" t="n">
        <v>-1.176</v>
      </c>
      <c r="AB72" s="9" t="n">
        <v>0</v>
      </c>
      <c r="AC72" s="9" t="n">
        <v>0</v>
      </c>
      <c r="AD72" s="9" t="n">
        <v>-0.069</v>
      </c>
      <c r="AE72" s="9" t="n">
        <v>-0.824</v>
      </c>
      <c r="AF72" s="9" t="n">
        <v>-0.029</v>
      </c>
      <c r="AG72" s="9" t="n">
        <v>0</v>
      </c>
      <c r="AH72" s="9" t="n">
        <v>-1.933</v>
      </c>
      <c r="AI72" s="9" t="n">
        <v>-1.298</v>
      </c>
      <c r="AJ72" s="9" t="n">
        <v>-0.072</v>
      </c>
      <c r="AK72" s="9" t="n">
        <v>0</v>
      </c>
      <c r="AL72" s="9" t="n">
        <v>-0.226</v>
      </c>
      <c r="AM72" s="9" t="n">
        <v>-3.953</v>
      </c>
      <c r="AN72" s="9" t="n">
        <v>-0.111</v>
      </c>
      <c r="AO72" s="9" t="n">
        <v>0</v>
      </c>
      <c r="AP72" s="9" t="n">
        <v>-0.083</v>
      </c>
      <c r="AQ72" s="9" t="n">
        <v>-10.786</v>
      </c>
      <c r="AR72" s="9" t="n">
        <v>-0.114</v>
      </c>
      <c r="AS72" s="9" t="n">
        <v>0</v>
      </c>
    </row>
    <row r="73" customFormat="false" ht="15" hidden="false" customHeight="true" outlineLevel="0" collapsed="false">
      <c r="A73" s="4" t="s">
        <v>205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n">
        <v>0</v>
      </c>
      <c r="AP73" s="9" t="n">
        <v>1.91</v>
      </c>
      <c r="AQ73" s="9" t="n">
        <v>2.467</v>
      </c>
      <c r="AR73" s="9" t="n">
        <v>0</v>
      </c>
      <c r="AS73" s="9" t="n">
        <v>1.888</v>
      </c>
    </row>
    <row r="74" customFormat="false" ht="15" hidden="false" customHeight="true" outlineLevel="0" collapsed="false">
      <c r="A74" s="4" t="s">
        <v>206</v>
      </c>
      <c r="B74" s="9" t="n">
        <v>0.007</v>
      </c>
      <c r="C74" s="9" t="n">
        <v>0.515</v>
      </c>
      <c r="D74" s="9" t="n">
        <v>0.029</v>
      </c>
      <c r="E74" s="9" t="n">
        <v>0.482</v>
      </c>
      <c r="F74" s="9" t="n">
        <v>0.096</v>
      </c>
      <c r="G74" s="9" t="n">
        <v>0.258</v>
      </c>
      <c r="H74" s="9" t="n">
        <v>0</v>
      </c>
      <c r="I74" s="9" t="n">
        <v>0.397</v>
      </c>
      <c r="J74" s="9" t="n">
        <v>3.21</v>
      </c>
      <c r="K74" s="9" t="n">
        <v>1.64</v>
      </c>
      <c r="L74" s="9" t="n">
        <v>0.524</v>
      </c>
      <c r="M74" s="9" t="n">
        <v>0.527</v>
      </c>
      <c r="N74" s="9" t="n">
        <v>0.014</v>
      </c>
      <c r="O74" s="9" t="n">
        <v>0.067</v>
      </c>
      <c r="P74" s="9" t="n">
        <v>0.004</v>
      </c>
      <c r="Q74" s="9" t="n">
        <v>0</v>
      </c>
      <c r="R74" s="9" t="n">
        <v>0</v>
      </c>
      <c r="S74" s="9" t="n">
        <v>0.093</v>
      </c>
      <c r="T74" s="9" t="n">
        <v>0</v>
      </c>
      <c r="U74" s="9" t="n">
        <v>0</v>
      </c>
      <c r="V74" s="9" t="n">
        <v>0.007</v>
      </c>
      <c r="W74" s="9" t="n">
        <v>0.086</v>
      </c>
      <c r="X74" s="9" t="n">
        <v>0</v>
      </c>
      <c r="Y74" s="9" t="n">
        <v>0</v>
      </c>
      <c r="Z74" s="9" t="n">
        <v>1.436</v>
      </c>
      <c r="AA74" s="9" t="n">
        <v>0.119</v>
      </c>
      <c r="AB74" s="9" t="n">
        <v>0</v>
      </c>
      <c r="AC74" s="9" t="n">
        <v>2.657</v>
      </c>
      <c r="AD74" s="9" t="n">
        <v>0</v>
      </c>
      <c r="AE74" s="9"/>
      <c r="AF74" s="9" t="n">
        <v>0.341</v>
      </c>
      <c r="AG74" s="9" t="n">
        <v>0.186</v>
      </c>
      <c r="AH74" s="9" t="n">
        <v>2.299</v>
      </c>
      <c r="AI74" s="9"/>
      <c r="AJ74" s="9"/>
      <c r="AK74" s="9"/>
      <c r="AL74" s="9"/>
      <c r="AM74" s="9" t="n">
        <v>0.506</v>
      </c>
      <c r="AN74" s="9" t="n">
        <v>0</v>
      </c>
      <c r="AO74" s="9" t="n">
        <v>0</v>
      </c>
      <c r="AP74" s="9" t="n">
        <v>1.335</v>
      </c>
      <c r="AQ74" s="9"/>
      <c r="AR74" s="9"/>
      <c r="AS74" s="9"/>
    </row>
    <row r="75" customFormat="false" ht="15" hidden="false" customHeight="true" outlineLevel="0" collapsed="false">
      <c r="A75" s="4" t="s">
        <v>178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 t="n">
        <v>-0.008</v>
      </c>
      <c r="AB75" s="9" t="n">
        <v>-0.008</v>
      </c>
      <c r="AC75" s="9" t="n">
        <v>-0.007</v>
      </c>
      <c r="AD75" s="9" t="n">
        <v>-0.008</v>
      </c>
      <c r="AE75" s="9" t="n">
        <v>-0.007</v>
      </c>
      <c r="AF75" s="9" t="n">
        <v>-0.007</v>
      </c>
      <c r="AG75" s="9" t="n">
        <v>-0.007</v>
      </c>
      <c r="AH75" s="9" t="n">
        <v>-0.099</v>
      </c>
      <c r="AI75" s="9" t="n">
        <v>-0.008</v>
      </c>
      <c r="AJ75" s="9" t="n">
        <v>-0.007</v>
      </c>
      <c r="AK75" s="9" t="n">
        <v>-0.004</v>
      </c>
      <c r="AL75" s="9" t="n">
        <v>-0.005</v>
      </c>
      <c r="AM75" s="9" t="n">
        <v>-0.007</v>
      </c>
      <c r="AN75" s="9" t="n">
        <v>-0.006</v>
      </c>
      <c r="AO75" s="9" t="n">
        <v>-0.006</v>
      </c>
      <c r="AP75" s="9" t="n">
        <v>-0.004</v>
      </c>
      <c r="AQ75" s="9" t="n">
        <v>-0.005</v>
      </c>
      <c r="AR75" s="9" t="n">
        <v>-0.004</v>
      </c>
      <c r="AS75" s="9" t="n">
        <v>-0.003</v>
      </c>
    </row>
    <row r="76" customFormat="false" ht="15" hidden="false" customHeight="true" outlineLevel="0" collapsed="false">
      <c r="A76" s="4" t="s">
        <v>207</v>
      </c>
      <c r="B76" s="9"/>
      <c r="C76" s="9"/>
      <c r="D76" s="9" t="n">
        <v>-1.973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 t="n">
        <v>-1.93</v>
      </c>
      <c r="W76" s="9"/>
      <c r="X76" s="9"/>
      <c r="Y76" s="9"/>
      <c r="Z76" s="9" t="n">
        <v>196.122</v>
      </c>
      <c r="AA76" s="9"/>
      <c r="AB76" s="9"/>
      <c r="AC76" s="9"/>
      <c r="AD76" s="9" t="n">
        <v>-0.292999999999999</v>
      </c>
      <c r="AE76" s="9"/>
      <c r="AF76" s="9" t="n">
        <v>6.23</v>
      </c>
      <c r="AG76" s="9" t="n">
        <v>0.853</v>
      </c>
      <c r="AH76" s="9" t="n">
        <v>0.0709999999999909</v>
      </c>
      <c r="AI76" s="9"/>
      <c r="AJ76" s="9" t="n">
        <v>43.8685</v>
      </c>
      <c r="AK76" s="9" t="n">
        <v>-1.932</v>
      </c>
      <c r="AL76" s="9"/>
      <c r="AM76" s="9"/>
      <c r="AN76" s="9"/>
      <c r="AO76" s="9" t="n">
        <v>-0.389999999999999</v>
      </c>
      <c r="AP76" s="9"/>
      <c r="AQ76" s="9"/>
      <c r="AR76" s="9"/>
      <c r="AS76" s="9"/>
    </row>
    <row r="77" customFormat="false" ht="15" hidden="false" customHeight="true" outlineLevel="0" collapsed="false">
      <c r="A77" s="11" t="s">
        <v>208</v>
      </c>
      <c r="B77" s="12" t="n">
        <f aca="false">SUM(B59,B60,B61,B62,B63,B64,B65,B66,B67,B68,B69,B70,B71,B72,B73,B74,B75,B76)</f>
        <v>-0.174</v>
      </c>
      <c r="C77" s="12" t="n">
        <f aca="false">SUM(C59,C60,C61,C62,C63,C64,C65,C66,C67,C68,C69,C70,C71,C72,C73,C74,C75,C76)</f>
        <v>0.581</v>
      </c>
      <c r="D77" s="12" t="n">
        <f aca="false">SUM(D59,D60,D61,D62,D63,D64,D65,D66,D67,D68,D69,D70,D71,D72,D73,D74,D75,D76)</f>
        <v>-3.822</v>
      </c>
      <c r="E77" s="12" t="n">
        <f aca="false">SUM(E59,E60,E61,E62,E63,E64,E65,E66,E67,E68,E69,E70,E71,E72,E73,E74,E75,E76)</f>
        <v>0.141</v>
      </c>
      <c r="F77" s="12" t="n">
        <f aca="false">SUM(F59,F60,F61,F62,F63,F64,F65,F66,F67,F68,F69,F70,F71,F72,F73,F74,F75,F76)</f>
        <v>-0.035</v>
      </c>
      <c r="G77" s="12" t="n">
        <f aca="false">SUM(G59,G60,G61,G62,G63,G64,G65,G66,G67,G68,G69,G70,G71,G72,G73,G74,G75,G76)</f>
        <v>0.163</v>
      </c>
      <c r="H77" s="12" t="n">
        <f aca="false">SUM(H59,H60,H61,H62,H63,H64,H65,H66,H67,H68,H69,H70,H71,H72,H73,H74,H75,H76)</f>
        <v>-0.097</v>
      </c>
      <c r="I77" s="12" t="n">
        <f aca="false">SUM(I59,I60,I61,I62,I63,I64,I65,I66,I67,I68,I69,I70,I71,I72,I73,I74,I75,I76)</f>
        <v>0.298</v>
      </c>
      <c r="J77" s="12" t="n">
        <f aca="false">SUM(J59,J60,J61,J62,J63,J64,J65,J66,J67,J68,J69,J70,J71,J72,J73,J74,J75,J76)</f>
        <v>3.106</v>
      </c>
      <c r="K77" s="12" t="n">
        <f aca="false">SUM(K59,K60,K61,K62,K63,K64,K65,K66,K67,K68,K69,K70,K71,K72,K73,K74,K75,K76)</f>
        <v>1.336</v>
      </c>
      <c r="L77" s="12" t="n">
        <f aca="false">SUM(L59,L60,L61,L62,L63,L64,L65,L66,L67,L68,L69,L70,L71,L72,L73,L74,L75,L76)</f>
        <v>0.342</v>
      </c>
      <c r="M77" s="12" t="n">
        <f aca="false">SUM(M59,M60,M61,M62,M63,M64,M65,M66,M67,M68,M69,M70,M71,M72,M73,M74,M75,M76)</f>
        <v>0.393</v>
      </c>
      <c r="N77" s="12" t="n">
        <f aca="false">SUM(N59,N60,N61,N62,N63,N64,N65,N66,N67,N68,N69,N70,N71,N72,N73,N74,N75,N76)</f>
        <v>-0.051</v>
      </c>
      <c r="O77" s="12" t="n">
        <f aca="false">SUM(O59,O60,O61,O62,O63,O64,O65,O66,O67,O68,O69,O70,O71,O72,O73,O74,O75,O76)</f>
        <v>-0.809</v>
      </c>
      <c r="P77" s="12" t="n">
        <f aca="false">SUM(P59,P60,P61,P62,P63,P64,P65,P66,P67,P68,P69,P70,P71,P72,P73,P74,P75,P76)</f>
        <v>-0.206</v>
      </c>
      <c r="Q77" s="12" t="n">
        <f aca="false">SUM(Q59,Q60,Q61,Q62,Q63,Q64,Q65,Q66,Q67,Q68,Q69,Q70,Q71,Q72,Q73,Q74,Q75,Q76)</f>
        <v>-0.101</v>
      </c>
      <c r="R77" s="12" t="n">
        <f aca="false">SUM(R59,R60,R61,R62,R63,R64,R65,R66,R67,R68,R69,R70,R71,R72,R73,R74,R75,R76)</f>
        <v>-0.068</v>
      </c>
      <c r="S77" s="12" t="n">
        <f aca="false">SUM(S59,S60,S61,S62,S63,S64,S65,S66,S67,S68,S69,S70,S71,S72,S73,S74,S75,S76)</f>
        <v>-0.575</v>
      </c>
      <c r="T77" s="12" t="n">
        <f aca="false">SUM(T59,T60,T61,T62,T63,T64,T65,T66,T67,T68,T69,T70,T71,T72,T73,T74,T75,T76)</f>
        <v>-0.075</v>
      </c>
      <c r="U77" s="12" t="n">
        <f aca="false">SUM(U59,U60,U61,U62,U63,U64,U65,U66,U67,U68,U69,U70,U71,U72,U73,U74,U75,U76)</f>
        <v>-0.266</v>
      </c>
      <c r="V77" s="12" t="n">
        <f aca="false">SUM(V59,V60,V61,V62,V63,V64,V65,V66,V67,V68,V69,V70,V71,V72,V73,V74,V75,V76)</f>
        <v>-0.914</v>
      </c>
      <c r="W77" s="12" t="n">
        <f aca="false">SUM(W59,W60,W61,W62,W63,W64,W65,W66,W67,W68,W69,W70,W71,W72,W73,W74,W75,W76)</f>
        <v>-1.67</v>
      </c>
      <c r="X77" s="12" t="n">
        <f aca="false">SUM(X59,X60,X61,X62,X63,X64,X65,X66,X67,X68,X69,X70,X71,X72,X73,X74,X75,X76)</f>
        <v>-0.022</v>
      </c>
      <c r="Y77" s="12" t="n">
        <f aca="false">SUM(Y59,Y60,Y61,Y62,Y63,Y64,Y65,Y66,Y67,Y68,Y69,Y70,Y71,Y72,Y73,Y74,Y75,Y76)</f>
        <v>-1.669</v>
      </c>
      <c r="Z77" s="12" t="n">
        <f aca="false">SUM(Z59,Z60,Z61,Z62,Z63,Z64,Z65,Z66,Z67,Z68,Z69,Z70,Z71,Z72,Z73,Z74,Z75,Z76)</f>
        <v>197.521</v>
      </c>
      <c r="AA77" s="12" t="n">
        <f aca="false">SUM(AA59,AA60,AA61,AA62,AA63,AA64,AA65,AA66,AA67,AA68,AA69,AA70,AA71,AA72,AA73,AA74,AA75,AA76)</f>
        <v>-9.556</v>
      </c>
      <c r="AB77" s="12" t="n">
        <f aca="false">SUM(AB59,AB60,AB61,AB62,AB63,AB64,AB65,AB66,AB67,AB68,AB69,AB70,AB71,AB72,AB73,AB74,AB75,AB76)</f>
        <v>-2.508</v>
      </c>
      <c r="AC77" s="12" t="n">
        <f aca="false">SUM(AC59,AC60,AC61,AC62,AC63,AC64,AC65,AC66,AC67,AC68,AC69,AC70,AC71,AC72,AC73,AC74,AC75,AC76)</f>
        <v>0.15</v>
      </c>
      <c r="AD77" s="12" t="n">
        <f aca="false">SUM(AD59,AD60,AD61,AD62,AD63,AD64,AD65,AD66,AD67,AD68,AD69,AD70,AD71,AD72,AD73,AD74,AD75,AD76)</f>
        <v>-4.693</v>
      </c>
      <c r="AE77" s="12" t="n">
        <f aca="false">SUM(AE59,AE60,AE61,AE62,AE63,AE64,AE65,AE66,AE67,AE68,AE69,AE70,AE71,AE72,AE73,AE74,AE75,AE76)</f>
        <v>-3.331</v>
      </c>
      <c r="AF77" s="12" t="n">
        <f aca="false">SUM(AF59,AF60,AF61,AF62,AF63,AF64,AF65,AF66,AF67,AF68,AF69,AF70,AF71,AF72,AF73,AF74,AF75,AF76)</f>
        <v>-7.576</v>
      </c>
      <c r="AG77" s="12" t="n">
        <f aca="false">SUM(AG59,AG60,AG61,AG62,AG63,AG64,AG65,AG66,AG67,AG68,AG69,AG70,AG71,AG72,AG73,AG74,AG75,AG76)</f>
        <v>8.505</v>
      </c>
      <c r="AH77" s="12" t="n">
        <f aca="false">SUM(AH59,AH60,AH61,AH62,AH63,AH64,AH65,AH66,AH67,AH68,AH69,AH70,AH71,AH72,AH73,AH74,AH75,AH76)</f>
        <v>53.236</v>
      </c>
      <c r="AI77" s="12" t="n">
        <f aca="false">SUM(AI59,AI60,AI61,AI62,AI63,AI64,AI65,AI66,AI67,AI68,AI69,AI70,AI71,AI72,AI73,AI74,AI75,AI76)</f>
        <v>-6.315</v>
      </c>
      <c r="AJ77" s="12" t="n">
        <f aca="false">SUM(AJ59,AJ60,AJ61,AJ62,AJ63,AJ64,AJ65,AJ66,AJ67,AJ68,AJ69,AJ70,AJ71,AJ72,AJ73,AJ74,AJ75,AJ76)</f>
        <v>37.859</v>
      </c>
      <c r="AK77" s="12" t="n">
        <f aca="false">SUM(AK59,AK60,AK61,AK62,AK63,AK64,AK65,AK66,AK67,AK68,AK69,AK70,AK71,AK72,AK73,AK74,AK75,AK76)</f>
        <v>-42.165</v>
      </c>
      <c r="AL77" s="12" t="n">
        <f aca="false">SUM(AL59,AL60,AL61,AL62,AL63,AL64,AL65,AL66,AL67,AL68,AL69,AL70,AL71,AL72,AL73,AL74,AL75,AL76)</f>
        <v>-12.251</v>
      </c>
      <c r="AM77" s="12" t="n">
        <f aca="false">SUM(AM59,AM60,AM61,AM62,AM63,AM64,AM65,AM66,AM67,AM68,AM69,AM70,AM71,AM72,AM73,AM74,AM75,AM76)</f>
        <v>-13.954</v>
      </c>
      <c r="AN77" s="12" t="n">
        <f aca="false">SUM(AN59,AN60,AN61,AN62,AN63,AN64,AN65,AN66,AN67,AN68,AN69,AN70,AN71,AN72,AN73,AN74,AN75,AN76)</f>
        <v>-3.517</v>
      </c>
      <c r="AO77" s="12" t="n">
        <f aca="false">SUM(AO59,AO60,AO61,AO62,AO63,AO64,AO65,AO66,AO67,AO68,AO69,AO70,AO71,AO72,AO73,AO74,AO75,AO76)</f>
        <v>9.083</v>
      </c>
      <c r="AP77" s="12" t="n">
        <f aca="false">SUM(AP59,AP60,AP61,AP62,AP63,AP64,AP65,AP66,AP67,AP68,AP69,AP70,AP71,AP72,AP73,AP74,AP75,AP76)</f>
        <v>5.532</v>
      </c>
      <c r="AQ77" s="12" t="n">
        <f aca="false">SUM(AQ59,AQ60,AQ61,AQ62,AQ63,AQ64,AQ65,AQ66,AQ67,AQ68,AQ69,AQ70,AQ71,AQ72,AQ73,AQ74,AQ75,AQ76)</f>
        <v>1645.443</v>
      </c>
      <c r="AR77" s="12" t="n">
        <f aca="false">SUM(AR59,AR60,AR61,AR62,AR63,AR64,AR65,AR66,AR67,AR68,AR69,AR70,AR71,AR72,AR73,AR74,AR75,AR76)</f>
        <v>-0.118</v>
      </c>
      <c r="AS77" s="12" t="n">
        <f aca="false">SUM(AS59,AS60,AS61,AS62,AS63,AS64,AS65,AS66,AS67,AS68,AS69,AS70,AS71,AS72,AS73,AS74,AS75,AS76)</f>
        <v>1.885</v>
      </c>
    </row>
    <row r="78" customFormat="false" ht="14.25" hidden="false" customHeight="true" outlineLevel="0" collapsed="false">
      <c r="A78" s="8" t="s">
        <v>209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customFormat="false" ht="15" hidden="false" customHeight="true" outlineLevel="0" collapsed="false">
      <c r="A79" s="4" t="s">
        <v>210</v>
      </c>
      <c r="B79" s="9"/>
      <c r="C79" s="9"/>
      <c r="D79" s="9"/>
      <c r="E79" s="9"/>
      <c r="F79" s="9"/>
      <c r="G79" s="9"/>
      <c r="H79" s="9"/>
      <c r="I79" s="9"/>
      <c r="J79" s="9"/>
      <c r="K79" s="9" t="n">
        <v>-4.037</v>
      </c>
      <c r="L79" s="9" t="n">
        <v>-1.838</v>
      </c>
      <c r="M79" s="9" t="n">
        <v>2.159</v>
      </c>
      <c r="N79" s="9"/>
      <c r="O79" s="9"/>
      <c r="P79" s="9" t="n">
        <v>-7.188</v>
      </c>
      <c r="Q79" s="9" t="n">
        <v>-0.062</v>
      </c>
      <c r="R79" s="9" t="n">
        <v>-0.436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customFormat="false" ht="15" hidden="false" customHeight="true" outlineLevel="0" collapsed="false">
      <c r="A80" s="4" t="s">
        <v>211</v>
      </c>
      <c r="B80" s="9"/>
      <c r="C80" s="9"/>
      <c r="D80" s="9"/>
      <c r="E80" s="9"/>
      <c r="F80" s="9"/>
      <c r="G80" s="9"/>
      <c r="H80" s="9"/>
      <c r="I80" s="9"/>
      <c r="J80" s="9"/>
      <c r="K80" s="9" t="n">
        <v>-0.268</v>
      </c>
      <c r="L80" s="9" t="n">
        <v>-0.314</v>
      </c>
      <c r="M80" s="9" t="n">
        <v>-0.155</v>
      </c>
      <c r="N80" s="9" t="n">
        <v>-0.482</v>
      </c>
      <c r="O80" s="9"/>
      <c r="P80" s="9" t="n">
        <v>-0.452</v>
      </c>
      <c r="Q80" s="9" t="n">
        <v>0</v>
      </c>
      <c r="R80" s="9" t="n">
        <v>0.021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customFormat="false" ht="15" hidden="false" customHeight="true" outlineLevel="0" collapsed="false">
      <c r="A81" s="4" t="s">
        <v>212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 t="n">
        <v>-7.04</v>
      </c>
      <c r="P81" s="9" t="n">
        <v>7.04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customFormat="false" ht="15" hidden="false" customHeight="true" outlineLevel="0" collapsed="false">
      <c r="A82" s="11" t="s">
        <v>213</v>
      </c>
      <c r="B82" s="12" t="n">
        <f aca="false">SUM(B79,B80,B81)</f>
        <v>0</v>
      </c>
      <c r="C82" s="12" t="n">
        <f aca="false">SUM(C79,C80,C81)</f>
        <v>0</v>
      </c>
      <c r="D82" s="12" t="n">
        <f aca="false">SUM(D79,D80,D81)</f>
        <v>0</v>
      </c>
      <c r="E82" s="12" t="n">
        <f aca="false">SUM(E79,E80,E81)</f>
        <v>0</v>
      </c>
      <c r="F82" s="12" t="n">
        <f aca="false">SUM(F79,F80,F81)</f>
        <v>0</v>
      </c>
      <c r="G82" s="12" t="n">
        <f aca="false">SUM(G79,G80,G81)</f>
        <v>0</v>
      </c>
      <c r="H82" s="12" t="n">
        <f aca="false">SUM(H79,H80,H81)</f>
        <v>0</v>
      </c>
      <c r="I82" s="12" t="n">
        <f aca="false">SUM(I79,I80,I81)</f>
        <v>0</v>
      </c>
      <c r="J82" s="12" t="n">
        <f aca="false">SUM(J79,J80,J81)</f>
        <v>0</v>
      </c>
      <c r="K82" s="12" t="n">
        <f aca="false">SUM(K79,K80,K81)</f>
        <v>-4.305</v>
      </c>
      <c r="L82" s="12" t="n">
        <f aca="false">SUM(L79,L80,L81)</f>
        <v>-2.152</v>
      </c>
      <c r="M82" s="12" t="n">
        <f aca="false">SUM(M79,M80,M81)</f>
        <v>2.004</v>
      </c>
      <c r="N82" s="12" t="n">
        <f aca="false">SUM(N79,N80,N81)</f>
        <v>-0.482</v>
      </c>
      <c r="O82" s="12" t="n">
        <f aca="false">SUM(O79,O80,O81)</f>
        <v>-7.04</v>
      </c>
      <c r="P82" s="12" t="n">
        <f aca="false">SUM(P79,P80,P81)</f>
        <v>-0.6</v>
      </c>
      <c r="Q82" s="12" t="n">
        <f aca="false">SUM(Q79,Q80,Q81)</f>
        <v>-0.062</v>
      </c>
      <c r="R82" s="12" t="n">
        <f aca="false">SUM(R79,R80,R81)</f>
        <v>-0.415</v>
      </c>
      <c r="S82" s="12" t="n">
        <f aca="false">SUM(S79,S80,S81)</f>
        <v>0</v>
      </c>
      <c r="T82" s="12" t="n">
        <f aca="false">SUM(T79,T80,T81)</f>
        <v>0</v>
      </c>
      <c r="U82" s="12" t="n">
        <f aca="false">SUM(U79,U80,U81)</f>
        <v>0</v>
      </c>
      <c r="V82" s="12" t="n">
        <f aca="false">SUM(V79,V80,V81)</f>
        <v>0</v>
      </c>
      <c r="W82" s="12" t="n">
        <f aca="false">SUM(W79,W80,W81)</f>
        <v>0</v>
      </c>
      <c r="X82" s="12" t="n">
        <f aca="false">SUM(X79,X80,X81)</f>
        <v>0</v>
      </c>
      <c r="Y82" s="12" t="n">
        <f aca="false">SUM(Y79,Y80,Y81)</f>
        <v>0</v>
      </c>
      <c r="Z82" s="12" t="n">
        <f aca="false">SUM(Z79,Z80,Z81)</f>
        <v>0</v>
      </c>
      <c r="AA82" s="12" t="n">
        <f aca="false">SUM(AA79,AA80,AA81)</f>
        <v>0</v>
      </c>
      <c r="AB82" s="12" t="n">
        <f aca="false">SUM(AB79,AB80,AB81)</f>
        <v>0</v>
      </c>
      <c r="AC82" s="12" t="n">
        <f aca="false">SUM(AC79,AC80,AC81)</f>
        <v>0</v>
      </c>
      <c r="AD82" s="12" t="n">
        <f aca="false">SUM(AD79,AD80,AD81)</f>
        <v>0</v>
      </c>
      <c r="AE82" s="12" t="n">
        <f aca="false">SUM(AE79,AE80,AE81)</f>
        <v>0</v>
      </c>
      <c r="AF82" s="12" t="n">
        <f aca="false">SUM(AF79,AF80,AF81)</f>
        <v>0</v>
      </c>
      <c r="AG82" s="12" t="n">
        <f aca="false">SUM(AG79,AG80,AG81)</f>
        <v>0</v>
      </c>
      <c r="AH82" s="12" t="n">
        <f aca="false">SUM(AH79,AH80,AH81)</f>
        <v>0</v>
      </c>
      <c r="AI82" s="12" t="n">
        <f aca="false">SUM(AI79,AI80,AI81)</f>
        <v>0</v>
      </c>
      <c r="AJ82" s="12" t="n">
        <f aca="false">SUM(AJ79,AJ80,AJ81)</f>
        <v>0</v>
      </c>
      <c r="AK82" s="12" t="n">
        <f aca="false">SUM(AK79,AK80,AK81)</f>
        <v>0</v>
      </c>
      <c r="AL82" s="12" t="n">
        <f aca="false">SUM(AL79,AL80,AL81)</f>
        <v>0</v>
      </c>
      <c r="AM82" s="12" t="n">
        <f aca="false">SUM(AM79,AM80,AM81)</f>
        <v>0</v>
      </c>
      <c r="AN82" s="12" t="n">
        <f aca="false">SUM(AN79,AN80,AN81)</f>
        <v>0</v>
      </c>
      <c r="AO82" s="12" t="n">
        <f aca="false">SUM(AO79,AO80,AO81)</f>
        <v>0</v>
      </c>
      <c r="AP82" s="12" t="n">
        <f aca="false">SUM(AP79,AP80,AP81)</f>
        <v>0</v>
      </c>
      <c r="AQ82" s="12" t="n">
        <f aca="false">SUM(AQ79,AQ80,AQ81)</f>
        <v>0</v>
      </c>
      <c r="AR82" s="12" t="n">
        <f aca="false">SUM(AR79,AR80,AR81)</f>
        <v>0</v>
      </c>
      <c r="AS82" s="12" t="n">
        <f aca="false">SUM(AS79,AS80,AS81)</f>
        <v>0</v>
      </c>
    </row>
    <row r="83" customFormat="false" ht="15" hidden="false" customHeight="true" outlineLevel="0" collapsed="false">
      <c r="A83" s="4" t="s">
        <v>214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n">
        <v>-0.111</v>
      </c>
      <c r="AB83" s="9" t="n">
        <v>-0.164</v>
      </c>
      <c r="AC83" s="9" t="n">
        <v>-0.338</v>
      </c>
      <c r="AD83" s="9" t="n">
        <v>-0.706</v>
      </c>
      <c r="AE83" s="9" t="n">
        <v>-0.391</v>
      </c>
      <c r="AF83" s="9" t="n">
        <v>0.134</v>
      </c>
      <c r="AG83" s="9" t="n">
        <v>0.952</v>
      </c>
      <c r="AH83" s="9" t="n">
        <v>-0.298</v>
      </c>
      <c r="AI83" s="9" t="n">
        <v>0.021</v>
      </c>
      <c r="AJ83" s="9" t="n">
        <v>-0.291</v>
      </c>
      <c r="AK83" s="9" t="n">
        <v>0.193</v>
      </c>
      <c r="AL83" s="9" t="n">
        <v>-0.207</v>
      </c>
      <c r="AM83" s="9" t="n">
        <v>0.077</v>
      </c>
      <c r="AN83" s="9" t="n">
        <v>-0.026</v>
      </c>
      <c r="AO83" s="9" t="n">
        <v>-0.309</v>
      </c>
      <c r="AP83" s="9" t="n">
        <v>0.483</v>
      </c>
      <c r="AQ83" s="9" t="n">
        <v>-0.128</v>
      </c>
      <c r="AR83" s="9" t="n">
        <v>-0.094</v>
      </c>
      <c r="AS83" s="9" t="n">
        <v>0.866</v>
      </c>
    </row>
    <row r="84" customFormat="false" ht="15" hidden="false" customHeight="true" outlineLevel="0" collapsed="false">
      <c r="A84" s="4" t="s">
        <v>215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 t="n">
        <v>-6</v>
      </c>
      <c r="AF84" s="9" t="n">
        <v>6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customFormat="false" ht="15" hidden="false" customHeight="true" outlineLevel="0" collapsed="false">
      <c r="A85" s="11" t="s">
        <v>216</v>
      </c>
      <c r="B85" s="12" t="n">
        <f aca="false">SUM(B40,B57,B77,B82,B83,B84)</f>
        <v>17.433</v>
      </c>
      <c r="C85" s="12" t="n">
        <f aca="false">SUM(C40,C57,C77,C82,C83,C84)</f>
        <v>3.04</v>
      </c>
      <c r="D85" s="12" t="n">
        <f aca="false">SUM(D40,D57,D77,D82,D83,D84)</f>
        <v>-18.418</v>
      </c>
      <c r="E85" s="12" t="n">
        <f aca="false">SUM(E40,E57,E77,E82,E83,E84)</f>
        <v>-5.294</v>
      </c>
      <c r="F85" s="12" t="n">
        <f aca="false">SUM(F40,F57,F77,F82,F83,F84)</f>
        <v>1.542</v>
      </c>
      <c r="G85" s="12" t="n">
        <f aca="false">SUM(G40,G57,G77,G82,G83,G84)</f>
        <v>-1.974</v>
      </c>
      <c r="H85" s="12" t="n">
        <f aca="false">SUM(H40,H57,H77,H82,H83,H84)</f>
        <v>-33.437</v>
      </c>
      <c r="I85" s="12" t="n">
        <f aca="false">SUM(I40,I57,I77,I82,I83,I84)</f>
        <v>-15.598</v>
      </c>
      <c r="J85" s="12" t="n">
        <f aca="false">SUM(J40,J57,J77,J82,J83,J84)</f>
        <v>7.464</v>
      </c>
      <c r="K85" s="12" t="n">
        <f aca="false">SUM(K40,K57,K77,K82,K83,K84)</f>
        <v>37.569</v>
      </c>
      <c r="L85" s="12" t="n">
        <f aca="false">SUM(L40,L57,L77,L82,L83,L84)</f>
        <v>-0.67799999999999</v>
      </c>
      <c r="M85" s="12" t="n">
        <f aca="false">SUM(M40,M57,M77,M82,M83,M84)</f>
        <v>-4.805</v>
      </c>
      <c r="N85" s="12" t="n">
        <f aca="false">SUM(N40,N57,N77,N82,N83,N84)</f>
        <v>28.12</v>
      </c>
      <c r="O85" s="12" t="n">
        <f aca="false">SUM(O40,O57,O77,O82,O83,O84)</f>
        <v>27.271</v>
      </c>
      <c r="P85" s="12" t="n">
        <f aca="false">SUM(P40,P57,P77,P82,P83,P84)</f>
        <v>-19.533</v>
      </c>
      <c r="Q85" s="12" t="n">
        <f aca="false">SUM(Q40,Q57,Q77,Q82,Q83,Q84)</f>
        <v>-1.886</v>
      </c>
      <c r="R85" s="12" t="n">
        <f aca="false">SUM(R40,R57,R77,R82,R83,R84)</f>
        <v>23.339</v>
      </c>
      <c r="S85" s="12" t="n">
        <f aca="false">SUM(S40,S57,S77,S82,S83,S84)</f>
        <v>-30.615</v>
      </c>
      <c r="T85" s="12" t="n">
        <f aca="false">SUM(T40,T57,T77,T82,T83,T84)</f>
        <v>-6.352</v>
      </c>
      <c r="U85" s="12" t="n">
        <f aca="false">SUM(U40,U57,U77,U82,U83,U84)</f>
        <v>0.754000000000005</v>
      </c>
      <c r="V85" s="12" t="n">
        <f aca="false">SUM(V40,V57,V77,V82,V83,V84)</f>
        <v>118.646</v>
      </c>
      <c r="W85" s="12" t="n">
        <f aca="false">SUM(W40,W57,W77,W82,W83,W84)</f>
        <v>-8.303</v>
      </c>
      <c r="X85" s="12" t="n">
        <f aca="false">SUM(X40,X57,X77,X82,X83,X84)</f>
        <v>33.26</v>
      </c>
      <c r="Y85" s="12" t="n">
        <f aca="false">SUM(Y40,Y57,Y77,Y82,Y83,Y84)</f>
        <v>44.444</v>
      </c>
      <c r="Z85" s="12" t="n">
        <f aca="false">SUM(Z40,Z57,Z77,Z82,Z83,Z84)</f>
        <v>-167.48</v>
      </c>
      <c r="AA85" s="12" t="n">
        <f aca="false">SUM(AA40,AA57,AA77,AA82,AA83,AA84)</f>
        <v>-61.316</v>
      </c>
      <c r="AB85" s="12" t="n">
        <f aca="false">SUM(AB40,AB57,AB77,AB82,AB83,AB84)</f>
        <v>10.846</v>
      </c>
      <c r="AC85" s="12" t="n">
        <f aca="false">SUM(AC40,AC57,AC77,AC82,AC83,AC84)</f>
        <v>-22.242</v>
      </c>
      <c r="AD85" s="12" t="n">
        <f aca="false">SUM(AD40,AD57,AD77,AD82,AD83,AD84)</f>
        <v>-7.12</v>
      </c>
      <c r="AE85" s="12" t="n">
        <f aca="false">SUM(AE40,AE57,AE77,AE82,AE83,AE84)</f>
        <v>15.952</v>
      </c>
      <c r="AF85" s="12" t="n">
        <f aca="false">SUM(AF40,AF57,AF77,AF82,AF83,AF84)</f>
        <v>8.234</v>
      </c>
      <c r="AG85" s="12" t="n">
        <f aca="false">SUM(AG40,AG57,AG77,AG82,AG83,AG84)</f>
        <v>-16.203</v>
      </c>
      <c r="AH85" s="12" t="n">
        <f aca="false">SUM(AH40,AH57,AH77,AH82,AH83,AH84)</f>
        <v>47.645</v>
      </c>
      <c r="AI85" s="12" t="n">
        <f aca="false">SUM(AI40,AI57,AI77,AI82,AI83,AI84)</f>
        <v>-26.988</v>
      </c>
      <c r="AJ85" s="12" t="n">
        <f aca="false">SUM(AJ40,AJ57,AJ77,AJ82,AJ83,AJ84)</f>
        <v>-4.96300000000001</v>
      </c>
      <c r="AK85" s="12" t="n">
        <f aca="false">SUM(AK40,AK57,AK77,AK82,AK83,AK84)</f>
        <v>6.786</v>
      </c>
      <c r="AL85" s="12" t="n">
        <f aca="false">SUM(AL40,AL57,AL77,AL82,AL83,AL84)</f>
        <v>-34.413</v>
      </c>
      <c r="AM85" s="12" t="n">
        <f aca="false">SUM(AM40,AM57,AM77,AM82,AM83,AM84)</f>
        <v>7.862</v>
      </c>
      <c r="AN85" s="12" t="n">
        <f aca="false">SUM(AN40,AN57,AN77,AN82,AN83,AN84)</f>
        <v>-12.202</v>
      </c>
      <c r="AO85" s="12" t="n">
        <f aca="false">SUM(AO40,AO57,AO77,AO82,AO83,AO84)</f>
        <v>-21.96</v>
      </c>
      <c r="AP85" s="12" t="n">
        <f aca="false">SUM(AP40,AP57,AP77,AP82,AP83,AP84)</f>
        <v>-6.13799999999999</v>
      </c>
      <c r="AQ85" s="12" t="n">
        <f aca="false">SUM(AQ40,AQ57,AQ77,AQ82,AQ83,AQ84)</f>
        <v>644.94</v>
      </c>
      <c r="AR85" s="12" t="n">
        <f aca="false">SUM(AR40,AR57,AR77,AR82,AR83,AR84)</f>
        <v>-326.369</v>
      </c>
      <c r="AS85" s="12" t="n">
        <f aca="false">SUM(AS40,AS57,AS77,AS82,AS83,AS84)</f>
        <v>-69.556</v>
      </c>
    </row>
    <row r="86" customFormat="false" ht="15" hidden="false" customHeight="true" outlineLevel="0" collapsed="false">
      <c r="A86" s="4" t="s">
        <v>217</v>
      </c>
      <c r="B86" s="9"/>
      <c r="C86" s="9"/>
      <c r="D86" s="9"/>
      <c r="E86" s="9"/>
      <c r="F86" s="9"/>
      <c r="G86" s="9"/>
      <c r="H86" s="9"/>
      <c r="I86" s="9"/>
      <c r="J86" s="9"/>
      <c r="K86" s="9" t="n">
        <v>79.904</v>
      </c>
      <c r="L86" s="9"/>
      <c r="M86" s="9" t="n">
        <v>143.517</v>
      </c>
      <c r="N86" s="9"/>
      <c r="O86" s="9" t="n">
        <v>143.517</v>
      </c>
      <c r="P86" s="9" t="n">
        <v>143.517</v>
      </c>
      <c r="Q86" s="9" t="n">
        <v>172.708</v>
      </c>
      <c r="R86" s="9" t="n">
        <v>149.369</v>
      </c>
      <c r="S86" s="9" t="n">
        <v>172.708</v>
      </c>
      <c r="T86" s="9" t="n">
        <v>172.708</v>
      </c>
      <c r="U86" s="9" t="n">
        <v>135.742</v>
      </c>
      <c r="V86" s="9" t="n">
        <v>136.496</v>
      </c>
      <c r="W86" s="9" t="n">
        <v>255.142</v>
      </c>
      <c r="X86" s="9" t="n">
        <v>255.142</v>
      </c>
      <c r="Y86" s="9" t="n">
        <v>157.063</v>
      </c>
      <c r="Z86" s="9" t="n">
        <v>324.543</v>
      </c>
      <c r="AA86" s="9" t="n">
        <v>157.063</v>
      </c>
      <c r="AB86" s="9" t="n">
        <v>157.063</v>
      </c>
      <c r="AC86" s="9" t="n">
        <v>77.231</v>
      </c>
      <c r="AD86" s="9" t="n">
        <v>84.351</v>
      </c>
      <c r="AE86" s="9" t="n">
        <v>77.231</v>
      </c>
      <c r="AF86" s="9" t="n">
        <v>77.231</v>
      </c>
      <c r="AG86" s="9" t="n">
        <v>101.417</v>
      </c>
      <c r="AH86" s="9" t="n">
        <v>85.214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customFormat="false" ht="15" hidden="false" customHeight="true" outlineLevel="0" collapsed="false">
      <c r="A87" s="4" t="s">
        <v>218</v>
      </c>
      <c r="B87" s="9"/>
      <c r="C87" s="9"/>
      <c r="D87" s="9"/>
      <c r="E87" s="9"/>
      <c r="F87" s="9"/>
      <c r="G87" s="9"/>
      <c r="H87" s="9"/>
      <c r="I87" s="9"/>
      <c r="J87" s="9" t="n">
        <v>72.44</v>
      </c>
      <c r="K87" s="9"/>
      <c r="L87" s="9" t="n">
        <v>144.195</v>
      </c>
      <c r="M87" s="9"/>
      <c r="N87" s="9" t="n">
        <v>115.397</v>
      </c>
      <c r="O87" s="9"/>
      <c r="P87" s="9" t="n">
        <v>27.271</v>
      </c>
      <c r="Q87" s="9" t="n">
        <v>-21.453</v>
      </c>
      <c r="R87" s="9"/>
      <c r="S87" s="9"/>
      <c r="T87" s="9" t="n">
        <v>-30.614</v>
      </c>
      <c r="U87" s="9"/>
      <c r="V87" s="9"/>
      <c r="W87" s="9"/>
      <c r="X87" s="9" t="n">
        <v>-8.303</v>
      </c>
      <c r="Y87" s="9" t="n">
        <v>123.036</v>
      </c>
      <c r="Z87" s="9"/>
      <c r="AA87" s="9"/>
      <c r="AB87" s="9" t="n">
        <v>-61.316</v>
      </c>
      <c r="AC87" s="9" t="n">
        <v>29.362</v>
      </c>
      <c r="AD87" s="9"/>
      <c r="AE87" s="9"/>
      <c r="AF87" s="9" t="n">
        <v>15.952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customFormat="false" ht="15" hidden="false" customHeight="true" outlineLevel="0" collapsed="false">
      <c r="A88" s="11" t="s">
        <v>219</v>
      </c>
      <c r="B88" s="12" t="n">
        <f aca="false">IF(COUNTA(B86,B85,B87)=0,"",SUM(B86,B85,B87))</f>
        <v>17.433</v>
      </c>
      <c r="C88" s="12" t="n">
        <f aca="false">IF(COUNTA(C86,C85,C87)=0,"",SUM(C86,C85,C87))</f>
        <v>3.04</v>
      </c>
      <c r="D88" s="12" t="n">
        <f aca="false">IF(COUNTA(D86,D85,D87)=0,"",SUM(D86,D85,D87))</f>
        <v>-18.418</v>
      </c>
      <c r="E88" s="12" t="n">
        <f aca="false">IF(COUNTA(E86,E85,E87)=0,"",SUM(E86,E85,E87))</f>
        <v>-5.294</v>
      </c>
      <c r="F88" s="12" t="n">
        <f aca="false">IF(COUNTA(F86,F85,F87)=0,"",SUM(F86,F85,F87))</f>
        <v>1.542</v>
      </c>
      <c r="G88" s="12" t="n">
        <f aca="false">IF(COUNTA(G86,G85,G87)=0,"",SUM(G86,G85,G87))</f>
        <v>-1.974</v>
      </c>
      <c r="H88" s="12" t="n">
        <f aca="false">IF(COUNTA(H86,H85,H87)=0,"",SUM(H86,H85,H87))</f>
        <v>-33.437</v>
      </c>
      <c r="I88" s="12" t="n">
        <f aca="false">IF(COUNTA(I86,I85,I87)=0,"",SUM(I86,I85,I87))</f>
        <v>-15.598</v>
      </c>
      <c r="J88" s="12" t="n">
        <f aca="false">IF(COUNTA(J86,J85,J87)=0,"",SUM(J86,J85,J87))</f>
        <v>79.904</v>
      </c>
      <c r="K88" s="12" t="n">
        <f aca="false">IF(COUNTA(K86,K85,K87)=0,"",SUM(K86,K85,K87))</f>
        <v>117.473</v>
      </c>
      <c r="L88" s="12" t="n">
        <f aca="false">IF(COUNTA(L86,L85,L87)=0,"",SUM(L86,L85,L87))</f>
        <v>143.517</v>
      </c>
      <c r="M88" s="12" t="n">
        <f aca="false">IF(COUNTA(M86,M85,M87)=0,"",SUM(M86,M85,M87))</f>
        <v>138.712</v>
      </c>
      <c r="N88" s="12" t="n">
        <f aca="false">IF(COUNTA(N86,N85,N87)=0,"",SUM(N86,N85,N87))</f>
        <v>143.517</v>
      </c>
      <c r="O88" s="12" t="n">
        <f aca="false">IF(COUNTA(O86,O85,O87)=0,"",SUM(O86,O85,O87))</f>
        <v>170.788</v>
      </c>
      <c r="P88" s="12" t="n">
        <f aca="false">IF(COUNTA(P86,P85,P87)=0,"",SUM(P86,P85,P87))</f>
        <v>151.255</v>
      </c>
      <c r="Q88" s="12" t="n">
        <f aca="false">IF(COUNTA(Q86,Q85,Q87)=0,"",SUM(Q86,Q85,Q87))</f>
        <v>149.369</v>
      </c>
      <c r="R88" s="12" t="n">
        <f aca="false">IF(COUNTA(R86,R85,R87)=0,"",SUM(R86,R85,R87))</f>
        <v>172.708</v>
      </c>
      <c r="S88" s="12" t="n">
        <f aca="false">IF(COUNTA(S86,S85,S87)=0,"",SUM(S86,S85,S87))</f>
        <v>142.093</v>
      </c>
      <c r="T88" s="12" t="n">
        <f aca="false">IF(COUNTA(T86,T85,T87)=0,"",SUM(T86,T85,T87))</f>
        <v>135.742</v>
      </c>
      <c r="U88" s="12" t="n">
        <f aca="false">IF(COUNTA(U86,U85,U87)=0,"",SUM(U86,U85,U87))</f>
        <v>136.496</v>
      </c>
      <c r="V88" s="12" t="n">
        <f aca="false">IF(COUNTA(V86,V85,V87)=0,"",SUM(V86,V85,V87))</f>
        <v>255.142</v>
      </c>
      <c r="W88" s="12" t="n">
        <f aca="false">IF(COUNTA(W86,W85,W87)=0,"",SUM(W86,W85,W87))</f>
        <v>246.839</v>
      </c>
      <c r="X88" s="12" t="n">
        <f aca="false">IF(COUNTA(X86,X85,X87)=0,"",SUM(X86,X85,X87))</f>
        <v>280.099</v>
      </c>
      <c r="Y88" s="12" t="n">
        <f aca="false">IF(COUNTA(Y86,Y85,Y87)=0,"",SUM(Y86,Y85,Y87))</f>
        <v>324.543</v>
      </c>
      <c r="Z88" s="12" t="n">
        <f aca="false">IF(COUNTA(Z86,Z85,Z87)=0,"",SUM(Z86,Z85,Z87))</f>
        <v>157.063</v>
      </c>
      <c r="AA88" s="12" t="n">
        <f aca="false">IF(COUNTA(AA86,AA85,AA87)=0,"",SUM(AA86,AA85,AA87))</f>
        <v>95.747</v>
      </c>
      <c r="AB88" s="12" t="n">
        <f aca="false">IF(COUNTA(AB86,AB85,AB87)=0,"",SUM(AB86,AB85,AB87))</f>
        <v>106.593</v>
      </c>
      <c r="AC88" s="12" t="n">
        <f aca="false">IF(COUNTA(AC86,AC85,AC87)=0,"",SUM(AC86,AC85,AC87))</f>
        <v>84.351</v>
      </c>
      <c r="AD88" s="12" t="n">
        <f aca="false">IF(COUNTA(AD86,AD85,AD87)=0,"",SUM(AD86,AD85,AD87))</f>
        <v>77.231</v>
      </c>
      <c r="AE88" s="12" t="n">
        <f aca="false">IF(COUNTA(AE86,AE85,AE87)=0,"",SUM(AE86,AE85,AE87))</f>
        <v>93.183</v>
      </c>
      <c r="AF88" s="12" t="n">
        <f aca="false">IF(COUNTA(AF86,AF85,AF87)=0,"",SUM(AF86,AF85,AF87))</f>
        <v>101.417</v>
      </c>
      <c r="AG88" s="12" t="n">
        <f aca="false">IF(COUNTA(AG86,AG85,AG87)=0,"",SUM(AG86,AG85,AG87))</f>
        <v>85.214</v>
      </c>
      <c r="AH88" s="12" t="n">
        <f aca="false">IF(COUNTA(AH86,AH85,AH87)=0,"",SUM(AH86,AH85,AH87))</f>
        <v>132.859</v>
      </c>
      <c r="AI88" s="12" t="n">
        <f aca="false">IF(COUNTA(AI86,AI85,AI87)=0,"",SUM(AI86,AI85,AI87))</f>
        <v>-26.988</v>
      </c>
      <c r="AJ88" s="12" t="n">
        <f aca="false">IF(COUNTA(AJ86,AJ85,AJ87)=0,"",SUM(AJ86,AJ85,AJ87))</f>
        <v>-4.96300000000001</v>
      </c>
      <c r="AK88" s="12" t="n">
        <f aca="false">IF(COUNTA(AK86,AK85,AK87)=0,"",SUM(AK86,AK85,AK87))</f>
        <v>6.786</v>
      </c>
      <c r="AL88" s="12" t="n">
        <f aca="false">IF(COUNTA(AL86,AL85,AL87)=0,"",SUM(AL86,AL85,AL87))</f>
        <v>-34.413</v>
      </c>
      <c r="AM88" s="12" t="n">
        <f aca="false">IF(COUNTA(AM86,AM85,AM87)=0,"",SUM(AM86,AM85,AM87))</f>
        <v>7.862</v>
      </c>
      <c r="AN88" s="12" t="n">
        <f aca="false">IF(COUNTA(AN86,AN85,AN87)=0,"",SUM(AN86,AN85,AN87))</f>
        <v>-12.202</v>
      </c>
      <c r="AO88" s="12" t="n">
        <f aca="false">IF(COUNTA(AO86,AO85,AO87)=0,"",SUM(AO86,AO85,AO87))</f>
        <v>-21.96</v>
      </c>
      <c r="AP88" s="12" t="n">
        <f aca="false">IF(COUNTA(AP86,AP85,AP87)=0,"",SUM(AP86,AP85,AP87))</f>
        <v>-6.13799999999999</v>
      </c>
      <c r="AQ88" s="12" t="n">
        <f aca="false">IF(COUNTA(AQ86,AQ85,AQ87)=0,"",SUM(AQ86,AQ85,AQ87))</f>
        <v>644.94</v>
      </c>
      <c r="AR88" s="12" t="n">
        <f aca="false">IF(COUNTA(AR86,AR85,AR87)=0,"",SUM(AR86,AR85,AR87))</f>
        <v>-326.369</v>
      </c>
      <c r="AS88" s="12" t="n">
        <f aca="false">IF(COUNTA(AS86,AS85,AS87)=0,"",SUM(AS86,AS85,AS87))</f>
        <v>-69.556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47" min="2" style="1" width="10.14"/>
  </cols>
  <sheetData>
    <row r="1" customFormat="false" ht="16.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5" hidden="false" customHeight="true" outlineLevel="0" collapsed="false">
      <c r="A2" s="3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customFormat="false" ht="15" hidden="false" customHeight="true" outlineLevel="0" collapsed="false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21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 t="s">
        <v>35</v>
      </c>
      <c r="AG4" s="7" t="s">
        <v>36</v>
      </c>
      <c r="AH4" s="7" t="s">
        <v>37</v>
      </c>
      <c r="AI4" s="7" t="s">
        <v>38</v>
      </c>
      <c r="AJ4" s="7" t="s">
        <v>39</v>
      </c>
      <c r="AK4" s="7" t="s">
        <v>40</v>
      </c>
      <c r="AL4" s="7" t="s">
        <v>41</v>
      </c>
      <c r="AM4" s="7" t="s">
        <v>42</v>
      </c>
      <c r="AN4" s="7" t="s">
        <v>43</v>
      </c>
      <c r="AO4" s="7" t="s">
        <v>44</v>
      </c>
      <c r="AP4" s="7" t="s">
        <v>45</v>
      </c>
      <c r="AQ4" s="7" t="s">
        <v>46</v>
      </c>
      <c r="AR4" s="7" t="s">
        <v>47</v>
      </c>
      <c r="AS4" s="7" t="s">
        <v>48</v>
      </c>
      <c r="AT4" s="7" t="s">
        <v>49</v>
      </c>
      <c r="AU4" s="7" t="s">
        <v>222</v>
      </c>
    </row>
    <row r="5" customFormat="false" ht="14.25" hidden="false" customHeight="true" outlineLevel="0" collapsed="false">
      <c r="A5" s="8" t="s">
        <v>223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customFormat="false" ht="15" hidden="false" customHeight="true" outlineLevel="0" collapsed="false">
      <c r="A6" s="4" t="s">
        <v>224</v>
      </c>
      <c r="B6" s="9" t="n">
        <v>597.037</v>
      </c>
      <c r="C6" s="9" t="n">
        <v>596.855</v>
      </c>
      <c r="D6" s="9" t="n">
        <v>613.209</v>
      </c>
      <c r="E6" s="9" t="n">
        <v>537.962</v>
      </c>
      <c r="F6" s="9" t="n">
        <v>595.888</v>
      </c>
      <c r="G6" s="9" t="n">
        <v>674.635</v>
      </c>
      <c r="H6" s="9" t="n">
        <v>663.249</v>
      </c>
      <c r="I6" s="9" t="n">
        <v>553.681</v>
      </c>
      <c r="J6" s="9" t="n">
        <v>608.932</v>
      </c>
      <c r="K6" s="9" t="n">
        <v>675.121</v>
      </c>
      <c r="L6" s="9" t="n">
        <v>899.971</v>
      </c>
      <c r="M6" s="9" t="n">
        <v>1226.2</v>
      </c>
      <c r="N6" s="9" t="n">
        <v>1271.08</v>
      </c>
      <c r="O6" s="9" t="n">
        <v>1303.03</v>
      </c>
      <c r="P6" s="9" t="n">
        <v>1724.63</v>
      </c>
      <c r="Q6" s="9" t="n">
        <v>2152.36</v>
      </c>
      <c r="R6" s="9" t="n">
        <v>1883.48</v>
      </c>
      <c r="S6" s="9" t="n">
        <v>1641.76</v>
      </c>
      <c r="T6" s="9" t="n">
        <v>1300.76</v>
      </c>
      <c r="U6" s="9" t="n">
        <v>1362.43</v>
      </c>
      <c r="V6" s="9" t="n">
        <v>1629.99</v>
      </c>
      <c r="W6" s="9" t="n">
        <v>1450.07</v>
      </c>
      <c r="X6" s="9" t="n">
        <v>1845.2</v>
      </c>
      <c r="Y6" s="9" t="n">
        <v>1840.58</v>
      </c>
      <c r="Z6" s="9" t="n">
        <v>2766.27</v>
      </c>
      <c r="AA6" s="9" t="n">
        <v>2734.67</v>
      </c>
      <c r="AB6" s="9" t="n">
        <v>2508.47</v>
      </c>
      <c r="AC6" s="9" t="n">
        <v>2210.45</v>
      </c>
      <c r="AD6" s="9" t="n">
        <v>1339.93</v>
      </c>
      <c r="AE6" s="9" t="n">
        <v>2004.09</v>
      </c>
      <c r="AF6" s="9" t="n">
        <v>2165.18</v>
      </c>
      <c r="AG6" s="9" t="n">
        <v>2267.71</v>
      </c>
      <c r="AH6" s="9" t="n">
        <v>2238.39</v>
      </c>
      <c r="AI6" s="9" t="n">
        <v>2639.78</v>
      </c>
      <c r="AJ6" s="9" t="n">
        <v>2498.54</v>
      </c>
      <c r="AK6" s="9" t="n">
        <v>3205.48</v>
      </c>
      <c r="AL6" s="9" t="n">
        <v>3435.5</v>
      </c>
      <c r="AM6" s="9" t="n">
        <v>4495.6</v>
      </c>
      <c r="AN6" s="9" t="n">
        <v>4902.85</v>
      </c>
      <c r="AO6" s="9" t="n">
        <v>6230.54</v>
      </c>
      <c r="AP6" s="9" t="n">
        <v>5089.66</v>
      </c>
      <c r="AQ6" s="9" t="n">
        <v>4283.09</v>
      </c>
      <c r="AR6" s="9" t="n">
        <v>12985.9</v>
      </c>
      <c r="AS6" s="9" t="n">
        <v>18470.4</v>
      </c>
      <c r="AT6" s="9" t="n">
        <v>13901.3</v>
      </c>
      <c r="AU6" s="9" t="n">
        <v>6950.421345</v>
      </c>
    </row>
    <row r="7" customFormat="false" ht="15" hidden="false" customHeight="true" outlineLevel="0" collapsed="false">
      <c r="A7" s="4" t="s">
        <v>225</v>
      </c>
      <c r="B7" s="9" t="n">
        <v>393.479</v>
      </c>
      <c r="C7" s="9" t="n">
        <v>368.064</v>
      </c>
      <c r="D7" s="9" t="n">
        <v>395.741</v>
      </c>
      <c r="E7" s="9" t="n">
        <v>331.963</v>
      </c>
      <c r="F7" s="9" t="n">
        <v>375.88</v>
      </c>
      <c r="G7" s="9" t="n">
        <v>447.393</v>
      </c>
      <c r="H7" s="9" t="n">
        <v>439.491</v>
      </c>
      <c r="I7" s="9" t="n">
        <v>346.873</v>
      </c>
      <c r="J7" s="9" t="n">
        <v>414.777</v>
      </c>
      <c r="K7" s="9" t="n">
        <v>475.646</v>
      </c>
      <c r="L7" s="9" t="n">
        <v>674.987</v>
      </c>
      <c r="M7" s="9" t="n">
        <v>998.4</v>
      </c>
      <c r="N7" s="9" t="n">
        <v>1049.25</v>
      </c>
      <c r="O7" s="9" t="n">
        <v>1045.88</v>
      </c>
      <c r="P7" s="9" t="n">
        <v>1435.55</v>
      </c>
      <c r="Q7" s="9" t="n">
        <v>1862.57</v>
      </c>
      <c r="R7" s="9" t="n">
        <v>1589.28</v>
      </c>
      <c r="S7" s="9" t="n">
        <v>1318.57</v>
      </c>
      <c r="T7" s="9" t="n">
        <v>1010.4</v>
      </c>
      <c r="U7" s="9" t="n">
        <v>1079.18</v>
      </c>
      <c r="V7" s="9" t="n">
        <v>1359.61</v>
      </c>
      <c r="W7" s="9" t="n">
        <v>1157.64</v>
      </c>
      <c r="X7" s="9" t="n">
        <v>1541.82</v>
      </c>
      <c r="Y7" s="9" t="n">
        <v>1506.74</v>
      </c>
      <c r="Z7" s="9" t="n">
        <v>2406.04</v>
      </c>
      <c r="AA7" s="9" t="n">
        <v>2776.74</v>
      </c>
      <c r="AB7" s="9" t="n">
        <v>2621.61</v>
      </c>
      <c r="AC7" s="9" t="n">
        <v>2320.57</v>
      </c>
      <c r="AD7" s="9" t="n">
        <v>1470.95</v>
      </c>
      <c r="AE7" s="9" t="n">
        <v>2118.96</v>
      </c>
      <c r="AF7" s="9" t="n">
        <v>2272.47</v>
      </c>
      <c r="AG7" s="9" t="n">
        <v>2359.52</v>
      </c>
      <c r="AH7" s="9" t="n">
        <v>2356.3</v>
      </c>
      <c r="AI7" s="9" t="n">
        <v>2669.74</v>
      </c>
      <c r="AJ7" s="9" t="n">
        <v>2548.93</v>
      </c>
      <c r="AK7" s="9" t="n">
        <v>3215.8</v>
      </c>
      <c r="AL7" s="9" t="n">
        <v>3397.51</v>
      </c>
      <c r="AM7" s="9" t="n">
        <v>4481.98</v>
      </c>
      <c r="AN7" s="9" t="n">
        <v>4868.99</v>
      </c>
      <c r="AO7" s="9" t="n">
        <v>6211.86</v>
      </c>
      <c r="AP7" s="9" t="n">
        <v>5101.84</v>
      </c>
      <c r="AQ7" s="9" t="n">
        <v>4306.52</v>
      </c>
      <c r="AR7" s="9" t="n">
        <v>13129.8</v>
      </c>
      <c r="AS7" s="9" t="n">
        <v>18707.9</v>
      </c>
      <c r="AT7" s="9" t="n">
        <v>14140.2</v>
      </c>
      <c r="AU7" s="9" t="n">
        <v>7189.297345</v>
      </c>
    </row>
    <row r="8" customFormat="false" ht="15" hidden="false" customHeight="true" outlineLevel="0" collapsed="false">
      <c r="A8" s="4" t="s">
        <v>226</v>
      </c>
      <c r="B8" s="17" t="n">
        <v>25.59</v>
      </c>
      <c r="C8" s="17" t="n">
        <v>25.6</v>
      </c>
      <c r="D8" s="17" t="n">
        <v>26.06</v>
      </c>
      <c r="E8" s="17" t="n">
        <v>23.07</v>
      </c>
      <c r="F8" s="17" t="n">
        <v>25.51</v>
      </c>
      <c r="G8" s="17" t="n">
        <v>28.88</v>
      </c>
      <c r="H8" s="17" t="n">
        <v>28.35</v>
      </c>
      <c r="I8" s="17" t="n">
        <v>23.69</v>
      </c>
      <c r="J8" s="17" t="n">
        <v>25.96</v>
      </c>
      <c r="K8" s="17" t="n">
        <v>28.57</v>
      </c>
      <c r="L8" s="17" t="n">
        <v>37.75</v>
      </c>
      <c r="M8" s="17" t="n">
        <v>51.38</v>
      </c>
      <c r="N8" s="17" t="n">
        <v>53.17</v>
      </c>
      <c r="O8" s="17" t="n">
        <v>54.5</v>
      </c>
      <c r="P8" s="17" t="n">
        <v>72.09</v>
      </c>
      <c r="Q8" s="17" t="n">
        <v>89.95</v>
      </c>
      <c r="R8" s="17" t="n">
        <v>78.7</v>
      </c>
      <c r="S8" s="17" t="n">
        <v>68.56</v>
      </c>
      <c r="T8" s="17" t="n">
        <v>54.22</v>
      </c>
      <c r="U8" s="17" t="n">
        <v>56.79</v>
      </c>
      <c r="V8" s="17" t="n">
        <v>67.93</v>
      </c>
      <c r="W8" s="17" t="n">
        <v>60.26</v>
      </c>
      <c r="X8" s="17" t="n">
        <v>76.55</v>
      </c>
      <c r="Y8" s="17" t="n">
        <v>76.36</v>
      </c>
      <c r="Z8" s="17" t="n">
        <v>114.77</v>
      </c>
      <c r="AA8" s="17" t="n">
        <v>110.37</v>
      </c>
      <c r="AB8" s="17" t="n">
        <v>101.1</v>
      </c>
      <c r="AC8" s="17" t="n">
        <v>89.11</v>
      </c>
      <c r="AD8" s="17" t="n">
        <v>53.78</v>
      </c>
      <c r="AE8" s="17" t="n">
        <v>80.32</v>
      </c>
      <c r="AF8" s="17" t="n">
        <v>86.64</v>
      </c>
      <c r="AG8" s="17" t="n">
        <v>90.14</v>
      </c>
      <c r="AH8" s="17" t="n">
        <v>88.6</v>
      </c>
      <c r="AI8" s="17" t="n">
        <v>100.69</v>
      </c>
      <c r="AJ8" s="17" t="n">
        <v>95.03</v>
      </c>
      <c r="AK8" s="17" t="n">
        <v>113.93</v>
      </c>
      <c r="AL8" s="17" t="n">
        <v>122.1</v>
      </c>
      <c r="AM8" s="17" t="n">
        <v>159.79</v>
      </c>
      <c r="AN8" s="17" t="n">
        <v>173.82</v>
      </c>
      <c r="AO8" s="17" t="n">
        <v>220.9</v>
      </c>
      <c r="AP8" s="17" t="n">
        <v>180.36</v>
      </c>
      <c r="AQ8" s="17" t="n">
        <v>151.52</v>
      </c>
      <c r="AR8" s="17" t="n">
        <v>260.07</v>
      </c>
      <c r="AS8" s="17" t="n">
        <v>369.91</v>
      </c>
      <c r="AT8" s="17" t="n">
        <v>278.39</v>
      </c>
      <c r="AU8" s="17" t="n">
        <v>137.95</v>
      </c>
    </row>
    <row r="9" customFormat="false" ht="15" hidden="false" customHeight="true" outlineLevel="0" collapsed="false">
      <c r="A9" s="4" t="s">
        <v>227</v>
      </c>
      <c r="B9" s="18"/>
      <c r="C9" s="18" t="n">
        <v>196.923</v>
      </c>
      <c r="D9" s="18"/>
      <c r="E9" s="18" t="n">
        <v>76.9</v>
      </c>
      <c r="F9" s="18" t="n">
        <v>54.2766</v>
      </c>
      <c r="G9" s="18" t="n">
        <v>74.0513</v>
      </c>
      <c r="H9" s="18" t="n">
        <v>157.5</v>
      </c>
      <c r="I9" s="18"/>
      <c r="J9" s="18"/>
      <c r="K9" s="18" t="n">
        <v>51.0179</v>
      </c>
      <c r="L9" s="18" t="n">
        <v>54.7101</v>
      </c>
      <c r="M9" s="18" t="n">
        <v>43.1765</v>
      </c>
      <c r="N9" s="18" t="n">
        <v>42.536</v>
      </c>
      <c r="O9" s="18" t="n">
        <v>59.8901</v>
      </c>
      <c r="P9" s="18" t="n">
        <v>33.8451</v>
      </c>
      <c r="Q9" s="18" t="n">
        <v>43.665</v>
      </c>
      <c r="R9" s="18" t="n">
        <v>32.2541</v>
      </c>
      <c r="S9" s="18" t="n">
        <v>34.802</v>
      </c>
      <c r="T9" s="18" t="n">
        <v>34.9806</v>
      </c>
      <c r="U9" s="18" t="n">
        <v>35.2733</v>
      </c>
      <c r="V9" s="18" t="n">
        <v>55.6803</v>
      </c>
      <c r="W9" s="18" t="n">
        <v>35.2398</v>
      </c>
      <c r="X9" s="18" t="n">
        <v>54.2908</v>
      </c>
      <c r="Y9" s="18" t="n">
        <v>64.1681</v>
      </c>
      <c r="Z9" s="18" t="n">
        <v>92.5565</v>
      </c>
      <c r="AA9" s="18" t="n">
        <v>114.969</v>
      </c>
      <c r="AB9" s="18"/>
      <c r="AC9" s="18"/>
      <c r="AD9" s="18"/>
      <c r="AE9" s="18"/>
      <c r="AF9" s="18" t="n">
        <v>1732.8</v>
      </c>
      <c r="AG9" s="18"/>
      <c r="AH9" s="18"/>
      <c r="AI9" s="18"/>
      <c r="AJ9" s="18"/>
      <c r="AK9" s="18"/>
      <c r="AL9" s="18"/>
      <c r="AM9" s="18" t="n">
        <v>73.2982</v>
      </c>
      <c r="AN9" s="18" t="n">
        <v>81.6056</v>
      </c>
      <c r="AO9" s="18" t="n">
        <v>126.954</v>
      </c>
      <c r="AP9" s="18" t="n">
        <v>152.847</v>
      </c>
      <c r="AQ9" s="18" t="n">
        <v>97.7548</v>
      </c>
      <c r="AR9" s="18"/>
      <c r="AS9" s="18"/>
      <c r="AT9" s="18"/>
      <c r="AU9" s="18"/>
    </row>
    <row r="10" customFormat="false" ht="15" hidden="false" customHeight="true" outlineLevel="0" collapsed="false">
      <c r="A10" s="4" t="s">
        <v>228</v>
      </c>
      <c r="B10" s="18"/>
      <c r="C10" s="18" t="n">
        <v>2.30092</v>
      </c>
      <c r="D10" s="18"/>
      <c r="E10" s="18" t="n">
        <v>2.01749</v>
      </c>
      <c r="F10" s="18" t="n">
        <v>2.24176</v>
      </c>
      <c r="G10" s="18" t="n">
        <v>2.88629</v>
      </c>
      <c r="H10" s="18" t="n">
        <v>2.61878</v>
      </c>
      <c r="I10" s="18" t="n">
        <v>2.32005</v>
      </c>
      <c r="J10" s="18" t="n">
        <v>2.71537</v>
      </c>
      <c r="K10" s="18" t="n">
        <v>2.89621</v>
      </c>
      <c r="L10" s="18" t="n">
        <v>3.42174</v>
      </c>
      <c r="M10" s="18" t="n">
        <v>4.3997</v>
      </c>
      <c r="N10" s="18" t="n">
        <v>4.53682</v>
      </c>
      <c r="O10" s="18" t="n">
        <v>4.85436</v>
      </c>
      <c r="P10" s="18" t="n">
        <v>5.52579</v>
      </c>
      <c r="Q10" s="18" t="n">
        <v>6.7412</v>
      </c>
      <c r="R10" s="18" t="n">
        <v>5.5401</v>
      </c>
      <c r="S10" s="18" t="n">
        <v>5.22397</v>
      </c>
      <c r="T10" s="18" t="n">
        <v>4.02536</v>
      </c>
      <c r="U10" s="18" t="n">
        <v>4.08605</v>
      </c>
      <c r="V10" s="18" t="n">
        <v>5.09366</v>
      </c>
      <c r="W10" s="18" t="n">
        <v>3.94797</v>
      </c>
      <c r="X10" s="18" t="n">
        <v>5.01639</v>
      </c>
      <c r="Y10" s="18" t="n">
        <v>4.87921</v>
      </c>
      <c r="Z10" s="18" t="n">
        <v>7.01884</v>
      </c>
      <c r="AA10" s="18" t="n">
        <v>6.92476</v>
      </c>
      <c r="AB10" s="18" t="n">
        <v>6.14113</v>
      </c>
      <c r="AC10" s="18" t="n">
        <v>5.04883</v>
      </c>
      <c r="AD10" s="18" t="n">
        <v>2.98343</v>
      </c>
      <c r="AE10" s="18" t="n">
        <v>4.49617</v>
      </c>
      <c r="AF10" s="18" t="n">
        <v>4.77714</v>
      </c>
      <c r="AG10" s="18" t="n">
        <v>5.12112</v>
      </c>
      <c r="AH10" s="18" t="n">
        <v>4.59518</v>
      </c>
      <c r="AI10" s="18" t="n">
        <v>4.88363</v>
      </c>
      <c r="AJ10" s="18" t="n">
        <v>4.27564</v>
      </c>
      <c r="AK10" s="18" t="n">
        <v>4.90436</v>
      </c>
      <c r="AL10" s="18" t="n">
        <v>4.86764</v>
      </c>
      <c r="AM10" s="18" t="n">
        <v>6.27247</v>
      </c>
      <c r="AN10" s="18" t="n">
        <v>6.5037</v>
      </c>
      <c r="AO10" s="18" t="n">
        <v>8.18195</v>
      </c>
      <c r="AP10" s="18" t="n">
        <v>6.85424</v>
      </c>
      <c r="AQ10" s="18" t="n">
        <v>5.21929</v>
      </c>
      <c r="AR10" s="18" t="n">
        <v>11.9595</v>
      </c>
      <c r="AS10" s="18" t="n">
        <v>13.4833</v>
      </c>
      <c r="AT10" s="18" t="n">
        <v>8.63287</v>
      </c>
      <c r="AU10" s="18" t="n">
        <v>4.31628</v>
      </c>
    </row>
    <row r="11" customFormat="false" ht="15" hidden="false" customHeight="true" outlineLevel="0" collapsed="false">
      <c r="A11" s="4" t="s">
        <v>229</v>
      </c>
      <c r="B11" s="18" t="n">
        <v>1.75172</v>
      </c>
      <c r="C11" s="18" t="n">
        <v>1.71062</v>
      </c>
      <c r="D11" s="18" t="n">
        <v>1.77687</v>
      </c>
      <c r="E11" s="18" t="n">
        <v>1.55154</v>
      </c>
      <c r="F11" s="18" t="n">
        <v>1.68059</v>
      </c>
      <c r="G11" s="18" t="n">
        <v>1.86608</v>
      </c>
      <c r="H11" s="18" t="n">
        <v>1.88702</v>
      </c>
      <c r="I11" s="18" t="n">
        <v>1.59037</v>
      </c>
      <c r="J11" s="18" t="n">
        <v>1.75361</v>
      </c>
      <c r="K11" s="18" t="n">
        <v>1.76755</v>
      </c>
      <c r="L11" s="18" t="n">
        <v>2.36385</v>
      </c>
      <c r="M11" s="18" t="n">
        <v>3.14894</v>
      </c>
      <c r="N11" s="18" t="n">
        <v>3.25595</v>
      </c>
      <c r="O11" s="18" t="n">
        <v>3.18563</v>
      </c>
      <c r="P11" s="18" t="n">
        <v>3.94608</v>
      </c>
      <c r="Q11" s="18" t="n">
        <v>4.84575</v>
      </c>
      <c r="R11" s="18" t="n">
        <v>4.13438</v>
      </c>
      <c r="S11" s="18" t="n">
        <v>3.5492</v>
      </c>
      <c r="T11" s="18" t="n">
        <v>2.70145</v>
      </c>
      <c r="U11" s="18" t="n">
        <v>2.77842</v>
      </c>
      <c r="V11" s="18" t="n">
        <v>3.32148</v>
      </c>
      <c r="W11" s="18" t="n">
        <v>2.84384</v>
      </c>
      <c r="X11" s="18" t="n">
        <v>3.54895</v>
      </c>
      <c r="Y11" s="18" t="n">
        <v>3.51319</v>
      </c>
      <c r="Z11" s="18" t="n">
        <v>5.26717</v>
      </c>
      <c r="AA11" s="18" t="n">
        <v>4.46774</v>
      </c>
      <c r="AB11" s="18" t="n">
        <v>4.19309</v>
      </c>
      <c r="AC11" s="18" t="n">
        <v>3.68468</v>
      </c>
      <c r="AD11" s="18" t="n">
        <v>2.22422</v>
      </c>
      <c r="AE11" s="18" t="n">
        <v>3.29636</v>
      </c>
      <c r="AF11" s="18" t="n">
        <v>3.6091</v>
      </c>
      <c r="AG11" s="18" t="n">
        <v>3.73296</v>
      </c>
      <c r="AH11" s="18" t="n">
        <v>3.60152</v>
      </c>
      <c r="AI11" s="18" t="n">
        <v>4.79115</v>
      </c>
      <c r="AJ11" s="18" t="n">
        <v>4.34873</v>
      </c>
      <c r="AK11" s="18" t="n">
        <v>4.0385</v>
      </c>
      <c r="AL11" s="18" t="n">
        <v>4.22578</v>
      </c>
      <c r="AM11" s="18" t="n">
        <v>5.46415</v>
      </c>
      <c r="AN11" s="18" t="n">
        <v>5.7985</v>
      </c>
      <c r="AO11" s="18" t="n">
        <v>7.25834</v>
      </c>
      <c r="AP11" s="18" t="n">
        <v>5.91096</v>
      </c>
      <c r="AQ11" s="18" t="n">
        <v>4.83143</v>
      </c>
      <c r="AR11" s="18" t="n">
        <v>2.93329</v>
      </c>
      <c r="AS11" s="18" t="n">
        <v>4.18064</v>
      </c>
      <c r="AT11" s="18" t="n">
        <v>3.32177</v>
      </c>
      <c r="AU11" s="18" t="n">
        <v>1.60525</v>
      </c>
    </row>
    <row r="12" customFormat="false" ht="15" hidden="false" customHeight="true" outlineLevel="0" collapsed="false">
      <c r="A12" s="4" t="s">
        <v>230</v>
      </c>
      <c r="B12" s="18" t="n">
        <v>1.735</v>
      </c>
      <c r="C12" s="18" t="n">
        <v>1.698</v>
      </c>
      <c r="D12" s="18" t="n">
        <v>1.733</v>
      </c>
      <c r="E12" s="18" t="n">
        <v>1.54</v>
      </c>
      <c r="F12" s="18" t="n">
        <v>1.661</v>
      </c>
      <c r="G12" s="18" t="n">
        <v>1.849</v>
      </c>
      <c r="H12" s="18" t="n">
        <v>1.852</v>
      </c>
      <c r="I12" s="18" t="n">
        <v>1.568</v>
      </c>
      <c r="J12" s="18" t="n">
        <v>1.726</v>
      </c>
      <c r="K12" s="18" t="n">
        <v>1.748</v>
      </c>
      <c r="L12" s="18" t="n">
        <v>2.314</v>
      </c>
      <c r="M12" s="18" t="n">
        <v>3.145</v>
      </c>
      <c r="N12" s="18" t="n">
        <v>3.203</v>
      </c>
      <c r="O12" s="18" t="n">
        <v>3.187</v>
      </c>
      <c r="P12" s="18" t="n">
        <v>3.96</v>
      </c>
      <c r="Q12" s="18" t="n">
        <v>4.88</v>
      </c>
      <c r="R12" s="18" t="n">
        <v>4.16</v>
      </c>
      <c r="S12" s="18" t="n">
        <v>3.575</v>
      </c>
      <c r="T12" s="18" t="n">
        <v>2.858</v>
      </c>
      <c r="U12" s="18" t="n">
        <v>2.93</v>
      </c>
      <c r="V12" s="18" t="n">
        <v>3.443</v>
      </c>
      <c r="W12" s="18" t="n">
        <v>2.968</v>
      </c>
      <c r="X12" s="18" t="n">
        <v>3.698</v>
      </c>
      <c r="Y12" s="18" t="n">
        <v>3.656</v>
      </c>
      <c r="Z12" s="18" t="n">
        <v>5.489</v>
      </c>
      <c r="AA12" s="18" t="n">
        <v>14.273</v>
      </c>
      <c r="AB12" s="18" t="n">
        <v>17.124</v>
      </c>
      <c r="AC12" s="18" t="n">
        <v>14.457</v>
      </c>
      <c r="AD12" s="18" t="n">
        <v>8.187</v>
      </c>
      <c r="AE12" s="18" t="n">
        <v>11.354</v>
      </c>
      <c r="AF12" s="18" t="n">
        <v>12.272</v>
      </c>
      <c r="AG12" s="18" t="n">
        <v>12.208</v>
      </c>
      <c r="AH12" s="18" t="n">
        <v>10.997</v>
      </c>
      <c r="AI12" s="18" t="n">
        <v>7.847</v>
      </c>
      <c r="AJ12" s="18" t="n">
        <v>7.043</v>
      </c>
      <c r="AK12" s="18" t="n">
        <v>7.042</v>
      </c>
      <c r="AL12" s="18" t="n">
        <v>7.441</v>
      </c>
      <c r="AM12" s="18" t="n">
        <v>9.454</v>
      </c>
      <c r="AN12" s="18" t="n">
        <v>9.791</v>
      </c>
      <c r="AO12" s="18" t="n">
        <v>11.96</v>
      </c>
      <c r="AP12" s="18" t="n">
        <v>9.576</v>
      </c>
      <c r="AQ12" s="18" t="n">
        <v>7.371</v>
      </c>
      <c r="AR12" s="18" t="n">
        <v>15.862</v>
      </c>
      <c r="AS12" s="18" t="n">
        <v>22.359</v>
      </c>
      <c r="AT12" s="18" t="n">
        <v>15.617</v>
      </c>
      <c r="AU12" s="18" t="n">
        <v>6.792</v>
      </c>
    </row>
    <row r="13" customFormat="false" ht="15" hidden="false" customHeight="true" outlineLevel="0" collapsed="false">
      <c r="A13" s="4" t="s">
        <v>231</v>
      </c>
      <c r="B13" s="18"/>
      <c r="C13" s="18" t="n">
        <v>17.4856</v>
      </c>
      <c r="D13" s="18"/>
      <c r="E13" s="18"/>
      <c r="F13" s="18" t="n">
        <v>64.1705</v>
      </c>
      <c r="G13" s="18"/>
      <c r="H13" s="18" t="n">
        <v>322.749</v>
      </c>
      <c r="I13" s="18" t="n">
        <v>64.0687</v>
      </c>
      <c r="J13" s="18"/>
      <c r="K13" s="18"/>
      <c r="L13" s="18" t="n">
        <v>146.814</v>
      </c>
      <c r="M13" s="18" t="n">
        <v>81.9051</v>
      </c>
      <c r="N13" s="18" t="n">
        <v>49.328</v>
      </c>
      <c r="O13" s="18" t="n">
        <v>21.6202</v>
      </c>
      <c r="P13" s="18" t="n">
        <v>41.7911</v>
      </c>
      <c r="Q13" s="18" t="n">
        <v>62.8389</v>
      </c>
      <c r="R13" s="18" t="n">
        <v>51.9711</v>
      </c>
      <c r="S13" s="18" t="n">
        <v>90.9561</v>
      </c>
      <c r="T13" s="18" t="n">
        <v>83.1264</v>
      </c>
      <c r="U13" s="18" t="n">
        <v>66.1469</v>
      </c>
      <c r="V13" s="18" t="n">
        <v>66.4731</v>
      </c>
      <c r="W13" s="18" t="n">
        <v>104.495</v>
      </c>
      <c r="X13" s="18" t="n">
        <v>52.0656</v>
      </c>
      <c r="Y13" s="18" t="n">
        <v>28.1654</v>
      </c>
      <c r="Z13" s="18" t="n">
        <v>35.5538</v>
      </c>
      <c r="AA13" s="18" t="n">
        <v>36.332</v>
      </c>
      <c r="AB13" s="18" t="n">
        <v>78.9747</v>
      </c>
      <c r="AC13" s="18" t="n">
        <v>354.409</v>
      </c>
      <c r="AD13" s="18"/>
      <c r="AE13" s="18"/>
      <c r="AF13" s="18"/>
      <c r="AG13" s="18" t="n">
        <v>253.971</v>
      </c>
      <c r="AH13" s="18" t="n">
        <v>318.95</v>
      </c>
      <c r="AI13" s="18"/>
      <c r="AJ13" s="18"/>
      <c r="AK13" s="18"/>
      <c r="AL13" s="18" t="n">
        <v>314.865</v>
      </c>
      <c r="AM13" s="18"/>
      <c r="AN13" s="18" t="n">
        <v>136.478</v>
      </c>
      <c r="AO13" s="18" t="n">
        <v>147.416</v>
      </c>
      <c r="AP13" s="18"/>
      <c r="AQ13" s="18"/>
      <c r="AR13" s="18"/>
      <c r="AS13" s="18"/>
      <c r="AT13" s="18"/>
      <c r="AU13" s="18"/>
    </row>
    <row r="14" customFormat="false" ht="15" hidden="false" customHeight="true" outlineLevel="0" collapsed="false">
      <c r="A14" s="4" t="s">
        <v>232</v>
      </c>
      <c r="B14" s="18"/>
      <c r="C14" s="18" t="n">
        <v>15.1436</v>
      </c>
      <c r="D14" s="18"/>
      <c r="E14" s="18"/>
      <c r="F14" s="18" t="n">
        <v>36.1188</v>
      </c>
      <c r="G14" s="18" t="n">
        <v>111.565</v>
      </c>
      <c r="H14" s="18" t="n">
        <v>62.4999</v>
      </c>
      <c r="I14" s="18" t="n">
        <v>32.2264</v>
      </c>
      <c r="J14" s="18"/>
      <c r="K14" s="18"/>
      <c r="L14" s="18" t="n">
        <v>56.0276</v>
      </c>
      <c r="M14" s="18" t="n">
        <v>47.5751</v>
      </c>
      <c r="N14" s="18" t="n">
        <v>35.5478</v>
      </c>
      <c r="O14" s="18" t="n">
        <v>18.6594</v>
      </c>
      <c r="P14" s="18" t="n">
        <v>34.8066</v>
      </c>
      <c r="Q14" s="18" t="n">
        <v>50.6497</v>
      </c>
      <c r="R14" s="18" t="n">
        <v>41.9512</v>
      </c>
      <c r="S14" s="18" t="n">
        <v>60.9277</v>
      </c>
      <c r="T14" s="18" t="n">
        <v>51.9827</v>
      </c>
      <c r="U14" s="18" t="n">
        <v>42.3009</v>
      </c>
      <c r="V14" s="18" t="n">
        <v>46.4186</v>
      </c>
      <c r="W14" s="18" t="n">
        <v>57.7788</v>
      </c>
      <c r="X14" s="18" t="n">
        <v>37.7922</v>
      </c>
      <c r="Y14" s="18" t="n">
        <v>24.2914</v>
      </c>
      <c r="Z14" s="18" t="n">
        <v>31.0841</v>
      </c>
      <c r="AA14" s="18" t="n">
        <v>31.603</v>
      </c>
      <c r="AB14" s="18" t="n">
        <v>56.5137</v>
      </c>
      <c r="AC14" s="18" t="n">
        <v>89.8739</v>
      </c>
      <c r="AD14" s="18"/>
      <c r="AE14" s="18"/>
      <c r="AF14" s="18" t="n">
        <v>100.365</v>
      </c>
      <c r="AG14" s="18" t="n">
        <v>88.3821</v>
      </c>
      <c r="AH14" s="18" t="n">
        <v>100.111</v>
      </c>
      <c r="AI14" s="18" t="n">
        <v>231.56</v>
      </c>
      <c r="AJ14" s="18"/>
      <c r="AK14" s="18"/>
      <c r="AL14" s="18" t="n">
        <v>116.205</v>
      </c>
      <c r="AM14" s="18" t="n">
        <v>293.984</v>
      </c>
      <c r="AN14" s="18" t="n">
        <v>80.7652</v>
      </c>
      <c r="AO14" s="18" t="n">
        <v>94.9907</v>
      </c>
      <c r="AP14" s="18"/>
      <c r="AQ14" s="18"/>
      <c r="AR14" s="18"/>
      <c r="AS14" s="18"/>
      <c r="AT14" s="18"/>
      <c r="AU14" s="18"/>
    </row>
    <row r="15" customFormat="false" ht="15" hidden="false" customHeight="true" outlineLevel="0" collapsed="false">
      <c r="A15" s="4" t="s">
        <v>233</v>
      </c>
      <c r="B15" s="18"/>
      <c r="C15" s="18" t="n">
        <v>1.41892</v>
      </c>
      <c r="D15" s="18"/>
      <c r="E15" s="18" t="n">
        <v>1.24494</v>
      </c>
      <c r="F15" s="18" t="n">
        <v>1.41408</v>
      </c>
      <c r="G15" s="18" t="n">
        <v>1.91408</v>
      </c>
      <c r="H15" s="18" t="n">
        <v>1.73529</v>
      </c>
      <c r="I15" s="18" t="n">
        <v>1.45348</v>
      </c>
      <c r="J15" s="18" t="n">
        <v>1.84959</v>
      </c>
      <c r="K15" s="18" t="n">
        <v>2.04048</v>
      </c>
      <c r="L15" s="18" t="n">
        <v>2.56634</v>
      </c>
      <c r="M15" s="18" t="n">
        <v>3.58233</v>
      </c>
      <c r="N15" s="18" t="n">
        <v>3.74502</v>
      </c>
      <c r="O15" s="18" t="n">
        <v>3.89638</v>
      </c>
      <c r="P15" s="18" t="n">
        <v>4.59956</v>
      </c>
      <c r="Q15" s="18" t="n">
        <v>5.83358</v>
      </c>
      <c r="R15" s="18" t="n">
        <v>4.67473</v>
      </c>
      <c r="S15" s="18" t="n">
        <v>4.1956</v>
      </c>
      <c r="T15" s="18" t="n">
        <v>3.12679</v>
      </c>
      <c r="U15" s="18" t="n">
        <v>3.23656</v>
      </c>
      <c r="V15" s="18" t="n">
        <v>4.24873</v>
      </c>
      <c r="W15" s="18" t="n">
        <v>3.15179</v>
      </c>
      <c r="X15" s="18" t="n">
        <v>4.1916</v>
      </c>
      <c r="Y15" s="18" t="n">
        <v>3.99422</v>
      </c>
      <c r="Z15" s="18" t="n">
        <v>6.10484</v>
      </c>
      <c r="AA15" s="18" t="n">
        <v>7.03129</v>
      </c>
      <c r="AB15" s="18" t="n">
        <v>6.4181</v>
      </c>
      <c r="AC15" s="18" t="n">
        <v>5.30036</v>
      </c>
      <c r="AD15" s="18" t="n">
        <v>3.27515</v>
      </c>
      <c r="AE15" s="18" t="n">
        <v>4.75388</v>
      </c>
      <c r="AF15" s="18" t="n">
        <v>5.01386</v>
      </c>
      <c r="AG15" s="18" t="n">
        <v>5.32845</v>
      </c>
      <c r="AH15" s="18" t="n">
        <v>4.83724</v>
      </c>
      <c r="AI15" s="18" t="n">
        <v>4.93906</v>
      </c>
      <c r="AJ15" s="18" t="n">
        <v>4.36187</v>
      </c>
      <c r="AK15" s="18" t="n">
        <v>4.92014</v>
      </c>
      <c r="AL15" s="18" t="n">
        <v>4.81382</v>
      </c>
      <c r="AM15" s="18" t="n">
        <v>6.25346</v>
      </c>
      <c r="AN15" s="18" t="n">
        <v>6.45878</v>
      </c>
      <c r="AO15" s="18" t="n">
        <v>8.15742</v>
      </c>
      <c r="AP15" s="18" t="n">
        <v>6.87065</v>
      </c>
      <c r="AQ15" s="18" t="n">
        <v>5.24784</v>
      </c>
      <c r="AR15" s="18" t="n">
        <v>12.0921</v>
      </c>
      <c r="AS15" s="18" t="n">
        <v>13.6567</v>
      </c>
      <c r="AT15" s="18" t="n">
        <v>8.78122</v>
      </c>
      <c r="AU15" s="18" t="n">
        <v>4.46463</v>
      </c>
    </row>
    <row r="16" customFormat="false" ht="15" hidden="false" customHeight="true" outlineLevel="0" collapsed="false">
      <c r="A16" s="4" t="s">
        <v>234</v>
      </c>
      <c r="B16" s="18"/>
      <c r="C16" s="18" t="n">
        <v>35.4589</v>
      </c>
      <c r="D16" s="18"/>
      <c r="E16" s="18" t="n">
        <v>31.7486</v>
      </c>
      <c r="F16" s="18" t="n">
        <v>22.2177</v>
      </c>
      <c r="G16" s="18" t="n">
        <v>13.2911</v>
      </c>
      <c r="H16" s="18" t="n">
        <v>46.0489</v>
      </c>
      <c r="I16" s="18"/>
      <c r="J16" s="18"/>
      <c r="K16" s="18" t="n">
        <v>109.9</v>
      </c>
      <c r="L16" s="18" t="n">
        <v>754.176</v>
      </c>
      <c r="M16" s="18" t="n">
        <v>199.202</v>
      </c>
      <c r="N16" s="18" t="n">
        <v>23.3249</v>
      </c>
      <c r="O16" s="18" t="n">
        <v>28.7267</v>
      </c>
      <c r="P16" s="18" t="n">
        <v>24.2997</v>
      </c>
      <c r="Q16" s="18" t="n">
        <v>33.4693</v>
      </c>
      <c r="R16" s="18" t="n">
        <v>24.9163</v>
      </c>
      <c r="S16" s="18" t="n">
        <v>31.7765</v>
      </c>
      <c r="T16" s="18" t="n">
        <v>37.5654</v>
      </c>
      <c r="U16" s="18" t="n">
        <v>30.3832</v>
      </c>
      <c r="V16" s="18" t="n">
        <v>38.7507</v>
      </c>
      <c r="W16" s="18" t="n">
        <v>13.9705</v>
      </c>
      <c r="X16" s="18" t="n">
        <v>51.6868</v>
      </c>
      <c r="Y16" s="18" t="n">
        <v>41.6433</v>
      </c>
      <c r="Z16" s="18" t="n">
        <v>41.2849</v>
      </c>
      <c r="AA16" s="18" t="n">
        <v>34.5645</v>
      </c>
      <c r="AB16" s="18" t="n">
        <v>39.2456</v>
      </c>
      <c r="AC16" s="18" t="n">
        <v>33.2975</v>
      </c>
      <c r="AD16" s="18" t="n">
        <v>20.8146</v>
      </c>
      <c r="AE16" s="18" t="n">
        <v>41.5987</v>
      </c>
      <c r="AF16" s="18" t="n">
        <v>37.7971</v>
      </c>
      <c r="AG16" s="18" t="n">
        <v>53.1663</v>
      </c>
      <c r="AH16" s="18" t="n">
        <v>38.2958</v>
      </c>
      <c r="AI16" s="18"/>
      <c r="AJ16" s="18"/>
      <c r="AK16" s="18"/>
      <c r="AL16" s="18"/>
      <c r="AM16" s="18" t="n">
        <v>41.6645</v>
      </c>
      <c r="AN16" s="18" t="n">
        <v>45.862</v>
      </c>
      <c r="AO16" s="18" t="n">
        <v>70.1429</v>
      </c>
      <c r="AP16" s="18" t="n">
        <v>72.0121</v>
      </c>
      <c r="AQ16" s="18" t="n">
        <v>52.6515</v>
      </c>
      <c r="AR16" s="18" t="n">
        <v>185.282</v>
      </c>
      <c r="AS16" s="18" t="n">
        <v>226.2</v>
      </c>
      <c r="AT16" s="18"/>
      <c r="AU16" s="18" t="n">
        <v>47.55927</v>
      </c>
    </row>
    <row r="17" customFormat="false" ht="15" hidden="false" customHeight="true" outlineLevel="0" collapsed="false">
      <c r="A17" s="4" t="s">
        <v>235</v>
      </c>
      <c r="B17" s="18"/>
      <c r="C17" s="18" t="n">
        <v>182.753</v>
      </c>
      <c r="D17" s="18"/>
      <c r="E17" s="18" t="n">
        <v>31.7486</v>
      </c>
      <c r="F17" s="18" t="n">
        <v>36.2363</v>
      </c>
      <c r="G17" s="18" t="n">
        <v>15.0102</v>
      </c>
      <c r="H17" s="18" t="n">
        <v>136.53</v>
      </c>
      <c r="I17" s="18"/>
      <c r="J17" s="18"/>
      <c r="K17" s="18"/>
      <c r="L17" s="18"/>
      <c r="M17" s="18"/>
      <c r="N17" s="18" t="n">
        <v>27.0139</v>
      </c>
      <c r="O17" s="18" t="n">
        <v>34.3747</v>
      </c>
      <c r="P17" s="18" t="n">
        <v>27.2117</v>
      </c>
      <c r="Q17" s="18" t="n">
        <v>38.1143</v>
      </c>
      <c r="R17" s="18" t="n">
        <v>28.104</v>
      </c>
      <c r="S17" s="18" t="n">
        <v>38.9809</v>
      </c>
      <c r="T17" s="18" t="n">
        <v>53.4742</v>
      </c>
      <c r="U17" s="18" t="n">
        <v>40.0468</v>
      </c>
      <c r="V17" s="18" t="n">
        <v>52.6163</v>
      </c>
      <c r="W17" s="18" t="n">
        <v>15.8635</v>
      </c>
      <c r="X17" s="18" t="n">
        <v>80.1277</v>
      </c>
      <c r="Y17" s="18" t="n">
        <v>60.0605</v>
      </c>
      <c r="Z17" s="18" t="n">
        <v>51.3585</v>
      </c>
      <c r="AA17" s="18" t="n">
        <v>45.4659</v>
      </c>
      <c r="AB17" s="18" t="n">
        <v>71.5056</v>
      </c>
      <c r="AC17" s="18" t="n">
        <v>88.8972</v>
      </c>
      <c r="AD17" s="18" t="n">
        <v>116.557</v>
      </c>
      <c r="AE17" s="18"/>
      <c r="AF17" s="18"/>
      <c r="AG17" s="18"/>
      <c r="AH17" s="18" t="n">
        <v>73634.5</v>
      </c>
      <c r="AI17" s="18"/>
      <c r="AJ17" s="18"/>
      <c r="AK17" s="18"/>
      <c r="AL17" s="18"/>
      <c r="AM17" s="18" t="n">
        <v>62.4022</v>
      </c>
      <c r="AN17" s="18" t="n">
        <v>71.0636</v>
      </c>
      <c r="AO17" s="18" t="n">
        <v>123.388</v>
      </c>
      <c r="AP17" s="18" t="n">
        <v>154.963</v>
      </c>
      <c r="AQ17" s="18" t="n">
        <v>105.565</v>
      </c>
      <c r="AR17" s="18"/>
      <c r="AS17" s="18"/>
      <c r="AT17" s="18"/>
      <c r="AU17" s="18"/>
    </row>
    <row r="18" customFormat="false" ht="15" hidden="false" customHeight="true" outlineLevel="0" collapsed="false">
      <c r="A18" s="4" t="s">
        <v>236</v>
      </c>
      <c r="B18" s="18"/>
      <c r="C18" s="18" t="n">
        <v>10.7829</v>
      </c>
      <c r="D18" s="18"/>
      <c r="E18" s="18"/>
      <c r="F18" s="18" t="n">
        <v>40.4781</v>
      </c>
      <c r="G18" s="18"/>
      <c r="H18" s="18" t="n">
        <v>213.864</v>
      </c>
      <c r="I18" s="18" t="n">
        <v>40.1381</v>
      </c>
      <c r="J18" s="18"/>
      <c r="K18" s="18"/>
      <c r="L18" s="18" t="n">
        <v>110.112</v>
      </c>
      <c r="M18" s="18" t="n">
        <v>66.6889</v>
      </c>
      <c r="N18" s="18" t="n">
        <v>40.7189</v>
      </c>
      <c r="O18" s="18" t="n">
        <v>17.3536</v>
      </c>
      <c r="P18" s="18" t="n">
        <v>34.7861</v>
      </c>
      <c r="Q18" s="18" t="n">
        <v>54.3784</v>
      </c>
      <c r="R18" s="18" t="n">
        <v>43.8532</v>
      </c>
      <c r="S18" s="18" t="n">
        <v>73.0508</v>
      </c>
      <c r="T18" s="18" t="n">
        <v>64.5703</v>
      </c>
      <c r="U18" s="18" t="n">
        <v>52.395</v>
      </c>
      <c r="V18" s="18" t="n">
        <v>55.4466</v>
      </c>
      <c r="W18" s="18" t="n">
        <v>83.4214</v>
      </c>
      <c r="X18" s="18" t="n">
        <v>43.505</v>
      </c>
      <c r="Y18" s="18" t="n">
        <v>23.0568</v>
      </c>
      <c r="Z18" s="18" t="n">
        <v>30.924</v>
      </c>
      <c r="AA18" s="18" t="n">
        <v>36.8909</v>
      </c>
      <c r="AB18" s="18" t="n">
        <v>82.5366</v>
      </c>
      <c r="AC18" s="18" t="n">
        <v>372.065</v>
      </c>
      <c r="AD18" s="18"/>
      <c r="AE18" s="18"/>
      <c r="AF18" s="18"/>
      <c r="AG18" s="18" t="n">
        <v>264.254</v>
      </c>
      <c r="AH18" s="18" t="n">
        <v>335.751</v>
      </c>
      <c r="AI18" s="18"/>
      <c r="AJ18" s="18"/>
      <c r="AK18" s="18"/>
      <c r="AL18" s="18" t="n">
        <v>311.383</v>
      </c>
      <c r="AM18" s="18"/>
      <c r="AN18" s="18" t="n">
        <v>135.536</v>
      </c>
      <c r="AO18" s="18" t="n">
        <v>146.974</v>
      </c>
      <c r="AP18" s="18"/>
      <c r="AQ18" s="18"/>
      <c r="AR18" s="18"/>
      <c r="AS18" s="18"/>
      <c r="AT18" s="18"/>
      <c r="AU18" s="18"/>
    </row>
    <row r="19" customFormat="false" ht="15" hidden="false" customHeight="true" outlineLevel="0" collapsed="false">
      <c r="A19" s="4" t="s">
        <v>237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0.00109428</v>
      </c>
      <c r="G19" s="18" t="n">
        <v>0.00124196</v>
      </c>
      <c r="H19" s="18" t="n">
        <v>0.00101571</v>
      </c>
      <c r="I19" s="18" t="n">
        <v>0.000792769</v>
      </c>
      <c r="J19" s="18" t="n">
        <v>0.000627797</v>
      </c>
      <c r="K19" s="18" t="n">
        <v>0.000421253</v>
      </c>
      <c r="L19" s="18" t="n">
        <v>0.00027301</v>
      </c>
      <c r="M19" s="18" t="n">
        <v>0.000128399</v>
      </c>
      <c r="N19" s="18" t="n">
        <v>1.79308E-005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0.0157778</v>
      </c>
      <c r="U19" s="18" t="n">
        <v>0.0139551</v>
      </c>
      <c r="V19" s="18" t="n">
        <v>0.0153978</v>
      </c>
      <c r="W19" s="18" t="n">
        <v>0.0134006</v>
      </c>
      <c r="X19" s="18" t="n">
        <v>0.0198964</v>
      </c>
      <c r="Y19" s="18" t="n">
        <v>0.0179862</v>
      </c>
      <c r="Z19" s="18" t="n">
        <v>0.0160441</v>
      </c>
      <c r="AA19" s="18" t="n">
        <v>0.337547</v>
      </c>
      <c r="AB19" s="18" t="n">
        <v>0.347958</v>
      </c>
      <c r="AC19" s="18" t="n">
        <v>0.340591</v>
      </c>
      <c r="AD19" s="18" t="n">
        <v>0.333617</v>
      </c>
      <c r="AE19" s="18" t="n">
        <v>0.328431</v>
      </c>
      <c r="AF19" s="18" t="n">
        <v>0.326328</v>
      </c>
      <c r="AG19" s="18" t="n">
        <v>0.289169</v>
      </c>
      <c r="AH19" s="18" t="n">
        <v>0.28703</v>
      </c>
      <c r="AI19" s="18" t="n">
        <v>0.266971</v>
      </c>
      <c r="AJ19" s="18" t="n">
        <v>0.240174</v>
      </c>
      <c r="AK19" s="18" t="n">
        <v>0.122718</v>
      </c>
      <c r="AL19" s="18" t="n">
        <v>0.065524</v>
      </c>
      <c r="AM19" s="18" t="n">
        <v>0.0484196</v>
      </c>
      <c r="AN19" s="18" t="n">
        <v>0.032966</v>
      </c>
      <c r="AO19" s="18" t="n">
        <v>0.0474023</v>
      </c>
      <c r="AP19" s="18" t="n">
        <v>0.0578593</v>
      </c>
      <c r="AQ19" s="18" t="n">
        <v>0.0607012</v>
      </c>
      <c r="AR19" s="18" t="n">
        <v>0.183631</v>
      </c>
      <c r="AS19" s="18" t="n">
        <v>0.183588</v>
      </c>
      <c r="AT19" s="18" t="n">
        <v>0.193658</v>
      </c>
      <c r="AU19" s="18" t="n">
        <v>0.193658</v>
      </c>
    </row>
    <row r="20" customFormat="false" ht="15" hidden="false" customHeight="true" outlineLevel="0" collapsed="false">
      <c r="A20" s="4" t="s">
        <v>238</v>
      </c>
      <c r="B20" s="18"/>
      <c r="C20" s="18"/>
      <c r="D20" s="18"/>
      <c r="E20" s="18"/>
      <c r="F20" s="18" t="n">
        <v>0.057</v>
      </c>
      <c r="G20" s="18" t="n">
        <v>0.054</v>
      </c>
      <c r="H20" s="18"/>
      <c r="I20" s="18"/>
      <c r="J20" s="18" t="n">
        <v>0.602</v>
      </c>
      <c r="K20" s="18" t="n">
        <v>0.004</v>
      </c>
      <c r="L20" s="18"/>
      <c r="M20" s="18" t="n">
        <v>0.004</v>
      </c>
      <c r="N20" s="18" t="n">
        <v>0.004</v>
      </c>
      <c r="O20" s="18"/>
      <c r="P20" s="18"/>
      <c r="Q20" s="18"/>
      <c r="R20" s="18"/>
      <c r="S20" s="18"/>
      <c r="T20" s="18" t="n">
        <v>0.494</v>
      </c>
      <c r="U20" s="18" t="n">
        <v>0.873</v>
      </c>
      <c r="V20" s="18" t="n">
        <v>6.371</v>
      </c>
      <c r="W20" s="18" t="n">
        <v>0.424</v>
      </c>
      <c r="X20" s="18" t="n">
        <v>0.983</v>
      </c>
      <c r="Y20" s="18" t="n">
        <v>0.8</v>
      </c>
      <c r="Z20" s="18" t="n">
        <v>5.542</v>
      </c>
      <c r="AA20" s="18" t="n">
        <v>7.852</v>
      </c>
      <c r="AB20" s="18" t="n">
        <v>145.968</v>
      </c>
      <c r="AC20" s="18" t="n">
        <v>11.21</v>
      </c>
      <c r="AD20" s="18" t="n">
        <v>65.986</v>
      </c>
      <c r="AE20" s="18" t="n">
        <v>8.203</v>
      </c>
      <c r="AF20" s="18" t="n">
        <v>19.847</v>
      </c>
      <c r="AG20" s="18" t="n">
        <v>48.783</v>
      </c>
      <c r="AH20" s="18" t="n">
        <v>9.598</v>
      </c>
      <c r="AI20" s="18"/>
      <c r="AJ20" s="18" t="n">
        <v>4.69</v>
      </c>
      <c r="AK20" s="18" t="n">
        <v>3.309</v>
      </c>
      <c r="AL20" s="18" t="n">
        <v>2.915</v>
      </c>
      <c r="AM20" s="18" t="n">
        <v>3.568</v>
      </c>
      <c r="AN20" s="18" t="n">
        <v>1.482</v>
      </c>
      <c r="AO20" s="18" t="n">
        <v>3.141</v>
      </c>
      <c r="AP20" s="18" t="n">
        <v>9.541</v>
      </c>
      <c r="AQ20" s="18" t="n">
        <v>2.323</v>
      </c>
      <c r="AR20" s="18" t="n">
        <v>39.544</v>
      </c>
      <c r="AS20" s="18" t="n">
        <v>29.658</v>
      </c>
      <c r="AT20" s="18"/>
      <c r="AU20" s="18"/>
    </row>
    <row r="21" customFormat="false" ht="15" hidden="false" customHeight="true" outlineLevel="0" collapsed="false">
      <c r="A21" s="4" t="s">
        <v>239</v>
      </c>
      <c r="B21" s="18"/>
      <c r="C21" s="18"/>
      <c r="D21" s="18"/>
      <c r="E21" s="18"/>
      <c r="F21" s="18" t="n">
        <v>0.025</v>
      </c>
      <c r="G21" s="18" t="n">
        <v>0.122</v>
      </c>
      <c r="H21" s="18"/>
      <c r="I21" s="18"/>
      <c r="J21" s="18"/>
      <c r="K21" s="18" t="n">
        <v>0.098</v>
      </c>
      <c r="L21" s="18" t="n">
        <v>0.005</v>
      </c>
      <c r="M21" s="18" t="n">
        <v>0.026</v>
      </c>
      <c r="N21" s="18"/>
      <c r="O21" s="18"/>
      <c r="P21" s="18"/>
      <c r="Q21" s="18"/>
      <c r="R21" s="18"/>
      <c r="S21" s="18"/>
      <c r="T21" s="18" t="n">
        <v>8.562</v>
      </c>
      <c r="U21" s="18"/>
      <c r="V21" s="18" t="n">
        <v>1.755</v>
      </c>
      <c r="W21" s="18" t="n">
        <v>1.396</v>
      </c>
      <c r="X21" s="18" t="n">
        <v>0.651</v>
      </c>
      <c r="Y21" s="18" t="n">
        <v>0.452</v>
      </c>
      <c r="Z21" s="18" t="n">
        <v>0.715</v>
      </c>
      <c r="AA21" s="18" t="n">
        <v>46.614</v>
      </c>
      <c r="AB21" s="18"/>
      <c r="AC21" s="18" t="n">
        <v>52.081</v>
      </c>
      <c r="AD21" s="18"/>
      <c r="AE21" s="18" t="n">
        <v>25.99</v>
      </c>
      <c r="AF21" s="18" t="n">
        <v>20.286</v>
      </c>
      <c r="AG21" s="18" t="n">
        <v>13.951</v>
      </c>
      <c r="AH21" s="18"/>
      <c r="AI21" s="18"/>
      <c r="AJ21" s="18"/>
      <c r="AK21" s="18"/>
      <c r="AL21" s="18" t="n">
        <v>1.43</v>
      </c>
      <c r="AM21" s="18"/>
      <c r="AN21" s="18" t="n">
        <v>2.064</v>
      </c>
      <c r="AO21" s="18"/>
      <c r="AP21" s="18"/>
      <c r="AQ21" s="18"/>
      <c r="AR21" s="18"/>
      <c r="AS21" s="18"/>
      <c r="AT21" s="18"/>
      <c r="AU21" s="18"/>
    </row>
    <row r="22" customFormat="false" ht="15" hidden="false" customHeight="true" outlineLevel="0" collapsed="false">
      <c r="A22" s="4" t="s">
        <v>240</v>
      </c>
      <c r="B22" s="18" t="n">
        <v>-0.597</v>
      </c>
      <c r="C22" s="18" t="n">
        <v>-0.656</v>
      </c>
      <c r="D22" s="18" t="n">
        <v>-0.63</v>
      </c>
      <c r="E22" s="18" t="n">
        <v>-0.594</v>
      </c>
      <c r="F22" s="18" t="n">
        <v>-0.62</v>
      </c>
      <c r="G22" s="18" t="n">
        <v>-0.629</v>
      </c>
      <c r="H22" s="18" t="n">
        <v>-0.637</v>
      </c>
      <c r="I22" s="18" t="n">
        <v>-0.594</v>
      </c>
      <c r="J22" s="18" t="n">
        <v>-0.559</v>
      </c>
      <c r="K22" s="18" t="n">
        <v>-0.523</v>
      </c>
      <c r="L22" s="18" t="n">
        <v>-0.592</v>
      </c>
      <c r="M22" s="18" t="n">
        <v>-0.585</v>
      </c>
      <c r="N22" s="18" t="n">
        <v>-0.568</v>
      </c>
      <c r="O22" s="18" t="n">
        <v>-0.629</v>
      </c>
      <c r="P22" s="18" t="n">
        <v>-0.661</v>
      </c>
      <c r="Q22" s="18" t="n">
        <v>-0.652</v>
      </c>
      <c r="R22" s="18" t="n">
        <v>-0.646</v>
      </c>
      <c r="S22" s="18" t="n">
        <v>-0.699</v>
      </c>
      <c r="T22" s="18" t="n">
        <v>-0.603</v>
      </c>
      <c r="U22" s="18" t="n">
        <v>-0.578</v>
      </c>
      <c r="V22" s="18" t="n">
        <v>-0.551</v>
      </c>
      <c r="W22" s="18" t="n">
        <v>-0.574</v>
      </c>
      <c r="X22" s="18" t="n">
        <v>-0.583</v>
      </c>
      <c r="Y22" s="18" t="n">
        <v>-0.637</v>
      </c>
      <c r="Z22" s="18" t="n">
        <v>-0.686</v>
      </c>
      <c r="AA22" s="18" t="n">
        <v>0.069</v>
      </c>
      <c r="AB22" s="18" t="n">
        <v>0.189</v>
      </c>
      <c r="AC22" s="18" t="n">
        <v>0.183</v>
      </c>
      <c r="AD22" s="18" t="n">
        <v>0.217</v>
      </c>
      <c r="AE22" s="18" t="n">
        <v>0.189</v>
      </c>
      <c r="AF22" s="18" t="n">
        <v>0.178</v>
      </c>
      <c r="AG22" s="18" t="n">
        <v>0.151</v>
      </c>
      <c r="AH22" s="18" t="n">
        <v>0.19</v>
      </c>
      <c r="AI22" s="18" t="n">
        <v>0.054</v>
      </c>
      <c r="AJ22" s="18" t="n">
        <v>0.088</v>
      </c>
      <c r="AK22" s="18" t="n">
        <v>0.013</v>
      </c>
      <c r="AL22" s="18" t="n">
        <v>-0.047</v>
      </c>
      <c r="AM22" s="18" t="n">
        <v>-0.017</v>
      </c>
      <c r="AN22" s="18" t="n">
        <v>-0.04</v>
      </c>
      <c r="AO22" s="18" t="n">
        <v>-0.022</v>
      </c>
      <c r="AP22" s="18" t="n">
        <v>0.014</v>
      </c>
      <c r="AQ22" s="18" t="n">
        <v>0.026</v>
      </c>
      <c r="AR22" s="18" t="n">
        <v>0.033</v>
      </c>
      <c r="AS22" s="18" t="n">
        <v>0.054</v>
      </c>
      <c r="AT22" s="18" t="n">
        <v>0.057</v>
      </c>
      <c r="AU22" s="18" t="n">
        <v>0.057</v>
      </c>
    </row>
    <row r="23" customFormat="false" ht="15" hidden="false" customHeight="true" outlineLevel="0" collapsed="false">
      <c r="A23" s="4" t="s">
        <v>241</v>
      </c>
      <c r="B23" s="18" t="n">
        <v>-39.541</v>
      </c>
      <c r="C23" s="18" t="n">
        <v>-24.167</v>
      </c>
      <c r="D23" s="18" t="n">
        <v>28.383</v>
      </c>
      <c r="E23" s="18" t="n">
        <v>-24.921</v>
      </c>
      <c r="F23" s="18" t="n">
        <v>-32.132</v>
      </c>
      <c r="G23" s="18" t="n">
        <v>-27.189</v>
      </c>
      <c r="H23" s="18" t="n">
        <v>16.066</v>
      </c>
      <c r="I23" s="18" t="n">
        <v>75.505</v>
      </c>
      <c r="J23" s="18" t="n">
        <v>-536.34</v>
      </c>
      <c r="K23" s="18" t="n">
        <v>-5.565</v>
      </c>
      <c r="L23" s="18" t="n">
        <v>33.487</v>
      </c>
      <c r="M23" s="18" t="n">
        <v>-19.129</v>
      </c>
      <c r="N23" s="18" t="n">
        <v>-134.286</v>
      </c>
      <c r="O23" s="18" t="n">
        <v>-8.696</v>
      </c>
      <c r="P23" s="18" t="n">
        <v>-18.132</v>
      </c>
      <c r="Q23" s="18" t="n">
        <v>-34.165</v>
      </c>
      <c r="R23" s="18" t="n">
        <v>-30.059</v>
      </c>
      <c r="S23" s="18" t="n">
        <v>-44.383</v>
      </c>
      <c r="T23" s="18" t="n">
        <v>-13.844</v>
      </c>
      <c r="U23" s="18" t="n">
        <v>-27.079</v>
      </c>
      <c r="V23" s="18" t="n">
        <v>-178.691</v>
      </c>
      <c r="W23" s="18" t="n">
        <v>-12.146</v>
      </c>
      <c r="X23" s="18" t="n">
        <v>-20.121</v>
      </c>
      <c r="Y23" s="18" t="n">
        <v>-19.854</v>
      </c>
      <c r="Z23" s="18" t="n">
        <v>-155.6</v>
      </c>
      <c r="AA23" s="18" t="n">
        <v>1.482</v>
      </c>
      <c r="AB23" s="18" t="n">
        <v>73.367</v>
      </c>
      <c r="AC23" s="18" t="n">
        <v>5.572</v>
      </c>
      <c r="AD23" s="18" t="n">
        <v>39.711</v>
      </c>
      <c r="AE23" s="18" t="n">
        <v>4.342</v>
      </c>
      <c r="AF23" s="18" t="n">
        <v>9.98</v>
      </c>
      <c r="AG23" s="18" t="n">
        <v>23.179</v>
      </c>
      <c r="AH23" s="18" t="n">
        <v>5.768</v>
      </c>
      <c r="AI23" s="18" t="n">
        <v>-0.263</v>
      </c>
      <c r="AJ23" s="18" t="n">
        <v>1.512</v>
      </c>
      <c r="AK23" s="18" t="n">
        <v>0.307</v>
      </c>
      <c r="AL23" s="18" t="n">
        <v>-1.588</v>
      </c>
      <c r="AM23" s="18" t="n">
        <v>-0.815</v>
      </c>
      <c r="AN23" s="18" t="n">
        <v>-1.061</v>
      </c>
      <c r="AO23" s="18" t="n">
        <v>-1.167</v>
      </c>
      <c r="AP23" s="18" t="n">
        <v>1.964</v>
      </c>
      <c r="AQ23" s="18" t="n">
        <v>0.847</v>
      </c>
      <c r="AR23" s="18" t="n">
        <v>6.858</v>
      </c>
      <c r="AS23" s="18" t="n">
        <v>8.527</v>
      </c>
      <c r="AT23" s="18" t="n">
        <v>-1.117</v>
      </c>
      <c r="AU23" s="18" t="n">
        <v>-1.74</v>
      </c>
    </row>
    <row r="24" customFormat="false" ht="15" hidden="false" customHeight="true" outlineLevel="0" collapsed="false">
      <c r="A24" s="4" t="s">
        <v>242</v>
      </c>
      <c r="B24" s="18"/>
      <c r="C24" s="18" t="n">
        <v>-11.889</v>
      </c>
      <c r="D24" s="18" t="n">
        <v>17.811</v>
      </c>
      <c r="E24" s="18" t="n">
        <v>15.256</v>
      </c>
      <c r="F24" s="18" t="n">
        <v>-13.964</v>
      </c>
      <c r="G24" s="18" t="n">
        <v>-61.751</v>
      </c>
      <c r="H24" s="18" t="n">
        <v>57.714</v>
      </c>
      <c r="I24" s="18" t="n">
        <v>29.903</v>
      </c>
      <c r="J24" s="18" t="n">
        <v>17.309</v>
      </c>
      <c r="K24" s="18" t="n">
        <v>-121.112</v>
      </c>
      <c r="L24" s="18" t="n">
        <v>-9.958</v>
      </c>
      <c r="M24" s="18" t="n">
        <v>-118.343</v>
      </c>
      <c r="N24" s="18" t="n">
        <v>528.19</v>
      </c>
      <c r="O24" s="18" t="n">
        <v>-7.114</v>
      </c>
      <c r="P24" s="18" t="n">
        <v>-80.014</v>
      </c>
      <c r="Q24" s="18" t="n">
        <v>56.922</v>
      </c>
      <c r="R24" s="18" t="n">
        <v>-187.498</v>
      </c>
      <c r="S24" s="18" t="n">
        <v>-17.996</v>
      </c>
      <c r="T24" s="18" t="n">
        <v>-239.769</v>
      </c>
      <c r="U24" s="18" t="n">
        <v>1994.676</v>
      </c>
      <c r="V24" s="18" t="n">
        <v>-49.219</v>
      </c>
      <c r="W24" s="18" t="n">
        <v>-39.978</v>
      </c>
      <c r="X24" s="18" t="n">
        <v>-13.32</v>
      </c>
      <c r="Y24" s="18" t="n">
        <v>-11.213</v>
      </c>
      <c r="Z24" s="18" t="n">
        <v>-20.069</v>
      </c>
      <c r="AA24" s="18" t="n">
        <v>8.8</v>
      </c>
      <c r="AB24" s="18" t="n">
        <v>-5.453</v>
      </c>
      <c r="AC24" s="18" t="n">
        <v>25.888</v>
      </c>
      <c r="AD24" s="18" t="n">
        <v>-5.505</v>
      </c>
      <c r="AE24" s="18" t="n">
        <v>13.756</v>
      </c>
      <c r="AF24" s="18" t="n">
        <v>10.2</v>
      </c>
      <c r="AG24" s="18" t="n">
        <v>6.629</v>
      </c>
      <c r="AH24" s="18" t="n">
        <v>-4.595</v>
      </c>
      <c r="AI24" s="18" t="n">
        <v>-13.917</v>
      </c>
      <c r="AJ24" s="18" t="n">
        <v>-2.435</v>
      </c>
      <c r="AK24" s="18" t="n">
        <v>-0.688</v>
      </c>
      <c r="AL24" s="18" t="n">
        <v>-0.779</v>
      </c>
      <c r="AM24" s="18" t="n">
        <v>0.656</v>
      </c>
      <c r="AN24" s="18" t="n">
        <v>-1.477</v>
      </c>
      <c r="AO24" s="18" t="n">
        <v>2.157</v>
      </c>
      <c r="AP24" s="18" t="n">
        <v>-0.412</v>
      </c>
      <c r="AQ24" s="18" t="n">
        <v>-2.666</v>
      </c>
      <c r="AR24" s="18" t="n">
        <v>-0.983</v>
      </c>
      <c r="AS24" s="18" t="n">
        <v>-4.248</v>
      </c>
      <c r="AT24" s="18" t="n">
        <v>-13.493</v>
      </c>
      <c r="AU24" s="18" t="n">
        <v>-1.044</v>
      </c>
    </row>
    <row r="25" customFormat="false" ht="15" hidden="false" customHeight="true" outlineLevel="0" collapsed="false">
      <c r="A25" s="4" t="s">
        <v>243</v>
      </c>
      <c r="B25" s="18" t="n">
        <v>0.176978</v>
      </c>
      <c r="C25" s="18" t="n">
        <v>0.217555</v>
      </c>
      <c r="D25" s="18" t="n">
        <v>0.122758</v>
      </c>
      <c r="E25" s="18" t="n">
        <v>0.170332</v>
      </c>
      <c r="F25" s="18" t="n">
        <v>0.174132</v>
      </c>
      <c r="G25" s="18" t="n">
        <v>0.209762</v>
      </c>
      <c r="H25" s="18" t="n">
        <v>0.0937309</v>
      </c>
      <c r="I25" s="18" t="n">
        <v>0.130184</v>
      </c>
      <c r="J25" s="18" t="n">
        <v>0.136851</v>
      </c>
      <c r="K25" s="18" t="n">
        <v>0.297396</v>
      </c>
      <c r="L25" s="18" t="n">
        <v>0.0848134</v>
      </c>
      <c r="M25" s="18" t="n">
        <v>0.160655</v>
      </c>
      <c r="N25" s="18" t="n">
        <v>0.133202</v>
      </c>
      <c r="O25" s="18" t="n">
        <v>0.250859</v>
      </c>
      <c r="P25" s="18" t="n">
        <v>0.173217</v>
      </c>
      <c r="Q25" s="18" t="n">
        <v>0.159372</v>
      </c>
      <c r="R25" s="18" t="n">
        <v>0.161668</v>
      </c>
      <c r="S25" s="18" t="n">
        <v>0.179036</v>
      </c>
      <c r="T25" s="18" t="n">
        <v>0.171263</v>
      </c>
      <c r="U25" s="18" t="n">
        <v>0.161525</v>
      </c>
      <c r="V25" s="18" t="n">
        <v>0.116991</v>
      </c>
      <c r="W25" s="18" t="n">
        <v>0.247254</v>
      </c>
      <c r="X25" s="18" t="n">
        <v>0.157227</v>
      </c>
      <c r="Y25" s="18" t="n">
        <v>0.163647</v>
      </c>
      <c r="Z25" s="18" t="n">
        <v>0.137004</v>
      </c>
      <c r="AA25" s="18" t="n">
        <v>0.179733</v>
      </c>
      <c r="AB25" s="18" t="n">
        <v>0.135913</v>
      </c>
      <c r="AC25" s="18" t="n">
        <v>0.161246</v>
      </c>
      <c r="AD25" s="18" t="n">
        <v>0.120425</v>
      </c>
      <c r="AE25" s="18" t="n">
        <v>0.143938</v>
      </c>
      <c r="AF25" s="18" t="n">
        <v>0.120226</v>
      </c>
      <c r="AG25" s="18" t="n">
        <v>0.122823</v>
      </c>
      <c r="AH25" s="18" t="n">
        <v>0.147164</v>
      </c>
      <c r="AI25" s="18" t="n">
        <v>0.213991</v>
      </c>
      <c r="AJ25" s="18" t="n">
        <v>0.176869</v>
      </c>
      <c r="AK25" s="18" t="n">
        <v>0.190495</v>
      </c>
      <c r="AL25" s="18" t="n">
        <v>0.196243</v>
      </c>
      <c r="AM25" s="18" t="n">
        <v>0.214057</v>
      </c>
      <c r="AN25" s="18" t="n">
        <v>0.207627</v>
      </c>
      <c r="AO25" s="18" t="n">
        <v>0.186059</v>
      </c>
      <c r="AP25" s="18" t="n">
        <v>0.165285</v>
      </c>
      <c r="AQ25" s="18" t="n">
        <v>0.257486</v>
      </c>
      <c r="AR25" s="18" t="n">
        <v>0.137298</v>
      </c>
      <c r="AS25" s="18" t="n">
        <v>0.141946</v>
      </c>
      <c r="AT25" s="18" t="n">
        <v>0.127268</v>
      </c>
      <c r="AU25" s="18" t="n">
        <v>0.127268</v>
      </c>
    </row>
    <row r="26" customFormat="false" ht="15" hidden="false" customHeight="true" outlineLevel="0" collapsed="false">
      <c r="A26" s="4" t="s">
        <v>244</v>
      </c>
      <c r="B26" s="18" t="n">
        <v>0.84846</v>
      </c>
      <c r="C26" s="18" t="n">
        <v>1.04331</v>
      </c>
      <c r="D26" s="18" t="n">
        <v>0.706427</v>
      </c>
      <c r="E26" s="18" t="n">
        <v>0.686817</v>
      </c>
      <c r="F26" s="18" t="n">
        <v>0.859681</v>
      </c>
      <c r="G26" s="18" t="n">
        <v>1.21808</v>
      </c>
      <c r="H26" s="18" t="n">
        <v>0.671052</v>
      </c>
      <c r="I26" s="18" t="n">
        <v>0.63184</v>
      </c>
      <c r="J26" s="18" t="n">
        <v>0.58681</v>
      </c>
      <c r="K26" s="18" t="n">
        <v>1.70209</v>
      </c>
      <c r="L26" s="18" t="n">
        <v>0.442001</v>
      </c>
      <c r="M26" s="18" t="n">
        <v>0.543538</v>
      </c>
      <c r="N26" s="18" t="n">
        <v>0.497944</v>
      </c>
      <c r="O26" s="18" t="n">
        <v>1.60941</v>
      </c>
      <c r="P26" s="18" t="n">
        <v>0.795617</v>
      </c>
      <c r="Q26" s="18" t="n">
        <v>0.730012</v>
      </c>
      <c r="R26" s="18" t="n">
        <v>0.703647</v>
      </c>
      <c r="S26" s="18" t="n">
        <v>1.11295</v>
      </c>
      <c r="T26" s="18" t="n">
        <v>0.925928</v>
      </c>
      <c r="U26" s="18" t="n">
        <v>0.973145</v>
      </c>
      <c r="V26" s="18" t="n">
        <v>0.664647</v>
      </c>
      <c r="W26" s="18" t="n">
        <v>1.64784</v>
      </c>
      <c r="X26" s="18" t="n">
        <v>1.02171</v>
      </c>
      <c r="Y26" s="18" t="n">
        <v>0.9912</v>
      </c>
      <c r="Z26" s="18" t="n">
        <v>0.847979</v>
      </c>
      <c r="AA26" s="18" t="n">
        <v>1.30328</v>
      </c>
      <c r="AB26" s="18" t="n">
        <v>1.10883</v>
      </c>
      <c r="AC26" s="18" t="n">
        <v>1.18982</v>
      </c>
      <c r="AD26" s="18" t="n">
        <v>0.962122</v>
      </c>
      <c r="AE26" s="18" t="n">
        <v>1.03528</v>
      </c>
      <c r="AF26" s="18" t="n">
        <v>0.815481</v>
      </c>
      <c r="AG26" s="18" t="n">
        <v>0.893791</v>
      </c>
      <c r="AH26" s="18" t="n">
        <v>0.824697</v>
      </c>
      <c r="AI26" s="18" t="n">
        <v>1.02545</v>
      </c>
      <c r="AJ26" s="18" t="n">
        <v>0.632754</v>
      </c>
      <c r="AK26" s="18" t="n">
        <v>0.723418</v>
      </c>
      <c r="AL26" s="18" t="n">
        <v>0.830353</v>
      </c>
      <c r="AM26" s="18" t="n">
        <v>0.83981</v>
      </c>
      <c r="AN26" s="18" t="n">
        <v>0.676726</v>
      </c>
      <c r="AO26" s="18" t="n">
        <v>0.714355</v>
      </c>
      <c r="AP26" s="18" t="n">
        <v>0.675188</v>
      </c>
      <c r="AQ26" s="18" t="n">
        <v>1.18752</v>
      </c>
      <c r="AR26" s="18" t="n">
        <v>1.90887</v>
      </c>
      <c r="AS26" s="18" t="n">
        <v>1.84704</v>
      </c>
      <c r="AT26" s="18" t="n">
        <v>1.3829</v>
      </c>
      <c r="AU26" s="18" t="n">
        <v>4.34002</v>
      </c>
    </row>
    <row r="27" customFormat="false" ht="15" hidden="false" customHeight="true" outlineLevel="0" collapsed="false">
      <c r="A27" s="4" t="s">
        <v>245</v>
      </c>
      <c r="B27" s="18" t="n">
        <v>5.72004</v>
      </c>
      <c r="C27" s="18" t="n">
        <v>5.98596</v>
      </c>
      <c r="D27" s="18" t="n">
        <v>7.13421</v>
      </c>
      <c r="E27" s="18" t="n">
        <v>8.24581</v>
      </c>
      <c r="F27" s="18" t="n">
        <v>8.20891</v>
      </c>
      <c r="G27" s="18" t="n">
        <v>6.53005</v>
      </c>
      <c r="H27" s="18" t="n">
        <v>7.62197</v>
      </c>
      <c r="I27" s="18" t="n">
        <v>6.3466</v>
      </c>
      <c r="J27" s="18" t="n">
        <v>6.11868</v>
      </c>
      <c r="K27" s="18" t="n">
        <v>5.88215</v>
      </c>
      <c r="L27" s="18" t="n">
        <v>7.07595</v>
      </c>
      <c r="M27" s="18" t="n">
        <v>7.3039</v>
      </c>
      <c r="N27" s="18" t="n">
        <v>6.72088</v>
      </c>
      <c r="O27" s="18" t="n">
        <v>5.32874</v>
      </c>
      <c r="P27" s="18" t="n">
        <v>8.90172</v>
      </c>
      <c r="Q27" s="18" t="n">
        <v>9.37135</v>
      </c>
      <c r="R27" s="18" t="n">
        <v>9.09108</v>
      </c>
      <c r="S27" s="18" t="n">
        <v>9.07799</v>
      </c>
      <c r="T27" s="18" t="n">
        <v>9.07922</v>
      </c>
      <c r="U27" s="18" t="n">
        <v>8.82628</v>
      </c>
      <c r="V27" s="18" t="n">
        <v>6.37187</v>
      </c>
      <c r="W27" s="18" t="n">
        <v>6.75319</v>
      </c>
      <c r="X27" s="18" t="n">
        <v>9.39751</v>
      </c>
      <c r="Y27" s="18" t="n">
        <v>8.38681</v>
      </c>
      <c r="Z27" s="18" t="n">
        <v>8.20886</v>
      </c>
      <c r="AA27" s="18" t="n">
        <v>3.27485</v>
      </c>
      <c r="AB27" s="18" t="n">
        <v>2.96119</v>
      </c>
      <c r="AC27" s="18" t="n">
        <v>2.53048</v>
      </c>
      <c r="AD27" s="18" t="n">
        <v>2.58598</v>
      </c>
      <c r="AE27" s="18" t="n">
        <v>2.62657</v>
      </c>
      <c r="AF27" s="18" t="n">
        <v>2.57934</v>
      </c>
      <c r="AG27" s="18" t="n">
        <v>2.17168</v>
      </c>
      <c r="AH27" s="18" t="n">
        <v>2.06565</v>
      </c>
      <c r="AI27" s="18" t="n">
        <v>2.68799</v>
      </c>
      <c r="AJ27" s="18" t="n">
        <v>2.72736</v>
      </c>
      <c r="AK27" s="18" t="n">
        <v>2.89637</v>
      </c>
      <c r="AL27" s="18" t="n">
        <v>2.87841</v>
      </c>
      <c r="AM27" s="18" t="n">
        <v>2.36805</v>
      </c>
      <c r="AN27" s="18" t="n">
        <v>2.86657</v>
      </c>
      <c r="AO27" s="18" t="n">
        <v>3.10968</v>
      </c>
      <c r="AP27" s="18" t="n">
        <v>2.77626</v>
      </c>
      <c r="AQ27" s="18" t="n">
        <v>2.51415</v>
      </c>
      <c r="AR27" s="18" t="n">
        <v>4.90294</v>
      </c>
      <c r="AS27" s="18" t="n">
        <v>4.06768</v>
      </c>
      <c r="AT27" s="18" t="n">
        <v>4.2569</v>
      </c>
      <c r="AU27" s="18" t="n">
        <v>4.2569</v>
      </c>
    </row>
    <row r="28" customFormat="false" ht="15" hidden="false" customHeight="true" outlineLevel="0" collapsed="false">
      <c r="A28" s="4" t="s">
        <v>246</v>
      </c>
      <c r="B28" s="18" t="n">
        <v>7.09794</v>
      </c>
      <c r="C28" s="18" t="n">
        <v>7.04038</v>
      </c>
      <c r="D28" s="18" t="n">
        <v>8.74172</v>
      </c>
      <c r="E28" s="18" t="n">
        <v>10.1693</v>
      </c>
      <c r="F28" s="18" t="n">
        <v>10.0283</v>
      </c>
      <c r="G28" s="18" t="n">
        <v>7.42844</v>
      </c>
      <c r="H28" s="18" t="n">
        <v>9.09784</v>
      </c>
      <c r="I28" s="18" t="n">
        <v>7.96668</v>
      </c>
      <c r="J28" s="18" t="n">
        <v>8.13706</v>
      </c>
      <c r="K28" s="18" t="n">
        <v>7.3671</v>
      </c>
      <c r="L28" s="18" t="n">
        <v>9.20482</v>
      </c>
      <c r="M28" s="18" t="n">
        <v>9.44953</v>
      </c>
      <c r="N28" s="18" t="n">
        <v>8.76199</v>
      </c>
      <c r="O28" s="18" t="n">
        <v>6.42712</v>
      </c>
      <c r="P28" s="18" t="n">
        <v>10.0658</v>
      </c>
      <c r="Q28" s="18" t="n">
        <v>10.6838</v>
      </c>
      <c r="R28" s="18" t="n">
        <v>10.4551</v>
      </c>
      <c r="S28" s="18" t="n">
        <v>10.4665</v>
      </c>
      <c r="T28" s="18" t="n">
        <v>10.5625</v>
      </c>
      <c r="U28" s="18" t="n">
        <v>10.184</v>
      </c>
      <c r="V28" s="18" t="n">
        <v>7.56224</v>
      </c>
      <c r="W28" s="18" t="n">
        <v>7.52658</v>
      </c>
      <c r="X28" s="18" t="n">
        <v>10.5086</v>
      </c>
      <c r="Y28" s="18" t="n">
        <v>9.49173</v>
      </c>
      <c r="Z28" s="18" t="n">
        <v>9.29205</v>
      </c>
      <c r="AA28" s="18" t="n">
        <v>4.17568</v>
      </c>
      <c r="AB28" s="18" t="n">
        <v>4.17273</v>
      </c>
      <c r="AC28" s="18" t="n">
        <v>3.58948</v>
      </c>
      <c r="AD28" s="18" t="n">
        <v>4.05247</v>
      </c>
      <c r="AE28" s="18" t="n">
        <v>3.63848</v>
      </c>
      <c r="AF28" s="18" t="n">
        <v>3.72635</v>
      </c>
      <c r="AG28" s="18" t="n">
        <v>3.44264</v>
      </c>
      <c r="AH28" s="18" t="n">
        <v>3.35817</v>
      </c>
      <c r="AI28" s="18" t="n">
        <v>3.93131</v>
      </c>
      <c r="AJ28" s="18" t="n">
        <v>4.49382</v>
      </c>
      <c r="AK28" s="18" t="n">
        <v>4.79438</v>
      </c>
      <c r="AL28" s="18" t="n">
        <v>4.65625</v>
      </c>
      <c r="AM28" s="18" t="n">
        <v>3.5587</v>
      </c>
      <c r="AN28" s="18" t="n">
        <v>4.26342</v>
      </c>
      <c r="AO28" s="18" t="n">
        <v>4.61285</v>
      </c>
      <c r="AP28" s="18" t="n">
        <v>4.21918</v>
      </c>
      <c r="AQ28" s="18" t="n">
        <v>3.52296</v>
      </c>
      <c r="AR28" s="18" t="n">
        <v>5.96275</v>
      </c>
      <c r="AS28" s="18" t="n">
        <v>5.08024</v>
      </c>
      <c r="AT28" s="18" t="n">
        <v>5.50967</v>
      </c>
      <c r="AU28" s="18" t="n">
        <v>5.50967</v>
      </c>
    </row>
    <row r="29" customFormat="false" ht="15" hidden="false" customHeight="true" outlineLevel="0" collapsed="false">
      <c r="A29" s="4" t="s">
        <v>247</v>
      </c>
      <c r="B29" s="19" t="n">
        <v>0.00682158</v>
      </c>
      <c r="C29" s="19" t="n">
        <v>0.0202916</v>
      </c>
      <c r="D29" s="19" t="n">
        <v>-0.0202285</v>
      </c>
      <c r="E29" s="19" t="n">
        <v>0.0127449</v>
      </c>
      <c r="F29" s="19" t="n">
        <v>0.0177279</v>
      </c>
      <c r="G29" s="19" t="n">
        <v>0.0151006</v>
      </c>
      <c r="H29" s="19" t="n">
        <v>-0.0334258</v>
      </c>
      <c r="I29" s="19" t="n">
        <v>-0.0120079</v>
      </c>
      <c r="J29" s="19" t="n">
        <v>-0.00622099</v>
      </c>
      <c r="K29" s="19" t="n">
        <v>0.0818778</v>
      </c>
      <c r="L29" s="19" t="n">
        <v>-0.0119986</v>
      </c>
      <c r="M29" s="19" t="n">
        <v>0.020473</v>
      </c>
      <c r="N29" s="19" t="n">
        <v>-0.00177866</v>
      </c>
      <c r="O29" s="19" t="n">
        <v>0.0481113</v>
      </c>
      <c r="P29" s="19" t="n">
        <v>0.0496897</v>
      </c>
      <c r="Q29" s="19" t="n">
        <v>0.0168909</v>
      </c>
      <c r="R29" s="19" t="n">
        <v>0.019888</v>
      </c>
      <c r="S29" s="19" t="n">
        <v>0.0140381</v>
      </c>
      <c r="T29" s="19" t="n">
        <v>0.0372301</v>
      </c>
      <c r="U29" s="19" t="n">
        <v>0.0160615</v>
      </c>
      <c r="V29" s="19" t="n">
        <v>-0.00217275</v>
      </c>
      <c r="W29" s="19" t="n">
        <v>0.0365233</v>
      </c>
      <c r="X29" s="19" t="n">
        <v>0.0200581</v>
      </c>
      <c r="Y29" s="19" t="n">
        <v>0.00408596</v>
      </c>
      <c r="Z29" s="19" t="n">
        <v>0.000620142</v>
      </c>
      <c r="AA29" s="19" t="n">
        <v>0.0195578</v>
      </c>
      <c r="AB29" s="19" t="n">
        <v>-0.0248934</v>
      </c>
      <c r="AC29" s="19" t="n">
        <v>0.00454771</v>
      </c>
      <c r="AD29" s="19" t="n">
        <v>-6.20626E-005</v>
      </c>
      <c r="AE29" s="19" t="n">
        <v>0.00117183</v>
      </c>
      <c r="AF29" s="19" t="n">
        <v>-0.0139993</v>
      </c>
      <c r="AG29" s="19" t="n">
        <v>-0.0109777</v>
      </c>
      <c r="AH29" s="19" t="n">
        <v>-0.00110437</v>
      </c>
      <c r="AI29" s="19" t="n">
        <v>-0.276873</v>
      </c>
      <c r="AJ29" s="19" t="n">
        <v>0.0372771</v>
      </c>
      <c r="AK29" s="19" t="n">
        <v>0.0254637</v>
      </c>
      <c r="AL29" s="19" t="n">
        <v>0.0193587</v>
      </c>
      <c r="AM29" s="19" t="n">
        <v>0.00880241</v>
      </c>
      <c r="AN29" s="19" t="n">
        <v>0.0298095</v>
      </c>
      <c r="AO29" s="19" t="n">
        <v>0.00913126</v>
      </c>
      <c r="AP29" s="19" t="n">
        <v>-0.00209553</v>
      </c>
      <c r="AQ29" s="19" t="n">
        <v>0.0194986</v>
      </c>
      <c r="AR29" s="19" t="n">
        <v>-0.0255547</v>
      </c>
      <c r="AS29" s="19" t="n">
        <v>-0.00648273</v>
      </c>
      <c r="AT29" s="19" t="n">
        <v>-0.0966406</v>
      </c>
      <c r="AU29" s="19" t="n">
        <v>-0.0966406</v>
      </c>
    </row>
    <row r="30" customFormat="false" ht="15" hidden="false" customHeight="true" outlineLevel="0" collapsed="false">
      <c r="A30" s="4" t="s">
        <v>248</v>
      </c>
      <c r="B30" s="19" t="n">
        <v>0.00608692</v>
      </c>
      <c r="C30" s="19" t="n">
        <v>0.0190198</v>
      </c>
      <c r="D30" s="19" t="n">
        <v>-0.0147024</v>
      </c>
      <c r="E30" s="19" t="n">
        <v>0.0115014</v>
      </c>
      <c r="F30" s="19" t="n">
        <v>0.0159947</v>
      </c>
      <c r="G30" s="19" t="n">
        <v>0.0124445</v>
      </c>
      <c r="H30" s="19" t="n">
        <v>-0.0302748</v>
      </c>
      <c r="I30" s="19" t="n">
        <v>-0.0115231</v>
      </c>
      <c r="J30" s="19" t="n">
        <v>-0.00740767</v>
      </c>
      <c r="K30" s="19" t="n">
        <v>0.0701893</v>
      </c>
      <c r="L30" s="19" t="n">
        <v>-0.0115806</v>
      </c>
      <c r="M30" s="19" t="n">
        <v>0.0177964</v>
      </c>
      <c r="N30" s="19" t="n">
        <v>-0.00142869</v>
      </c>
      <c r="O30" s="19" t="n">
        <v>0.0420275</v>
      </c>
      <c r="P30" s="19" t="n">
        <v>0.0279786</v>
      </c>
      <c r="Q30" s="19" t="n">
        <v>0.0123797</v>
      </c>
      <c r="R30" s="19" t="n">
        <v>0.0151283</v>
      </c>
      <c r="S30" s="19" t="n">
        <v>0.0106158</v>
      </c>
      <c r="T30" s="19" t="n">
        <v>0.0331041</v>
      </c>
      <c r="U30" s="19" t="n">
        <v>0.0136113</v>
      </c>
      <c r="V30" s="19" t="n">
        <v>-0.00201977</v>
      </c>
      <c r="W30" s="19" t="n">
        <v>0.0338902</v>
      </c>
      <c r="X30" s="19" t="n">
        <v>0.0197369</v>
      </c>
      <c r="Y30" s="19" t="n">
        <v>0.0111451</v>
      </c>
      <c r="Z30" s="19" t="n">
        <v>0.000577475</v>
      </c>
      <c r="AA30" s="19" t="n">
        <v>0.0294719</v>
      </c>
      <c r="AB30" s="19" t="n">
        <v>-0.0152501</v>
      </c>
      <c r="AC30" s="19" t="n">
        <v>-0.00162174</v>
      </c>
      <c r="AD30" s="19" t="n">
        <v>-4.2827E-005</v>
      </c>
      <c r="AE30" s="19" t="n">
        <v>0.00062296</v>
      </c>
      <c r="AF30" s="19" t="n">
        <v>-0.00526185</v>
      </c>
      <c r="AG30" s="19" t="n">
        <v>-0.00611289</v>
      </c>
      <c r="AH30" s="19" t="n">
        <v>0.00282538</v>
      </c>
      <c r="AI30" s="19" t="n">
        <v>-0.183395</v>
      </c>
      <c r="AJ30" s="19" t="n">
        <v>0.0288779</v>
      </c>
      <c r="AK30" s="19" t="n">
        <v>0.0249365</v>
      </c>
      <c r="AL30" s="19" t="n">
        <v>0.0138231</v>
      </c>
      <c r="AM30" s="19" t="n">
        <v>0.00924053</v>
      </c>
      <c r="AN30" s="19" t="n">
        <v>0.0236105</v>
      </c>
      <c r="AO30" s="19" t="n">
        <v>0.0071256</v>
      </c>
      <c r="AP30" s="19" t="n">
        <v>-0.00226311</v>
      </c>
      <c r="AQ30" s="19" t="n">
        <v>0.0127639</v>
      </c>
      <c r="AR30" s="19" t="n">
        <v>-0.0170737</v>
      </c>
      <c r="AS30" s="19" t="n">
        <v>-0.00800127</v>
      </c>
      <c r="AT30" s="19" t="n">
        <v>-0.0769074</v>
      </c>
      <c r="AU30" s="19" t="n">
        <v>-0.0769074</v>
      </c>
    </row>
    <row r="31" customFormat="false" ht="15" hidden="false" customHeight="true" outlineLevel="0" collapsed="false">
      <c r="A31" s="4" t="s">
        <v>249</v>
      </c>
      <c r="B31" s="19" t="n">
        <v>0.0153023</v>
      </c>
      <c r="C31" s="19" t="n">
        <v>0.0555709</v>
      </c>
      <c r="D31" s="19" t="n">
        <v>-0.0395652</v>
      </c>
      <c r="E31" s="19" t="n">
        <v>0.0287677</v>
      </c>
      <c r="F31" s="19" t="n">
        <v>0.0414296</v>
      </c>
      <c r="G31" s="19" t="n">
        <v>0.0350016</v>
      </c>
      <c r="H31" s="19" t="n">
        <v>-0.0814136</v>
      </c>
      <c r="I31" s="19" t="n">
        <v>-0.0289868</v>
      </c>
      <c r="J31" s="19" t="n">
        <v>-0.0183193</v>
      </c>
      <c r="K31" s="19" t="n">
        <v>0.165742</v>
      </c>
      <c r="L31" s="19" t="n">
        <v>-0.0297118</v>
      </c>
      <c r="M31" s="19" t="n">
        <v>0.0442573</v>
      </c>
      <c r="N31" s="19" t="n">
        <v>-0.00333907</v>
      </c>
      <c r="O31" s="19" t="n">
        <v>0.0991902</v>
      </c>
      <c r="P31" s="19" t="n">
        <v>0.0744652</v>
      </c>
      <c r="Q31" s="19" t="n">
        <v>0.0326905</v>
      </c>
      <c r="R31" s="19" t="n">
        <v>0.0390009</v>
      </c>
      <c r="S31" s="19" t="n">
        <v>0.0316722</v>
      </c>
      <c r="T31" s="19" t="n">
        <v>0.0888795</v>
      </c>
      <c r="U31" s="19" t="n">
        <v>0.0351351</v>
      </c>
      <c r="V31" s="19" t="n">
        <v>-0.00501687</v>
      </c>
      <c r="W31" s="19" t="n">
        <v>0.0951356</v>
      </c>
      <c r="X31" s="19" t="n">
        <v>0.0493157</v>
      </c>
      <c r="Y31" s="19" t="n">
        <v>0.02897</v>
      </c>
      <c r="Z31" s="19" t="n">
        <v>0.00154735</v>
      </c>
      <c r="AA31" s="19" t="n">
        <v>0.0477881</v>
      </c>
      <c r="AB31" s="19" t="n">
        <v>-0.022817</v>
      </c>
      <c r="AC31" s="19" t="n">
        <v>-0.00250711</v>
      </c>
      <c r="AD31" s="19" t="n">
        <v>-6.64405E-005</v>
      </c>
      <c r="AE31" s="19" t="n">
        <v>0.000784907</v>
      </c>
      <c r="AF31" s="19" t="n">
        <v>-0.00629042</v>
      </c>
      <c r="AG31" s="19" t="n">
        <v>-0.00735573</v>
      </c>
      <c r="AH31" s="19" t="n">
        <v>0.00328312</v>
      </c>
      <c r="AI31" s="19" t="n">
        <v>-0.229027</v>
      </c>
      <c r="AJ31" s="19" t="n">
        <v>0.0348877</v>
      </c>
      <c r="AK31" s="19" t="n">
        <v>0.0297882</v>
      </c>
      <c r="AL31" s="19" t="n">
        <v>0.0163608</v>
      </c>
      <c r="AM31" s="19" t="n">
        <v>0.0115324</v>
      </c>
      <c r="AN31" s="19" t="n">
        <v>0.0281942</v>
      </c>
      <c r="AO31" s="19" t="n">
        <v>0.00835271</v>
      </c>
      <c r="AP31" s="19" t="n">
        <v>-0.00264889</v>
      </c>
      <c r="AQ31" s="19" t="n">
        <v>0.0150414</v>
      </c>
      <c r="AR31" s="19" t="n">
        <v>-0.0200952</v>
      </c>
      <c r="AS31" s="19" t="n">
        <v>-0.00929803</v>
      </c>
      <c r="AT31" s="19" t="n">
        <v>-0.0895428</v>
      </c>
      <c r="AU31" s="19" t="n">
        <v>-0.0895428</v>
      </c>
    </row>
    <row r="32" customFormat="false" ht="15" hidden="false" customHeight="true" outlineLevel="0" collapsed="false">
      <c r="A32" s="4" t="s">
        <v>250</v>
      </c>
      <c r="B32" s="19" t="n">
        <v>0.015017</v>
      </c>
      <c r="C32" s="19" t="n">
        <v>0.0212955</v>
      </c>
      <c r="D32" s="19" t="n">
        <v>-0.0261304</v>
      </c>
      <c r="E32" s="19" t="n">
        <v>0.0198116</v>
      </c>
      <c r="F32" s="19" t="n">
        <v>0.0144832</v>
      </c>
      <c r="G32" s="19" t="n">
        <v>0.0191065</v>
      </c>
      <c r="H32" s="19" t="n">
        <v>-0.044462</v>
      </c>
      <c r="I32" s="19" t="n">
        <v>-0.0128396</v>
      </c>
      <c r="J32" s="19" t="n">
        <v>-0.0040362</v>
      </c>
      <c r="K32" s="19" t="n">
        <v>0.0908795</v>
      </c>
      <c r="L32" s="19" t="n">
        <v>-0.0220655</v>
      </c>
      <c r="M32" s="19" t="n">
        <v>0.0283889</v>
      </c>
      <c r="N32" s="19" t="n">
        <v>0.000428694</v>
      </c>
      <c r="O32" s="19" t="n">
        <v>0.0700381</v>
      </c>
      <c r="P32" s="19" t="n">
        <v>0.0345177</v>
      </c>
      <c r="Q32" s="19" t="n">
        <v>0.0158476</v>
      </c>
      <c r="R32" s="19" t="n">
        <v>0.0184608</v>
      </c>
      <c r="S32" s="19" t="n">
        <v>0.0117513</v>
      </c>
      <c r="T32" s="19" t="n">
        <v>0.0405871</v>
      </c>
      <c r="U32" s="19" t="n">
        <v>0.0170114</v>
      </c>
      <c r="V32" s="19" t="n">
        <v>-0.00231852</v>
      </c>
      <c r="W32" s="19" t="n">
        <v>0.0433716</v>
      </c>
      <c r="X32" s="19" t="n">
        <v>0.0240418</v>
      </c>
      <c r="Y32" s="19" t="n">
        <v>0.026876</v>
      </c>
      <c r="Z32" s="19" t="n">
        <v>-0.00124242</v>
      </c>
      <c r="AA32" s="19" t="n">
        <v>0.0263037</v>
      </c>
      <c r="AB32" s="19" t="n">
        <v>-0.0178475</v>
      </c>
      <c r="AC32" s="19" t="n">
        <v>0.00491605</v>
      </c>
      <c r="AD32" s="19" t="n">
        <v>-0.0208865</v>
      </c>
      <c r="AE32" s="19" t="n">
        <v>0.0158194</v>
      </c>
      <c r="AF32" s="19" t="n">
        <v>-0.0040254</v>
      </c>
      <c r="AG32" s="19" t="n">
        <v>-0.0177625</v>
      </c>
      <c r="AH32" s="19" t="n">
        <v>0.00567859</v>
      </c>
      <c r="AI32" s="19" t="n">
        <v>-0.21857</v>
      </c>
      <c r="AJ32" s="19" t="n">
        <v>0.0347014</v>
      </c>
      <c r="AK32" s="19" t="n">
        <v>0.0298809</v>
      </c>
      <c r="AL32" s="19" t="n">
        <v>0.017089</v>
      </c>
      <c r="AM32" s="19" t="n">
        <v>0.00755293</v>
      </c>
      <c r="AN32" s="19" t="n">
        <v>0.0288115</v>
      </c>
      <c r="AO32" s="19" t="n">
        <v>0.00776344</v>
      </c>
      <c r="AP32" s="19" t="n">
        <v>-0.00344531</v>
      </c>
      <c r="AQ32" s="19" t="n">
        <v>0.0151886</v>
      </c>
      <c r="AR32" s="19" t="n">
        <v>-0.0222349</v>
      </c>
      <c r="AS32" s="19" t="n">
        <v>-0.00972159</v>
      </c>
      <c r="AT32" s="19" t="n">
        <v>-0.0898672</v>
      </c>
      <c r="AU32" s="19" t="n">
        <v>-0.0898672</v>
      </c>
    </row>
    <row r="33" customFormat="false" ht="15" hidden="false" customHeight="true" outlineLevel="0" collapsed="false">
      <c r="A33" s="4" t="s">
        <v>251</v>
      </c>
      <c r="B33" s="19" t="n">
        <v>0</v>
      </c>
      <c r="C33" s="19" t="n">
        <v>0.00507813</v>
      </c>
      <c r="D33" s="19" t="n">
        <v>0</v>
      </c>
      <c r="E33" s="19" t="n">
        <v>0.0130039</v>
      </c>
      <c r="F33" s="19" t="n">
        <v>0.0184241</v>
      </c>
      <c r="G33" s="19" t="n">
        <v>0.0135042</v>
      </c>
      <c r="H33" s="19" t="n">
        <v>0.00634921</v>
      </c>
      <c r="I33" s="19"/>
      <c r="J33" s="19"/>
      <c r="K33" s="19" t="n">
        <v>0.019601</v>
      </c>
      <c r="L33" s="19" t="n">
        <v>0.0182781</v>
      </c>
      <c r="M33" s="19" t="n">
        <v>0.0231608</v>
      </c>
      <c r="N33" s="19" t="n">
        <v>0.0235095</v>
      </c>
      <c r="O33" s="19" t="n">
        <v>0.0166972</v>
      </c>
      <c r="P33" s="19" t="n">
        <v>0.0295464</v>
      </c>
      <c r="Q33" s="19" t="n">
        <v>0.0229016</v>
      </c>
      <c r="R33" s="19" t="n">
        <v>0.0310038</v>
      </c>
      <c r="S33" s="19" t="n">
        <v>0.028734</v>
      </c>
      <c r="T33" s="19" t="n">
        <v>0.0285872</v>
      </c>
      <c r="U33" s="19" t="n">
        <v>0.0283501</v>
      </c>
      <c r="V33" s="19" t="n">
        <v>0.0179597</v>
      </c>
      <c r="W33" s="19" t="n">
        <v>0.028377</v>
      </c>
      <c r="X33" s="19" t="n">
        <v>0.0184193</v>
      </c>
      <c r="Y33" s="19" t="n">
        <v>0.0155841</v>
      </c>
      <c r="Z33" s="19" t="n">
        <v>0.0108042</v>
      </c>
      <c r="AA33" s="19" t="n">
        <v>0.00869802</v>
      </c>
      <c r="AB33" s="19"/>
      <c r="AC33" s="19"/>
      <c r="AD33" s="19"/>
      <c r="AE33" s="19"/>
      <c r="AF33" s="19" t="n">
        <v>0.000577101</v>
      </c>
      <c r="AG33" s="19"/>
      <c r="AH33" s="19"/>
      <c r="AI33" s="19"/>
      <c r="AJ33" s="19"/>
      <c r="AK33" s="19"/>
      <c r="AL33" s="19"/>
      <c r="AM33" s="19" t="n">
        <v>0.0136429</v>
      </c>
      <c r="AN33" s="19" t="n">
        <v>0.0122541</v>
      </c>
      <c r="AO33" s="19" t="n">
        <v>0.00787687</v>
      </c>
      <c r="AP33" s="19" t="n">
        <v>0.00654247</v>
      </c>
      <c r="AQ33" s="19" t="n">
        <v>0.0102297</v>
      </c>
      <c r="AR33" s="19"/>
      <c r="AS33" s="19"/>
      <c r="AT33" s="19"/>
      <c r="AU33" s="19"/>
    </row>
    <row r="34" customFormat="false" ht="15" hidden="false" customHeight="true" outlineLevel="0" collapsed="false">
      <c r="A34" s="4" t="s">
        <v>252</v>
      </c>
      <c r="B34" s="19" t="n">
        <v>0</v>
      </c>
      <c r="C34" s="19" t="n">
        <v>0.0571898</v>
      </c>
      <c r="D34" s="19" t="n">
        <v>0</v>
      </c>
      <c r="E34" s="19" t="n">
        <v>0</v>
      </c>
      <c r="F34" s="19" t="n">
        <v>0.0155835</v>
      </c>
      <c r="G34" s="19"/>
      <c r="H34" s="19" t="n">
        <v>0.00309838</v>
      </c>
      <c r="I34" s="19" t="n">
        <v>0.0156083</v>
      </c>
      <c r="J34" s="19"/>
      <c r="K34" s="19"/>
      <c r="L34" s="19" t="n">
        <v>0.00681133</v>
      </c>
      <c r="M34" s="19" t="n">
        <v>0.0122093</v>
      </c>
      <c r="N34" s="19" t="n">
        <v>0.0202725</v>
      </c>
      <c r="O34" s="19" t="n">
        <v>0.0462531</v>
      </c>
      <c r="P34" s="19" t="n">
        <v>0.0239286</v>
      </c>
      <c r="Q34" s="19" t="n">
        <v>0.0159137</v>
      </c>
      <c r="R34" s="19" t="n">
        <v>0.0192415</v>
      </c>
      <c r="S34" s="19" t="n">
        <v>0.0109943</v>
      </c>
      <c r="T34" s="19" t="n">
        <v>0.0120299</v>
      </c>
      <c r="U34" s="19" t="n">
        <v>0.0151179</v>
      </c>
      <c r="V34" s="19" t="n">
        <v>0.0150437</v>
      </c>
      <c r="W34" s="19" t="n">
        <v>0.00956985</v>
      </c>
      <c r="X34" s="19" t="n">
        <v>0.0192065</v>
      </c>
      <c r="Y34" s="19" t="n">
        <v>0.0355046</v>
      </c>
      <c r="Z34" s="19" t="n">
        <v>0.0281264</v>
      </c>
      <c r="AA34" s="19" t="n">
        <v>0.027524</v>
      </c>
      <c r="AB34" s="19" t="n">
        <v>0.0126623</v>
      </c>
      <c r="AC34" s="19" t="n">
        <v>0.0028216</v>
      </c>
      <c r="AD34" s="19"/>
      <c r="AE34" s="19"/>
      <c r="AF34" s="19"/>
      <c r="AG34" s="19" t="n">
        <v>0.00393746</v>
      </c>
      <c r="AH34" s="19" t="n">
        <v>0.00313529</v>
      </c>
      <c r="AI34" s="19"/>
      <c r="AJ34" s="19"/>
      <c r="AK34" s="19"/>
      <c r="AL34" s="19" t="n">
        <v>0.00317596</v>
      </c>
      <c r="AM34" s="19"/>
      <c r="AN34" s="19" t="n">
        <v>0.00732717</v>
      </c>
      <c r="AO34" s="19" t="n">
        <v>0.00678352</v>
      </c>
      <c r="AP34" s="19"/>
      <c r="AQ34" s="19"/>
      <c r="AR34" s="19"/>
      <c r="AS34" s="19"/>
      <c r="AT34" s="19"/>
      <c r="AU34" s="19"/>
    </row>
    <row r="35" customFormat="false" ht="15" hidden="false" customHeight="true" outlineLevel="0" collapsed="false">
      <c r="A35" s="4" t="s">
        <v>253</v>
      </c>
      <c r="B35" s="19"/>
      <c r="C35" s="19"/>
      <c r="D35" s="19"/>
      <c r="E35" s="19"/>
      <c r="F35" s="19" t="n">
        <v>0.00110777432559911</v>
      </c>
      <c r="G35" s="19" t="n">
        <v>0.000207358639727323</v>
      </c>
      <c r="H35" s="19" t="n">
        <v>-0.000396557359189454</v>
      </c>
      <c r="I35" s="19" t="n">
        <v>0.00429401473097609</v>
      </c>
      <c r="J35" s="19" t="n">
        <v>3.46563390776215E-005</v>
      </c>
      <c r="K35" s="19" t="n">
        <v>-0.00984725732927172</v>
      </c>
      <c r="L35" s="19" t="n">
        <v>-0.0165399057351698</v>
      </c>
      <c r="M35" s="19" t="n">
        <v>-0.034010004729035</v>
      </c>
      <c r="N35" s="19" t="n">
        <v>-0.0187410648529221</v>
      </c>
      <c r="O35" s="19" t="n">
        <v>-0.0233404930812874</v>
      </c>
      <c r="P35" s="19" t="n">
        <v>-0.0288820421403564</v>
      </c>
      <c r="Q35" s="19" t="n">
        <v>-0.0111526035329165</v>
      </c>
      <c r="R35" s="19" t="n">
        <v>-0.0240776335709061</v>
      </c>
      <c r="S35" s="19" t="n">
        <v>-0.00743407381391401</v>
      </c>
      <c r="T35" s="19" t="n">
        <v>-0.00248226802663857</v>
      </c>
      <c r="U35" s="19" t="n">
        <v>0.00153534615831494</v>
      </c>
      <c r="V35" s="19" t="n">
        <v>0.0108256027373369</v>
      </c>
      <c r="W35" s="19" t="n">
        <v>-0.00162276351230769</v>
      </c>
      <c r="X35" s="19" t="n">
        <v>-0.0048317608299162</v>
      </c>
      <c r="Y35" s="19" t="n">
        <v>-0.00561470879152848</v>
      </c>
      <c r="Z35" s="19" t="n">
        <v>-0.0184626234724677</v>
      </c>
      <c r="AA35" s="19" t="n">
        <v>-0.0267715817649935</v>
      </c>
      <c r="AB35" s="19" t="n">
        <v>-0.0179441168931043</v>
      </c>
      <c r="AC35" s="19" t="n">
        <v>-0.0284747219685166</v>
      </c>
      <c r="AD35" s="19" t="n">
        <v>-0.0255019393344847</v>
      </c>
      <c r="AE35" s="19" t="n">
        <v>-0.00630753150739107</v>
      </c>
      <c r="AF35" s="19" t="n">
        <v>-0.00747353798913088</v>
      </c>
      <c r="AG35" s="19" t="n">
        <v>-0.000602750955360264</v>
      </c>
      <c r="AH35" s="19" t="n">
        <v>-0.00533770639399347</v>
      </c>
      <c r="AI35" s="19" t="n">
        <v>-0.0206446852367241</v>
      </c>
      <c r="AJ35" s="19" t="n">
        <v>-0.0554260971932173</v>
      </c>
      <c r="AK35" s="19" t="n">
        <v>-0.0825632808452707</v>
      </c>
      <c r="AL35" s="19" t="n">
        <v>-0.121207880891078</v>
      </c>
      <c r="AM35" s="19" t="n">
        <v>-0.103952693410868</v>
      </c>
      <c r="AN35" s="19" t="n">
        <v>-0.080323923755682</v>
      </c>
      <c r="AO35" s="19" t="n">
        <v>-0.0441001899335233</v>
      </c>
      <c r="AP35" s="19" t="n">
        <v>0.000435029114858384</v>
      </c>
      <c r="AQ35" s="19" t="n">
        <v>-0.00599002729857955</v>
      </c>
      <c r="AR35" s="19" t="n">
        <v>-0.657687983084528</v>
      </c>
      <c r="AS35" s="19" t="n">
        <v>-0.766645585810926</v>
      </c>
      <c r="AT35" s="19" t="n">
        <v>-0.774456957965746</v>
      </c>
      <c r="AU35" s="19" t="n">
        <v>-0.54789</v>
      </c>
    </row>
    <row r="36" customFormat="false" ht="15" hidden="false" customHeight="true" outlineLevel="0" collapsed="false">
      <c r="A36" s="4" t="s">
        <v>254</v>
      </c>
      <c r="B36" s="19"/>
      <c r="C36" s="19"/>
      <c r="D36" s="19"/>
      <c r="E36" s="19"/>
      <c r="F36" s="19" t="n">
        <v>0.00110777432559911</v>
      </c>
      <c r="G36" s="19" t="n">
        <v>0.000207358639727323</v>
      </c>
      <c r="H36" s="19" t="n">
        <v>-0.000396557359189454</v>
      </c>
      <c r="I36" s="19" t="n">
        <v>0.00429401473097609</v>
      </c>
      <c r="J36" s="19" t="n">
        <v>3.46563390776215E-005</v>
      </c>
      <c r="K36" s="19" t="n">
        <v>-0.00984725732927172</v>
      </c>
      <c r="L36" s="19" t="n">
        <v>-0.0165399057351698</v>
      </c>
      <c r="M36" s="19" t="n">
        <v>-0.034010004729035</v>
      </c>
      <c r="N36" s="19" t="n">
        <v>-0.0187410648529221</v>
      </c>
      <c r="O36" s="19" t="n">
        <v>-0.0233404930812874</v>
      </c>
      <c r="P36" s="19" t="n">
        <v>-0.0288820421403564</v>
      </c>
      <c r="Q36" s="19" t="n">
        <v>-0.0111526035329165</v>
      </c>
      <c r="R36" s="19" t="n">
        <v>-0.0240776335709061</v>
      </c>
      <c r="S36" s="19" t="n">
        <v>-0.00743407381391401</v>
      </c>
      <c r="T36" s="19" t="n">
        <v>-0.00248226802663857</v>
      </c>
      <c r="U36" s="19" t="n">
        <v>0.00153534615831494</v>
      </c>
      <c r="V36" s="19" t="n">
        <v>0.0108256027373369</v>
      </c>
      <c r="W36" s="19" t="n">
        <v>-0.00162276351230769</v>
      </c>
      <c r="X36" s="19" t="n">
        <v>-0.0048317608299162</v>
      </c>
      <c r="Y36" s="19" t="n">
        <v>-0.00561470879152848</v>
      </c>
      <c r="Z36" s="19" t="n">
        <v>-0.0184626234724677</v>
      </c>
      <c r="AA36" s="19" t="n">
        <v>-0.0267715817649935</v>
      </c>
      <c r="AB36" s="19" t="n">
        <v>-0.0179441168931043</v>
      </c>
      <c r="AC36" s="19" t="n">
        <v>-0.0284747219685166</v>
      </c>
      <c r="AD36" s="19" t="n">
        <v>-0.0255019393344847</v>
      </c>
      <c r="AE36" s="19" t="n">
        <v>-0.00630753150739107</v>
      </c>
      <c r="AF36" s="19" t="n">
        <v>-0.00747353798913088</v>
      </c>
      <c r="AG36" s="19" t="n">
        <v>-0.000602750955360264</v>
      </c>
      <c r="AH36" s="19" t="n">
        <v>-0.00533770639399347</v>
      </c>
      <c r="AI36" s="19" t="n">
        <v>-0.0206446852367241</v>
      </c>
      <c r="AJ36" s="19" t="n">
        <v>-0.0554260971932173</v>
      </c>
      <c r="AK36" s="19" t="n">
        <v>-0.0825632808452707</v>
      </c>
      <c r="AL36" s="19" t="n">
        <v>-0.121207880891078</v>
      </c>
      <c r="AM36" s="19" t="n">
        <v>-0.103952693410868</v>
      </c>
      <c r="AN36" s="19" t="n">
        <v>-0.080323923755682</v>
      </c>
      <c r="AO36" s="19" t="n">
        <v>-0.0441001899335233</v>
      </c>
      <c r="AP36" s="19" t="n">
        <v>0.000435029114858384</v>
      </c>
      <c r="AQ36" s="19" t="n">
        <v>-0.00599002729857955</v>
      </c>
      <c r="AR36" s="19" t="n">
        <v>-0.657687983084528</v>
      </c>
      <c r="AS36" s="19" t="n">
        <v>-0.766645585810926</v>
      </c>
      <c r="AT36" s="19" t="n">
        <v>-0.774456957965746</v>
      </c>
      <c r="AU36" s="19" t="n">
        <v>-0.54789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257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 t="n">
        <v>189.483</v>
      </c>
      <c r="U6" s="9" t="n">
        <v>188.458</v>
      </c>
      <c r="V6" s="9" t="n">
        <v>167.636</v>
      </c>
      <c r="W6" s="9"/>
      <c r="X6" s="9" t="n">
        <v>285.324</v>
      </c>
      <c r="Y6" s="9" t="n">
        <v>301.573</v>
      </c>
      <c r="Z6" s="9" t="n">
        <v>278.744</v>
      </c>
      <c r="AA6" s="10" t="n">
        <f aca="false">Z6*(1+Assumptions!$D$5)</f>
        <v>412.54112</v>
      </c>
      <c r="AB6" s="10" t="n">
        <f aca="false">IF(X6&lt;&gt;"",X6*(1+Assumptions!$E$5),IF(AA6&lt;&gt;"",AA6*(1+Assumptions!$E$5),""))</f>
        <v>336.68232</v>
      </c>
      <c r="AC6" s="10" t="n">
        <f aca="false">IF(Y6&lt;&gt;"",Y6*(1+Assumptions!$F$5),IF(AB6&lt;&gt;"",AB6*(1+Assumptions!$F$5),""))</f>
        <v>355.85614</v>
      </c>
      <c r="AD6" s="10" t="n">
        <f aca="false">IF(Z6&lt;&gt;"",Z6*(1+Assumptions!$G$5),IF(AC6&lt;&gt;"",AC6*(1+Assumptions!$G$5),""))</f>
        <v>328.91792</v>
      </c>
      <c r="AE6" s="10" t="n">
        <f aca="false">IF(AA6&lt;&gt;"",AA6*(1+Assumptions!$H$5),IF(AD6&lt;&gt;"",AD6*(1+Assumptions!$H$5),""))</f>
        <v>486.7985216</v>
      </c>
      <c r="AF6" s="10" t="n">
        <f aca="false">IF(AB6&lt;&gt;"",AB6*(1+Assumptions!$I$5),IF(AE6&lt;&gt;"",AE6*(1+Assumptions!$I$5),""))</f>
        <v>377.0841984</v>
      </c>
      <c r="AG6" s="10" t="n">
        <f aca="false">IF(AC6&lt;&gt;"",AC6*(1+Assumptions!$J$5),IF(AF6&lt;&gt;"",AF6*(1+Assumptions!$J$5),""))</f>
        <v>398.5588768</v>
      </c>
      <c r="AH6" s="10" t="n">
        <f aca="false">IF(AD6&lt;&gt;"",AD6*(1+Assumptions!$K$5),IF(AG6&lt;&gt;"",AG6*(1+Assumptions!$K$5),""))</f>
        <v>368.3880704</v>
      </c>
    </row>
    <row r="7" customFormat="false" ht="15" hidden="false" customHeight="true" outlineLevel="0" collapsed="false">
      <c r="A7" s="4" t="s">
        <v>258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 t="n">
        <v>169.352</v>
      </c>
      <c r="Y7" s="9" t="n">
        <v>170.935</v>
      </c>
      <c r="Z7" s="9" t="n">
        <v>129.301</v>
      </c>
      <c r="AA7" s="10" t="n">
        <f aca="false">Z7*(1+Assumptions!$D$6)</f>
        <v>152.57518</v>
      </c>
      <c r="AB7" s="10" t="n">
        <f aca="false">IF(X7&lt;&gt;"",X7*(1+Assumptions!$E$6),IF(AA7&lt;&gt;"",AA7*(1+Assumptions!$E$6),""))</f>
        <v>177.8196</v>
      </c>
      <c r="AC7" s="10" t="n">
        <f aca="false">IF(Y7&lt;&gt;"",Y7*(1+Assumptions!$F$6),IF(AB7&lt;&gt;"",AB7*(1+Assumptions!$F$6),""))</f>
        <v>179.48175</v>
      </c>
      <c r="AD7" s="10" t="n">
        <f aca="false">IF(Z7&lt;&gt;"",Z7*(1+Assumptions!$G$6),IF(AC7&lt;&gt;"",AC7*(1+Assumptions!$G$6),""))</f>
        <v>135.76605</v>
      </c>
      <c r="AE7" s="10" t="n">
        <f aca="false">IF(AA7&lt;&gt;"",AA7*(1+Assumptions!$H$6),IF(AD7&lt;&gt;"",AD7*(1+Assumptions!$H$6),""))</f>
        <v>160.203939</v>
      </c>
      <c r="AF7" s="10" t="n">
        <f aca="false">IF(AB7&lt;&gt;"",AB7*(1+Assumptions!$I$6),IF(AE7&lt;&gt;"",AE7*(1+Assumptions!$I$6),""))</f>
        <v>188.488776</v>
      </c>
      <c r="AG7" s="10" t="n">
        <f aca="false">IF(AC7&lt;&gt;"",AC7*(1+Assumptions!$J$6),IF(AF7&lt;&gt;"",AF7*(1+Assumptions!$J$6),""))</f>
        <v>190.250655</v>
      </c>
      <c r="AH7" s="10" t="n">
        <f aca="false">IF(AD7&lt;&gt;"",AD7*(1+Assumptions!$K$6),IF(AG7&lt;&gt;"",AG7*(1+Assumptions!$K$6),""))</f>
        <v>143.912013</v>
      </c>
    </row>
    <row r="8" customFormat="false" ht="15" hidden="false" customHeight="true" outlineLevel="0" collapsed="false">
      <c r="A8" s="4" t="s">
        <v>259</v>
      </c>
      <c r="B8" s="9" t="n">
        <v>61.891</v>
      </c>
      <c r="C8" s="9" t="n">
        <v>135.223</v>
      </c>
      <c r="D8" s="9" t="n">
        <v>87.45</v>
      </c>
      <c r="E8" s="9" t="n">
        <v>92.665</v>
      </c>
      <c r="F8" s="9" t="n">
        <v>78.782</v>
      </c>
      <c r="G8" s="9" t="n">
        <v>136.015</v>
      </c>
      <c r="H8" s="9" t="n">
        <v>101.009</v>
      </c>
      <c r="I8" s="9" t="n">
        <v>122.008</v>
      </c>
      <c r="J8" s="9" t="n">
        <v>90.093</v>
      </c>
      <c r="K8" s="9" t="n">
        <v>132.622</v>
      </c>
      <c r="L8" s="9" t="n">
        <v>108.516</v>
      </c>
      <c r="M8" s="9" t="n">
        <v>111.584</v>
      </c>
      <c r="N8" s="9" t="n">
        <v>134.395</v>
      </c>
      <c r="O8" s="9" t="n">
        <v>186.041</v>
      </c>
      <c r="P8" s="9" t="n">
        <v>152.347</v>
      </c>
      <c r="Q8" s="9" t="n">
        <v>180.816</v>
      </c>
      <c r="R8" s="9" t="n">
        <v>186.578</v>
      </c>
      <c r="S8" s="9" t="n">
        <v>196.979</v>
      </c>
      <c r="T8" s="9"/>
      <c r="U8" s="9"/>
      <c r="V8" s="9"/>
      <c r="W8" s="9" t="n">
        <v>275.05</v>
      </c>
      <c r="X8" s="9"/>
      <c r="Y8" s="9"/>
      <c r="Z8" s="9"/>
      <c r="AA8" s="10" t="n">
        <f aca="false">Z8*(1+Assumptions!$D$7)</f>
        <v>0</v>
      </c>
      <c r="AB8" s="10" t="n">
        <f aca="false">IF(X8&lt;&gt;"",X8*(1+Assumptions!$E$7),IF(AA8&lt;&gt;"",AA8*(1+Assumptions!$E$7),""))</f>
        <v>0</v>
      </c>
      <c r="AC8" s="10" t="n">
        <f aca="false">IF(Y8&lt;&gt;"",Y8*(1+Assumptions!$F$7),IF(AB8&lt;&gt;"",AB8*(1+Assumptions!$F$7),""))</f>
        <v>0</v>
      </c>
      <c r="AD8" s="10" t="n">
        <f aca="false">IF(Z8&lt;&gt;"",Z8*(1+Assumptions!$G$7),IF(AC8&lt;&gt;"",AC8*(1+Assumptions!$G$7),""))</f>
        <v>0</v>
      </c>
      <c r="AE8" s="10" t="n">
        <f aca="false">IF(AA8&lt;&gt;"",AA8*(1+Assumptions!$H$7),IF(AD8&lt;&gt;"",AD8*(1+Assumptions!$H$7),""))</f>
        <v>0</v>
      </c>
      <c r="AF8" s="10" t="n">
        <f aca="false">IF(AB8&lt;&gt;"",AB8*(1+Assumptions!$I$7),IF(AE8&lt;&gt;"",AE8*(1+Assumptions!$I$7),""))</f>
        <v>0</v>
      </c>
      <c r="AG8" s="10" t="n">
        <f aca="false">IF(AC8&lt;&gt;"",AC8*(1+Assumptions!$J$7),IF(AF8&lt;&gt;"",AF8*(1+Assumptions!$J$7),""))</f>
        <v>0</v>
      </c>
      <c r="AH8" s="10" t="n">
        <f aca="false">IF(AD8&lt;&gt;"",AD8*(1+Assumptions!$K$7),IF(AG8&lt;&gt;"",AG8*(1+Assumptions!$K$7),""))</f>
        <v>0</v>
      </c>
    </row>
    <row r="9" customFormat="false" ht="15" hidden="false" customHeight="true" outlineLevel="0" collapsed="false">
      <c r="A9" s="11" t="s">
        <v>260</v>
      </c>
      <c r="B9" s="12" t="n">
        <f aca="false">SUM(B6,B7,B8)</f>
        <v>61.891</v>
      </c>
      <c r="C9" s="12" t="n">
        <f aca="false">SUM(C6,C7,C8)</f>
        <v>135.223</v>
      </c>
      <c r="D9" s="12" t="n">
        <f aca="false">SUM(D6,D7,D8)</f>
        <v>87.45</v>
      </c>
      <c r="E9" s="12" t="n">
        <f aca="false">SUM(E6,E7,E8)</f>
        <v>92.665</v>
      </c>
      <c r="F9" s="12" t="n">
        <f aca="false">SUM(F6,F7,F8)</f>
        <v>78.782</v>
      </c>
      <c r="G9" s="12" t="n">
        <f aca="false">SUM(G6,G7,G8)</f>
        <v>136.015</v>
      </c>
      <c r="H9" s="12" t="n">
        <f aca="false">SUM(H6,H7,H8)</f>
        <v>101.009</v>
      </c>
      <c r="I9" s="12" t="n">
        <f aca="false">SUM(I6,I7,I8)</f>
        <v>122.008</v>
      </c>
      <c r="J9" s="12" t="n">
        <f aca="false">SUM(J6,J7,J8)</f>
        <v>90.093</v>
      </c>
      <c r="K9" s="12" t="n">
        <f aca="false">SUM(K6,K7,K8)</f>
        <v>132.622</v>
      </c>
      <c r="L9" s="12" t="n">
        <f aca="false">SUM(L6,L7,L8)</f>
        <v>108.516</v>
      </c>
      <c r="M9" s="12" t="n">
        <f aca="false">SUM(M6,M7,M8)</f>
        <v>111.584</v>
      </c>
      <c r="N9" s="12" t="n">
        <f aca="false">SUM(N6,N7,N8)</f>
        <v>134.395</v>
      </c>
      <c r="O9" s="12" t="n">
        <f aca="false">SUM(O6,O7,O8)</f>
        <v>186.041</v>
      </c>
      <c r="P9" s="12" t="n">
        <f aca="false">SUM(P6,P7,P8)</f>
        <v>152.347</v>
      </c>
      <c r="Q9" s="12" t="n">
        <f aca="false">SUM(Q6,Q7,Q8)</f>
        <v>180.816</v>
      </c>
      <c r="R9" s="12" t="n">
        <f aca="false">SUM(R6,R7,R8)</f>
        <v>186.578</v>
      </c>
      <c r="S9" s="12" t="n">
        <f aca="false">SUM(S6,S7,S8)</f>
        <v>196.979</v>
      </c>
      <c r="T9" s="12" t="n">
        <f aca="false">SUM(T6,T7,T8)</f>
        <v>189.483</v>
      </c>
      <c r="U9" s="12" t="n">
        <f aca="false">SUM(U6,U7,U8)</f>
        <v>188.458</v>
      </c>
      <c r="V9" s="12" t="n">
        <f aca="false">SUM(V6,V7,V8)</f>
        <v>167.636</v>
      </c>
      <c r="W9" s="12" t="n">
        <f aca="false">SUM(W6,W7,W8)</f>
        <v>275.05</v>
      </c>
      <c r="X9" s="12" t="n">
        <f aca="false">SUM(X6,X7,X8)</f>
        <v>454.676</v>
      </c>
      <c r="Y9" s="12" t="n">
        <f aca="false">SUM(Y6,Y7,Y8)</f>
        <v>472.508</v>
      </c>
      <c r="Z9" s="12" t="n">
        <f aca="false">SUM(Z6,Z7,Z8)</f>
        <v>408.045</v>
      </c>
      <c r="AA9" s="13" t="n">
        <f aca="false">SUM(AA6,AA7,AA8)</f>
        <v>565.1163</v>
      </c>
      <c r="AB9" s="13" t="n">
        <f aca="false">SUM(AB6,AB7,AB8)</f>
        <v>514.50192</v>
      </c>
      <c r="AC9" s="13" t="n">
        <f aca="false">SUM(AC6,AC7,AC8)</f>
        <v>535.33789</v>
      </c>
      <c r="AD9" s="13" t="n">
        <f aca="false">SUM(AD6,AD7,AD8)</f>
        <v>464.68397</v>
      </c>
      <c r="AE9" s="13" t="n">
        <f aca="false">SUM(AE6,AE7,AE8)</f>
        <v>647.0024606</v>
      </c>
      <c r="AF9" s="13" t="n">
        <f aca="false">SUM(AF6,AF7,AF8)</f>
        <v>565.5729744</v>
      </c>
      <c r="AG9" s="13" t="n">
        <f aca="false">SUM(AG6,AG7,AG8)</f>
        <v>588.8095318</v>
      </c>
      <c r="AH9" s="13" t="n">
        <f aca="false">SUM(AH6,AH7,AH8)</f>
        <v>512.3000834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262</v>
      </c>
      <c r="B6" s="9" t="n">
        <v>27.626</v>
      </c>
      <c r="C6" s="9" t="n">
        <v>84.647</v>
      </c>
      <c r="D6" s="9" t="n">
        <v>53.43</v>
      </c>
      <c r="E6" s="9" t="n">
        <v>46.398</v>
      </c>
      <c r="F6" s="9" t="n">
        <v>51.062</v>
      </c>
      <c r="G6" s="9" t="n">
        <v>91.008</v>
      </c>
      <c r="H6" s="9" t="n">
        <v>68.388</v>
      </c>
      <c r="I6" s="9" t="n">
        <v>68.663</v>
      </c>
      <c r="J6" s="9" t="n">
        <v>56.48</v>
      </c>
      <c r="K6" s="9" t="n">
        <v>68.727</v>
      </c>
      <c r="L6" s="9" t="n">
        <v>50.103</v>
      </c>
      <c r="M6" s="9" t="n">
        <v>67.657</v>
      </c>
      <c r="N6" s="9" t="n">
        <v>55.955</v>
      </c>
      <c r="O6" s="9" t="n">
        <v>77.293</v>
      </c>
      <c r="P6" s="9" t="n">
        <v>58.126</v>
      </c>
      <c r="Q6" s="9" t="n">
        <v>69.975</v>
      </c>
      <c r="R6" s="9" t="n">
        <v>62.865</v>
      </c>
      <c r="S6" s="9" t="n">
        <v>85.282</v>
      </c>
      <c r="T6" s="9" t="n">
        <v>66.998</v>
      </c>
      <c r="U6" s="9" t="n">
        <v>86.958</v>
      </c>
      <c r="V6" s="9" t="n">
        <v>104.097</v>
      </c>
      <c r="W6" s="9" t="n">
        <v>132.691</v>
      </c>
      <c r="X6" s="9" t="n">
        <v>347.035</v>
      </c>
      <c r="Y6" s="9" t="n">
        <v>360.703</v>
      </c>
      <c r="Z6" s="9" t="n">
        <v>226.11</v>
      </c>
      <c r="AA6" s="10" t="n">
        <f aca="false">Z6*(1+Assumptions!$D$8)</f>
        <v>339.165</v>
      </c>
      <c r="AB6" s="10" t="n">
        <f aca="false">IF(X6&lt;&gt;"",X6*(1+Assumptions!$E$8),IF(AA6&lt;&gt;"",AA6*(1+Assumptions!$E$8),""))</f>
        <v>402.5606</v>
      </c>
      <c r="AC6" s="10" t="n">
        <f aca="false">IF(Y6&lt;&gt;"",Y6*(1+Assumptions!$F$8),IF(AB6&lt;&gt;"",AB6*(1+Assumptions!$F$8),""))</f>
        <v>418.41548</v>
      </c>
      <c r="AD6" s="10" t="n">
        <f aca="false">IF(Z6&lt;&gt;"",Z6*(1+Assumptions!$G$8),IF(AC6&lt;&gt;"",AC6*(1+Assumptions!$G$8),""))</f>
        <v>262.2876</v>
      </c>
      <c r="AE6" s="10" t="n">
        <f aca="false">IF(AA6&lt;&gt;"",AA6*(1+Assumptions!$H$8),IF(AD6&lt;&gt;"",AD6*(1+Assumptions!$H$8),""))</f>
        <v>393.4314</v>
      </c>
      <c r="AF6" s="10" t="n">
        <f aca="false">IF(AB6&lt;&gt;"",AB6*(1+Assumptions!$I$8),IF(AE6&lt;&gt;"",AE6*(1+Assumptions!$I$8),""))</f>
        <v>450.867872</v>
      </c>
      <c r="AG6" s="10" t="n">
        <f aca="false">IF(AC6&lt;&gt;"",AC6*(1+Assumptions!$J$8),IF(AF6&lt;&gt;"",AF6*(1+Assumptions!$J$8),""))</f>
        <v>468.6253376</v>
      </c>
      <c r="AH6" s="10" t="n">
        <f aca="false">IF(AD6&lt;&gt;"",AD6*(1+Assumptions!$K$8),IF(AG6&lt;&gt;"",AG6*(1+Assumptions!$K$8),""))</f>
        <v>293.762112</v>
      </c>
    </row>
    <row r="7" customFormat="false" ht="15" hidden="false" customHeight="true" outlineLevel="0" collapsed="false">
      <c r="A7" s="4" t="s">
        <v>263</v>
      </c>
      <c r="B7" s="9" t="n">
        <v>34.265</v>
      </c>
      <c r="C7" s="9" t="n">
        <v>50.576</v>
      </c>
      <c r="D7" s="9" t="n">
        <v>34.02</v>
      </c>
      <c r="E7" s="9" t="n">
        <v>46.267</v>
      </c>
      <c r="F7" s="9" t="n">
        <v>27.72</v>
      </c>
      <c r="G7" s="9" t="n">
        <v>45.007</v>
      </c>
      <c r="H7" s="9" t="n">
        <v>32.621</v>
      </c>
      <c r="I7" s="9" t="n">
        <v>53.345</v>
      </c>
      <c r="J7" s="9" t="n">
        <v>33.613</v>
      </c>
      <c r="K7" s="9" t="n">
        <v>63.895</v>
      </c>
      <c r="L7" s="9" t="n">
        <v>58.413</v>
      </c>
      <c r="M7" s="9" t="n">
        <v>43.927</v>
      </c>
      <c r="N7" s="9" t="n">
        <v>78.44</v>
      </c>
      <c r="O7" s="9" t="n">
        <v>108.748</v>
      </c>
      <c r="P7" s="9" t="n">
        <v>94.221</v>
      </c>
      <c r="Q7" s="9" t="n">
        <v>110.841</v>
      </c>
      <c r="R7" s="9" t="n">
        <v>123.713</v>
      </c>
      <c r="S7" s="9" t="n">
        <v>111.697</v>
      </c>
      <c r="T7" s="9" t="n">
        <v>122.485</v>
      </c>
      <c r="U7" s="9" t="n">
        <v>101.5</v>
      </c>
      <c r="V7" s="9" t="n">
        <v>63.539</v>
      </c>
      <c r="W7" s="9" t="n">
        <v>142.359</v>
      </c>
      <c r="X7" s="9" t="n">
        <v>107.641</v>
      </c>
      <c r="Y7" s="9" t="n">
        <v>111.805</v>
      </c>
      <c r="Z7" s="9" t="n">
        <v>181.935</v>
      </c>
      <c r="AA7" s="10" t="n">
        <f aca="false">Z7*(1+Assumptions!$D$9)</f>
        <v>225.5994</v>
      </c>
      <c r="AB7" s="10" t="n">
        <f aca="false">IF(X7&lt;&gt;"",X7*(1+Assumptions!$E$9),IF(AA7&lt;&gt;"",AA7*(1+Assumptions!$E$9),""))</f>
        <v>124.86356</v>
      </c>
      <c r="AC7" s="10" t="n">
        <f aca="false">IF(Y7&lt;&gt;"",Y7*(1+Assumptions!$F$9),IF(AB7&lt;&gt;"",AB7*(1+Assumptions!$F$9),""))</f>
        <v>129.6938</v>
      </c>
      <c r="AD7" s="10" t="n">
        <f aca="false">IF(Z7&lt;&gt;"",Z7*(1+Assumptions!$G$9),IF(AC7&lt;&gt;"",AC7*(1+Assumptions!$G$9),""))</f>
        <v>211.0446</v>
      </c>
      <c r="AE7" s="10" t="n">
        <f aca="false">IF(AA7&lt;&gt;"",AA7*(1+Assumptions!$H$9),IF(AD7&lt;&gt;"",AD7*(1+Assumptions!$H$9),""))</f>
        <v>261.695304</v>
      </c>
      <c r="AF7" s="10" t="n">
        <f aca="false">IF(AB7&lt;&gt;"",AB7*(1+Assumptions!$I$9),IF(AE7&lt;&gt;"",AE7*(1+Assumptions!$I$9),""))</f>
        <v>139.8471872</v>
      </c>
      <c r="AG7" s="10" t="n">
        <f aca="false">IF(AC7&lt;&gt;"",AC7*(1+Assumptions!$J$9),IF(AF7&lt;&gt;"",AF7*(1+Assumptions!$J$9),""))</f>
        <v>145.257056</v>
      </c>
      <c r="AH7" s="10" t="n">
        <f aca="false">IF(AD7&lt;&gt;"",AD7*(1+Assumptions!$K$9),IF(AG7&lt;&gt;"",AG7*(1+Assumptions!$K$9),""))</f>
        <v>236.369952</v>
      </c>
    </row>
    <row r="8" customFormat="false" ht="15" hidden="false" customHeight="true" outlineLevel="0" collapsed="false">
      <c r="A8" s="11" t="s">
        <v>260</v>
      </c>
      <c r="B8" s="12" t="n">
        <f aca="false">SUM(B6,B7)</f>
        <v>61.891</v>
      </c>
      <c r="C8" s="12" t="n">
        <f aca="false">SUM(C6,C7)</f>
        <v>135.223</v>
      </c>
      <c r="D8" s="12" t="n">
        <f aca="false">SUM(D6,D7)</f>
        <v>87.45</v>
      </c>
      <c r="E8" s="12" t="n">
        <f aca="false">SUM(E6,E7)</f>
        <v>92.665</v>
      </c>
      <c r="F8" s="12" t="n">
        <f aca="false">SUM(F6,F7)</f>
        <v>78.782</v>
      </c>
      <c r="G8" s="12" t="n">
        <f aca="false">SUM(G6,G7)</f>
        <v>136.015</v>
      </c>
      <c r="H8" s="12" t="n">
        <f aca="false">SUM(H6,H7)</f>
        <v>101.009</v>
      </c>
      <c r="I8" s="12" t="n">
        <f aca="false">SUM(I6,I7)</f>
        <v>122.008</v>
      </c>
      <c r="J8" s="12" t="n">
        <f aca="false">SUM(J6,J7)</f>
        <v>90.093</v>
      </c>
      <c r="K8" s="12" t="n">
        <f aca="false">SUM(K6,K7)</f>
        <v>132.622</v>
      </c>
      <c r="L8" s="12" t="n">
        <f aca="false">SUM(L6,L7)</f>
        <v>108.516</v>
      </c>
      <c r="M8" s="12" t="n">
        <f aca="false">SUM(M6,M7)</f>
        <v>111.584</v>
      </c>
      <c r="N8" s="12" t="n">
        <f aca="false">SUM(N6,N7)</f>
        <v>134.395</v>
      </c>
      <c r="O8" s="12" t="n">
        <f aca="false">SUM(O6,O7)</f>
        <v>186.041</v>
      </c>
      <c r="P8" s="12" t="n">
        <f aca="false">SUM(P6,P7)</f>
        <v>152.347</v>
      </c>
      <c r="Q8" s="12" t="n">
        <f aca="false">SUM(Q6,Q7)</f>
        <v>180.816</v>
      </c>
      <c r="R8" s="12" t="n">
        <f aca="false">SUM(R6,R7)</f>
        <v>186.578</v>
      </c>
      <c r="S8" s="12" t="n">
        <f aca="false">SUM(S6,S7)</f>
        <v>196.979</v>
      </c>
      <c r="T8" s="12" t="n">
        <f aca="false">SUM(T6,T7)</f>
        <v>189.483</v>
      </c>
      <c r="U8" s="12" t="n">
        <f aca="false">SUM(U6,U7)</f>
        <v>188.458</v>
      </c>
      <c r="V8" s="12" t="n">
        <f aca="false">SUM(V6,V7)</f>
        <v>167.636</v>
      </c>
      <c r="W8" s="12" t="n">
        <f aca="false">SUM(W6,W7)</f>
        <v>275.05</v>
      </c>
      <c r="X8" s="12" t="n">
        <f aca="false">SUM(X6,X7)</f>
        <v>454.676</v>
      </c>
      <c r="Y8" s="12" t="n">
        <f aca="false">SUM(Y6,Y7)</f>
        <v>472.508</v>
      </c>
      <c r="Z8" s="12" t="n">
        <f aca="false">SUM(Z6,Z7)</f>
        <v>408.045</v>
      </c>
      <c r="AA8" s="13" t="n">
        <f aca="false">SUM(AA6,AA7)</f>
        <v>564.7644</v>
      </c>
      <c r="AB8" s="13" t="n">
        <f aca="false">SUM(AB6,AB7)</f>
        <v>527.42416</v>
      </c>
      <c r="AC8" s="13" t="n">
        <f aca="false">SUM(AC6,AC7)</f>
        <v>548.10928</v>
      </c>
      <c r="AD8" s="13" t="n">
        <f aca="false">SUM(AD6,AD7)</f>
        <v>473.3322</v>
      </c>
      <c r="AE8" s="13" t="n">
        <f aca="false">SUM(AE6,AE7)</f>
        <v>655.126704</v>
      </c>
      <c r="AF8" s="13" t="n">
        <f aca="false">SUM(AF6,AF7)</f>
        <v>590.7150592</v>
      </c>
      <c r="AG8" s="13" t="n">
        <f aca="false">SUM(AG6,AG7)</f>
        <v>613.8823936</v>
      </c>
      <c r="AH8" s="13" t="n">
        <f aca="false">SUM(AH6,AH7)</f>
        <v>530.132064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265</v>
      </c>
      <c r="B6" s="9"/>
      <c r="C6" s="9"/>
      <c r="D6" s="9"/>
      <c r="E6" s="9"/>
      <c r="F6" s="9"/>
      <c r="G6" s="9"/>
      <c r="H6" s="9"/>
      <c r="I6" s="9"/>
      <c r="J6" s="9"/>
      <c r="K6" s="9"/>
      <c r="L6" s="9" t="n">
        <v>67.774</v>
      </c>
      <c r="M6" s="9" t="n">
        <v>61.634</v>
      </c>
      <c r="N6" s="9" t="n">
        <v>92.329</v>
      </c>
      <c r="O6" s="9" t="n">
        <v>122.172</v>
      </c>
      <c r="P6" s="9" t="n">
        <v>98.207</v>
      </c>
      <c r="Q6" s="9" t="n">
        <v>132.773</v>
      </c>
      <c r="R6" s="9" t="n">
        <v>113.29</v>
      </c>
      <c r="S6" s="9" t="n">
        <v>103.736</v>
      </c>
      <c r="T6" s="9" t="n">
        <v>119.976</v>
      </c>
      <c r="U6" s="9" t="n">
        <v>85.416</v>
      </c>
      <c r="V6" s="9" t="n">
        <v>63.75</v>
      </c>
      <c r="W6" s="9" t="n">
        <v>112.636</v>
      </c>
      <c r="X6" s="9"/>
      <c r="Y6" s="9"/>
      <c r="Z6" s="9"/>
      <c r="AA6" s="10" t="n">
        <f aca="false">Z6*(1+Assumptions!$D$10)</f>
        <v>0</v>
      </c>
      <c r="AB6" s="10" t="n">
        <f aca="false">IF(X6&lt;&gt;"",X6*(1+Assumptions!$E$10),IF(AA6&lt;&gt;"",AA6*(1+Assumptions!$E$10),""))</f>
        <v>0</v>
      </c>
      <c r="AC6" s="10" t="n">
        <f aca="false">IF(Y6&lt;&gt;"",Y6*(1+Assumptions!$F$10),IF(AB6&lt;&gt;"",AB6*(1+Assumptions!$F$10),""))</f>
        <v>0</v>
      </c>
      <c r="AD6" s="10" t="n">
        <f aca="false">IF(Z6&lt;&gt;"",Z6*(1+Assumptions!$G$10),IF(AC6&lt;&gt;"",AC6*(1+Assumptions!$G$10),""))</f>
        <v>0</v>
      </c>
      <c r="AE6" s="10" t="n">
        <f aca="false">IF(AA6&lt;&gt;"",AA6*(1+Assumptions!$H$10),IF(AD6&lt;&gt;"",AD6*(1+Assumptions!$H$10),""))</f>
        <v>0</v>
      </c>
      <c r="AF6" s="10" t="n">
        <f aca="false">IF(AB6&lt;&gt;"",AB6*(1+Assumptions!$I$10),IF(AE6&lt;&gt;"",AE6*(1+Assumptions!$I$10),""))</f>
        <v>0</v>
      </c>
      <c r="AG6" s="10" t="n">
        <f aca="false">IF(AC6&lt;&gt;"",AC6*(1+Assumptions!$J$10),IF(AF6&lt;&gt;"",AF6*(1+Assumptions!$J$10),""))</f>
        <v>0</v>
      </c>
      <c r="AH6" s="10" t="n">
        <f aca="false">IF(AD6&lt;&gt;"",AD6*(1+Assumptions!$K$10),IF(AG6&lt;&gt;"",AG6*(1+Assumptions!$K$10),""))</f>
        <v>0</v>
      </c>
    </row>
    <row r="7" customFormat="false" ht="15" hidden="false" customHeight="true" outlineLevel="0" collapsed="false">
      <c r="A7" s="4" t="s">
        <v>266</v>
      </c>
      <c r="B7" s="9"/>
      <c r="C7" s="9"/>
      <c r="D7" s="9"/>
      <c r="E7" s="9"/>
      <c r="F7" s="9"/>
      <c r="G7" s="9"/>
      <c r="H7" s="9"/>
      <c r="I7" s="9"/>
      <c r="J7" s="9"/>
      <c r="K7" s="9"/>
      <c r="L7" s="9" t="n">
        <v>23.012</v>
      </c>
      <c r="M7" s="9" t="n">
        <v>31.101</v>
      </c>
      <c r="N7" s="9" t="n">
        <v>24.015</v>
      </c>
      <c r="O7" s="9" t="n">
        <v>42.497</v>
      </c>
      <c r="P7" s="9" t="n">
        <v>30.917</v>
      </c>
      <c r="Q7" s="9" t="n">
        <v>30.249</v>
      </c>
      <c r="R7" s="9" t="n">
        <v>57.658</v>
      </c>
      <c r="S7" s="9" t="n">
        <v>73.763</v>
      </c>
      <c r="T7" s="9" t="n">
        <v>51.973</v>
      </c>
      <c r="U7" s="9" t="n">
        <v>77.715</v>
      </c>
      <c r="V7" s="9" t="n">
        <v>83.941</v>
      </c>
      <c r="W7" s="9" t="n">
        <v>138.348</v>
      </c>
      <c r="X7" s="9"/>
      <c r="Y7" s="9"/>
      <c r="Z7" s="9"/>
      <c r="AA7" s="10" t="n">
        <f aca="false">Z7*(1+Assumptions!$D$11)</f>
        <v>0</v>
      </c>
      <c r="AB7" s="10" t="n">
        <f aca="false">IF(X7&lt;&gt;"",X7*(1+Assumptions!$E$11),IF(AA7&lt;&gt;"",AA7*(1+Assumptions!$E$11),""))</f>
        <v>0</v>
      </c>
      <c r="AC7" s="10" t="n">
        <f aca="false">IF(Y7&lt;&gt;"",Y7*(1+Assumptions!$F$11),IF(AB7&lt;&gt;"",AB7*(1+Assumptions!$F$11),""))</f>
        <v>0</v>
      </c>
      <c r="AD7" s="10" t="n">
        <f aca="false">IF(Z7&lt;&gt;"",Z7*(1+Assumptions!$G$11),IF(AC7&lt;&gt;"",AC7*(1+Assumptions!$G$11),""))</f>
        <v>0</v>
      </c>
      <c r="AE7" s="10" t="n">
        <f aca="false">IF(AA7&lt;&gt;"",AA7*(1+Assumptions!$H$11),IF(AD7&lt;&gt;"",AD7*(1+Assumptions!$H$11),""))</f>
        <v>0</v>
      </c>
      <c r="AF7" s="10" t="n">
        <f aca="false">IF(AB7&lt;&gt;"",AB7*(1+Assumptions!$I$11),IF(AE7&lt;&gt;"",AE7*(1+Assumptions!$I$11),""))</f>
        <v>0</v>
      </c>
      <c r="AG7" s="10" t="n">
        <f aca="false">IF(AC7&lt;&gt;"",AC7*(1+Assumptions!$J$11),IF(AF7&lt;&gt;"",AF7*(1+Assumptions!$J$11),""))</f>
        <v>0</v>
      </c>
      <c r="AH7" s="10" t="n">
        <f aca="false">IF(AD7&lt;&gt;"",AD7*(1+Assumptions!$K$11),IF(AG7&lt;&gt;"",AG7*(1+Assumptions!$K$11),""))</f>
        <v>0</v>
      </c>
    </row>
    <row r="8" customFormat="false" ht="15" hidden="false" customHeight="true" outlineLevel="0" collapsed="false">
      <c r="A8" s="4" t="s">
        <v>267</v>
      </c>
      <c r="B8" s="9"/>
      <c r="C8" s="9"/>
      <c r="D8" s="9"/>
      <c r="E8" s="9"/>
      <c r="F8" s="9"/>
      <c r="G8" s="9"/>
      <c r="H8" s="9"/>
      <c r="I8" s="9"/>
      <c r="J8" s="9"/>
      <c r="K8" s="9"/>
      <c r="L8" s="9" t="n">
        <v>17.73</v>
      </c>
      <c r="M8" s="9" t="n">
        <v>18.849</v>
      </c>
      <c r="N8" s="9" t="n">
        <v>18.051</v>
      </c>
      <c r="O8" s="9" t="n">
        <v>21.372</v>
      </c>
      <c r="P8" s="9" t="n">
        <v>23.223</v>
      </c>
      <c r="Q8" s="9" t="n">
        <v>17.794</v>
      </c>
      <c r="R8" s="9" t="n">
        <v>15.63</v>
      </c>
      <c r="S8" s="9" t="n">
        <v>19.48</v>
      </c>
      <c r="T8" s="9" t="n">
        <v>17.534</v>
      </c>
      <c r="U8" s="9" t="n">
        <v>25.327</v>
      </c>
      <c r="V8" s="9" t="n">
        <v>19.945</v>
      </c>
      <c r="W8" s="9" t="n">
        <v>24.066</v>
      </c>
      <c r="X8" s="9"/>
      <c r="Y8" s="9"/>
      <c r="Z8" s="9"/>
      <c r="AA8" s="10" t="n">
        <f aca="false">Z8*(1+Assumptions!$D$12)</f>
        <v>0</v>
      </c>
      <c r="AB8" s="10" t="n">
        <f aca="false">IF(X8&lt;&gt;"",X8*(1+Assumptions!$E$12),IF(AA8&lt;&gt;"",AA8*(1+Assumptions!$E$12),""))</f>
        <v>0</v>
      </c>
      <c r="AC8" s="10" t="n">
        <f aca="false">IF(Y8&lt;&gt;"",Y8*(1+Assumptions!$F$12),IF(AB8&lt;&gt;"",AB8*(1+Assumptions!$F$12),""))</f>
        <v>0</v>
      </c>
      <c r="AD8" s="10" t="n">
        <f aca="false">IF(Z8&lt;&gt;"",Z8*(1+Assumptions!$G$12),IF(AC8&lt;&gt;"",AC8*(1+Assumptions!$G$12),""))</f>
        <v>0</v>
      </c>
      <c r="AE8" s="10" t="n">
        <f aca="false">IF(AA8&lt;&gt;"",AA8*(1+Assumptions!$H$12),IF(AD8&lt;&gt;"",AD8*(1+Assumptions!$H$12),""))</f>
        <v>0</v>
      </c>
      <c r="AF8" s="10" t="n">
        <f aca="false">IF(AB8&lt;&gt;"",AB8*(1+Assumptions!$I$12),IF(AE8&lt;&gt;"",AE8*(1+Assumptions!$I$12),""))</f>
        <v>0</v>
      </c>
      <c r="AG8" s="10" t="n">
        <f aca="false">IF(AC8&lt;&gt;"",AC8*(1+Assumptions!$J$12),IF(AF8&lt;&gt;"",AF8*(1+Assumptions!$J$12),""))</f>
        <v>0</v>
      </c>
      <c r="AH8" s="10" t="n">
        <f aca="false">IF(AD8&lt;&gt;"",AD8*(1+Assumptions!$K$12),IF(AG8&lt;&gt;"",AG8*(1+Assumptions!$K$12),""))</f>
        <v>0</v>
      </c>
    </row>
    <row r="9" customFormat="false" ht="15" hidden="false" customHeight="true" outlineLevel="0" collapsed="false">
      <c r="A9" s="4" t="s">
        <v>259</v>
      </c>
      <c r="B9" s="9" t="n">
        <v>61.891</v>
      </c>
      <c r="C9" s="9" t="n">
        <v>135.223</v>
      </c>
      <c r="D9" s="9" t="n">
        <v>87.45</v>
      </c>
      <c r="E9" s="9" t="n">
        <v>92.665</v>
      </c>
      <c r="F9" s="9" t="n">
        <v>78.782</v>
      </c>
      <c r="G9" s="9" t="n">
        <v>136.015</v>
      </c>
      <c r="H9" s="9" t="n">
        <v>101.009</v>
      </c>
      <c r="I9" s="9" t="n">
        <v>122.008</v>
      </c>
      <c r="J9" s="9" t="n">
        <v>90.093</v>
      </c>
      <c r="K9" s="9" t="n">
        <v>132.622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 t="n">
        <v>454.676</v>
      </c>
      <c r="Y9" s="9" t="n">
        <v>472.508</v>
      </c>
      <c r="Z9" s="9" t="n">
        <v>408.045</v>
      </c>
      <c r="AA9" s="10" t="n">
        <f aca="false">Z9*(1+Assumptions!$D$13)</f>
        <v>565.142325</v>
      </c>
      <c r="AB9" s="10" t="n">
        <f aca="false">IF(X9&lt;&gt;"",X9*(1+Assumptions!$E$13),IF(AA9&lt;&gt;"",AA9*(1+Assumptions!$E$13),""))</f>
        <v>527.42416</v>
      </c>
      <c r="AC9" s="10" t="n">
        <f aca="false">IF(Y9&lt;&gt;"",Y9*(1+Assumptions!$F$13),IF(AB9&lt;&gt;"",AB9*(1+Assumptions!$F$13),""))</f>
        <v>548.10928</v>
      </c>
      <c r="AD9" s="10" t="n">
        <f aca="false">IF(Z9&lt;&gt;"",Z9*(1+Assumptions!$G$13),IF(AC9&lt;&gt;"",AC9*(1+Assumptions!$G$13),""))</f>
        <v>473.3322</v>
      </c>
      <c r="AE9" s="10" t="n">
        <f aca="false">IF(AA9&lt;&gt;"",AA9*(1+Assumptions!$H$13),IF(AD9&lt;&gt;"",AD9*(1+Assumptions!$H$13),""))</f>
        <v>655.565097</v>
      </c>
      <c r="AF9" s="10" t="n">
        <f aca="false">IF(AB9&lt;&gt;"",AB9*(1+Assumptions!$I$13),IF(AE9&lt;&gt;"",AE9*(1+Assumptions!$I$13),""))</f>
        <v>590.7150592</v>
      </c>
      <c r="AG9" s="10" t="n">
        <f aca="false">IF(AC9&lt;&gt;"",AC9*(1+Assumptions!$J$13),IF(AF9&lt;&gt;"",AF9*(1+Assumptions!$J$13),""))</f>
        <v>613.8823936</v>
      </c>
      <c r="AH9" s="10" t="n">
        <f aca="false">IF(AD9&lt;&gt;"",AD9*(1+Assumptions!$K$13),IF(AG9&lt;&gt;"",AG9*(1+Assumptions!$K$13),""))</f>
        <v>530.132064</v>
      </c>
    </row>
    <row r="10" customFormat="false" ht="15" hidden="false" customHeight="true" outlineLevel="0" collapsed="false">
      <c r="A10" s="11" t="s">
        <v>260</v>
      </c>
      <c r="B10" s="12" t="n">
        <f aca="false">SUM(B6,B7,B8,B9)</f>
        <v>61.891</v>
      </c>
      <c r="C10" s="12" t="n">
        <f aca="false">SUM(C6,C7,C8,C9)</f>
        <v>135.223</v>
      </c>
      <c r="D10" s="12" t="n">
        <f aca="false">SUM(D6,D7,D8,D9)</f>
        <v>87.45</v>
      </c>
      <c r="E10" s="12" t="n">
        <f aca="false">SUM(E6,E7,E8,E9)</f>
        <v>92.665</v>
      </c>
      <c r="F10" s="12" t="n">
        <f aca="false">SUM(F6,F7,F8,F9)</f>
        <v>78.782</v>
      </c>
      <c r="G10" s="12" t="n">
        <f aca="false">SUM(G6,G7,G8,G9)</f>
        <v>136.015</v>
      </c>
      <c r="H10" s="12" t="n">
        <f aca="false">SUM(H6,H7,H8,H9)</f>
        <v>101.009</v>
      </c>
      <c r="I10" s="12" t="n">
        <f aca="false">SUM(I6,I7,I8,I9)</f>
        <v>122.008</v>
      </c>
      <c r="J10" s="12" t="n">
        <f aca="false">SUM(J6,J7,J8,J9)</f>
        <v>90.093</v>
      </c>
      <c r="K10" s="12" t="n">
        <f aca="false">SUM(K6,K7,K8,K9)</f>
        <v>132.622</v>
      </c>
      <c r="L10" s="12" t="n">
        <f aca="false">SUM(L6,L7,L8,L9)</f>
        <v>108.516</v>
      </c>
      <c r="M10" s="12" t="n">
        <f aca="false">SUM(M6,M7,M8,M9)</f>
        <v>111.584</v>
      </c>
      <c r="N10" s="12" t="n">
        <f aca="false">SUM(N6,N7,N8,N9)</f>
        <v>134.395</v>
      </c>
      <c r="O10" s="12" t="n">
        <f aca="false">SUM(O6,O7,O8,O9)</f>
        <v>186.041</v>
      </c>
      <c r="P10" s="12" t="n">
        <f aca="false">SUM(P6,P7,P8,P9)</f>
        <v>152.347</v>
      </c>
      <c r="Q10" s="12" t="n">
        <f aca="false">SUM(Q6,Q7,Q8,Q9)</f>
        <v>180.816</v>
      </c>
      <c r="R10" s="12" t="n">
        <f aca="false">SUM(R6,R7,R8,R9)</f>
        <v>186.578</v>
      </c>
      <c r="S10" s="12" t="n">
        <f aca="false">SUM(S6,S7,S8,S9)</f>
        <v>196.979</v>
      </c>
      <c r="T10" s="12" t="n">
        <f aca="false">SUM(T6,T7,T8,T9)</f>
        <v>189.483</v>
      </c>
      <c r="U10" s="12" t="n">
        <f aca="false">SUM(U6,U7,U8,U9)</f>
        <v>188.458</v>
      </c>
      <c r="V10" s="12" t="n">
        <f aca="false">SUM(V6,V7,V8,V9)</f>
        <v>167.636</v>
      </c>
      <c r="W10" s="12" t="n">
        <f aca="false">SUM(W6,W7,W8,W9)</f>
        <v>275.05</v>
      </c>
      <c r="X10" s="12" t="n">
        <f aca="false">SUM(X6,X7,X8,X9)</f>
        <v>454.676</v>
      </c>
      <c r="Y10" s="12" t="n">
        <f aca="false">SUM(Y6,Y7,Y8,Y9)</f>
        <v>472.508</v>
      </c>
      <c r="Z10" s="12" t="n">
        <f aca="false">SUM(Z6,Z7,Z8,Z9)</f>
        <v>408.045</v>
      </c>
      <c r="AA10" s="13" t="n">
        <f aca="false">SUM(AA6,AA7,AA8,AA9)</f>
        <v>565.142325</v>
      </c>
      <c r="AB10" s="13" t="n">
        <f aca="false">SUM(AB6,AB7,AB8,AB9)</f>
        <v>527.42416</v>
      </c>
      <c r="AC10" s="13" t="n">
        <f aca="false">SUM(AC6,AC7,AC8,AC9)</f>
        <v>548.10928</v>
      </c>
      <c r="AD10" s="13" t="n">
        <f aca="false">SUM(AD6,AD7,AD8,AD9)</f>
        <v>473.3322</v>
      </c>
      <c r="AE10" s="13" t="n">
        <f aca="false">SUM(AE6,AE7,AE8,AE9)</f>
        <v>655.565097</v>
      </c>
      <c r="AF10" s="13" t="n">
        <f aca="false">SUM(AF6,AF7,AF8,AF9)</f>
        <v>590.7150592</v>
      </c>
      <c r="AG10" s="13" t="n">
        <f aca="false">SUM(AG6,AG7,AG8,AG9)</f>
        <v>613.8823936</v>
      </c>
      <c r="AH10" s="13" t="n">
        <f aca="false">SUM(AH6,AH7,AH8,AH9)</f>
        <v>530.132064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269</v>
      </c>
      <c r="B6" s="9" t="n">
        <v>36.965</v>
      </c>
      <c r="C6" s="9" t="n">
        <v>63.02</v>
      </c>
      <c r="D6" s="9" t="n">
        <v>56.202</v>
      </c>
      <c r="E6" s="9" t="n">
        <v>58.265</v>
      </c>
      <c r="F6" s="9" t="n">
        <v>50.536</v>
      </c>
      <c r="G6" s="9" t="n">
        <v>70.851</v>
      </c>
      <c r="H6" s="9" t="n">
        <v>39.924</v>
      </c>
      <c r="I6" s="9" t="n">
        <v>54.714</v>
      </c>
      <c r="J6" s="9" t="n">
        <v>24.366</v>
      </c>
      <c r="K6" s="9" t="n">
        <v>59.198</v>
      </c>
      <c r="L6" s="9" t="n">
        <v>43.256</v>
      </c>
      <c r="M6" s="9" t="n">
        <v>26.681</v>
      </c>
      <c r="N6" s="9" t="n">
        <v>69.376</v>
      </c>
      <c r="O6" s="9" t="n">
        <v>94.595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 t="n">
        <f aca="false">Z6*(1+Assumptions!$D$14)</f>
        <v>0</v>
      </c>
      <c r="AB6" s="10" t="n">
        <f aca="false">IF(X6&lt;&gt;"",X6*(1+Assumptions!$E$14),IF(AA6&lt;&gt;"",AA6*(1+Assumptions!$E$14),""))</f>
        <v>0</v>
      </c>
      <c r="AC6" s="10" t="n">
        <f aca="false">IF(Y6&lt;&gt;"",Y6*(1+Assumptions!$F$14),IF(AB6&lt;&gt;"",AB6*(1+Assumptions!$F$14),""))</f>
        <v>0</v>
      </c>
      <c r="AD6" s="10" t="n">
        <f aca="false">IF(Z6&lt;&gt;"",Z6*(1+Assumptions!$G$14),IF(AC6&lt;&gt;"",AC6*(1+Assumptions!$G$14),""))</f>
        <v>0</v>
      </c>
      <c r="AE6" s="10" t="n">
        <f aca="false">IF(AA6&lt;&gt;"",AA6*(1+Assumptions!$H$14),IF(AD6&lt;&gt;"",AD6*(1+Assumptions!$H$14),""))</f>
        <v>0</v>
      </c>
      <c r="AF6" s="10" t="n">
        <f aca="false">IF(AB6&lt;&gt;"",AB6*(1+Assumptions!$I$14),IF(AE6&lt;&gt;"",AE6*(1+Assumptions!$I$14),""))</f>
        <v>0</v>
      </c>
      <c r="AG6" s="10" t="n">
        <f aca="false">IF(AC6&lt;&gt;"",AC6*(1+Assumptions!$J$14),IF(AF6&lt;&gt;"",AF6*(1+Assumptions!$J$14),""))</f>
        <v>0</v>
      </c>
      <c r="AH6" s="10" t="n">
        <f aca="false">IF(AD6&lt;&gt;"",AD6*(1+Assumptions!$K$14),IF(AG6&lt;&gt;"",AG6*(1+Assumptions!$K$14),""))</f>
        <v>0</v>
      </c>
    </row>
    <row r="7" customFormat="false" ht="15" hidden="false" customHeight="true" outlineLevel="0" collapsed="false">
      <c r="A7" s="4" t="s">
        <v>270</v>
      </c>
      <c r="B7" s="9" t="n">
        <v>7.908</v>
      </c>
      <c r="C7" s="9" t="n">
        <v>42.362</v>
      </c>
      <c r="D7" s="9" t="n">
        <v>9.534</v>
      </c>
      <c r="E7" s="9" t="n">
        <v>18.961</v>
      </c>
      <c r="F7" s="9" t="n">
        <v>19.598</v>
      </c>
      <c r="G7" s="9" t="n">
        <v>39.175</v>
      </c>
      <c r="H7" s="9" t="n">
        <v>19.176</v>
      </c>
      <c r="I7" s="9" t="n">
        <v>18.418</v>
      </c>
      <c r="J7" s="9" t="n">
        <v>18.603</v>
      </c>
      <c r="K7" s="9" t="n">
        <v>20.217</v>
      </c>
      <c r="L7" s="9" t="n">
        <v>23.011</v>
      </c>
      <c r="M7" s="9" t="n">
        <v>31.101</v>
      </c>
      <c r="N7" s="9" t="n">
        <v>24.015</v>
      </c>
      <c r="O7" s="9" t="n">
        <v>42.497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 t="n">
        <f aca="false">Z7*(1+Assumptions!$D$15)</f>
        <v>0</v>
      </c>
      <c r="AB7" s="10" t="n">
        <f aca="false">IF(X7&lt;&gt;"",X7*(1+Assumptions!$E$15),IF(AA7&lt;&gt;"",AA7*(1+Assumptions!$E$15),""))</f>
        <v>0</v>
      </c>
      <c r="AC7" s="10" t="n">
        <f aca="false">IF(Y7&lt;&gt;"",Y7*(1+Assumptions!$F$15),IF(AB7&lt;&gt;"",AB7*(1+Assumptions!$F$15),""))</f>
        <v>0</v>
      </c>
      <c r="AD7" s="10" t="n">
        <f aca="false">IF(Z7&lt;&gt;"",Z7*(1+Assumptions!$G$15),IF(AC7&lt;&gt;"",AC7*(1+Assumptions!$G$15),""))</f>
        <v>0</v>
      </c>
      <c r="AE7" s="10" t="n">
        <f aca="false">IF(AA7&lt;&gt;"",AA7*(1+Assumptions!$H$15),IF(AD7&lt;&gt;"",AD7*(1+Assumptions!$H$15),""))</f>
        <v>0</v>
      </c>
      <c r="AF7" s="10" t="n">
        <f aca="false">IF(AB7&lt;&gt;"",AB7*(1+Assumptions!$I$15),IF(AE7&lt;&gt;"",AE7*(1+Assumptions!$I$15),""))</f>
        <v>0</v>
      </c>
      <c r="AG7" s="10" t="n">
        <f aca="false">IF(AC7&lt;&gt;"",AC7*(1+Assumptions!$J$15),IF(AF7&lt;&gt;"",AF7*(1+Assumptions!$J$15),""))</f>
        <v>0</v>
      </c>
      <c r="AH7" s="10" t="n">
        <f aca="false">IF(AD7&lt;&gt;"",AD7*(1+Assumptions!$K$15),IF(AG7&lt;&gt;"",AG7*(1+Assumptions!$K$15),""))</f>
        <v>0</v>
      </c>
    </row>
    <row r="8" customFormat="false" ht="15" hidden="false" customHeight="true" outlineLevel="0" collapsed="false">
      <c r="A8" s="4" t="s">
        <v>271</v>
      </c>
      <c r="B8" s="9"/>
      <c r="C8" s="9"/>
      <c r="D8" s="9"/>
      <c r="E8" s="9"/>
      <c r="F8" s="9"/>
      <c r="G8" s="9" t="n">
        <v>15.837</v>
      </c>
      <c r="H8" s="9" t="n">
        <v>22.379</v>
      </c>
      <c r="I8" s="9" t="n">
        <v>26.525</v>
      </c>
      <c r="J8" s="9" t="n">
        <v>21.168</v>
      </c>
      <c r="K8" s="9" t="n">
        <v>23.083</v>
      </c>
      <c r="L8" s="9" t="n">
        <v>19.262</v>
      </c>
      <c r="M8" s="9" t="n">
        <v>27.281</v>
      </c>
      <c r="N8" s="9" t="n">
        <v>15.405</v>
      </c>
      <c r="O8" s="9" t="n">
        <v>8.379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 t="n">
        <f aca="false">Z8*(1+Assumptions!$D$16)</f>
        <v>0</v>
      </c>
      <c r="AB8" s="10" t="n">
        <f aca="false">IF(X8&lt;&gt;"",X8*(1+Assumptions!$E$16),IF(AA8&lt;&gt;"",AA8*(1+Assumptions!$E$16),""))</f>
        <v>0</v>
      </c>
      <c r="AC8" s="10" t="n">
        <f aca="false">IF(Y8&lt;&gt;"",Y8*(1+Assumptions!$F$16),IF(AB8&lt;&gt;"",AB8*(1+Assumptions!$F$16),""))</f>
        <v>0</v>
      </c>
      <c r="AD8" s="10" t="n">
        <f aca="false">IF(Z8&lt;&gt;"",Z8*(1+Assumptions!$G$16),IF(AC8&lt;&gt;"",AC8*(1+Assumptions!$G$16),""))</f>
        <v>0</v>
      </c>
      <c r="AE8" s="10" t="n">
        <f aca="false">IF(AA8&lt;&gt;"",AA8*(1+Assumptions!$H$16),IF(AD8&lt;&gt;"",AD8*(1+Assumptions!$H$16),""))</f>
        <v>0</v>
      </c>
      <c r="AF8" s="10" t="n">
        <f aca="false">IF(AB8&lt;&gt;"",AB8*(1+Assumptions!$I$16),IF(AE8&lt;&gt;"",AE8*(1+Assumptions!$I$16),""))</f>
        <v>0</v>
      </c>
      <c r="AG8" s="10" t="n">
        <f aca="false">IF(AC8&lt;&gt;"",AC8*(1+Assumptions!$J$16),IF(AF8&lt;&gt;"",AF8*(1+Assumptions!$J$16),""))</f>
        <v>0</v>
      </c>
      <c r="AH8" s="10" t="n">
        <f aca="false">IF(AD8&lt;&gt;"",AD8*(1+Assumptions!$K$16),IF(AG8&lt;&gt;"",AG8*(1+Assumptions!$K$16),""))</f>
        <v>0</v>
      </c>
    </row>
    <row r="9" customFormat="false" ht="15" hidden="false" customHeight="true" outlineLevel="0" collapsed="false">
      <c r="A9" s="4" t="s">
        <v>272</v>
      </c>
      <c r="B9" s="9" t="n">
        <v>11.762</v>
      </c>
      <c r="C9" s="9" t="n">
        <v>23.374</v>
      </c>
      <c r="D9" s="9" t="n">
        <v>16.386</v>
      </c>
      <c r="E9" s="9" t="n">
        <v>11.452</v>
      </c>
      <c r="F9" s="9" t="n">
        <v>7.48</v>
      </c>
      <c r="G9" s="9" t="n">
        <v>7.108</v>
      </c>
      <c r="H9" s="9" t="n">
        <v>10.352</v>
      </c>
      <c r="I9" s="9" t="n">
        <v>10.342</v>
      </c>
      <c r="J9" s="9" t="n">
        <v>9.543</v>
      </c>
      <c r="K9" s="9" t="n">
        <v>13.088</v>
      </c>
      <c r="L9" s="9" t="n">
        <v>10.215</v>
      </c>
      <c r="M9" s="9" t="n">
        <v>9.066</v>
      </c>
      <c r="N9" s="9" t="n">
        <v>8.938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 t="n">
        <f aca="false">Z9*(1+Assumptions!$D$17)</f>
        <v>0</v>
      </c>
      <c r="AB9" s="10" t="n">
        <f aca="false">IF(X9&lt;&gt;"",X9*(1+Assumptions!$E$17),IF(AA9&lt;&gt;"",AA9*(1+Assumptions!$E$17),""))</f>
        <v>0</v>
      </c>
      <c r="AC9" s="10" t="n">
        <f aca="false">IF(Y9&lt;&gt;"",Y9*(1+Assumptions!$F$17),IF(AB9&lt;&gt;"",AB9*(1+Assumptions!$F$17),""))</f>
        <v>0</v>
      </c>
      <c r="AD9" s="10" t="n">
        <f aca="false">IF(Z9&lt;&gt;"",Z9*(1+Assumptions!$G$17),IF(AC9&lt;&gt;"",AC9*(1+Assumptions!$G$17),""))</f>
        <v>0</v>
      </c>
      <c r="AE9" s="10" t="n">
        <f aca="false">IF(AA9&lt;&gt;"",AA9*(1+Assumptions!$H$17),IF(AD9&lt;&gt;"",AD9*(1+Assumptions!$H$17),""))</f>
        <v>0</v>
      </c>
      <c r="AF9" s="10" t="n">
        <f aca="false">IF(AB9&lt;&gt;"",AB9*(1+Assumptions!$I$17),IF(AE9&lt;&gt;"",AE9*(1+Assumptions!$I$17),""))</f>
        <v>0</v>
      </c>
      <c r="AG9" s="10" t="n">
        <f aca="false">IF(AC9&lt;&gt;"",AC9*(1+Assumptions!$J$17),IF(AF9&lt;&gt;"",AF9*(1+Assumptions!$J$17),""))</f>
        <v>0</v>
      </c>
      <c r="AH9" s="10" t="n">
        <f aca="false">IF(AD9&lt;&gt;"",AD9*(1+Assumptions!$K$17),IF(AG9&lt;&gt;"",AG9*(1+Assumptions!$K$17),""))</f>
        <v>0</v>
      </c>
    </row>
    <row r="10" customFormat="false" ht="15" hidden="false" customHeight="true" outlineLevel="0" collapsed="false">
      <c r="A10" s="4" t="s">
        <v>273</v>
      </c>
      <c r="B10" s="9" t="n">
        <v>5.256</v>
      </c>
      <c r="C10" s="9" t="n">
        <v>6.467</v>
      </c>
      <c r="D10" s="9" t="n">
        <v>5.328</v>
      </c>
      <c r="E10" s="9" t="n">
        <v>3.987</v>
      </c>
      <c r="F10" s="9" t="n">
        <v>1.168</v>
      </c>
      <c r="G10" s="9" t="n">
        <v>3.044</v>
      </c>
      <c r="H10" s="9" t="n">
        <v>9.178</v>
      </c>
      <c r="I10" s="9" t="n">
        <v>12.009</v>
      </c>
      <c r="J10" s="9" t="n">
        <v>16.413</v>
      </c>
      <c r="K10" s="9" t="n">
        <v>17.035</v>
      </c>
      <c r="L10" s="9" t="n">
        <v>12.772</v>
      </c>
      <c r="M10" s="9" t="n">
        <v>17.455</v>
      </c>
      <c r="N10" s="9" t="n">
        <v>16.661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 t="n">
        <f aca="false">Z10*(1+Assumptions!$D$18)</f>
        <v>0</v>
      </c>
      <c r="AB10" s="10" t="n">
        <f aca="false">IF(X10&lt;&gt;"",X10*(1+Assumptions!$E$18),IF(AA10&lt;&gt;"",AA10*(1+Assumptions!$E$18),""))</f>
        <v>0</v>
      </c>
      <c r="AC10" s="10" t="n">
        <f aca="false">IF(Y10&lt;&gt;"",Y10*(1+Assumptions!$F$18),IF(AB10&lt;&gt;"",AB10*(1+Assumptions!$F$18),""))</f>
        <v>0</v>
      </c>
      <c r="AD10" s="10" t="n">
        <f aca="false">IF(Z10&lt;&gt;"",Z10*(1+Assumptions!$G$18),IF(AC10&lt;&gt;"",AC10*(1+Assumptions!$G$18),""))</f>
        <v>0</v>
      </c>
      <c r="AE10" s="10" t="n">
        <f aca="false">IF(AA10&lt;&gt;"",AA10*(1+Assumptions!$H$18),IF(AD10&lt;&gt;"",AD10*(1+Assumptions!$H$18),""))</f>
        <v>0</v>
      </c>
      <c r="AF10" s="10" t="n">
        <f aca="false">IF(AB10&lt;&gt;"",AB10*(1+Assumptions!$I$18),IF(AE10&lt;&gt;"",AE10*(1+Assumptions!$I$18),""))</f>
        <v>0</v>
      </c>
      <c r="AG10" s="10" t="n">
        <f aca="false">IF(AC10&lt;&gt;"",AC10*(1+Assumptions!$J$18),IF(AF10&lt;&gt;"",AF10*(1+Assumptions!$J$18),""))</f>
        <v>0</v>
      </c>
      <c r="AH10" s="10" t="n">
        <f aca="false">IF(AD10&lt;&gt;"",AD10*(1+Assumptions!$K$18),IF(AG10&lt;&gt;"",AG10*(1+Assumptions!$K$18),""))</f>
        <v>0</v>
      </c>
    </row>
    <row r="11" customFormat="false" ht="15" hidden="false" customHeight="true" outlineLevel="0" collapsed="false">
      <c r="A11" s="4" t="s">
        <v>274</v>
      </c>
      <c r="B11" s="9" t="n">
        <v>17.018</v>
      </c>
      <c r="C11" s="9" t="n">
        <v>29.841</v>
      </c>
      <c r="D11" s="9" t="n">
        <v>21.714</v>
      </c>
      <c r="E11" s="9" t="n">
        <v>15.439</v>
      </c>
      <c r="F11" s="9" t="n">
        <v>8.648</v>
      </c>
      <c r="G11" s="9" t="n">
        <v>10.152</v>
      </c>
      <c r="H11" s="9" t="n">
        <v>19.53</v>
      </c>
      <c r="I11" s="9" t="n">
        <v>22.351</v>
      </c>
      <c r="J11" s="9" t="n">
        <v>25.956</v>
      </c>
      <c r="K11" s="9" t="n">
        <v>30.124</v>
      </c>
      <c r="L11" s="9" t="n">
        <v>22.987</v>
      </c>
      <c r="M11" s="9" t="n">
        <v>26.521</v>
      </c>
      <c r="N11" s="9" t="n">
        <v>25.599</v>
      </c>
      <c r="O11" s="9" t="n">
        <v>40.57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 t="n">
        <f aca="false">Z11*(1+Assumptions!$D$19)</f>
        <v>0</v>
      </c>
      <c r="AB11" s="10" t="n">
        <f aca="false">IF(X11&lt;&gt;"",X11*(1+Assumptions!$E$19),IF(AA11&lt;&gt;"",AA11*(1+Assumptions!$E$19),""))</f>
        <v>0</v>
      </c>
      <c r="AC11" s="10" t="n">
        <f aca="false">IF(Y11&lt;&gt;"",Y11*(1+Assumptions!$F$19),IF(AB11&lt;&gt;"",AB11*(1+Assumptions!$F$19),""))</f>
        <v>0</v>
      </c>
      <c r="AD11" s="10" t="n">
        <f aca="false">IF(Z11&lt;&gt;"",Z11*(1+Assumptions!$G$19),IF(AC11&lt;&gt;"",AC11*(1+Assumptions!$G$19),""))</f>
        <v>0</v>
      </c>
      <c r="AE11" s="10" t="n">
        <f aca="false">IF(AA11&lt;&gt;"",AA11*(1+Assumptions!$H$19),IF(AD11&lt;&gt;"",AD11*(1+Assumptions!$H$19),""))</f>
        <v>0</v>
      </c>
      <c r="AF11" s="10" t="n">
        <f aca="false">IF(AB11&lt;&gt;"",AB11*(1+Assumptions!$I$19),IF(AE11&lt;&gt;"",AE11*(1+Assumptions!$I$19),""))</f>
        <v>0</v>
      </c>
      <c r="AG11" s="10" t="n">
        <f aca="false">IF(AC11&lt;&gt;"",AC11*(1+Assumptions!$J$19),IF(AF11&lt;&gt;"",AF11*(1+Assumptions!$J$19),""))</f>
        <v>0</v>
      </c>
      <c r="AH11" s="10" t="n">
        <f aca="false">IF(AD11&lt;&gt;"",AD11*(1+Assumptions!$K$19),IF(AG11&lt;&gt;"",AG11*(1+Assumptions!$K$19),""))</f>
        <v>0</v>
      </c>
    </row>
    <row r="12" customFormat="false" ht="15" hidden="false" customHeight="true" outlineLevel="0" collapsed="false">
      <c r="A12" s="4" t="s">
        <v>259</v>
      </c>
      <c r="B12" s="9" t="n">
        <v>-17.018</v>
      </c>
      <c r="C12" s="9" t="n">
        <v>-29.841</v>
      </c>
      <c r="D12" s="9" t="n">
        <v>-21.714</v>
      </c>
      <c r="E12" s="9" t="n">
        <v>-15.439</v>
      </c>
      <c r="F12" s="9" t="n">
        <v>-8.64800000000001</v>
      </c>
      <c r="G12" s="9" t="n">
        <v>-10.152</v>
      </c>
      <c r="H12" s="9" t="n">
        <v>-19.53</v>
      </c>
      <c r="I12" s="9" t="n">
        <v>-22.351</v>
      </c>
      <c r="J12" s="9" t="n">
        <v>-25.956</v>
      </c>
      <c r="K12" s="9" t="n">
        <v>-30.123</v>
      </c>
      <c r="L12" s="9" t="n">
        <v>-22.987</v>
      </c>
      <c r="M12" s="9" t="n">
        <v>-26.521</v>
      </c>
      <c r="N12" s="9" t="n">
        <v>-25.599</v>
      </c>
      <c r="O12" s="9"/>
      <c r="P12" s="9" t="n">
        <v>152.347</v>
      </c>
      <c r="Q12" s="9" t="n">
        <v>180.816</v>
      </c>
      <c r="R12" s="9" t="n">
        <v>186.578</v>
      </c>
      <c r="S12" s="9" t="n">
        <v>196.979</v>
      </c>
      <c r="T12" s="9" t="n">
        <v>189.483</v>
      </c>
      <c r="U12" s="9" t="n">
        <v>188.458</v>
      </c>
      <c r="V12" s="9" t="n">
        <v>167.636</v>
      </c>
      <c r="W12" s="9" t="n">
        <v>275.05</v>
      </c>
      <c r="X12" s="9" t="n">
        <v>454.676</v>
      </c>
      <c r="Y12" s="9" t="n">
        <v>472.508</v>
      </c>
      <c r="Z12" s="9" t="n">
        <v>408.045</v>
      </c>
      <c r="AA12" s="10" t="n">
        <f aca="false">Z12*(1+Assumptions!$D$20)</f>
        <v>565.142325</v>
      </c>
      <c r="AB12" s="10" t="n">
        <f aca="false">IF(X12&lt;&gt;"",X12*(1+Assumptions!$E$20),IF(AA12&lt;&gt;"",AA12*(1+Assumptions!$E$20),""))</f>
        <v>527.42416</v>
      </c>
      <c r="AC12" s="10" t="n">
        <f aca="false">IF(Y12&lt;&gt;"",Y12*(1+Assumptions!$F$20),IF(AB12&lt;&gt;"",AB12*(1+Assumptions!$F$20),""))</f>
        <v>548.10928</v>
      </c>
      <c r="AD12" s="10" t="n">
        <f aca="false">IF(Z12&lt;&gt;"",Z12*(1+Assumptions!$G$20),IF(AC12&lt;&gt;"",AC12*(1+Assumptions!$G$20),""))</f>
        <v>473.3322</v>
      </c>
      <c r="AE12" s="10" t="n">
        <f aca="false">IF(AA12&lt;&gt;"",AA12*(1+Assumptions!$H$20),IF(AD12&lt;&gt;"",AD12*(1+Assumptions!$H$20),""))</f>
        <v>655.565097</v>
      </c>
      <c r="AF12" s="10" t="n">
        <f aca="false">IF(AB12&lt;&gt;"",AB12*(1+Assumptions!$I$20),IF(AE12&lt;&gt;"",AE12*(1+Assumptions!$I$20),""))</f>
        <v>590.7150592</v>
      </c>
      <c r="AG12" s="10" t="n">
        <f aca="false">IF(AC12&lt;&gt;"",AC12*(1+Assumptions!$J$20),IF(AF12&lt;&gt;"",AF12*(1+Assumptions!$J$20),""))</f>
        <v>613.8823936</v>
      </c>
      <c r="AH12" s="10" t="n">
        <f aca="false">IF(AD12&lt;&gt;"",AD12*(1+Assumptions!$K$20),IF(AG12&lt;&gt;"",AG12*(1+Assumptions!$K$20),""))</f>
        <v>530.132064</v>
      </c>
    </row>
    <row r="13" customFormat="false" ht="15" hidden="false" customHeight="true" outlineLevel="0" collapsed="false">
      <c r="A13" s="11" t="s">
        <v>260</v>
      </c>
      <c r="B13" s="12" t="n">
        <f aca="false">SUM(B6,B7,B8,B9,B10,B11,B12)</f>
        <v>61.891</v>
      </c>
      <c r="C13" s="12" t="n">
        <f aca="false">SUM(C6,C7,C8,C9,C10,C11,C12)</f>
        <v>135.223</v>
      </c>
      <c r="D13" s="12" t="n">
        <f aca="false">SUM(D6,D7,D8,D9,D10,D11,D12)</f>
        <v>87.45</v>
      </c>
      <c r="E13" s="12" t="n">
        <f aca="false">SUM(E6,E7,E8,E9,E10,E11,E12)</f>
        <v>92.665</v>
      </c>
      <c r="F13" s="12" t="n">
        <f aca="false">SUM(F6,F7,F8,F9,F10,F11,F12)</f>
        <v>78.782</v>
      </c>
      <c r="G13" s="12" t="n">
        <f aca="false">SUM(G6,G7,G8,G9,G10,G11,G12)</f>
        <v>136.015</v>
      </c>
      <c r="H13" s="12" t="n">
        <f aca="false">SUM(H6,H7,H8,H9,H10,H11,H12)</f>
        <v>101.009</v>
      </c>
      <c r="I13" s="12" t="n">
        <f aca="false">SUM(I6,I7,I8,I9,I10,I11,I12)</f>
        <v>122.008</v>
      </c>
      <c r="J13" s="12" t="n">
        <f aca="false">SUM(J6,J7,J8,J9,J10,J11,J12)</f>
        <v>90.093</v>
      </c>
      <c r="K13" s="12" t="n">
        <f aca="false">SUM(K6,K7,K8,K9,K10,K11,K12)</f>
        <v>132.622</v>
      </c>
      <c r="L13" s="12" t="n">
        <f aca="false">SUM(L6,L7,L8,L9,L10,L11,L12)</f>
        <v>108.516</v>
      </c>
      <c r="M13" s="12" t="n">
        <f aca="false">SUM(M6,M7,M8,M9,M10,M11,M12)</f>
        <v>111.584</v>
      </c>
      <c r="N13" s="12" t="n">
        <f aca="false">SUM(N6,N7,N8,N9,N10,N11,N12)</f>
        <v>134.395</v>
      </c>
      <c r="O13" s="12" t="n">
        <f aca="false">SUM(O6,O7,O8,O9,O10,O11,O12)</f>
        <v>186.041</v>
      </c>
      <c r="P13" s="12" t="n">
        <f aca="false">SUM(P6,P7,P8,P9,P10,P11,P12)</f>
        <v>152.347</v>
      </c>
      <c r="Q13" s="12" t="n">
        <f aca="false">SUM(Q6,Q7,Q8,Q9,Q10,Q11,Q12)</f>
        <v>180.816</v>
      </c>
      <c r="R13" s="12" t="n">
        <f aca="false">SUM(R6,R7,R8,R9,R10,R11,R12)</f>
        <v>186.578</v>
      </c>
      <c r="S13" s="12" t="n">
        <f aca="false">SUM(S6,S7,S8,S9,S10,S11,S12)</f>
        <v>196.979</v>
      </c>
      <c r="T13" s="12" t="n">
        <f aca="false">SUM(T6,T7,T8,T9,T10,T11,T12)</f>
        <v>189.483</v>
      </c>
      <c r="U13" s="12" t="n">
        <f aca="false">SUM(U6,U7,U8,U9,U10,U11,U12)</f>
        <v>188.458</v>
      </c>
      <c r="V13" s="12" t="n">
        <f aca="false">SUM(V6,V7,V8,V9,V10,V11,V12)</f>
        <v>167.636</v>
      </c>
      <c r="W13" s="12" t="n">
        <f aca="false">SUM(W6,W7,W8,W9,W10,W11,W12)</f>
        <v>275.05</v>
      </c>
      <c r="X13" s="12" t="n">
        <f aca="false">SUM(X6,X7,X8,X9,X10,X11,X12)</f>
        <v>454.676</v>
      </c>
      <c r="Y13" s="12" t="n">
        <f aca="false">SUM(Y6,Y7,Y8,Y9,Y10,Y11,Y12)</f>
        <v>472.508</v>
      </c>
      <c r="Z13" s="12" t="n">
        <f aca="false">SUM(Z6,Z7,Z8,Z9,Z10,Z11,Z12)</f>
        <v>408.045</v>
      </c>
      <c r="AA13" s="13" t="n">
        <f aca="false">SUM(AA6,AA7,AA8,AA9,AA10,AA11,AA12)</f>
        <v>565.142325</v>
      </c>
      <c r="AB13" s="13" t="n">
        <f aca="false">SUM(AB6,AB7,AB8,AB9,AB10,AB11,AB12)</f>
        <v>527.42416</v>
      </c>
      <c r="AC13" s="13" t="n">
        <f aca="false">SUM(AC6,AC7,AC8,AC9,AC10,AC11,AC12)</f>
        <v>548.10928</v>
      </c>
      <c r="AD13" s="13" t="n">
        <f aca="false">SUM(AD6,AD7,AD8,AD9,AD10,AD11,AD12)</f>
        <v>473.3322</v>
      </c>
      <c r="AE13" s="13" t="n">
        <f aca="false">SUM(AE6,AE7,AE8,AE9,AE10,AE11,AE12)</f>
        <v>655.565097</v>
      </c>
      <c r="AF13" s="13" t="n">
        <f aca="false">SUM(AF6,AF7,AF8,AF9,AF10,AF11,AF12)</f>
        <v>590.7150592</v>
      </c>
      <c r="AG13" s="13" t="n">
        <f aca="false">SUM(AG6,AG7,AG8,AG9,AG10,AG11,AG12)</f>
        <v>613.8823936</v>
      </c>
      <c r="AH13" s="13" t="n">
        <f aca="false">SUM(AH6,AH7,AH8,AH9,AH10,AH11,AH12)</f>
        <v>530.132064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276</v>
      </c>
      <c r="B6" s="9" t="n">
        <v>36.432</v>
      </c>
      <c r="C6" s="9" t="n">
        <v>97.101</v>
      </c>
      <c r="D6" s="9" t="n">
        <v>58.357</v>
      </c>
      <c r="E6" s="9" t="n">
        <v>65.528</v>
      </c>
      <c r="F6" s="9" t="n">
        <v>58.348</v>
      </c>
      <c r="G6" s="9" t="n">
        <v>96.655</v>
      </c>
      <c r="H6" s="9" t="n">
        <v>53.116</v>
      </c>
      <c r="I6" s="9" t="n">
        <v>70.998</v>
      </c>
      <c r="J6" s="9" t="n">
        <v>42.599</v>
      </c>
      <c r="K6" s="9" t="n">
        <v>73.97</v>
      </c>
      <c r="L6" s="9" t="n">
        <v>57.974</v>
      </c>
      <c r="M6" s="9" t="n">
        <v>62.343</v>
      </c>
      <c r="N6" s="9" t="n">
        <v>91.216</v>
      </c>
      <c r="O6" s="9" t="n">
        <v>141.529</v>
      </c>
      <c r="P6" s="9" t="n">
        <v>119.471</v>
      </c>
      <c r="Q6" s="9" t="n">
        <v>145.779</v>
      </c>
      <c r="R6" s="9" t="n">
        <v>155.923</v>
      </c>
      <c r="S6" s="9" t="n">
        <v>164.598</v>
      </c>
      <c r="T6" s="9" t="n">
        <v>159.504</v>
      </c>
      <c r="U6" s="9" t="n">
        <v>151.231</v>
      </c>
      <c r="V6" s="9" t="n">
        <v>139.753</v>
      </c>
      <c r="W6" s="9" t="n">
        <v>242.234</v>
      </c>
      <c r="X6" s="9" t="n">
        <v>313.533</v>
      </c>
      <c r="Y6" s="9" t="n">
        <v>325.037</v>
      </c>
      <c r="Z6" s="9" t="n">
        <v>277.814</v>
      </c>
      <c r="AA6" s="10" t="n">
        <f aca="false">Z6*(1+Assumptions!$D$21)</f>
        <v>395.329322</v>
      </c>
      <c r="AB6" s="10" t="n">
        <f aca="false">IF(X6&lt;&gt;"",X6*(1+Assumptions!$E$21),IF(AA6&lt;&gt;"",AA6*(1+Assumptions!$E$21),""))</f>
        <v>376.2396</v>
      </c>
      <c r="AC6" s="10" t="n">
        <f aca="false">IF(Y6&lt;&gt;"",Y6*(1+Assumptions!$F$21),IF(AB6&lt;&gt;"",AB6*(1+Assumptions!$F$21),""))</f>
        <v>390.0444</v>
      </c>
      <c r="AD6" s="10" t="n">
        <f aca="false">IF(Z6&lt;&gt;"",Z6*(1+Assumptions!$G$21),IF(AC6&lt;&gt;"",AC6*(1+Assumptions!$G$21),""))</f>
        <v>333.3768</v>
      </c>
      <c r="AE6" s="10" t="n">
        <f aca="false">IF(AA6&lt;&gt;"",AA6*(1+Assumptions!$H$21),IF(AD6&lt;&gt;"",AD6*(1+Assumptions!$H$21),""))</f>
        <v>474.3951864</v>
      </c>
      <c r="AF6" s="10" t="n">
        <f aca="false">IF(AB6&lt;&gt;"",AB6*(1+Assumptions!$I$21),IF(AE6&lt;&gt;"",AE6*(1+Assumptions!$I$21),""))</f>
        <v>425.150748</v>
      </c>
      <c r="AG6" s="10" t="n">
        <f aca="false">IF(AC6&lt;&gt;"",AC6*(1+Assumptions!$J$21),IF(AF6&lt;&gt;"",AF6*(1+Assumptions!$J$21),""))</f>
        <v>440.750172</v>
      </c>
      <c r="AH6" s="10" t="n">
        <f aca="false">IF(AD6&lt;&gt;"",AD6*(1+Assumptions!$K$21),IF(AG6&lt;&gt;"",AG6*(1+Assumptions!$K$21),""))</f>
        <v>376.715784</v>
      </c>
    </row>
    <row r="7" customFormat="false" ht="15" hidden="false" customHeight="true" outlineLevel="0" collapsed="false">
      <c r="A7" s="4" t="s">
        <v>277</v>
      </c>
      <c r="B7" s="9" t="n">
        <v>25.459</v>
      </c>
      <c r="C7" s="9" t="n">
        <v>38.122</v>
      </c>
      <c r="D7" s="9" t="n">
        <v>29.093</v>
      </c>
      <c r="E7" s="9" t="n">
        <v>27.137</v>
      </c>
      <c r="F7" s="9" t="n">
        <v>20.434</v>
      </c>
      <c r="G7" s="9" t="n">
        <v>39.36</v>
      </c>
      <c r="H7" s="9" t="n">
        <v>47.893</v>
      </c>
      <c r="I7" s="9" t="n">
        <v>51.01</v>
      </c>
      <c r="J7" s="9" t="n">
        <v>47.494</v>
      </c>
      <c r="K7" s="9" t="n">
        <v>58.652</v>
      </c>
      <c r="L7" s="9" t="n">
        <v>50.542</v>
      </c>
      <c r="M7" s="9" t="n">
        <v>49.241</v>
      </c>
      <c r="N7" s="9" t="n">
        <v>43.179</v>
      </c>
      <c r="O7" s="9" t="n">
        <v>44.512</v>
      </c>
      <c r="P7" s="9" t="n">
        <v>32.876</v>
      </c>
      <c r="Q7" s="9" t="n">
        <v>35.037</v>
      </c>
      <c r="R7" s="9" t="n">
        <v>30.655</v>
      </c>
      <c r="S7" s="9" t="n">
        <v>32.381</v>
      </c>
      <c r="T7" s="9" t="n">
        <v>29.979</v>
      </c>
      <c r="U7" s="9" t="n">
        <v>37.227</v>
      </c>
      <c r="V7" s="9" t="n">
        <v>27.883</v>
      </c>
      <c r="W7" s="9" t="n">
        <v>32.816</v>
      </c>
      <c r="X7" s="9" t="n">
        <v>141.143</v>
      </c>
      <c r="Y7" s="9" t="n">
        <v>147.471</v>
      </c>
      <c r="Z7" s="9" t="n">
        <v>130.231</v>
      </c>
      <c r="AA7" s="10" t="n">
        <f aca="false">Z7*(1+Assumptions!$D$22)</f>
        <v>169.430531</v>
      </c>
      <c r="AB7" s="10" t="n">
        <f aca="false">IF(X7&lt;&gt;"",X7*(1+Assumptions!$E$22),IF(AA7&lt;&gt;"",AA7*(1+Assumptions!$E$22),""))</f>
        <v>151.02301</v>
      </c>
      <c r="AC7" s="10" t="n">
        <f aca="false">IF(Y7&lt;&gt;"",Y7*(1+Assumptions!$F$22),IF(AB7&lt;&gt;"",AB7*(1+Assumptions!$F$22),""))</f>
        <v>157.79397</v>
      </c>
      <c r="AD7" s="10" t="n">
        <f aca="false">IF(Z7&lt;&gt;"",Z7*(1+Assumptions!$G$22),IF(AC7&lt;&gt;"",AC7*(1+Assumptions!$G$22),""))</f>
        <v>139.34717</v>
      </c>
      <c r="AE7" s="10" t="n">
        <f aca="false">IF(AA7&lt;&gt;"",AA7*(1+Assumptions!$H$22),IF(AD7&lt;&gt;"",AD7*(1+Assumptions!$H$22),""))</f>
        <v>181.29066817</v>
      </c>
      <c r="AF7" s="10" t="n">
        <f aca="false">IF(AB7&lt;&gt;"",AB7*(1+Assumptions!$I$22),IF(AE7&lt;&gt;"",AE7*(1+Assumptions!$I$22),""))</f>
        <v>160.0843906</v>
      </c>
      <c r="AG7" s="10" t="n">
        <f aca="false">IF(AC7&lt;&gt;"",AC7*(1+Assumptions!$J$22),IF(AF7&lt;&gt;"",AF7*(1+Assumptions!$J$22),""))</f>
        <v>167.2616082</v>
      </c>
      <c r="AH7" s="10" t="n">
        <f aca="false">IF(AD7&lt;&gt;"",AD7*(1+Assumptions!$K$22),IF(AG7&lt;&gt;"",AG7*(1+Assumptions!$K$22),""))</f>
        <v>147.7080002</v>
      </c>
    </row>
    <row r="8" customFormat="false" ht="15" hidden="false" customHeight="true" outlineLevel="0" collapsed="false">
      <c r="A8" s="4" t="s">
        <v>278</v>
      </c>
      <c r="B8" s="9" t="n">
        <v>61.891</v>
      </c>
      <c r="C8" s="9" t="n">
        <v>135.223</v>
      </c>
      <c r="D8" s="9" t="n">
        <v>87.45</v>
      </c>
      <c r="E8" s="9" t="n">
        <v>92.665</v>
      </c>
      <c r="F8" s="9" t="n">
        <v>78.782</v>
      </c>
      <c r="G8" s="9" t="n">
        <v>136.015</v>
      </c>
      <c r="H8" s="9" t="n">
        <v>101.009</v>
      </c>
      <c r="I8" s="9" t="n">
        <v>122.008</v>
      </c>
      <c r="J8" s="9" t="n">
        <v>90.093</v>
      </c>
      <c r="K8" s="9" t="n">
        <v>132.622</v>
      </c>
      <c r="L8" s="9" t="n">
        <v>108.516</v>
      </c>
      <c r="M8" s="9" t="n">
        <v>111.584</v>
      </c>
      <c r="N8" s="9" t="n">
        <v>134.395</v>
      </c>
      <c r="O8" s="9" t="n">
        <v>186.041</v>
      </c>
      <c r="P8" s="9" t="n">
        <v>152.347</v>
      </c>
      <c r="Q8" s="9" t="n">
        <v>180.816</v>
      </c>
      <c r="R8" s="9" t="n">
        <v>186.578</v>
      </c>
      <c r="S8" s="9" t="n">
        <v>196.979</v>
      </c>
      <c r="T8" s="9" t="n">
        <v>189.483</v>
      </c>
      <c r="U8" s="9" t="n">
        <v>188.458</v>
      </c>
      <c r="V8" s="9" t="n">
        <v>167.636</v>
      </c>
      <c r="W8" s="9" t="n">
        <v>275.05</v>
      </c>
      <c r="X8" s="9" t="n">
        <v>454.676</v>
      </c>
      <c r="Y8" s="9" t="n">
        <v>472.508</v>
      </c>
      <c r="Z8" s="9" t="n">
        <v>408.045</v>
      </c>
      <c r="AA8" s="13" t="n">
        <f aca="false">SUM(AA6,AA7)</f>
        <v>564.759853</v>
      </c>
      <c r="AB8" s="13" t="n">
        <f aca="false">SUM(AB6,AB7)</f>
        <v>527.26261</v>
      </c>
      <c r="AC8" s="13" t="n">
        <f aca="false">SUM(AC6,AC7)</f>
        <v>547.83837</v>
      </c>
      <c r="AD8" s="13" t="n">
        <f aca="false">SUM(AD6,AD7)</f>
        <v>472.72397</v>
      </c>
      <c r="AE8" s="13" t="n">
        <f aca="false">SUM(AE6,AE7)</f>
        <v>655.68585457</v>
      </c>
      <c r="AF8" s="13" t="n">
        <f aca="false">SUM(AF6,AF7)</f>
        <v>585.2351386</v>
      </c>
      <c r="AG8" s="13" t="n">
        <f aca="false">SUM(AG6,AG7)</f>
        <v>608.0117802</v>
      </c>
      <c r="AH8" s="13" t="n">
        <f aca="false">SUM(AH6,AH7)</f>
        <v>524.4237842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  <col collapsed="false" customWidth="true" hidden="false" outlineLevel="0" max="34" min="27" style="1" width="9.52"/>
  </cols>
  <sheetData>
    <row r="1" customFormat="false" ht="16.5" hidden="false" customHeight="true" outlineLevel="0" collapsed="false">
      <c r="A1" s="2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3</v>
      </c>
      <c r="AB3" s="6"/>
      <c r="AC3" s="6"/>
      <c r="AD3" s="6"/>
      <c r="AE3" s="6"/>
      <c r="AF3" s="6"/>
      <c r="AG3" s="6"/>
      <c r="AH3" s="6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54</v>
      </c>
      <c r="AF4" s="7" t="s">
        <v>55</v>
      </c>
      <c r="AG4" s="7" t="s">
        <v>56</v>
      </c>
      <c r="AH4" s="7" t="s">
        <v>57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280</v>
      </c>
      <c r="B6" s="9" t="n">
        <v>40.145</v>
      </c>
      <c r="C6" s="9" t="n">
        <v>101.31</v>
      </c>
      <c r="D6" s="9" t="n">
        <v>60.875</v>
      </c>
      <c r="E6" s="9" t="n">
        <v>68.425</v>
      </c>
      <c r="F6" s="9" t="n">
        <v>61.23</v>
      </c>
      <c r="G6" s="9" t="n">
        <v>116.883</v>
      </c>
      <c r="H6" s="9" t="n">
        <v>80.766</v>
      </c>
      <c r="I6" s="9" t="n">
        <v>98.393</v>
      </c>
      <c r="J6" s="9" t="n">
        <v>66.639</v>
      </c>
      <c r="K6" s="9" t="n">
        <v>100.294</v>
      </c>
      <c r="L6" s="9" t="n">
        <v>80.829</v>
      </c>
      <c r="M6" s="9" t="n">
        <v>85.236</v>
      </c>
      <c r="N6" s="9" t="n">
        <v>109.119</v>
      </c>
      <c r="O6" s="9" t="n">
        <v>155.363</v>
      </c>
      <c r="P6" s="9" t="n">
        <v>129.942</v>
      </c>
      <c r="Q6" s="9" t="n">
        <v>159.879</v>
      </c>
      <c r="R6" s="9" t="n">
        <v>167.256</v>
      </c>
      <c r="S6" s="9" t="n">
        <v>177.189</v>
      </c>
      <c r="T6" s="9" t="n">
        <v>171.869</v>
      </c>
      <c r="U6" s="9" t="n">
        <v>168.752</v>
      </c>
      <c r="V6" s="9" t="n">
        <v>148.768</v>
      </c>
      <c r="W6" s="9" t="n">
        <v>256.802</v>
      </c>
      <c r="X6" s="9" t="n">
        <v>298.977</v>
      </c>
      <c r="Y6" s="9" t="n">
        <v>301.508</v>
      </c>
      <c r="Z6" s="9" t="n">
        <v>280.369</v>
      </c>
      <c r="AA6" s="10" t="n">
        <f aca="false">Z6*(1+Assumptions!$D$23)</f>
        <v>420.5535</v>
      </c>
      <c r="AB6" s="10" t="n">
        <f aca="false">IF(X6&lt;&gt;"",X6*(1+Assumptions!$E$23),IF(AA6&lt;&gt;"",AA6*(1+Assumptions!$E$23),""))</f>
        <v>346.81332</v>
      </c>
      <c r="AC6" s="10" t="n">
        <f aca="false">IF(Y6&lt;&gt;"",Y6*(1+Assumptions!$F$23),IF(AB6&lt;&gt;"",AB6*(1+Assumptions!$F$23),""))</f>
        <v>349.74928</v>
      </c>
      <c r="AD6" s="10" t="n">
        <f aca="false">IF(Z6&lt;&gt;"",Z6*(1+Assumptions!$G$23),IF(AC6&lt;&gt;"",AC6*(1+Assumptions!$G$23),""))</f>
        <v>325.22804</v>
      </c>
      <c r="AE6" s="10" t="n">
        <f aca="false">IF(AA6&lt;&gt;"",AA6*(1+Assumptions!$H$23),IF(AD6&lt;&gt;"",AD6*(1+Assumptions!$H$23),""))</f>
        <v>487.84206</v>
      </c>
      <c r="AF6" s="10" t="n">
        <f aca="false">IF(AB6&lt;&gt;"",AB6*(1+Assumptions!$I$23),IF(AE6&lt;&gt;"",AE6*(1+Assumptions!$I$23),""))</f>
        <v>388.4309184</v>
      </c>
      <c r="AG6" s="10" t="n">
        <f aca="false">IF(AC6&lt;&gt;"",AC6*(1+Assumptions!$J$23),IF(AF6&lt;&gt;"",AF6*(1+Assumptions!$J$23),""))</f>
        <v>391.7191936</v>
      </c>
      <c r="AH6" s="10" t="n">
        <f aca="false">IF(AD6&lt;&gt;"",AD6*(1+Assumptions!$K$23),IF(AG6&lt;&gt;"",AG6*(1+Assumptions!$K$23),""))</f>
        <v>364.2554048</v>
      </c>
    </row>
    <row r="7" customFormat="false" ht="15" hidden="false" customHeight="true" outlineLevel="0" collapsed="false">
      <c r="A7" s="4" t="s">
        <v>281</v>
      </c>
      <c r="B7" s="9" t="n">
        <v>20.863</v>
      </c>
      <c r="C7" s="9" t="n">
        <v>33.792</v>
      </c>
      <c r="D7" s="9" t="n">
        <v>26.569</v>
      </c>
      <c r="E7" s="9" t="n">
        <v>24.23</v>
      </c>
      <c r="F7" s="9" t="n">
        <v>17.53</v>
      </c>
      <c r="G7" s="9" t="n">
        <v>18.39</v>
      </c>
      <c r="H7" s="9" t="n">
        <v>19.117</v>
      </c>
      <c r="I7" s="9" t="n">
        <v>21.594</v>
      </c>
      <c r="J7" s="9" t="n">
        <v>21.788</v>
      </c>
      <c r="K7" s="9" t="n">
        <v>30.929</v>
      </c>
      <c r="L7" s="9" t="n">
        <v>26.455</v>
      </c>
      <c r="M7" s="9" t="n">
        <v>25.013</v>
      </c>
      <c r="N7" s="9" t="n">
        <v>24.115</v>
      </c>
      <c r="O7" s="9" t="n">
        <v>28.861</v>
      </c>
      <c r="P7" s="9" t="n">
        <v>21.293</v>
      </c>
      <c r="Q7" s="9" t="n">
        <v>19.802</v>
      </c>
      <c r="R7" s="9" t="n">
        <v>17.925</v>
      </c>
      <c r="S7" s="9" t="n">
        <v>18.013</v>
      </c>
      <c r="T7" s="9" t="n">
        <v>16.231</v>
      </c>
      <c r="U7" s="9" t="n">
        <v>18.81</v>
      </c>
      <c r="V7" s="9" t="n">
        <v>17.372</v>
      </c>
      <c r="W7" s="9" t="n">
        <v>15.573</v>
      </c>
      <c r="X7" s="9" t="n">
        <v>118.928</v>
      </c>
      <c r="Y7" s="9" t="n">
        <v>131.35</v>
      </c>
      <c r="Z7" s="9" t="n">
        <v>95.802</v>
      </c>
      <c r="AA7" s="10" t="n">
        <f aca="false">Z7*(1+Assumptions!$D$24)</f>
        <v>107.29824</v>
      </c>
      <c r="AB7" s="10" t="n">
        <f aca="false">IF(X7&lt;&gt;"",X7*(1+Assumptions!$E$24),IF(AA7&lt;&gt;"",AA7*(1+Assumptions!$E$24),""))</f>
        <v>130.8208</v>
      </c>
      <c r="AC7" s="10" t="n">
        <f aca="false">IF(Y7&lt;&gt;"",Y7*(1+Assumptions!$F$24),IF(AB7&lt;&gt;"",AB7*(1+Assumptions!$F$24),""))</f>
        <v>144.485</v>
      </c>
      <c r="AD7" s="10" t="n">
        <f aca="false">IF(Z7&lt;&gt;"",Z7*(1+Assumptions!$G$24),IF(AC7&lt;&gt;"",AC7*(1+Assumptions!$G$24),""))</f>
        <v>105.3822</v>
      </c>
      <c r="AE7" s="10" t="n">
        <f aca="false">IF(AA7&lt;&gt;"",AA7*(1+Assumptions!$H$24),IF(AD7&lt;&gt;"",AD7*(1+Assumptions!$H$24),""))</f>
        <v>118.028064</v>
      </c>
      <c r="AF7" s="10" t="n">
        <f aca="false">IF(AB7&lt;&gt;"",AB7*(1+Assumptions!$I$24),IF(AE7&lt;&gt;"",AE7*(1+Assumptions!$I$24),""))</f>
        <v>143.90288</v>
      </c>
      <c r="AG7" s="10" t="n">
        <f aca="false">IF(AC7&lt;&gt;"",AC7*(1+Assumptions!$J$24),IF(AF7&lt;&gt;"",AF7*(1+Assumptions!$J$24),""))</f>
        <v>158.9335</v>
      </c>
      <c r="AH7" s="10" t="n">
        <f aca="false">IF(AD7&lt;&gt;"",AD7*(1+Assumptions!$K$24),IF(AG7&lt;&gt;"",AG7*(1+Assumptions!$K$24),""))</f>
        <v>115.92042</v>
      </c>
    </row>
    <row r="8" customFormat="false" ht="15" hidden="false" customHeight="true" outlineLevel="0" collapsed="false">
      <c r="A8" s="4" t="s">
        <v>282</v>
      </c>
      <c r="B8" s="9" t="n">
        <v>0.883</v>
      </c>
      <c r="C8" s="9" t="n">
        <v>0.121</v>
      </c>
      <c r="D8" s="9" t="n">
        <v>0.006</v>
      </c>
      <c r="E8" s="9" t="n">
        <v>0.01</v>
      </c>
      <c r="F8" s="9" t="n">
        <v>0.022</v>
      </c>
      <c r="G8" s="9" t="n">
        <v>0.742</v>
      </c>
      <c r="H8" s="9" t="n">
        <v>1.126</v>
      </c>
      <c r="I8" s="9" t="n">
        <v>2.021</v>
      </c>
      <c r="J8" s="9" t="n">
        <v>1.666</v>
      </c>
      <c r="K8" s="9" t="n">
        <v>1.399</v>
      </c>
      <c r="L8" s="9" t="n">
        <v>1.232</v>
      </c>
      <c r="M8" s="9" t="n">
        <v>1.335</v>
      </c>
      <c r="N8" s="9" t="n">
        <v>1.161</v>
      </c>
      <c r="O8" s="9" t="n">
        <v>1.817</v>
      </c>
      <c r="P8" s="9" t="n">
        <v>1.112</v>
      </c>
      <c r="Q8" s="9" t="n">
        <v>1.135</v>
      </c>
      <c r="R8" s="9" t="n">
        <v>1.397</v>
      </c>
      <c r="S8" s="9" t="n">
        <v>1.777</v>
      </c>
      <c r="T8" s="9" t="n">
        <v>1.383</v>
      </c>
      <c r="U8" s="9" t="n">
        <v>0.896</v>
      </c>
      <c r="V8" s="9" t="n">
        <v>1.496</v>
      </c>
      <c r="W8" s="9" t="n">
        <v>2.675</v>
      </c>
      <c r="X8" s="9" t="n">
        <v>36.771</v>
      </c>
      <c r="Y8" s="9" t="n">
        <v>39.65</v>
      </c>
      <c r="Z8" s="9" t="n">
        <v>31.874</v>
      </c>
      <c r="AA8" s="10" t="n">
        <f aca="false">Z8*(1+Assumptions!$D$25)</f>
        <v>35.69888</v>
      </c>
      <c r="AB8" s="10" t="n">
        <f aca="false">IF(X8&lt;&gt;"",X8*(1+Assumptions!$E$25),IF(AA8&lt;&gt;"",AA8*(1+Assumptions!$E$25),""))</f>
        <v>41.91894</v>
      </c>
      <c r="AC8" s="10" t="n">
        <f aca="false">IF(Y8&lt;&gt;"",Y8*(1+Assumptions!$F$25),IF(AB8&lt;&gt;"",AB8*(1+Assumptions!$F$25),""))</f>
        <v>45.201</v>
      </c>
      <c r="AD8" s="10" t="n">
        <f aca="false">IF(Z8&lt;&gt;"",Z8*(1+Assumptions!$G$25),IF(AC8&lt;&gt;"",AC8*(1+Assumptions!$G$25),""))</f>
        <v>36.33636</v>
      </c>
      <c r="AE8" s="10" t="n">
        <f aca="false">IF(AA8&lt;&gt;"",AA8*(1+Assumptions!$H$25),IF(AD8&lt;&gt;"",AD8*(1+Assumptions!$H$25),""))</f>
        <v>40.6967232</v>
      </c>
      <c r="AF8" s="10" t="n">
        <f aca="false">IF(AB8&lt;&gt;"",AB8*(1+Assumptions!$I$25),IF(AE8&lt;&gt;"",AE8*(1+Assumptions!$I$25),""))</f>
        <v>46.9492128</v>
      </c>
      <c r="AG8" s="10" t="n">
        <f aca="false">IF(AC8&lt;&gt;"",AC8*(1+Assumptions!$J$25),IF(AF8&lt;&gt;"",AF8*(1+Assumptions!$J$25),""))</f>
        <v>50.62512</v>
      </c>
      <c r="AH8" s="10" t="n">
        <f aca="false">IF(AD8&lt;&gt;"",AD8*(1+Assumptions!$K$25),IF(AG8&lt;&gt;"",AG8*(1+Assumptions!$K$25),""))</f>
        <v>40.6967232</v>
      </c>
    </row>
    <row r="9" customFormat="false" ht="15" hidden="false" customHeight="true" outlineLevel="0" collapsed="false">
      <c r="A9" s="11" t="s">
        <v>260</v>
      </c>
      <c r="B9" s="12" t="n">
        <f aca="false">SUM(B6,B7,B8)</f>
        <v>61.891</v>
      </c>
      <c r="C9" s="12" t="n">
        <f aca="false">SUM(C6,C7,C8)</f>
        <v>135.223</v>
      </c>
      <c r="D9" s="12" t="n">
        <f aca="false">SUM(D6,D7,D8)</f>
        <v>87.45</v>
      </c>
      <c r="E9" s="12" t="n">
        <f aca="false">SUM(E6,E7,E8)</f>
        <v>92.665</v>
      </c>
      <c r="F9" s="12" t="n">
        <f aca="false">SUM(F6,F7,F8)</f>
        <v>78.782</v>
      </c>
      <c r="G9" s="12" t="n">
        <f aca="false">SUM(G6,G7,G8)</f>
        <v>136.015</v>
      </c>
      <c r="H9" s="12" t="n">
        <f aca="false">SUM(H6,H7,H8)</f>
        <v>101.009</v>
      </c>
      <c r="I9" s="12" t="n">
        <f aca="false">SUM(I6,I7,I8)</f>
        <v>122.008</v>
      </c>
      <c r="J9" s="12" t="n">
        <f aca="false">SUM(J6,J7,J8)</f>
        <v>90.093</v>
      </c>
      <c r="K9" s="12" t="n">
        <f aca="false">SUM(K6,K7,K8)</f>
        <v>132.622</v>
      </c>
      <c r="L9" s="12" t="n">
        <f aca="false">SUM(L6,L7,L8)</f>
        <v>108.516</v>
      </c>
      <c r="M9" s="12" t="n">
        <f aca="false">SUM(M6,M7,M8)</f>
        <v>111.584</v>
      </c>
      <c r="N9" s="12" t="n">
        <f aca="false">SUM(N6,N7,N8)</f>
        <v>134.395</v>
      </c>
      <c r="O9" s="12" t="n">
        <f aca="false">SUM(O6,O7,O8)</f>
        <v>186.041</v>
      </c>
      <c r="P9" s="12" t="n">
        <f aca="false">SUM(P6,P7,P8)</f>
        <v>152.347</v>
      </c>
      <c r="Q9" s="12" t="n">
        <f aca="false">SUM(Q6,Q7,Q8)</f>
        <v>180.816</v>
      </c>
      <c r="R9" s="12" t="n">
        <f aca="false">SUM(R6,R7,R8)</f>
        <v>186.578</v>
      </c>
      <c r="S9" s="12" t="n">
        <f aca="false">SUM(S6,S7,S8)</f>
        <v>196.979</v>
      </c>
      <c r="T9" s="12" t="n">
        <f aca="false">SUM(T6,T7,T8)</f>
        <v>189.483</v>
      </c>
      <c r="U9" s="12" t="n">
        <f aca="false">SUM(U6,U7,U8)</f>
        <v>188.458</v>
      </c>
      <c r="V9" s="12" t="n">
        <f aca="false">SUM(V6,V7,V8)</f>
        <v>167.636</v>
      </c>
      <c r="W9" s="12" t="n">
        <f aca="false">SUM(W6,W7,W8)</f>
        <v>275.05</v>
      </c>
      <c r="X9" s="12" t="n">
        <f aca="false">SUM(X6,X7,X8)</f>
        <v>454.676</v>
      </c>
      <c r="Y9" s="12" t="n">
        <f aca="false">SUM(Y6,Y7,Y8)</f>
        <v>472.508</v>
      </c>
      <c r="Z9" s="12" t="n">
        <f aca="false">SUM(Z6,Z7,Z8)</f>
        <v>408.045</v>
      </c>
      <c r="AA9" s="13" t="n">
        <f aca="false">SUM(AA6,AA7,AA8)</f>
        <v>563.55062</v>
      </c>
      <c r="AB9" s="13" t="n">
        <f aca="false">SUM(AB6,AB7,AB8)</f>
        <v>519.55306</v>
      </c>
      <c r="AC9" s="13" t="n">
        <f aca="false">SUM(AC6,AC7,AC8)</f>
        <v>539.43528</v>
      </c>
      <c r="AD9" s="13" t="n">
        <f aca="false">SUM(AD6,AD7,AD8)</f>
        <v>466.9466</v>
      </c>
      <c r="AE9" s="13" t="n">
        <f aca="false">SUM(AE6,AE7,AE8)</f>
        <v>646.5668472</v>
      </c>
      <c r="AF9" s="13" t="n">
        <f aca="false">SUM(AF6,AF7,AF8)</f>
        <v>579.2830112</v>
      </c>
      <c r="AG9" s="13" t="n">
        <f aca="false">SUM(AG6,AG7,AG8)</f>
        <v>601.2778136</v>
      </c>
      <c r="AH9" s="13" t="n">
        <f aca="false">SUM(AH6,AH7,AH8)</f>
        <v>520.872548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</cols>
  <sheetData>
    <row r="1" customFormat="false" ht="16.5" hidden="false" customHeight="true" outlineLevel="0" collapsed="false">
      <c r="A1" s="2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284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n">
        <v>50.426</v>
      </c>
      <c r="Q6" s="9" t="n">
        <v>65.613</v>
      </c>
      <c r="R6" s="9" t="n">
        <v>50.05</v>
      </c>
      <c r="S6" s="9" t="n">
        <v>44.435</v>
      </c>
      <c r="T6" s="9" t="n">
        <v>67.233</v>
      </c>
      <c r="U6" s="9" t="n">
        <v>41.363</v>
      </c>
      <c r="V6" s="9" t="n">
        <v>29.418</v>
      </c>
      <c r="W6" s="9" t="n">
        <v>49.112</v>
      </c>
      <c r="X6" s="9"/>
      <c r="Y6" s="9"/>
      <c r="Z6" s="9"/>
    </row>
    <row r="7" customFormat="false" ht="15" hidden="false" customHeight="true" outlineLevel="0" collapsed="false">
      <c r="A7" s="4" t="s">
        <v>285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n">
        <v>12.323</v>
      </c>
      <c r="Q7" s="9" t="n">
        <v>9.345</v>
      </c>
      <c r="R7" s="9" t="n">
        <v>17.98</v>
      </c>
      <c r="S7" s="9" t="n">
        <v>28.576</v>
      </c>
      <c r="T7" s="9" t="n">
        <v>13.272</v>
      </c>
      <c r="U7" s="9" t="n">
        <v>30.157</v>
      </c>
      <c r="V7" s="9" t="n">
        <v>33.008</v>
      </c>
      <c r="W7" s="9" t="n">
        <v>52.117</v>
      </c>
      <c r="X7" s="9"/>
      <c r="Y7" s="9"/>
      <c r="Z7" s="9"/>
    </row>
    <row r="8" customFormat="false" ht="15" hidden="false" customHeight="true" outlineLevel="0" collapsed="false">
      <c r="A8" s="4" t="s">
        <v>286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n">
        <v>5.308</v>
      </c>
      <c r="Q8" s="9" t="n">
        <v>3.604</v>
      </c>
      <c r="R8" s="9" t="n">
        <v>3.294</v>
      </c>
      <c r="S8" s="9" t="n">
        <v>6.526</v>
      </c>
      <c r="T8" s="9" t="n">
        <v>4.675</v>
      </c>
      <c r="U8" s="9" t="n">
        <v>5.838</v>
      </c>
      <c r="V8" s="9" t="n">
        <v>4.476</v>
      </c>
      <c r="W8" s="9" t="n">
        <v>7.372</v>
      </c>
      <c r="X8" s="9"/>
      <c r="Y8" s="9"/>
      <c r="Z8" s="9"/>
    </row>
    <row r="9" customFormat="false" ht="15" hidden="false" customHeight="true" outlineLevel="0" collapsed="false">
      <c r="A9" s="4" t="s">
        <v>287</v>
      </c>
      <c r="B9" s="9" t="n">
        <v>23.496</v>
      </c>
      <c r="C9" s="9" t="n">
        <v>53.168</v>
      </c>
      <c r="D9" s="9" t="n">
        <v>35.411</v>
      </c>
      <c r="E9" s="9" t="n">
        <v>40.851</v>
      </c>
      <c r="F9" s="9" t="n">
        <v>28.641</v>
      </c>
      <c r="G9" s="9" t="n">
        <v>59.655</v>
      </c>
      <c r="H9" s="9" t="n">
        <v>28.723</v>
      </c>
      <c r="I9" s="9" t="n">
        <v>42.455</v>
      </c>
      <c r="J9" s="9" t="n">
        <v>21.436</v>
      </c>
      <c r="K9" s="9" t="n">
        <v>48.622</v>
      </c>
      <c r="L9" s="9" t="n">
        <v>33.714</v>
      </c>
      <c r="M9" s="9" t="n">
        <v>25.89</v>
      </c>
      <c r="N9" s="9" t="n">
        <v>45.51</v>
      </c>
      <c r="O9" s="9" t="n">
        <v>68.4</v>
      </c>
      <c r="P9" s="9" t="n">
        <v>65.66</v>
      </c>
      <c r="Q9" s="9" t="n">
        <v>75.35</v>
      </c>
      <c r="R9" s="9" t="n">
        <v>67.287</v>
      </c>
      <c r="S9" s="9" t="n">
        <v>75.634</v>
      </c>
      <c r="T9" s="9" t="n">
        <v>81.467</v>
      </c>
      <c r="U9" s="9" t="n">
        <v>73.638</v>
      </c>
      <c r="V9" s="9" t="n">
        <v>63.199</v>
      </c>
      <c r="W9" s="9" t="n">
        <v>100.332</v>
      </c>
      <c r="X9" s="9" t="n">
        <v>95.118</v>
      </c>
      <c r="Y9" s="9" t="n">
        <v>104.105</v>
      </c>
      <c r="Z9" s="9" t="n">
        <v>98.794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</cols>
  <sheetData>
    <row r="1" customFormat="false" ht="16.5" hidden="false" customHeight="true" outlineLevel="0" collapsed="false">
      <c r="A1" s="2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289</v>
      </c>
      <c r="B6" s="9"/>
      <c r="C6" s="9"/>
      <c r="D6" s="9" t="n">
        <v>27.483</v>
      </c>
      <c r="E6" s="9" t="n">
        <v>29.695</v>
      </c>
      <c r="F6" s="9" t="n">
        <v>22.017</v>
      </c>
      <c r="G6" s="9" t="n">
        <v>39.867</v>
      </c>
      <c r="H6" s="9" t="n">
        <v>16.92</v>
      </c>
      <c r="I6" s="9" t="n">
        <v>27.754</v>
      </c>
      <c r="J6" s="9" t="n">
        <v>8.656</v>
      </c>
      <c r="K6" s="9" t="n">
        <v>30.429</v>
      </c>
      <c r="L6" s="9" t="n">
        <v>21.296</v>
      </c>
      <c r="M6" s="9" t="n">
        <v>12.319</v>
      </c>
      <c r="N6" s="9" t="n">
        <v>32.937</v>
      </c>
      <c r="O6" s="9" t="n">
        <v>54.819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5" hidden="false" customHeight="true" outlineLevel="0" collapsed="false">
      <c r="A7" s="4" t="s">
        <v>290</v>
      </c>
      <c r="B7" s="9"/>
      <c r="C7" s="9"/>
      <c r="D7" s="9" t="n">
        <v>1.92</v>
      </c>
      <c r="E7" s="9" t="n">
        <v>5.943</v>
      </c>
      <c r="F7" s="9" t="n">
        <v>4.889</v>
      </c>
      <c r="G7" s="9" t="n">
        <v>13.924</v>
      </c>
      <c r="H7" s="9" t="n">
        <v>5.989</v>
      </c>
      <c r="I7" s="9" t="n">
        <v>6.222</v>
      </c>
      <c r="J7" s="9" t="n">
        <v>5.209</v>
      </c>
      <c r="K7" s="9" t="n">
        <v>7.065</v>
      </c>
      <c r="L7" s="9" t="n">
        <v>7.746</v>
      </c>
      <c r="M7" s="9" t="n">
        <v>12.636</v>
      </c>
      <c r="N7" s="9" t="n">
        <v>7.841</v>
      </c>
      <c r="O7" s="9" t="n">
        <v>14.513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5" hidden="false" customHeight="true" outlineLevel="0" collapsed="false">
      <c r="A8" s="4" t="s">
        <v>291</v>
      </c>
      <c r="B8" s="9"/>
      <c r="C8" s="9"/>
      <c r="D8" s="9"/>
      <c r="E8" s="9"/>
      <c r="F8" s="9"/>
      <c r="G8" s="9" t="n">
        <v>2.965</v>
      </c>
      <c r="H8" s="9" t="n">
        <v>3.181</v>
      </c>
      <c r="I8" s="9" t="n">
        <v>2.223</v>
      </c>
      <c r="J8" s="9" t="n">
        <v>0.335</v>
      </c>
      <c r="K8" s="9" t="n">
        <v>0.416</v>
      </c>
      <c r="L8" s="9" t="n">
        <v>-1.073</v>
      </c>
      <c r="M8" s="9" t="n">
        <v>-6.884</v>
      </c>
      <c r="N8" s="9" t="n">
        <v>-2.008</v>
      </c>
      <c r="O8" s="9" t="n">
        <v>-14.39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5" hidden="false" customHeight="true" outlineLevel="0" collapsed="false">
      <c r="A9" s="4" t="s">
        <v>292</v>
      </c>
      <c r="B9" s="9"/>
      <c r="C9" s="9"/>
      <c r="D9" s="9"/>
      <c r="E9" s="9"/>
      <c r="F9" s="9"/>
      <c r="G9" s="9" t="n">
        <v>3.461</v>
      </c>
      <c r="H9" s="9" t="n">
        <v>3.174</v>
      </c>
      <c r="I9" s="9" t="n">
        <v>3.944</v>
      </c>
      <c r="J9" s="9" t="n">
        <v>3.173</v>
      </c>
      <c r="K9" s="9" t="n">
        <v>5.242</v>
      </c>
      <c r="L9" s="9" t="n">
        <v>3.324</v>
      </c>
      <c r="M9" s="9" t="n">
        <v>3.001</v>
      </c>
      <c r="N9" s="9" t="n">
        <v>2.733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5" hidden="false" customHeight="true" outlineLevel="0" collapsed="false">
      <c r="A10" s="4" t="s">
        <v>293</v>
      </c>
      <c r="B10" s="9"/>
      <c r="C10" s="9"/>
      <c r="D10" s="9"/>
      <c r="E10" s="9"/>
      <c r="F10" s="9"/>
      <c r="G10" s="9" t="n">
        <v>-0.562</v>
      </c>
      <c r="H10" s="9" t="n">
        <v>-0.541</v>
      </c>
      <c r="I10" s="9" t="n">
        <v>2.312</v>
      </c>
      <c r="J10" s="9" t="n">
        <v>4.063</v>
      </c>
      <c r="K10" s="9" t="n">
        <v>5.469</v>
      </c>
      <c r="L10" s="9" t="n">
        <v>2.421</v>
      </c>
      <c r="M10" s="9" t="n">
        <v>4.818</v>
      </c>
      <c r="N10" s="9" t="n">
        <v>4.007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5" hidden="false" customHeight="true" outlineLevel="0" collapsed="false">
      <c r="A11" s="4" t="s">
        <v>294</v>
      </c>
      <c r="B11" s="9"/>
      <c r="C11" s="9"/>
      <c r="D11" s="9" t="n">
        <v>6.008</v>
      </c>
      <c r="E11" s="9" t="n">
        <v>5.213</v>
      </c>
      <c r="F11" s="9" t="n">
        <v>1.735</v>
      </c>
      <c r="G11" s="9" t="n">
        <v>2.899</v>
      </c>
      <c r="H11" s="9" t="n">
        <v>2.633</v>
      </c>
      <c r="I11" s="9" t="n">
        <v>6.256</v>
      </c>
      <c r="J11" s="9" t="n">
        <v>7.236</v>
      </c>
      <c r="K11" s="9" t="n">
        <v>10.712</v>
      </c>
      <c r="L11" s="9" t="n">
        <v>5.745</v>
      </c>
      <c r="M11" s="9" t="n">
        <v>7.819</v>
      </c>
      <c r="N11" s="9" t="n">
        <v>6.74</v>
      </c>
      <c r="O11" s="9" t="n">
        <v>13.458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5" hidden="false" customHeight="true" outlineLevel="0" collapsed="false">
      <c r="A12" s="4" t="s">
        <v>287</v>
      </c>
      <c r="B12" s="9" t="n">
        <v>23.496</v>
      </c>
      <c r="C12" s="9" t="n">
        <v>53.168</v>
      </c>
      <c r="D12" s="9" t="n">
        <v>35.411</v>
      </c>
      <c r="E12" s="9" t="n">
        <v>40.851</v>
      </c>
      <c r="F12" s="9" t="n">
        <v>28.641</v>
      </c>
      <c r="G12" s="9" t="n">
        <v>59.655</v>
      </c>
      <c r="H12" s="9" t="n">
        <v>28.723</v>
      </c>
      <c r="I12" s="9" t="n">
        <v>42.455</v>
      </c>
      <c r="J12" s="9" t="n">
        <v>21.436</v>
      </c>
      <c r="K12" s="9" t="n">
        <v>48.622</v>
      </c>
      <c r="L12" s="9" t="n">
        <v>33.714</v>
      </c>
      <c r="M12" s="9" t="n">
        <v>25.89</v>
      </c>
      <c r="N12" s="9" t="n">
        <v>45.51</v>
      </c>
      <c r="O12" s="9" t="n">
        <v>68.4</v>
      </c>
      <c r="P12" s="9" t="n">
        <v>65.66</v>
      </c>
      <c r="Q12" s="9" t="n">
        <v>75.35</v>
      </c>
      <c r="R12" s="9" t="n">
        <v>67.287</v>
      </c>
      <c r="S12" s="9" t="n">
        <v>75.634</v>
      </c>
      <c r="T12" s="9" t="n">
        <v>81.467</v>
      </c>
      <c r="U12" s="9" t="n">
        <v>73.638</v>
      </c>
      <c r="V12" s="9" t="n">
        <v>63.199</v>
      </c>
      <c r="W12" s="9" t="n">
        <v>100.332</v>
      </c>
      <c r="X12" s="9" t="n">
        <v>95.118</v>
      </c>
      <c r="Y12" s="9" t="n">
        <v>104.105</v>
      </c>
      <c r="Z12" s="9" t="n">
        <v>98.794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</cols>
  <sheetData>
    <row r="1" customFormat="false" ht="16.5" hidden="false" customHeight="true" outlineLevel="0" collapsed="false">
      <c r="A1" s="2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296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 t="n">
        <v>37.188</v>
      </c>
      <c r="U6" s="9" t="n">
        <v>25.862</v>
      </c>
      <c r="V6" s="9" t="n">
        <v>21.766</v>
      </c>
      <c r="W6" s="9"/>
      <c r="X6" s="9" t="n">
        <v>52.393</v>
      </c>
      <c r="Y6" s="9" t="n">
        <v>51.438</v>
      </c>
      <c r="Z6" s="9" t="n">
        <v>46.167</v>
      </c>
    </row>
    <row r="7" customFormat="false" ht="15" hidden="false" customHeight="true" outlineLevel="0" collapsed="false">
      <c r="A7" s="4" t="s">
        <v>297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 t="n">
        <v>4.162</v>
      </c>
      <c r="Y7" s="9" t="n">
        <v>-6.48</v>
      </c>
      <c r="Z7" s="9" t="n">
        <v>-1.691</v>
      </c>
    </row>
    <row r="8" customFormat="false" ht="15" hidden="false" customHeight="true" outlineLevel="0" collapsed="false">
      <c r="A8" s="4" t="s">
        <v>298</v>
      </c>
      <c r="B8" s="9" t="n">
        <v>-1.108</v>
      </c>
      <c r="C8" s="9" t="n">
        <v>21.295</v>
      </c>
      <c r="D8" s="9" t="n">
        <v>12.297</v>
      </c>
      <c r="E8" s="9" t="n">
        <v>13.898</v>
      </c>
      <c r="F8" s="9" t="n">
        <v>-0.642</v>
      </c>
      <c r="G8" s="9" t="n">
        <v>17.76</v>
      </c>
      <c r="H8" s="9" t="n">
        <v>-12.113</v>
      </c>
      <c r="I8" s="9" t="n">
        <v>3.339</v>
      </c>
      <c r="J8" s="9" t="n">
        <v>-14.126</v>
      </c>
      <c r="K8" s="9" t="n">
        <v>13.013</v>
      </c>
      <c r="L8" s="9" t="n">
        <v>-3.274</v>
      </c>
      <c r="M8" s="9" t="n">
        <v>-14.314</v>
      </c>
      <c r="N8" s="9" t="n">
        <v>4.607</v>
      </c>
      <c r="O8" s="9" t="n">
        <v>-165.682</v>
      </c>
      <c r="P8" s="9" t="n">
        <v>26.367</v>
      </c>
      <c r="Q8" s="9" t="n">
        <v>25.178</v>
      </c>
      <c r="R8" s="9" t="n">
        <v>14.334</v>
      </c>
      <c r="S8" s="9" t="n">
        <v>5.945</v>
      </c>
      <c r="T8" s="9" t="n">
        <v>23.059</v>
      </c>
      <c r="U8" s="9" t="n">
        <v>7.006</v>
      </c>
      <c r="V8" s="9" t="n">
        <v>-3.087</v>
      </c>
      <c r="W8" s="9" t="n">
        <v>13.817</v>
      </c>
      <c r="X8" s="9" t="n">
        <v>-69.272</v>
      </c>
      <c r="Y8" s="9" t="n">
        <v>-30.224</v>
      </c>
      <c r="Z8" s="9" t="n">
        <v>-268.44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</cols>
  <sheetData>
    <row r="1" customFormat="false" ht="16.5" hidden="false" customHeight="true" outlineLevel="0" collapsed="false">
      <c r="A1" s="2" t="s">
        <v>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300</v>
      </c>
      <c r="B6" s="9"/>
      <c r="C6" s="9"/>
      <c r="D6" s="9"/>
      <c r="E6" s="9"/>
      <c r="F6" s="9"/>
      <c r="G6" s="9"/>
      <c r="H6" s="9"/>
      <c r="I6" s="9"/>
      <c r="J6" s="9"/>
      <c r="K6" s="9"/>
      <c r="L6" s="9" t="n">
        <v>2.951</v>
      </c>
      <c r="M6" s="9" t="n">
        <v>-9.528</v>
      </c>
      <c r="N6" s="9" t="n">
        <v>11.792</v>
      </c>
      <c r="O6" s="9" t="n">
        <v>25.354</v>
      </c>
      <c r="P6" s="9" t="n">
        <v>25.024</v>
      </c>
      <c r="Q6" s="9" t="n">
        <v>38.603</v>
      </c>
      <c r="R6" s="9" t="n">
        <v>20.417</v>
      </c>
      <c r="S6" s="9" t="n">
        <v>9.078</v>
      </c>
      <c r="T6" s="9"/>
      <c r="U6" s="9"/>
      <c r="V6" s="9"/>
      <c r="W6" s="9"/>
      <c r="X6" s="9"/>
      <c r="Y6" s="9"/>
      <c r="Z6" s="9"/>
    </row>
    <row r="7" customFormat="false" ht="15" hidden="false" customHeight="true" outlineLevel="0" collapsed="false">
      <c r="A7" s="4" t="s">
        <v>301</v>
      </c>
      <c r="B7" s="9"/>
      <c r="C7" s="9"/>
      <c r="D7" s="9"/>
      <c r="E7" s="9"/>
      <c r="F7" s="9"/>
      <c r="G7" s="9"/>
      <c r="H7" s="9"/>
      <c r="I7" s="9"/>
      <c r="J7" s="9"/>
      <c r="K7" s="9"/>
      <c r="L7" s="9" t="n">
        <v>-1.031</v>
      </c>
      <c r="M7" s="9" t="n">
        <v>2.004</v>
      </c>
      <c r="N7" s="9" t="n">
        <v>-0.129</v>
      </c>
      <c r="O7" s="9" t="n">
        <v>7.229</v>
      </c>
      <c r="P7" s="9" t="n">
        <v>4.91</v>
      </c>
      <c r="Q7" s="9" t="n">
        <v>-1.122</v>
      </c>
      <c r="R7" s="9" t="n">
        <v>7.562</v>
      </c>
      <c r="S7" s="9" t="n">
        <v>12.712</v>
      </c>
      <c r="T7" s="9"/>
      <c r="U7" s="9"/>
      <c r="V7" s="9"/>
      <c r="W7" s="9"/>
      <c r="X7" s="9"/>
      <c r="Y7" s="9"/>
      <c r="Z7" s="9"/>
    </row>
    <row r="8" customFormat="false" ht="15" hidden="false" customHeight="true" outlineLevel="0" collapsed="false">
      <c r="A8" s="4" t="s">
        <v>302</v>
      </c>
      <c r="B8" s="9"/>
      <c r="C8" s="9"/>
      <c r="D8" s="9"/>
      <c r="E8" s="9"/>
      <c r="F8" s="9"/>
      <c r="G8" s="9"/>
      <c r="H8" s="9"/>
      <c r="I8" s="9"/>
      <c r="J8" s="9"/>
      <c r="K8" s="9"/>
      <c r="L8" s="9" t="n">
        <v>2.102</v>
      </c>
      <c r="M8" s="9" t="n">
        <v>1.621</v>
      </c>
      <c r="N8" s="9" t="n">
        <v>0.376</v>
      </c>
      <c r="O8" s="9" t="n">
        <v>-0.435</v>
      </c>
      <c r="P8" s="9" t="n">
        <v>0.272</v>
      </c>
      <c r="Q8" s="9" t="n">
        <v>-6.797</v>
      </c>
      <c r="R8" s="9" t="n">
        <v>-8.103</v>
      </c>
      <c r="S8" s="9" t="n">
        <v>-10.078</v>
      </c>
      <c r="T8" s="9"/>
      <c r="U8" s="9"/>
      <c r="V8" s="9"/>
      <c r="W8" s="9"/>
      <c r="X8" s="9"/>
      <c r="Y8" s="9"/>
      <c r="Z8" s="9"/>
    </row>
    <row r="9" customFormat="false" ht="15" hidden="false" customHeight="true" outlineLevel="0" collapsed="false">
      <c r="A9" s="4" t="s">
        <v>298</v>
      </c>
      <c r="B9" s="9" t="n">
        <v>-1.108</v>
      </c>
      <c r="C9" s="9" t="n">
        <v>21.295</v>
      </c>
      <c r="D9" s="9" t="n">
        <v>12.297</v>
      </c>
      <c r="E9" s="9" t="n">
        <v>13.898</v>
      </c>
      <c r="F9" s="9" t="n">
        <v>-0.642</v>
      </c>
      <c r="G9" s="9" t="n">
        <v>17.76</v>
      </c>
      <c r="H9" s="9" t="n">
        <v>-12.113</v>
      </c>
      <c r="I9" s="9" t="n">
        <v>3.339</v>
      </c>
      <c r="J9" s="9" t="n">
        <v>-14.126</v>
      </c>
      <c r="K9" s="9" t="n">
        <v>13.013</v>
      </c>
      <c r="L9" s="9" t="n">
        <v>-3.274</v>
      </c>
      <c r="M9" s="9" t="n">
        <v>-14.314</v>
      </c>
      <c r="N9" s="9" t="n">
        <v>4.607</v>
      </c>
      <c r="O9" s="9" t="n">
        <v>-165.682</v>
      </c>
      <c r="P9" s="9" t="n">
        <v>26.367</v>
      </c>
      <c r="Q9" s="9" t="n">
        <v>25.178</v>
      </c>
      <c r="R9" s="9" t="n">
        <v>14.334</v>
      </c>
      <c r="S9" s="9" t="n">
        <v>5.945</v>
      </c>
      <c r="T9" s="9" t="n">
        <v>23.059</v>
      </c>
      <c r="U9" s="9" t="n">
        <v>7.006</v>
      </c>
      <c r="V9" s="9" t="n">
        <v>-3.087</v>
      </c>
      <c r="W9" s="9" t="n">
        <v>13.817</v>
      </c>
      <c r="X9" s="9" t="n">
        <v>-69.272</v>
      </c>
      <c r="Y9" s="9" t="n">
        <v>-30.224</v>
      </c>
      <c r="Z9" s="9" t="n">
        <v>-268.44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3.57"/>
    <col collapsed="false" customWidth="true" hidden="false" outlineLevel="0" max="26" min="2" style="1" width="10.14"/>
  </cols>
  <sheetData>
    <row r="1" customFormat="false" ht="16.5" hidden="false" customHeight="true" outlineLevel="0" collapsed="false">
      <c r="A1" s="2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true" outlineLevel="0" collapsed="false">
      <c r="A4" s="7" t="s">
        <v>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7" t="s">
        <v>35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7" t="s">
        <v>42</v>
      </c>
      <c r="T4" s="7" t="s">
        <v>43</v>
      </c>
      <c r="U4" s="7" t="s">
        <v>44</v>
      </c>
      <c r="V4" s="7" t="s">
        <v>45</v>
      </c>
      <c r="W4" s="7" t="s">
        <v>46</v>
      </c>
      <c r="X4" s="7" t="s">
        <v>47</v>
      </c>
      <c r="Y4" s="7" t="s">
        <v>48</v>
      </c>
      <c r="Z4" s="7" t="s">
        <v>49</v>
      </c>
    </row>
    <row r="5" customFormat="false" ht="14.25" hidden="false" customHeight="true" outlineLevel="0" collapsed="false">
      <c r="A5" s="8" t="s">
        <v>256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" hidden="false" customHeight="true" outlineLevel="0" collapsed="false">
      <c r="A6" s="4" t="s">
        <v>304</v>
      </c>
      <c r="B6" s="9" t="n">
        <v>126</v>
      </c>
      <c r="C6" s="9" t="n">
        <v>208.1</v>
      </c>
      <c r="D6" s="9" t="n">
        <v>154.4</v>
      </c>
      <c r="E6" s="9" t="n">
        <v>130.6</v>
      </c>
      <c r="F6" s="9" t="n">
        <v>103.9</v>
      </c>
      <c r="G6" s="9" t="n">
        <v>211.8</v>
      </c>
      <c r="H6" s="9" t="n">
        <v>257.7</v>
      </c>
      <c r="I6" s="9" t="n">
        <v>252</v>
      </c>
      <c r="J6" s="9" t="n">
        <v>226.3</v>
      </c>
      <c r="K6" s="9" t="n">
        <v>210.8</v>
      </c>
      <c r="L6" s="9" t="n">
        <v>203.9</v>
      </c>
      <c r="M6" s="9" t="n">
        <v>293.1</v>
      </c>
      <c r="N6" s="9" t="n">
        <v>413.9</v>
      </c>
      <c r="O6" s="9" t="n">
        <v>424.1</v>
      </c>
      <c r="P6" s="9" t="n">
        <v>539.7</v>
      </c>
      <c r="Q6" s="9" t="n">
        <v>487</v>
      </c>
      <c r="R6" s="9" t="n">
        <v>462.8</v>
      </c>
      <c r="S6" s="9" t="n">
        <v>400.2</v>
      </c>
      <c r="T6" s="9" t="n">
        <v>372.9</v>
      </c>
      <c r="U6" s="9" t="n">
        <v>467.1</v>
      </c>
      <c r="V6" s="9" t="n">
        <v>763.5</v>
      </c>
      <c r="W6" s="9" t="n">
        <v>726.6</v>
      </c>
      <c r="X6" s="9" t="n">
        <v>1066.4</v>
      </c>
      <c r="Y6" s="9" t="n">
        <v>1092.5</v>
      </c>
      <c r="Z6" s="9" t="n">
        <v>1120.7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53.75"/>
    <col collapsed="false" customWidth="true" hidden="false" outlineLevel="0" max="3" min="3" style="1" width="30"/>
    <col collapsed="false" customWidth="true" hidden="false" outlineLevel="0" max="11" min="4" style="1" width="9.52"/>
  </cols>
  <sheetData>
    <row r="1" customFormat="false" ht="15" hidden="false" customHeight="true" outlineLevel="0" collapsed="false">
      <c r="A1" s="2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 t="s">
        <v>306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true" outlineLevel="0" collapsed="false">
      <c r="A4" s="7" t="s">
        <v>307</v>
      </c>
      <c r="B4" s="7" t="s">
        <v>308</v>
      </c>
      <c r="C4" s="7" t="s">
        <v>309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</row>
    <row r="5" customFormat="false" ht="15" hidden="false" customHeight="true" outlineLevel="0" collapsed="false">
      <c r="A5" s="4" t="s">
        <v>310</v>
      </c>
      <c r="B5" s="4" t="s">
        <v>311</v>
      </c>
      <c r="C5" s="4" t="s">
        <v>312</v>
      </c>
      <c r="D5" s="20" t="n">
        <v>0.48</v>
      </c>
      <c r="E5" s="20" t="n">
        <v>0.18</v>
      </c>
      <c r="F5" s="20" t="n">
        <v>0.18</v>
      </c>
      <c r="G5" s="20" t="n">
        <v>0.18</v>
      </c>
      <c r="H5" s="20" t="n">
        <v>0.18</v>
      </c>
      <c r="I5" s="20" t="n">
        <v>0.12</v>
      </c>
      <c r="J5" s="20" t="n">
        <v>0.12</v>
      </c>
      <c r="K5" s="20" t="n">
        <v>0.12</v>
      </c>
    </row>
    <row r="6" customFormat="false" ht="15" hidden="false" customHeight="true" outlineLevel="0" collapsed="false">
      <c r="A6" s="4" t="s">
        <v>310</v>
      </c>
      <c r="B6" s="4" t="s">
        <v>313</v>
      </c>
      <c r="C6" s="4" t="s">
        <v>312</v>
      </c>
      <c r="D6" s="20" t="n">
        <v>0.18</v>
      </c>
      <c r="E6" s="20" t="n">
        <v>0.05</v>
      </c>
      <c r="F6" s="20" t="n">
        <v>0.05</v>
      </c>
      <c r="G6" s="20" t="n">
        <v>0.05</v>
      </c>
      <c r="H6" s="20" t="n">
        <v>0.05</v>
      </c>
      <c r="I6" s="20" t="n">
        <v>0.06</v>
      </c>
      <c r="J6" s="20" t="n">
        <v>0.06</v>
      </c>
      <c r="K6" s="20" t="n">
        <v>0.06</v>
      </c>
    </row>
    <row r="7" customFormat="false" ht="15" hidden="false" customHeight="true" outlineLevel="0" collapsed="false">
      <c r="A7" s="4" t="s">
        <v>310</v>
      </c>
      <c r="B7" s="4" t="s">
        <v>314</v>
      </c>
      <c r="C7" s="4" t="s">
        <v>312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</row>
    <row r="8" customFormat="false" ht="15" hidden="false" customHeight="true" outlineLevel="0" collapsed="false">
      <c r="A8" s="4" t="s">
        <v>315</v>
      </c>
      <c r="B8" s="4" t="s">
        <v>316</v>
      </c>
      <c r="C8" s="4" t="s">
        <v>312</v>
      </c>
      <c r="D8" s="20" t="n">
        <v>0.5</v>
      </c>
      <c r="E8" s="20" t="n">
        <v>0.16</v>
      </c>
      <c r="F8" s="20" t="n">
        <v>0.16</v>
      </c>
      <c r="G8" s="20" t="n">
        <v>0.16</v>
      </c>
      <c r="H8" s="20" t="n">
        <v>0.16</v>
      </c>
      <c r="I8" s="20" t="n">
        <v>0.12</v>
      </c>
      <c r="J8" s="20" t="n">
        <v>0.12</v>
      </c>
      <c r="K8" s="20" t="n">
        <v>0.12</v>
      </c>
    </row>
    <row r="9" customFormat="false" ht="15" hidden="false" customHeight="true" outlineLevel="0" collapsed="false">
      <c r="A9" s="4" t="s">
        <v>315</v>
      </c>
      <c r="B9" s="4" t="s">
        <v>317</v>
      </c>
      <c r="C9" s="4" t="s">
        <v>312</v>
      </c>
      <c r="D9" s="20" t="n">
        <v>0.24</v>
      </c>
      <c r="E9" s="20" t="n">
        <v>0.16</v>
      </c>
      <c r="F9" s="20" t="n">
        <v>0.16</v>
      </c>
      <c r="G9" s="20" t="n">
        <v>0.16</v>
      </c>
      <c r="H9" s="20" t="n">
        <v>0.16</v>
      </c>
      <c r="I9" s="20" t="n">
        <v>0.12</v>
      </c>
      <c r="J9" s="20" t="n">
        <v>0.12</v>
      </c>
      <c r="K9" s="20" t="n">
        <v>0.12</v>
      </c>
    </row>
    <row r="10" customFormat="false" ht="15" hidden="false" customHeight="true" outlineLevel="0" collapsed="false">
      <c r="A10" s="4" t="s">
        <v>318</v>
      </c>
      <c r="B10" s="4" t="s">
        <v>319</v>
      </c>
      <c r="C10" s="4" t="s">
        <v>312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n">
        <v>0</v>
      </c>
    </row>
    <row r="11" customFormat="false" ht="15" hidden="false" customHeight="true" outlineLevel="0" collapsed="false">
      <c r="A11" s="4" t="s">
        <v>318</v>
      </c>
      <c r="B11" s="4" t="s">
        <v>320</v>
      </c>
      <c r="C11" s="4" t="s">
        <v>312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</row>
    <row r="12" customFormat="false" ht="15" hidden="false" customHeight="true" outlineLevel="0" collapsed="false">
      <c r="A12" s="4" t="s">
        <v>318</v>
      </c>
      <c r="B12" s="4" t="s">
        <v>321</v>
      </c>
      <c r="C12" s="4" t="s">
        <v>312</v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</row>
    <row r="13" customFormat="false" ht="15" hidden="false" customHeight="true" outlineLevel="0" collapsed="false">
      <c r="A13" s="4" t="s">
        <v>318</v>
      </c>
      <c r="B13" s="4" t="s">
        <v>314</v>
      </c>
      <c r="C13" s="4" t="s">
        <v>312</v>
      </c>
      <c r="D13" s="20" t="n">
        <v>0.385</v>
      </c>
      <c r="E13" s="20" t="n">
        <v>0.16</v>
      </c>
      <c r="F13" s="20" t="n">
        <v>0.16</v>
      </c>
      <c r="G13" s="20" t="n">
        <v>0.16</v>
      </c>
      <c r="H13" s="20" t="n">
        <v>0.16</v>
      </c>
      <c r="I13" s="20" t="n">
        <v>0.12</v>
      </c>
      <c r="J13" s="20" t="n">
        <v>0.12</v>
      </c>
      <c r="K13" s="20" t="n">
        <v>0.12</v>
      </c>
    </row>
    <row r="14" customFormat="false" ht="15" hidden="false" customHeight="true" outlineLevel="0" collapsed="false">
      <c r="A14" s="4" t="s">
        <v>322</v>
      </c>
      <c r="B14" s="4" t="s">
        <v>323</v>
      </c>
      <c r="C14" s="4" t="s">
        <v>312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</row>
    <row r="15" customFormat="false" ht="15" hidden="false" customHeight="true" outlineLevel="0" collapsed="false">
      <c r="A15" s="4" t="s">
        <v>322</v>
      </c>
      <c r="B15" s="4" t="s">
        <v>324</v>
      </c>
      <c r="C15" s="4" t="s">
        <v>312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</row>
    <row r="16" customFormat="false" ht="15" hidden="false" customHeight="true" outlineLevel="0" collapsed="false">
      <c r="A16" s="4" t="s">
        <v>322</v>
      </c>
      <c r="B16" s="4" t="s">
        <v>325</v>
      </c>
      <c r="C16" s="4" t="s">
        <v>312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</row>
    <row r="17" customFormat="false" ht="15" hidden="false" customHeight="true" outlineLevel="0" collapsed="false">
      <c r="A17" s="4" t="s">
        <v>322</v>
      </c>
      <c r="B17" s="4" t="s">
        <v>326</v>
      </c>
      <c r="C17" s="4" t="s">
        <v>312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</row>
    <row r="18" customFormat="false" ht="15" hidden="false" customHeight="true" outlineLevel="0" collapsed="false">
      <c r="A18" s="4" t="s">
        <v>322</v>
      </c>
      <c r="B18" s="4" t="s">
        <v>327</v>
      </c>
      <c r="C18" s="4" t="s">
        <v>312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 customFormat="false" ht="15" hidden="false" customHeight="true" outlineLevel="0" collapsed="false">
      <c r="A19" s="4" t="s">
        <v>322</v>
      </c>
      <c r="B19" s="4" t="s">
        <v>328</v>
      </c>
      <c r="C19" s="4" t="s">
        <v>312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 customFormat="false" ht="15" hidden="false" customHeight="true" outlineLevel="0" collapsed="false">
      <c r="A20" s="4" t="s">
        <v>322</v>
      </c>
      <c r="B20" s="4" t="s">
        <v>314</v>
      </c>
      <c r="C20" s="4" t="s">
        <v>312</v>
      </c>
      <c r="D20" s="20" t="n">
        <v>0.385</v>
      </c>
      <c r="E20" s="20" t="n">
        <v>0.16</v>
      </c>
      <c r="F20" s="20" t="n">
        <v>0.16</v>
      </c>
      <c r="G20" s="20" t="n">
        <v>0.16</v>
      </c>
      <c r="H20" s="20" t="n">
        <v>0.16</v>
      </c>
      <c r="I20" s="20" t="n">
        <v>0.12</v>
      </c>
      <c r="J20" s="20" t="n">
        <v>0.12</v>
      </c>
      <c r="K20" s="20" t="n">
        <v>0.12</v>
      </c>
    </row>
    <row r="21" customFormat="false" ht="15" hidden="false" customHeight="true" outlineLevel="0" collapsed="false">
      <c r="A21" s="4" t="s">
        <v>329</v>
      </c>
      <c r="B21" s="4" t="s">
        <v>330</v>
      </c>
      <c r="C21" s="4" t="s">
        <v>312</v>
      </c>
      <c r="D21" s="20" t="n">
        <v>0.423</v>
      </c>
      <c r="E21" s="20" t="n">
        <v>0.2</v>
      </c>
      <c r="F21" s="20" t="n">
        <v>0.2</v>
      </c>
      <c r="G21" s="20" t="n">
        <v>0.2</v>
      </c>
      <c r="H21" s="20" t="n">
        <v>0.2</v>
      </c>
      <c r="I21" s="20" t="n">
        <v>0.13</v>
      </c>
      <c r="J21" s="20" t="n">
        <v>0.13</v>
      </c>
      <c r="K21" s="20" t="n">
        <v>0.13</v>
      </c>
    </row>
    <row r="22" customFormat="false" ht="15" hidden="false" customHeight="true" outlineLevel="0" collapsed="false">
      <c r="A22" s="4" t="s">
        <v>329</v>
      </c>
      <c r="B22" s="4" t="s">
        <v>331</v>
      </c>
      <c r="C22" s="4" t="s">
        <v>312</v>
      </c>
      <c r="D22" s="20" t="n">
        <v>0.301</v>
      </c>
      <c r="E22" s="20" t="n">
        <v>0.07</v>
      </c>
      <c r="F22" s="20" t="n">
        <v>0.07</v>
      </c>
      <c r="G22" s="20" t="n">
        <v>0.07</v>
      </c>
      <c r="H22" s="20" t="n">
        <v>0.07</v>
      </c>
      <c r="I22" s="20" t="n">
        <v>0.06</v>
      </c>
      <c r="J22" s="20" t="n">
        <v>0.06</v>
      </c>
      <c r="K22" s="20" t="n">
        <v>0.06</v>
      </c>
    </row>
    <row r="23" customFormat="false" ht="15" hidden="false" customHeight="true" outlineLevel="0" collapsed="false">
      <c r="A23" s="4" t="s">
        <v>332</v>
      </c>
      <c r="B23" s="4" t="s">
        <v>333</v>
      </c>
      <c r="C23" s="4" t="s">
        <v>312</v>
      </c>
      <c r="D23" s="20" t="n">
        <v>0.5</v>
      </c>
      <c r="E23" s="20" t="n">
        <v>0.16</v>
      </c>
      <c r="F23" s="20" t="n">
        <v>0.16</v>
      </c>
      <c r="G23" s="20" t="n">
        <v>0.16</v>
      </c>
      <c r="H23" s="20" t="n">
        <v>0.16</v>
      </c>
      <c r="I23" s="20" t="n">
        <v>0.12</v>
      </c>
      <c r="J23" s="20" t="n">
        <v>0.12</v>
      </c>
      <c r="K23" s="20" t="n">
        <v>0.12</v>
      </c>
    </row>
    <row r="24" customFormat="false" ht="15" hidden="false" customHeight="true" outlineLevel="0" collapsed="false">
      <c r="A24" s="4" t="s">
        <v>332</v>
      </c>
      <c r="B24" s="4" t="s">
        <v>334</v>
      </c>
      <c r="C24" s="4" t="s">
        <v>312</v>
      </c>
      <c r="D24" s="20" t="n">
        <v>0.12</v>
      </c>
      <c r="E24" s="20" t="n">
        <v>0.1</v>
      </c>
      <c r="F24" s="20" t="n">
        <v>0.1</v>
      </c>
      <c r="G24" s="20" t="n">
        <v>0.1</v>
      </c>
      <c r="H24" s="20" t="n">
        <v>0.1</v>
      </c>
      <c r="I24" s="20" t="n">
        <v>0.1</v>
      </c>
      <c r="J24" s="20" t="n">
        <v>0.1</v>
      </c>
      <c r="K24" s="20" t="n">
        <v>0.1</v>
      </c>
    </row>
    <row r="25" customFormat="false" ht="15" hidden="false" customHeight="true" outlineLevel="0" collapsed="false">
      <c r="A25" s="4" t="s">
        <v>332</v>
      </c>
      <c r="B25" s="4" t="s">
        <v>335</v>
      </c>
      <c r="C25" s="4" t="s">
        <v>312</v>
      </c>
      <c r="D25" s="20" t="n">
        <v>0.12</v>
      </c>
      <c r="E25" s="20" t="n">
        <v>0.14</v>
      </c>
      <c r="F25" s="20" t="n">
        <v>0.14</v>
      </c>
      <c r="G25" s="20" t="n">
        <v>0.14</v>
      </c>
      <c r="H25" s="20" t="n">
        <v>0.14</v>
      </c>
      <c r="I25" s="20" t="n">
        <v>0.12</v>
      </c>
      <c r="J25" s="20" t="n">
        <v>0.12</v>
      </c>
      <c r="K25" s="20" t="n">
        <v>0.12</v>
      </c>
    </row>
    <row r="28" customFormat="false" ht="15" hidden="false" customHeight="true" outlineLevel="0" collapsed="false">
      <c r="A28" s="21" t="s">
        <v>336</v>
      </c>
    </row>
    <row r="29" customFormat="false" ht="15" hidden="false" customHeight="true" outlineLevel="0" collapsed="false">
      <c r="A29" s="1" t="s">
        <v>337</v>
      </c>
      <c r="D29" s="22" t="n">
        <f aca="false">SUM('IS - Quarterly'!AR8:AT8)</f>
        <v>1335.229</v>
      </c>
    </row>
    <row r="30" customFormat="false" ht="15" hidden="false" customHeight="true" outlineLevel="0" collapsed="false">
      <c r="A30" s="1" t="s">
        <v>338</v>
      </c>
      <c r="D30" s="22" t="n">
        <f aca="false">'IS - Quarterly'!AU8</f>
        <v>564.759853</v>
      </c>
    </row>
    <row r="31" customFormat="false" ht="15" hidden="false" customHeight="true" outlineLevel="0" collapsed="false">
      <c r="A31" s="1" t="s">
        <v>339</v>
      </c>
      <c r="D31" s="22" t="n">
        <f aca="false">D29+D30</f>
        <v>1899.988853</v>
      </c>
    </row>
    <row r="32" customFormat="false" ht="15" hidden="false" customHeight="true" outlineLevel="0" collapsed="false">
      <c r="A32" s="1" t="s">
        <v>340</v>
      </c>
      <c r="D32" s="23" t="n">
        <v>1850</v>
      </c>
    </row>
    <row r="33" customFormat="false" ht="15" hidden="false" customHeight="true" outlineLevel="0" collapsed="false">
      <c r="A33" s="1" t="s">
        <v>341</v>
      </c>
      <c r="D33" s="23" t="n">
        <v>1900</v>
      </c>
    </row>
    <row r="34" customFormat="false" ht="15" hidden="false" customHeight="true" outlineLevel="0" collapsed="false">
      <c r="A34" s="1" t="s">
        <v>342</v>
      </c>
      <c r="D34" s="23" t="n">
        <v>1950</v>
      </c>
    </row>
    <row r="35" customFormat="false" ht="15" hidden="false" customHeight="true" outlineLevel="0" collapsed="false">
      <c r="A35" s="1" t="s">
        <v>343</v>
      </c>
      <c r="D35" s="24" t="n">
        <f aca="false">D31/D33-1</f>
        <v>-5.86684210523991E-006</v>
      </c>
    </row>
    <row r="37" customFormat="false" ht="15" hidden="false" customHeight="true" outlineLevel="0" collapsed="false">
      <c r="A37" s="1" t="s">
        <v>344</v>
      </c>
      <c r="D37" s="22" t="n">
        <f aca="false">SUM('IS - Quarterly'!AV8:AY8)</f>
        <v>2203.51080457</v>
      </c>
    </row>
    <row r="38" customFormat="false" ht="15" hidden="false" customHeight="true" outlineLevel="0" collapsed="false">
      <c r="A38" s="1" t="s">
        <v>345</v>
      </c>
      <c r="D38" s="24" t="n">
        <f aca="false">D37/D31-1</f>
        <v>0.15974933278727</v>
      </c>
    </row>
    <row r="41" customFormat="false" ht="15" hidden="false" customHeight="false" outlineLevel="0" collapsed="false">
      <c r="A41" s="25" t="s">
        <v>346</v>
      </c>
    </row>
    <row r="42" customFormat="false" ht="15" hidden="false" customHeight="false" outlineLevel="0" collapsed="false">
      <c r="D42" s="25" t="s">
        <v>50</v>
      </c>
      <c r="E42" s="25" t="s">
        <v>51</v>
      </c>
      <c r="F42" s="25" t="s">
        <v>52</v>
      </c>
      <c r="G42" s="25" t="s">
        <v>53</v>
      </c>
      <c r="H42" s="25" t="s">
        <v>54</v>
      </c>
      <c r="I42" s="25" t="s">
        <v>55</v>
      </c>
      <c r="J42" s="25" t="s">
        <v>56</v>
      </c>
      <c r="K42" s="25" t="s">
        <v>57</v>
      </c>
    </row>
    <row r="43" customFormat="false" ht="15" hidden="false" customHeight="false" outlineLevel="0" collapsed="false">
      <c r="A43" s="1" t="s">
        <v>347</v>
      </c>
      <c r="D43" s="26" t="n">
        <v>0.3</v>
      </c>
      <c r="E43" s="26" t="n">
        <v>0.31</v>
      </c>
      <c r="F43" s="26" t="n">
        <v>0.31</v>
      </c>
      <c r="G43" s="26" t="n">
        <v>0.31</v>
      </c>
      <c r="H43" s="26" t="n">
        <v>0.31</v>
      </c>
      <c r="I43" s="26" t="n">
        <v>0.325</v>
      </c>
      <c r="J43" s="26" t="n">
        <v>0.325</v>
      </c>
      <c r="K43" s="26" t="n">
        <v>0.325</v>
      </c>
    </row>
    <row r="44" customFormat="false" ht="15" hidden="false" customHeight="false" outlineLevel="0" collapsed="false">
      <c r="A44" s="1" t="s">
        <v>348</v>
      </c>
      <c r="D44" s="26" t="n">
        <v>0.165</v>
      </c>
      <c r="E44" s="26" t="n">
        <v>0.175</v>
      </c>
      <c r="F44" s="26" t="n">
        <v>0.175</v>
      </c>
      <c r="G44" s="26" t="n">
        <v>0.175</v>
      </c>
      <c r="H44" s="26" t="n">
        <v>0.175</v>
      </c>
      <c r="I44" s="26" t="n">
        <v>0.185</v>
      </c>
      <c r="J44" s="26" t="n">
        <v>0.185</v>
      </c>
      <c r="K44" s="26" t="n">
        <v>0.185</v>
      </c>
    </row>
    <row r="45" customFormat="false" ht="15" hidden="false" customHeight="false" outlineLevel="0" collapsed="false">
      <c r="A45" s="1" t="s">
        <v>349</v>
      </c>
      <c r="D45" s="26" t="n">
        <v>0.2</v>
      </c>
      <c r="E45" s="26" t="n">
        <v>0.185</v>
      </c>
      <c r="F45" s="26" t="n">
        <v>0.185</v>
      </c>
      <c r="G45" s="26" t="n">
        <v>0.185</v>
      </c>
      <c r="H45" s="26" t="n">
        <v>0.185</v>
      </c>
      <c r="I45" s="26" t="n">
        <v>0.17</v>
      </c>
      <c r="J45" s="26" t="n">
        <v>0.17</v>
      </c>
      <c r="K45" s="26" t="n">
        <v>0.17</v>
      </c>
    </row>
    <row r="46" customFormat="false" ht="15" hidden="false" customHeight="false" outlineLevel="0" collapsed="false">
      <c r="A46" s="1" t="s">
        <v>350</v>
      </c>
      <c r="D46" s="26" t="n">
        <v>0.065</v>
      </c>
      <c r="E46" s="26" t="n">
        <v>0.065</v>
      </c>
      <c r="F46" s="26" t="n">
        <v>0.065</v>
      </c>
      <c r="G46" s="26" t="n">
        <v>0.065</v>
      </c>
      <c r="H46" s="26" t="n">
        <v>0.065</v>
      </c>
      <c r="I46" s="26" t="n">
        <v>0.065</v>
      </c>
      <c r="J46" s="26" t="n">
        <v>0.065</v>
      </c>
      <c r="K46" s="26" t="n">
        <v>0.065</v>
      </c>
    </row>
    <row r="47" customFormat="false" ht="15" hidden="false" customHeight="false" outlineLevel="0" collapsed="false">
      <c r="A47" s="1" t="s">
        <v>351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</row>
    <row r="48" customFormat="false" ht="15" hidden="false" customHeight="false" outlineLevel="0" collapsed="false">
      <c r="A48" s="1" t="s">
        <v>352</v>
      </c>
      <c r="D48" s="27" t="n">
        <v>0</v>
      </c>
      <c r="E48" s="27" t="n">
        <v>0</v>
      </c>
      <c r="F48" s="27" t="n">
        <v>0</v>
      </c>
      <c r="G48" s="27" t="n">
        <v>0</v>
      </c>
      <c r="H48" s="27" t="n">
        <v>0</v>
      </c>
      <c r="I48" s="27" t="n">
        <v>0</v>
      </c>
      <c r="J48" s="27" t="n">
        <v>0</v>
      </c>
      <c r="K48" s="27" t="n">
        <v>0</v>
      </c>
    </row>
    <row r="49" customFormat="false" ht="15" hidden="false" customHeight="false" outlineLevel="0" collapsed="false">
      <c r="A49" s="1" t="s">
        <v>353</v>
      </c>
      <c r="D49" s="27" t="n">
        <v>2</v>
      </c>
      <c r="E49" s="27" t="n">
        <v>2</v>
      </c>
      <c r="F49" s="27" t="n">
        <v>2</v>
      </c>
      <c r="G49" s="27" t="n">
        <v>2</v>
      </c>
      <c r="H49" s="27" t="n">
        <v>2</v>
      </c>
      <c r="I49" s="27" t="n">
        <v>2</v>
      </c>
      <c r="J49" s="27" t="n">
        <v>2</v>
      </c>
      <c r="K49" s="27" t="n">
        <v>2</v>
      </c>
    </row>
    <row r="50" customFormat="false" ht="15" hidden="false" customHeight="false" outlineLevel="0" collapsed="false">
      <c r="A50" s="1" t="s">
        <v>354</v>
      </c>
      <c r="D50" s="27" t="n">
        <v>0</v>
      </c>
      <c r="E50" s="27" t="n">
        <v>0</v>
      </c>
      <c r="F50" s="27" t="n">
        <v>0</v>
      </c>
      <c r="G50" s="27" t="n">
        <v>0</v>
      </c>
      <c r="H50" s="27" t="n">
        <v>0</v>
      </c>
      <c r="I50" s="27" t="n">
        <v>0</v>
      </c>
      <c r="J50" s="27" t="n">
        <v>0</v>
      </c>
      <c r="K50" s="27" t="n">
        <v>0</v>
      </c>
    </row>
    <row r="51" customFormat="false" ht="15" hidden="false" customHeight="false" outlineLevel="0" collapsed="false">
      <c r="A51" s="1" t="s">
        <v>355</v>
      </c>
      <c r="D51" s="27" t="n">
        <v>0</v>
      </c>
      <c r="E51" s="27" t="n">
        <v>0</v>
      </c>
      <c r="F51" s="27" t="n">
        <v>0</v>
      </c>
      <c r="G51" s="27" t="n">
        <v>0</v>
      </c>
      <c r="H51" s="27" t="n">
        <v>0</v>
      </c>
      <c r="I51" s="27" t="n">
        <v>0</v>
      </c>
      <c r="J51" s="27" t="n">
        <v>0</v>
      </c>
      <c r="K51" s="27" t="n">
        <v>0</v>
      </c>
    </row>
    <row r="52" customFormat="false" ht="15" hidden="false" customHeight="false" outlineLevel="0" collapsed="false">
      <c r="A52" s="1" t="s">
        <v>356</v>
      </c>
      <c r="D52" s="26" t="n">
        <v>0.17</v>
      </c>
      <c r="E52" s="26" t="n">
        <v>0.17</v>
      </c>
      <c r="F52" s="26" t="n">
        <v>0.17</v>
      </c>
      <c r="G52" s="26" t="n">
        <v>0.17</v>
      </c>
      <c r="H52" s="26" t="n">
        <v>0.17</v>
      </c>
      <c r="I52" s="26" t="n">
        <v>0.17</v>
      </c>
      <c r="J52" s="26" t="n">
        <v>0.17</v>
      </c>
      <c r="K52" s="26" t="n">
        <v>0.17</v>
      </c>
    </row>
    <row r="53" customFormat="false" ht="15" hidden="false" customHeight="false" outlineLevel="0" collapsed="false">
      <c r="A53" s="1" t="s">
        <v>357</v>
      </c>
      <c r="D53" s="28" t="n">
        <v>50</v>
      </c>
      <c r="E53" s="28" t="n">
        <v>50.1</v>
      </c>
      <c r="F53" s="28" t="n">
        <v>50.2</v>
      </c>
      <c r="G53" s="28" t="n">
        <v>50.3</v>
      </c>
      <c r="H53" s="28" t="n">
        <v>50.4</v>
      </c>
      <c r="I53" s="28" t="n">
        <v>50.5</v>
      </c>
      <c r="J53" s="28" t="n">
        <v>50.6</v>
      </c>
      <c r="K53" s="28" t="n">
        <v>50.7</v>
      </c>
    </row>
    <row r="54" customFormat="false" ht="15" hidden="false" customHeight="false" outlineLevel="0" collapsed="false">
      <c r="A54" s="1" t="s">
        <v>358</v>
      </c>
      <c r="D54" s="28" t="n">
        <v>49.8</v>
      </c>
      <c r="E54" s="28" t="n">
        <v>49.9</v>
      </c>
      <c r="F54" s="28" t="n">
        <v>50</v>
      </c>
      <c r="G54" s="28" t="n">
        <v>50.1</v>
      </c>
      <c r="H54" s="28" t="n">
        <v>50.2</v>
      </c>
      <c r="I54" s="28" t="n">
        <v>50.3</v>
      </c>
      <c r="J54" s="28" t="n">
        <v>50.4</v>
      </c>
      <c r="K54" s="28" t="n">
        <v>50.5</v>
      </c>
    </row>
    <row r="55" customFormat="false" ht="15" hidden="false" customHeight="false" outlineLevel="0" collapsed="false">
      <c r="A55" s="1" t="s">
        <v>359</v>
      </c>
      <c r="D55" s="27" t="n">
        <v>0</v>
      </c>
      <c r="E55" s="27" t="n">
        <v>0</v>
      </c>
      <c r="F55" s="27" t="n">
        <v>0</v>
      </c>
      <c r="G55" s="27" t="n">
        <v>0</v>
      </c>
      <c r="H55" s="27" t="n">
        <v>0</v>
      </c>
      <c r="I55" s="27" t="n">
        <v>0</v>
      </c>
      <c r="J55" s="27" t="n">
        <v>0</v>
      </c>
      <c r="K55" s="27" t="n">
        <v>0</v>
      </c>
    </row>
    <row r="57" customFormat="false" ht="15" hidden="false" customHeight="false" outlineLevel="0" collapsed="false">
      <c r="A57" s="25" t="s">
        <v>360</v>
      </c>
    </row>
    <row r="58" customFormat="false" ht="15" hidden="false" customHeight="false" outlineLevel="0" collapsed="false">
      <c r="A58" s="1" t="s">
        <v>361</v>
      </c>
      <c r="D58" s="29" t="n">
        <f aca="false">SUM('IS - Quarterly'!AR23:AU23)</f>
        <v>-371.04252683</v>
      </c>
    </row>
    <row r="59" customFormat="false" ht="15" hidden="false" customHeight="false" outlineLevel="0" collapsed="false">
      <c r="A59" s="1" t="s">
        <v>362</v>
      </c>
      <c r="D59" s="29" t="n">
        <f aca="false">SUM('IS - Quarterly'!AR36:AU36)</f>
        <v>-329.2144172689</v>
      </c>
    </row>
    <row r="60" customFormat="false" ht="15" hidden="false" customHeight="false" outlineLevel="0" collapsed="false">
      <c r="A60" s="1" t="s">
        <v>363</v>
      </c>
      <c r="D60" s="30" t="n">
        <f aca="false">SUM('IS - Quarterly'!AR36:AU36)/AVERAGE('IS - Quarterly'!AR39:AU39)</f>
        <v>-6.7067844092202</v>
      </c>
    </row>
    <row r="61" customFormat="false" ht="15" hidden="false" customHeight="false" outlineLevel="0" collapsed="false">
      <c r="A61" s="1" t="s">
        <v>364</v>
      </c>
      <c r="D61" s="29" t="n">
        <f aca="false">SUM('IS - Quarterly'!AV23:AY23)</f>
        <v>47.23424782125</v>
      </c>
    </row>
    <row r="62" customFormat="false" ht="15" hidden="false" customHeight="false" outlineLevel="0" collapsed="false">
      <c r="A62" s="1" t="s">
        <v>365</v>
      </c>
      <c r="D62" s="31" t="n">
        <f aca="false">D61/D37</f>
        <v>0.0214359047948791</v>
      </c>
    </row>
    <row r="63" customFormat="false" ht="15" hidden="false" customHeight="false" outlineLevel="0" collapsed="false">
      <c r="A63" s="1" t="s">
        <v>366</v>
      </c>
      <c r="D63" s="29" t="n">
        <f aca="false">SUM('IS - Quarterly'!AV36:AY36)</f>
        <v>45.8444256916375</v>
      </c>
    </row>
    <row r="64" customFormat="false" ht="15" hidden="false" customHeight="false" outlineLevel="0" collapsed="false">
      <c r="A64" s="1" t="s">
        <v>367</v>
      </c>
      <c r="D64" s="30" t="n">
        <f aca="false">SUM('IS - Quarterly'!AV36:AY36)/AVERAGE('IS - Quarterly'!AV39:AY39)</f>
        <v>0.912326879435572</v>
      </c>
    </row>
    <row r="66" customFormat="false" ht="15" hidden="false" customHeight="false" outlineLevel="0" collapsed="false">
      <c r="A66" s="25" t="s">
        <v>368</v>
      </c>
    </row>
    <row r="67" customFormat="false" ht="15" hidden="false" customHeight="false" outlineLevel="0" collapsed="false">
      <c r="A67" s="25" t="s">
        <v>369</v>
      </c>
      <c r="B67" s="25" t="s">
        <v>370</v>
      </c>
      <c r="C67" s="25" t="s">
        <v>371</v>
      </c>
      <c r="D67" s="25" t="s">
        <v>372</v>
      </c>
      <c r="E67" s="25" t="s">
        <v>373</v>
      </c>
    </row>
    <row r="68" customFormat="false" ht="15" hidden="false" customHeight="false" outlineLevel="0" collapsed="false">
      <c r="A68" s="1" t="s">
        <v>374</v>
      </c>
      <c r="B68" s="1" t="s">
        <v>375</v>
      </c>
      <c r="C68" s="1" t="s">
        <v>376</v>
      </c>
      <c r="D68" s="1" t="s">
        <v>377</v>
      </c>
      <c r="E68" s="1" t="s">
        <v>378</v>
      </c>
    </row>
    <row r="69" customFormat="false" ht="15" hidden="false" customHeight="false" outlineLevel="0" collapsed="false">
      <c r="A69" s="1" t="s">
        <v>379</v>
      </c>
      <c r="B69" s="1" t="s">
        <v>380</v>
      </c>
      <c r="C69" s="1" t="s">
        <v>381</v>
      </c>
      <c r="D69" s="1" t="s">
        <v>382</v>
      </c>
      <c r="E69" s="1" t="s">
        <v>383</v>
      </c>
    </row>
    <row r="70" customFormat="false" ht="15" hidden="false" customHeight="false" outlineLevel="0" collapsed="false">
      <c r="A70" s="1" t="s">
        <v>349</v>
      </c>
      <c r="B70" s="1" t="s">
        <v>384</v>
      </c>
      <c r="C70" s="1" t="s">
        <v>385</v>
      </c>
      <c r="D70" s="1" t="s">
        <v>386</v>
      </c>
      <c r="E70" s="1" t="s">
        <v>387</v>
      </c>
    </row>
    <row r="71" customFormat="false" ht="15" hidden="false" customHeight="false" outlineLevel="0" collapsed="false">
      <c r="A71" s="1" t="s">
        <v>350</v>
      </c>
      <c r="B71" s="1" t="s">
        <v>388</v>
      </c>
      <c r="C71" s="1" t="s">
        <v>389</v>
      </c>
      <c r="D71" s="1" t="s">
        <v>390</v>
      </c>
      <c r="E71" s="1" t="s">
        <v>391</v>
      </c>
    </row>
    <row r="72" customFormat="false" ht="15" hidden="false" customHeight="false" outlineLevel="0" collapsed="false">
      <c r="A72" s="1" t="s">
        <v>392</v>
      </c>
      <c r="B72" s="1" t="s">
        <v>393</v>
      </c>
      <c r="C72" s="1" t="s">
        <v>394</v>
      </c>
      <c r="D72" s="1" t="s">
        <v>395</v>
      </c>
      <c r="E72" s="1" t="s">
        <v>396</v>
      </c>
    </row>
    <row r="73" customFormat="false" ht="15" hidden="false" customHeight="false" outlineLevel="0" collapsed="false">
      <c r="A73" s="1" t="s">
        <v>397</v>
      </c>
      <c r="B73" s="1" t="s">
        <v>398</v>
      </c>
      <c r="C73" s="1" t="s">
        <v>399</v>
      </c>
      <c r="D73" s="1" t="s">
        <v>400</v>
      </c>
      <c r="E73" s="1" t="s">
        <v>401</v>
      </c>
    </row>
    <row r="74" customFormat="false" ht="15" hidden="false" customHeight="false" outlineLevel="0" collapsed="false">
      <c r="A74" s="1" t="s">
        <v>402</v>
      </c>
      <c r="B74" s="1" t="s">
        <v>403</v>
      </c>
      <c r="C74" s="1" t="s">
        <v>404</v>
      </c>
      <c r="D74" s="1" t="s">
        <v>405</v>
      </c>
      <c r="E74" s="1" t="s">
        <v>406</v>
      </c>
    </row>
    <row r="75" customFormat="false" ht="15" hidden="false" customHeight="false" outlineLevel="0" collapsed="false">
      <c r="A75" s="1" t="s">
        <v>407</v>
      </c>
      <c r="B75" s="1" t="s">
        <v>408</v>
      </c>
      <c r="C75" s="1" t="s">
        <v>409</v>
      </c>
      <c r="D75" s="1" t="s">
        <v>409</v>
      </c>
      <c r="E75" s="1" t="s">
        <v>410</v>
      </c>
    </row>
    <row r="76" customFormat="false" ht="15" hidden="false" customHeight="false" outlineLevel="0" collapsed="false">
      <c r="A76" s="1" t="s">
        <v>411</v>
      </c>
      <c r="B76" s="1" t="s">
        <v>412</v>
      </c>
      <c r="C76" s="1" t="s">
        <v>413</v>
      </c>
      <c r="D76" s="1" t="s">
        <v>414</v>
      </c>
      <c r="E76" s="1" t="s">
        <v>415</v>
      </c>
    </row>
    <row r="77" customFormat="false" ht="15" hidden="false" customHeight="false" outlineLevel="0" collapsed="false">
      <c r="A77" s="1" t="s">
        <v>416</v>
      </c>
      <c r="B77" s="1" t="s">
        <v>417</v>
      </c>
      <c r="C77" s="1" t="s">
        <v>418</v>
      </c>
      <c r="D77" s="1" t="s">
        <v>419</v>
      </c>
      <c r="E77" s="1" t="s">
        <v>420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2026-06-26T23:48:56Z</dcterms:created>
  <dc:creator>openpyxl</dc:creator>
  <dc:description/>
  <dc:language>en-US</dc:language>
  <cp:lastModifiedBy/>
  <dcterms:modified xsi:type="dcterms:W3CDTF">2026-06-27T00:04:28Z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