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8_{ECE99B66-952D-4EBF-9DA6-E56DD9CDB66A}" xr6:coauthVersionLast="47" xr6:coauthVersionMax="47" xr10:uidLastSave="{00000000-0000-0000-0000-000000000000}"/>
  <bookViews>
    <workbookView xWindow="0" yWindow="1560" windowWidth="28800" windowHeight="14040" activeTab="3" xr2:uid="{00000000-000D-0000-FFFF-FFFF00000000}"/>
  </bookViews>
  <sheets>
    <sheet name="Dashboard" sheetId="1" r:id="rId1"/>
    <sheet name="AWS Assumptions" sheetId="3" r:id="rId2"/>
    <sheet name="AWS" sheetId="2" r:id="rId3"/>
    <sheet name="Online Retai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5" l="1"/>
  <c r="F23" i="5"/>
  <c r="G23" i="5"/>
  <c r="H23" i="5"/>
  <c r="I23" i="5"/>
  <c r="J23" i="5"/>
  <c r="K23" i="5"/>
  <c r="E23" i="5"/>
  <c r="E2" i="5"/>
  <c r="K18" i="5"/>
  <c r="J18" i="5"/>
  <c r="I18" i="5"/>
  <c r="H18" i="5"/>
  <c r="G18" i="5"/>
  <c r="F18" i="5"/>
  <c r="E18" i="5"/>
  <c r="D18" i="5"/>
  <c r="C18" i="5"/>
  <c r="B18" i="5"/>
  <c r="K16" i="5"/>
  <c r="J16" i="5"/>
  <c r="I16" i="5"/>
  <c r="H16" i="5"/>
  <c r="G16" i="5"/>
  <c r="F16" i="5"/>
  <c r="E16" i="5"/>
  <c r="D16" i="5"/>
  <c r="C16" i="5"/>
  <c r="B16" i="5"/>
  <c r="K14" i="5"/>
  <c r="J14" i="5"/>
  <c r="I14" i="5"/>
  <c r="H14" i="5"/>
  <c r="G14" i="5"/>
  <c r="F14" i="5"/>
  <c r="E14" i="5"/>
  <c r="D14" i="5"/>
  <c r="C14" i="5"/>
  <c r="B14" i="5"/>
  <c r="K12" i="5"/>
  <c r="J12" i="5"/>
  <c r="I12" i="5"/>
  <c r="H12" i="5"/>
  <c r="G12" i="5"/>
  <c r="F12" i="5"/>
  <c r="E12" i="5"/>
  <c r="D12" i="5"/>
  <c r="C12" i="5"/>
  <c r="B12" i="5"/>
  <c r="K10" i="5"/>
  <c r="J10" i="5"/>
  <c r="I10" i="5"/>
  <c r="H10" i="5"/>
  <c r="G10" i="5"/>
  <c r="F10" i="5"/>
  <c r="E10" i="5"/>
  <c r="D8" i="5"/>
  <c r="C8" i="5"/>
  <c r="B8" i="5"/>
  <c r="E7" i="5"/>
  <c r="E6" i="5"/>
  <c r="E5" i="5"/>
  <c r="E4" i="5"/>
  <c r="E15" i="3"/>
  <c r="D17" i="2"/>
  <c r="C17" i="2"/>
  <c r="B17" i="2"/>
  <c r="K15" i="2"/>
  <c r="J15" i="2"/>
  <c r="I15" i="2"/>
  <c r="H15" i="2"/>
  <c r="G15" i="2"/>
  <c r="F15" i="2"/>
  <c r="E15" i="2"/>
  <c r="D15" i="2"/>
  <c r="C15" i="2"/>
  <c r="K14" i="2"/>
  <c r="J14" i="2"/>
  <c r="I14" i="2"/>
  <c r="H14" i="2"/>
  <c r="G14" i="2"/>
  <c r="F14" i="2"/>
  <c r="D12" i="2"/>
  <c r="C12" i="2"/>
  <c r="B12" i="2"/>
  <c r="D11" i="2"/>
  <c r="C11" i="2"/>
  <c r="B11" i="2"/>
  <c r="K9" i="2"/>
  <c r="J9" i="2"/>
  <c r="I9" i="2"/>
  <c r="H9" i="2"/>
  <c r="G9" i="2"/>
  <c r="F9" i="2"/>
  <c r="E9" i="2"/>
  <c r="D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D5" i="2"/>
  <c r="C5" i="2"/>
  <c r="E2" i="2"/>
  <c r="E7" i="1"/>
  <c r="E6" i="1"/>
  <c r="E5" i="1"/>
  <c r="E4" i="1"/>
  <c r="B28" i="5" l="1"/>
  <c r="F2" i="5"/>
  <c r="G2" i="5" s="1"/>
  <c r="H2" i="5" s="1"/>
  <c r="I2" i="5" s="1"/>
  <c r="J2" i="5" s="1"/>
  <c r="K2" i="5" s="1"/>
  <c r="E8" i="5"/>
  <c r="C17" i="5"/>
  <c r="D15" i="5"/>
  <c r="B15" i="5"/>
  <c r="D19" i="5"/>
  <c r="C19" i="5"/>
  <c r="B19" i="5"/>
  <c r="D17" i="5"/>
  <c r="B17" i="5"/>
  <c r="C15" i="5"/>
  <c r="D13" i="5"/>
  <c r="C13" i="5"/>
  <c r="B13" i="5"/>
  <c r="D10" i="5"/>
  <c r="C10" i="5"/>
  <c r="B10" i="5"/>
  <c r="D9" i="5"/>
  <c r="C9" i="5"/>
  <c r="F7" i="5"/>
  <c r="G7" i="5" s="1"/>
  <c r="H7" i="5" s="1"/>
  <c r="F6" i="5"/>
  <c r="G6" i="5" s="1"/>
  <c r="H6" i="5" s="1"/>
  <c r="I6" i="5" s="1"/>
  <c r="J6" i="5" s="1"/>
  <c r="K6" i="5" s="1"/>
  <c r="F5" i="5"/>
  <c r="G5" i="5" s="1"/>
  <c r="H5" i="5" s="1"/>
  <c r="I5" i="5" s="1"/>
  <c r="J5" i="5" s="1"/>
  <c r="K5" i="5" s="1"/>
  <c r="F4" i="5"/>
  <c r="F2" i="2"/>
  <c r="G2" i="2" s="1"/>
  <c r="D19" i="2"/>
  <c r="D20" i="2" s="1"/>
  <c r="E8" i="1" s="1"/>
  <c r="C19" i="2"/>
  <c r="C20" i="2" s="1"/>
  <c r="B19" i="2"/>
  <c r="B20" i="2" s="1"/>
  <c r="D18" i="2"/>
  <c r="C18" i="2"/>
  <c r="E14" i="2"/>
  <c r="E9" i="5" l="1"/>
  <c r="E15" i="5"/>
  <c r="E19" i="5"/>
  <c r="E17" i="5"/>
  <c r="B21" i="5"/>
  <c r="B22" i="5" s="1"/>
  <c r="E11" i="5"/>
  <c r="E13" i="5" s="1"/>
  <c r="G4" i="5"/>
  <c r="F8" i="5"/>
  <c r="B10" i="1"/>
  <c r="E7" i="2"/>
  <c r="E6" i="2" s="1"/>
  <c r="E13" i="2"/>
  <c r="H2" i="2"/>
  <c r="I2" i="2" s="1"/>
  <c r="J2" i="2" s="1"/>
  <c r="K2" i="2" s="1"/>
  <c r="I7" i="5"/>
  <c r="J7" i="5" s="1"/>
  <c r="K7" i="5" s="1"/>
  <c r="D20" i="5"/>
  <c r="D21" i="5" s="1"/>
  <c r="D22" i="5" s="1"/>
  <c r="C20" i="5"/>
  <c r="C21" i="5" s="1"/>
  <c r="C22" i="5" s="1"/>
  <c r="E20" i="5" l="1"/>
  <c r="E21" i="5" s="1"/>
  <c r="E22" i="5" s="1"/>
  <c r="H4" i="5"/>
  <c r="G8" i="5"/>
  <c r="F9" i="5"/>
  <c r="F11" i="5"/>
  <c r="F13" i="5" s="1"/>
  <c r="F19" i="5"/>
  <c r="F20" i="5" s="1"/>
  <c r="F15" i="5"/>
  <c r="F17" i="5"/>
  <c r="F4" i="1"/>
  <c r="F6" i="2"/>
  <c r="E4" i="2"/>
  <c r="E16" i="2"/>
  <c r="I4" i="5" l="1"/>
  <c r="H8" i="5"/>
  <c r="G9" i="5"/>
  <c r="G11" i="5"/>
  <c r="G13" i="5" s="1"/>
  <c r="G15" i="5"/>
  <c r="G17" i="5"/>
  <c r="G19" i="5"/>
  <c r="G20" i="5" s="1"/>
  <c r="F4" i="2"/>
  <c r="G4" i="1"/>
  <c r="G6" i="2"/>
  <c r="F7" i="1"/>
  <c r="B4" i="1"/>
  <c r="E5" i="2"/>
  <c r="F5" i="1" s="1"/>
  <c r="E10" i="2"/>
  <c r="E17" i="2"/>
  <c r="E18" i="2" s="1"/>
  <c r="F13" i="2"/>
  <c r="F21" i="5"/>
  <c r="F22" i="5" s="1"/>
  <c r="J4" i="5" l="1"/>
  <c r="I8" i="5"/>
  <c r="H19" i="5"/>
  <c r="H20" i="5" s="1"/>
  <c r="H15" i="5"/>
  <c r="H17" i="5"/>
  <c r="H9" i="5"/>
  <c r="H11" i="5"/>
  <c r="H13" i="5" s="1"/>
  <c r="F5" i="2"/>
  <c r="G5" i="1" s="1"/>
  <c r="G7" i="1"/>
  <c r="F10" i="2"/>
  <c r="F17" i="2"/>
  <c r="F18" i="2" s="1"/>
  <c r="G4" i="2"/>
  <c r="H6" i="2"/>
  <c r="E11" i="2"/>
  <c r="F6" i="1" s="1"/>
  <c r="E12" i="2"/>
  <c r="E19" i="2" s="1"/>
  <c r="B6" i="1"/>
  <c r="G21" i="5"/>
  <c r="G22" i="5" s="1"/>
  <c r="F16" i="2"/>
  <c r="H21" i="5" l="1"/>
  <c r="H22" i="5" s="1"/>
  <c r="K4" i="5"/>
  <c r="K8" i="5" s="1"/>
  <c r="J8" i="5"/>
  <c r="I15" i="5"/>
  <c r="I17" i="5"/>
  <c r="I19" i="5"/>
  <c r="I20" i="5" s="1"/>
  <c r="I9" i="5"/>
  <c r="I11" i="5"/>
  <c r="I13" i="5" s="1"/>
  <c r="F12" i="2"/>
  <c r="F19" i="2" s="1"/>
  <c r="F11" i="2"/>
  <c r="G6" i="1" s="1"/>
  <c r="G5" i="2"/>
  <c r="G17" i="2"/>
  <c r="G18" i="2" s="1"/>
  <c r="H4" i="2"/>
  <c r="I6" i="2"/>
  <c r="E20" i="2"/>
  <c r="F8" i="1" s="1"/>
  <c r="E21" i="2"/>
  <c r="B8" i="1"/>
  <c r="G13" i="2"/>
  <c r="I21" i="5" l="1"/>
  <c r="I22" i="5" s="1"/>
  <c r="K9" i="5"/>
  <c r="K11" i="5"/>
  <c r="K13" i="5" s="1"/>
  <c r="K19" i="5"/>
  <c r="K15" i="5"/>
  <c r="K17" i="5"/>
  <c r="J11" i="5"/>
  <c r="J13" i="5" s="1"/>
  <c r="J15" i="5"/>
  <c r="J17" i="5"/>
  <c r="J19" i="5"/>
  <c r="J20" i="5" s="1"/>
  <c r="J9" i="5"/>
  <c r="F20" i="2"/>
  <c r="G8" i="1" s="1"/>
  <c r="F21" i="2"/>
  <c r="H5" i="2"/>
  <c r="H17" i="2"/>
  <c r="H18" i="2" s="1"/>
  <c r="J6" i="2"/>
  <c r="I4" i="2"/>
  <c r="G10" i="2"/>
  <c r="G16" i="2"/>
  <c r="K6" i="2" l="1"/>
  <c r="J4" i="2"/>
  <c r="I5" i="2"/>
  <c r="I17" i="2"/>
  <c r="I18" i="2" s="1"/>
  <c r="G12" i="2"/>
  <c r="G19" i="2" s="1"/>
  <c r="G11" i="2"/>
  <c r="H13" i="2"/>
  <c r="H10" i="2" s="1"/>
  <c r="K20" i="5"/>
  <c r="J21" i="5"/>
  <c r="J22" i="5" s="1"/>
  <c r="K4" i="2" l="1"/>
  <c r="H4" i="1"/>
  <c r="J5" i="2"/>
  <c r="J17" i="2"/>
  <c r="J18" i="2" s="1"/>
  <c r="G20" i="2"/>
  <c r="G21" i="2"/>
  <c r="H12" i="2"/>
  <c r="H19" i="2" s="1"/>
  <c r="H11" i="2"/>
  <c r="H16" i="2"/>
  <c r="K21" i="5"/>
  <c r="K22" i="5" s="1"/>
  <c r="B5" i="1" l="1"/>
  <c r="H7" i="1"/>
  <c r="K5" i="2"/>
  <c r="H5" i="1" s="1"/>
  <c r="K17" i="2"/>
  <c r="K18" i="2" s="1"/>
  <c r="H20" i="2"/>
  <c r="H21" i="2"/>
  <c r="I13" i="2"/>
  <c r="I10" i="2" s="1"/>
  <c r="I12" i="2" l="1"/>
  <c r="I19" i="2" s="1"/>
  <c r="I11" i="2"/>
  <c r="I16" i="2"/>
  <c r="I20" i="2" l="1"/>
  <c r="I21" i="2"/>
  <c r="J13" i="2"/>
  <c r="J10" i="2" s="1"/>
  <c r="J12" i="2" l="1"/>
  <c r="J19" i="2" s="1"/>
  <c r="J11" i="2"/>
  <c r="J16" i="2"/>
  <c r="J20" i="2" l="1"/>
  <c r="J21" i="2"/>
  <c r="K16" i="2"/>
  <c r="K13" i="2"/>
  <c r="K10" i="2" s="1"/>
  <c r="K11" i="2" l="1"/>
  <c r="H6" i="1" s="1"/>
  <c r="B7" i="1"/>
  <c r="B25" i="2"/>
  <c r="K12" i="2"/>
  <c r="K19" i="2" s="1"/>
  <c r="K20" i="2" l="1"/>
  <c r="H8" i="1" s="1"/>
  <c r="B9" i="1"/>
  <c r="K21" i="2"/>
  <c r="B26" i="2" s="1"/>
</calcChain>
</file>

<file path=xl/sharedStrings.xml><?xml version="1.0" encoding="utf-8"?>
<sst xmlns="http://schemas.openxmlformats.org/spreadsheetml/2006/main" count="185" uniqueCount="127">
  <si>
    <t>AWS 7-Year Forecast Summary -- Capacity-Driven</t>
  </si>
  <si>
    <t>Model Output</t>
  </si>
  <si>
    <t>Value</t>
  </si>
  <si>
    <t>Sanity Check</t>
  </si>
  <si>
    <t>2025A</t>
  </si>
  <si>
    <t>2026E</t>
  </si>
  <si>
    <t>2027E</t>
  </si>
  <si>
    <t>2032E</t>
  </si>
  <si>
    <t>2026E Sales</t>
  </si>
  <si>
    <t>Energized GW</t>
  </si>
  <si>
    <t>2032E Sales</t>
  </si>
  <si>
    <t>Revenue Growth</t>
  </si>
  <si>
    <t>2026E EBIT</t>
  </si>
  <si>
    <t>EBIT Margin</t>
  </si>
  <si>
    <t>2032E EBIT</t>
  </si>
  <si>
    <t>Capex / Sales</t>
  </si>
  <si>
    <t>2026E FCF</t>
  </si>
  <si>
    <t>FCF Margin</t>
  </si>
  <si>
    <t>2032E FCF</t>
  </si>
  <si>
    <t>2026E Capex</t>
  </si>
  <si>
    <t>Interpretation</t>
  </si>
  <si>
    <t>Causation runs forward and every unit is anchored to disclosed 2025 data. Capex builds gigawatts of power at $25.4B per GW, the actual 2025 build cost ($96.5B of AWS capex for 3.8 GW). Energized capacity times revenue per GW of $5,571mm (the 2025 figure) gives revenue, so growth comes from capacity, not a chosen rate. 2026 capex anchors to Amazon guided $200B times a 76% AWS share. EBIT equals revenue times EBITDA margin minus a depreciation schedule built on the 5-year server life Amazon adopted in 2025, which is why EBIT margin compresses into the low 20s during the ramp and recovers as capex normalizes. This runs below management 35% margin framing because it forces the shorter-life depreciation through EBIT.</t>
  </si>
  <si>
    <t>AWS Segment Operating Model -- Capacity-Driven ($mm)</t>
  </si>
  <si>
    <t>Source Notes</t>
  </si>
  <si>
    <t>Revenue = energized power capacity (GW) x revenue per GW. Capacity is the disclosed binding constraint.</t>
  </si>
  <si>
    <t>Metric</t>
  </si>
  <si>
    <t>2023A</t>
  </si>
  <si>
    <t>2024A</t>
  </si>
  <si>
    <t>2028E</t>
  </si>
  <si>
    <t>2029E</t>
  </si>
  <si>
    <t>2030E</t>
  </si>
  <si>
    <t>2031E</t>
  </si>
  <si>
    <t>Q1 2026 AWS sales grew 28%, used to support 2026 revenue growth assumption.</t>
  </si>
  <si>
    <t>Sales</t>
  </si>
  <si>
    <t>Energized GW end-2025 (23.1) derived from the disclosed 3.8 GW added and the 2024-2025 revenue step.</t>
  </si>
  <si>
    <t>% Growth</t>
  </si>
  <si>
    <t>Energized Power Capacity (GW)</t>
  </si>
  <si>
    <t>GW added = capex / capex per GW. 2025 build cost = $96.5B / 3.8 GW = $25.4B per GW.</t>
  </si>
  <si>
    <t>GW Added in Year</t>
  </si>
  <si>
    <t>Revenue per GW ($mm)</t>
  </si>
  <si>
    <t>2026 capex = Amazon $200B guidance x 76% AWS share. Out-years taper and are unguided.</t>
  </si>
  <si>
    <t>EBITDA Margin</t>
  </si>
  <si>
    <t>EBIT</t>
  </si>
  <si>
    <t>EBIT = revenue x EBITDA margin minus D&amp;A. The 5-year server life makes D&amp;A heavier than the prior model.</t>
  </si>
  <si>
    <t>NOPAT</t>
  </si>
  <si>
    <t>Historical AWS sales, EBIT, D&amp;A, PPE, capex from Amazon 2025 10-K.</t>
  </si>
  <si>
    <t>D&amp;A</t>
  </si>
  <si>
    <t>Capex ($mm)</t>
  </si>
  <si>
    <t>Capex per GW ($mm)</t>
  </si>
  <si>
    <t>Net PPE</t>
  </si>
  <si>
    <t>NOWC</t>
  </si>
  <si>
    <t>Investment in NOWC</t>
  </si>
  <si>
    <t>Unlevered FCF</t>
  </si>
  <si>
    <t>Disc FCF</t>
  </si>
  <si>
    <t>Disc</t>
  </si>
  <si>
    <t>EV/EBIT Exit</t>
  </si>
  <si>
    <t>Disc TV</t>
  </si>
  <si>
    <t xml:space="preserve">EV </t>
  </si>
  <si>
    <t>AWS Value-Driven Assumptions (capacity-anchored)</t>
  </si>
  <si>
    <t>Revenue per GW ($mm/yr)</t>
  </si>
  <si>
    <t>Capex per GW ($mm/GW)</t>
  </si>
  <si>
    <t>D&amp;A on Prior-Year Net PPE</t>
  </si>
  <si>
    <t>D&amp;A on Current-Year Capex</t>
  </si>
  <si>
    <t>Tax Rate</t>
  </si>
  <si>
    <t>NOWC / Sales</t>
  </si>
  <si>
    <t>Capex Build</t>
  </si>
  <si>
    <t>Amazon Total Company Capex ($mm)</t>
  </si>
  <si>
    <t>AWS Allocation Share</t>
  </si>
  <si>
    <t>AWS Capex ($mm)</t>
  </si>
  <si>
    <t>Key Input</t>
  </si>
  <si>
    <t>Source / Comment</t>
  </si>
  <si>
    <t>Tag</t>
  </si>
  <si>
    <t>Revenue method</t>
  </si>
  <si>
    <t>Energized GW x revenue per GW</t>
  </si>
  <si>
    <t>Revenue equals operational power capacity times revenue per gigawatt. Capacity is the binding constraint AWS discloses.</t>
  </si>
  <si>
    <t>Inference</t>
  </si>
  <si>
    <t>Energized GW end-2025</t>
  </si>
  <si>
    <t>23.1 GW</t>
  </si>
  <si>
    <t>Derived: AWS added 3.8 GW in 2025 and revenue rose from $107.6B to $128.7B, which pins the installed energized base.</t>
  </si>
  <si>
    <t>Revenue per GW</t>
  </si>
  <si>
    <t>$5,571mm/GW/yr</t>
  </si>
  <si>
    <t>2025 AWS revenue / energized GW. Held flat, so revenue growth comes only from added capacity, not price.</t>
  </si>
  <si>
    <t>Capex per GW</t>
  </si>
  <si>
    <t>$25,394mm/GW</t>
  </si>
  <si>
    <t>2025 AWS capex $96.5B / 3.8 GW added. The all-in build cost of a gigawatt including land, power, and silicon.</t>
  </si>
  <si>
    <t>Fact</t>
  </si>
  <si>
    <t>2025 AWS capex</t>
  </si>
  <si>
    <t>$96,496mm</t>
  </si>
  <si>
    <t>AWS net property and equipment additions, 2025. 73% of Amazon total capex of $131.8B.</t>
  </si>
  <si>
    <t>2026 total capex</t>
  </si>
  <si>
    <t>$200,000mm</t>
  </si>
  <si>
    <t>Amazon 2026 company-wide capex guidance from the Feb 2026 earnings call.</t>
  </si>
  <si>
    <t>Guidance</t>
  </si>
  <si>
    <t>AWS share 2026</t>
  </si>
  <si>
    <t>76%</t>
  </si>
  <si>
    <t>Jassy: 2026 capex is predominantly AWS. 2025 share was 73%.</t>
  </si>
  <si>
    <t>Estimate</t>
  </si>
  <si>
    <t>Out-year AWS capex</t>
  </si>
  <si>
    <t>$175B to $124B</t>
  </si>
  <si>
    <t>Tapers as the buildout matures. Out-years are unguided and carry the most uncertainty.</t>
  </si>
  <si>
    <t>Server useful life</t>
  </si>
  <si>
    <t>5 years</t>
  </si>
  <si>
    <t>Amazon cut server and networking life from 6 to 5 years effective Jan 1, 2025, raising depreciation.</t>
  </si>
  <si>
    <t>D&amp;A schedule</t>
  </si>
  <si>
    <t>14% prior PPE + 7% current capex</t>
  </si>
  <si>
    <t>Ties 2025 actual D&amp;A of $21.45B. Current-capex rate lifted from 6% to reflect the 5-year server life.</t>
  </si>
  <si>
    <t>EBITDA margin</t>
  </si>
  <si>
    <t>52.1% in 2025</t>
  </si>
  <si>
    <t>(AWS EBIT + D&amp;A) / revenue. EBIT margin falls out after the depreciation schedule.</t>
  </si>
  <si>
    <t>Capacity check</t>
  </si>
  <si>
    <t>Doubles by ~2030</t>
  </si>
  <si>
    <t>Capex-implied build reaches 36 GW by end-2027 (+55%), short of Jassy double-by-2027. Model is conservative vs guidance.</t>
  </si>
  <si>
    <t>Amazon Online Retail Ecosystem Forecast ($mm)</t>
  </si>
  <si>
    <t>Online Stores Revenue</t>
  </si>
  <si>
    <t>Third-Party Seller Services</t>
  </si>
  <si>
    <t>Advertising Services</t>
  </si>
  <si>
    <t>Subscription Services</t>
  </si>
  <si>
    <t>Total Online Retail Revenue</t>
  </si>
  <si>
    <t>EBIT Margin, Segment Proxy</t>
  </si>
  <si>
    <t>EBIT, Segment Proxy</t>
  </si>
  <si>
    <t>D&amp;A / Sales</t>
  </si>
  <si>
    <t>Capex</t>
  </si>
  <si>
    <t>Forecast Assumptions</t>
  </si>
  <si>
    <t>Online Stores Growth</t>
  </si>
  <si>
    <t>Third-Party Seller Services Growth</t>
  </si>
  <si>
    <t>Advertising Services Growth</t>
  </si>
  <si>
    <t>Subscription Services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</si>
</sst>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;\(#,##0\)"/>
    <numFmt numFmtId="165" formatCode="#,##0.0&quot; GW&quot;"/>
    <numFmt numFmtId="166" formatCode="0.0%"/>
    <numFmt numFmtId="167" formatCode="0.0%;[Red]\(0.0%\);\-"/>
    <numFmt numFmtId="168" formatCode="#,##0.0"/>
    <numFmt numFmtId="169" formatCode="_(* #,##0_);_(* \(#,##0\);_(* &quot;-&quot;??_);_(@_)"/>
    <numFmt numFmtId="171" formatCode="#,##0;[Red]\(#,##0\);\-"/>
  </numFmts>
  <fonts count="10" x14ac:knownFonts="1">
    <font>
      <sz val="10"/>
      <name val="Arial"/>
    </font>
    <font>
      <sz val="10"/>
      <name val="Arial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1"/>
      <color rgb="FF0000FF"/>
      <name val="Calibri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B1F33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62"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0" xfId="0" applyFont="1" applyFill="1"/>
    <xf numFmtId="164" fontId="4" fillId="4" borderId="0" xfId="0" applyNumberFormat="1" applyFont="1" applyFill="1"/>
    <xf numFmtId="0" fontId="4" fillId="4" borderId="0" xfId="0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0" fontId="2" fillId="3" borderId="0" xfId="0" applyFont="1" applyFill="1"/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167" fontId="7" fillId="7" borderId="0" xfId="0" applyNumberFormat="1" applyFont="1" applyFill="1"/>
    <xf numFmtId="164" fontId="7" fillId="7" borderId="0" xfId="0" applyNumberFormat="1" applyFont="1" applyFill="1"/>
    <xf numFmtId="164" fontId="7" fillId="0" borderId="0" xfId="0" applyNumberFormat="1" applyFont="1"/>
    <xf numFmtId="166" fontId="7" fillId="7" borderId="0" xfId="0" applyNumberFormat="1" applyFont="1" applyFill="1"/>
    <xf numFmtId="166" fontId="7" fillId="0" borderId="0" xfId="0" applyNumberFormat="1" applyFont="1"/>
    <xf numFmtId="0" fontId="4" fillId="3" borderId="0" xfId="0" applyFont="1" applyFill="1"/>
    <xf numFmtId="167" fontId="4" fillId="0" borderId="0" xfId="0" applyNumberFormat="1" applyFont="1"/>
    <xf numFmtId="0" fontId="4" fillId="0" borderId="0" xfId="0" applyFont="1" applyAlignment="1">
      <alignment wrapText="1"/>
    </xf>
    <xf numFmtId="164" fontId="5" fillId="0" borderId="0" xfId="0" applyNumberFormat="1" applyFont="1"/>
    <xf numFmtId="0" fontId="3" fillId="0" borderId="0" xfId="0" applyFont="1"/>
    <xf numFmtId="167" fontId="2" fillId="3" borderId="0" xfId="0" applyNumberFormat="1" applyFont="1" applyFill="1"/>
    <xf numFmtId="0" fontId="2" fillId="3" borderId="0" xfId="0" applyFont="1" applyFill="1" applyAlignment="1">
      <alignment wrapText="1"/>
    </xf>
    <xf numFmtId="0" fontId="6" fillId="5" borderId="0" xfId="0" applyFont="1" applyFill="1"/>
    <xf numFmtId="164" fontId="7" fillId="5" borderId="0" xfId="0" applyNumberFormat="1" applyFont="1" applyFill="1"/>
    <xf numFmtId="164" fontId="5" fillId="5" borderId="0" xfId="0" applyNumberFormat="1" applyFont="1" applyFill="1"/>
    <xf numFmtId="167" fontId="5" fillId="0" borderId="0" xfId="0" applyNumberFormat="1" applyFont="1"/>
    <xf numFmtId="166" fontId="5" fillId="0" borderId="0" xfId="0" applyNumberFormat="1" applyFont="1"/>
    <xf numFmtId="165" fontId="7" fillId="5" borderId="0" xfId="0" applyNumberFormat="1" applyFont="1" applyFill="1"/>
    <xf numFmtId="165" fontId="5" fillId="5" borderId="0" xfId="0" applyNumberFormat="1" applyFont="1" applyFill="1"/>
    <xf numFmtId="168" fontId="7" fillId="0" borderId="0" xfId="0" applyNumberFormat="1" applyFont="1"/>
    <xf numFmtId="168" fontId="5" fillId="0" borderId="0" xfId="0" applyNumberFormat="1" applyFont="1"/>
    <xf numFmtId="0" fontId="6" fillId="6" borderId="0" xfId="0" applyFont="1" applyFill="1"/>
    <xf numFmtId="164" fontId="7" fillId="6" borderId="0" xfId="0" applyNumberFormat="1" applyFont="1" applyFill="1"/>
    <xf numFmtId="164" fontId="5" fillId="6" borderId="0" xfId="0" applyNumberFormat="1" applyFont="1" applyFill="1"/>
    <xf numFmtId="0" fontId="2" fillId="2" borderId="0" xfId="0" applyFont="1" applyFill="1" applyAlignment="1">
      <alignment horizontal="left"/>
    </xf>
    <xf numFmtId="0" fontId="4" fillId="0" borderId="0" xfId="0" applyFont="1"/>
    <xf numFmtId="43" fontId="1" fillId="0" borderId="0" xfId="1"/>
    <xf numFmtId="9" fontId="4" fillId="0" borderId="0" xfId="0" applyNumberFormat="1" applyFont="1"/>
    <xf numFmtId="169" fontId="1" fillId="0" borderId="0" xfId="1" applyNumberFormat="1"/>
    <xf numFmtId="0" fontId="5" fillId="0" borderId="0" xfId="0" applyFont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67" fontId="5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6" fillId="10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167" fontId="7" fillId="12" borderId="0" xfId="0" applyNumberFormat="1" applyFont="1" applyFill="1" applyAlignment="1">
      <alignment horizontal="right" vertical="center"/>
    </xf>
    <xf numFmtId="171" fontId="7" fillId="0" borderId="0" xfId="0" applyNumberFormat="1" applyFont="1" applyAlignment="1">
      <alignment horizontal="right" vertical="center"/>
    </xf>
    <xf numFmtId="171" fontId="5" fillId="0" borderId="0" xfId="0" applyNumberFormat="1" applyFont="1" applyAlignment="1">
      <alignment horizontal="right" vertical="center"/>
    </xf>
    <xf numFmtId="171" fontId="8" fillId="10" borderId="0" xfId="0" applyNumberFormat="1" applyFont="1" applyFill="1" applyAlignment="1">
      <alignment horizontal="right" vertical="center"/>
    </xf>
    <xf numFmtId="171" fontId="6" fillId="10" borderId="0" xfId="0" applyNumberFormat="1" applyFont="1" applyFill="1" applyAlignment="1">
      <alignment horizontal="right" vertical="center"/>
    </xf>
    <xf numFmtId="171" fontId="7" fillId="10" borderId="0" xfId="0" applyNumberFormat="1" applyFont="1" applyFill="1" applyAlignment="1">
      <alignment horizontal="right" vertical="center"/>
    </xf>
    <xf numFmtId="171" fontId="5" fillId="10" borderId="0" xfId="0" applyNumberFormat="1" applyFont="1" applyFill="1" applyAlignment="1">
      <alignment horizontal="right" vertical="center"/>
    </xf>
    <xf numFmtId="171" fontId="7" fillId="11" borderId="0" xfId="0" applyNumberFormat="1" applyFont="1" applyFill="1" applyAlignment="1">
      <alignment horizontal="right" vertical="center"/>
    </xf>
    <xf numFmtId="171" fontId="5" fillId="11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2" fillId="3" borderId="0" xfId="0" applyFont="1" applyFill="1"/>
    <xf numFmtId="0" fontId="5" fillId="0" borderId="0" xfId="0" applyFont="1" applyAlignment="1">
      <alignment wrapText="1"/>
    </xf>
    <xf numFmtId="0" fontId="2" fillId="8" borderId="0" xfId="0" applyFont="1" applyFill="1" applyAlignment="1">
      <alignment horizontal="left" vertical="center"/>
    </xf>
    <xf numFmtId="169" fontId="1" fillId="0" borderId="0" xfId="1" applyNumberFormat="1" applyAlignment="1">
      <alignment horizontal="right" vertical="center"/>
    </xf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3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workbookViewId="0">
      <selection sqref="A1:H1"/>
    </sheetView>
  </sheetViews>
  <sheetFormatPr defaultColWidth="8.7109375" defaultRowHeight="15" x14ac:dyDescent="0.25"/>
  <cols>
    <col min="1" max="1" width="27" style="36" customWidth="1"/>
    <col min="2" max="2" width="16" style="36" customWidth="1"/>
    <col min="3" max="3" width="8.7109375" style="36"/>
    <col min="4" max="4" width="22" style="36" customWidth="1"/>
    <col min="5" max="8" width="14" style="36" customWidth="1"/>
    <col min="9" max="16384" width="8.7109375" style="36"/>
  </cols>
  <sheetData>
    <row r="1" spans="1:11" ht="17.25" customHeight="1" x14ac:dyDescent="0.25">
      <c r="A1" s="57" t="s">
        <v>0</v>
      </c>
      <c r="B1" s="57"/>
      <c r="C1" s="57"/>
      <c r="D1" s="57"/>
      <c r="E1" s="57"/>
      <c r="F1" s="57"/>
      <c r="G1" s="57"/>
      <c r="H1" s="57"/>
      <c r="I1" s="35"/>
      <c r="J1" s="35"/>
      <c r="K1" s="35"/>
    </row>
    <row r="3" spans="1:11" ht="15" customHeight="1" x14ac:dyDescent="0.25">
      <c r="A3" s="1" t="s">
        <v>1</v>
      </c>
      <c r="B3" s="1" t="s">
        <v>2</v>
      </c>
      <c r="C3" s="1"/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/>
      <c r="J3" s="1"/>
      <c r="K3" s="1"/>
    </row>
    <row r="4" spans="1:11" ht="15" customHeight="1" x14ac:dyDescent="0.25">
      <c r="A4" s="2" t="s">
        <v>8</v>
      </c>
      <c r="B4" s="3">
        <f>AWS!E4</f>
        <v>162028.36771653543</v>
      </c>
      <c r="D4" s="4" t="s">
        <v>9</v>
      </c>
      <c r="E4" s="5">
        <f>AWS!D6</f>
        <v>23.1</v>
      </c>
      <c r="F4" s="5">
        <f>AWS!E6</f>
        <v>29.084251968503938</v>
      </c>
      <c r="G4" s="5">
        <f>AWS!F6</f>
        <v>35.815021199273168</v>
      </c>
      <c r="H4" s="5">
        <f>AWS!K6</f>
        <v>63.007328891580855</v>
      </c>
    </row>
    <row r="5" spans="1:11" ht="15" customHeight="1" x14ac:dyDescent="0.25">
      <c r="A5" s="2" t="s">
        <v>10</v>
      </c>
      <c r="B5" s="3">
        <f>AWS!K4</f>
        <v>351013.82925499696</v>
      </c>
      <c r="D5" s="4" t="s">
        <v>11</v>
      </c>
      <c r="E5" s="6">
        <f>AWS!D5</f>
        <v>0.19681840157685304</v>
      </c>
      <c r="F5" s="6">
        <f>AWS!E5</f>
        <v>0.25871717006436534</v>
      </c>
      <c r="G5" s="6">
        <f>AWS!F5</f>
        <v>0.23142315085353227</v>
      </c>
      <c r="H5" s="6">
        <f>AWS!K5</f>
        <v>8.1891938833773104E-2</v>
      </c>
    </row>
    <row r="6" spans="1:11" ht="15" customHeight="1" x14ac:dyDescent="0.25">
      <c r="A6" s="2" t="s">
        <v>12</v>
      </c>
      <c r="B6" s="3">
        <f>AWS!E10</f>
        <v>47007.051212598417</v>
      </c>
      <c r="D6" s="4" t="s">
        <v>13</v>
      </c>
      <c r="E6" s="6">
        <f>AWS!D11</f>
        <v>0.35429015342785009</v>
      </c>
      <c r="F6" s="6">
        <f>AWS!E11</f>
        <v>0.29011618073469747</v>
      </c>
      <c r="G6" s="6">
        <f>AWS!F11</f>
        <v>0.24973179292012343</v>
      </c>
      <c r="H6" s="6">
        <f>AWS!K11</f>
        <v>0.26025347160565954</v>
      </c>
    </row>
    <row r="7" spans="1:11" ht="15" customHeight="1" x14ac:dyDescent="0.25">
      <c r="A7" s="2" t="s">
        <v>14</v>
      </c>
      <c r="B7" s="3">
        <f>AWS!K10</f>
        <v>91352.567645209172</v>
      </c>
      <c r="D7" s="4" t="s">
        <v>15</v>
      </c>
      <c r="E7" s="6">
        <f>AWS!D14/AWS!D4</f>
        <v>0.7496290541852787</v>
      </c>
      <c r="F7" s="6">
        <f>AWS!E14/AWS!E4</f>
        <v>0.93810733356223275</v>
      </c>
      <c r="G7" s="6">
        <f>AWS!F14/AWS!F4</f>
        <v>0.87708094865898689</v>
      </c>
      <c r="H7" s="6">
        <f>AWS!K14/AWS!K4</f>
        <v>0.35326243488235659</v>
      </c>
    </row>
    <row r="8" spans="1:11" ht="15" customHeight="1" x14ac:dyDescent="0.25">
      <c r="A8" s="2" t="s">
        <v>16</v>
      </c>
      <c r="B8" s="3">
        <f>AWS!E19</f>
        <v>-79693.008432755902</v>
      </c>
      <c r="D8" s="4" t="s">
        <v>17</v>
      </c>
      <c r="E8" s="6">
        <f>AWS!D20</f>
        <v>-0.31702326665371916</v>
      </c>
      <c r="F8" s="6">
        <f>AWS!E20</f>
        <v>-0.49184602397634974</v>
      </c>
      <c r="G8" s="6">
        <f>AWS!F20</f>
        <v>-0.41577520816364655</v>
      </c>
      <c r="H8" s="6">
        <f>AWS!K20</f>
        <v>0.1323844001777375</v>
      </c>
    </row>
    <row r="9" spans="1:11" ht="15" customHeight="1" x14ac:dyDescent="0.25">
      <c r="A9" s="2" t="s">
        <v>18</v>
      </c>
      <c r="B9" s="3">
        <f>AWS!K19</f>
        <v>46468.755240013546</v>
      </c>
    </row>
    <row r="10" spans="1:11" ht="15" customHeight="1" x14ac:dyDescent="0.25">
      <c r="A10" s="2" t="s">
        <v>19</v>
      </c>
      <c r="B10" s="3">
        <f>AWS!E14</f>
        <v>152000</v>
      </c>
    </row>
    <row r="12" spans="1:11" ht="15" customHeight="1" x14ac:dyDescent="0.25">
      <c r="A12" s="58" t="s">
        <v>20</v>
      </c>
      <c r="B12" s="58"/>
      <c r="C12" s="58"/>
      <c r="D12" s="58"/>
      <c r="E12" s="58"/>
      <c r="F12" s="58"/>
      <c r="G12" s="58"/>
      <c r="H12" s="58"/>
    </row>
    <row r="13" spans="1:11" ht="15" customHeight="1" x14ac:dyDescent="0.25">
      <c r="A13" s="59" t="s">
        <v>21</v>
      </c>
      <c r="B13" s="59"/>
      <c r="C13" s="59"/>
      <c r="D13" s="59"/>
      <c r="E13" s="59"/>
      <c r="F13" s="59"/>
      <c r="G13" s="59"/>
      <c r="H13" s="59"/>
    </row>
    <row r="14" spans="1:11" ht="15" customHeight="1" x14ac:dyDescent="0.25">
      <c r="A14" s="59"/>
      <c r="B14" s="59"/>
      <c r="C14" s="59"/>
      <c r="D14" s="59"/>
      <c r="E14" s="59"/>
      <c r="F14" s="59"/>
      <c r="G14" s="59"/>
      <c r="H14" s="59"/>
    </row>
    <row r="15" spans="1:11" ht="15" customHeight="1" x14ac:dyDescent="0.25">
      <c r="A15" s="59"/>
      <c r="B15" s="59"/>
      <c r="C15" s="59"/>
      <c r="D15" s="59"/>
      <c r="E15" s="59"/>
      <c r="F15" s="59"/>
      <c r="G15" s="59"/>
      <c r="H15" s="59"/>
    </row>
    <row r="16" spans="1:11" ht="15" customHeight="1" x14ac:dyDescent="0.25">
      <c r="A16" s="59"/>
      <c r="B16" s="59"/>
      <c r="C16" s="59"/>
      <c r="D16" s="59"/>
      <c r="E16" s="59"/>
      <c r="F16" s="59"/>
      <c r="G16" s="59"/>
      <c r="H16" s="59"/>
    </row>
    <row r="17" spans="1:8" ht="15" customHeight="1" x14ac:dyDescent="0.25">
      <c r="A17" s="59"/>
      <c r="B17" s="59"/>
      <c r="C17" s="59"/>
      <c r="D17" s="59"/>
      <c r="E17" s="59"/>
      <c r="F17" s="59"/>
      <c r="G17" s="59"/>
      <c r="H17" s="59"/>
    </row>
    <row r="18" spans="1:8" ht="15" customHeight="1" x14ac:dyDescent="0.25">
      <c r="A18" s="59"/>
      <c r="B18" s="59"/>
      <c r="C18" s="59"/>
      <c r="D18" s="59"/>
      <c r="E18" s="59"/>
      <c r="F18" s="59"/>
      <c r="G18" s="59"/>
      <c r="H18" s="59"/>
    </row>
  </sheetData>
  <mergeCells count="3">
    <mergeCell ref="A1:H1"/>
    <mergeCell ref="A12:H12"/>
    <mergeCell ref="A13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showGridLines="0" workbookViewId="0">
      <selection activeCell="D29" sqref="D29"/>
    </sheetView>
  </sheetViews>
  <sheetFormatPr defaultColWidth="8.7109375" defaultRowHeight="15" x14ac:dyDescent="0.25"/>
  <cols>
    <col min="1" max="1" width="30" style="36" customWidth="1"/>
    <col min="2" max="2" width="12" style="36" customWidth="1"/>
    <col min="3" max="3" width="50" style="36" customWidth="1"/>
    <col min="4" max="10" width="12" style="36" customWidth="1"/>
    <col min="11" max="16384" width="8.7109375" style="36"/>
  </cols>
  <sheetData>
    <row r="1" spans="1:11" ht="17.25" customHeight="1" x14ac:dyDescent="0.25">
      <c r="A1" s="57" t="s">
        <v>58</v>
      </c>
      <c r="B1" s="57"/>
      <c r="C1" s="57"/>
      <c r="D1" s="57"/>
      <c r="E1" s="57"/>
      <c r="F1" s="57"/>
      <c r="G1" s="57"/>
      <c r="H1" s="57"/>
      <c r="I1" s="57"/>
      <c r="J1" s="57"/>
      <c r="K1" s="35"/>
    </row>
    <row r="3" spans="1:11" ht="15" customHeight="1" x14ac:dyDescent="0.25">
      <c r="A3" s="1" t="s">
        <v>25</v>
      </c>
      <c r="B3" s="1" t="s">
        <v>26</v>
      </c>
      <c r="C3" s="1" t="s">
        <v>27</v>
      </c>
      <c r="D3" s="1" t="s">
        <v>4</v>
      </c>
      <c r="E3" s="1" t="s">
        <v>5</v>
      </c>
      <c r="F3" s="1" t="s">
        <v>6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7</v>
      </c>
    </row>
    <row r="4" spans="1:11" ht="15" customHeight="1" x14ac:dyDescent="0.25">
      <c r="A4" s="10" t="s">
        <v>59</v>
      </c>
      <c r="B4" s="11"/>
      <c r="C4" s="11"/>
      <c r="D4" s="12">
        <v>5571</v>
      </c>
      <c r="E4" s="12">
        <v>5571</v>
      </c>
      <c r="F4" s="12">
        <v>5571</v>
      </c>
      <c r="G4" s="12">
        <v>5571</v>
      </c>
      <c r="H4" s="12">
        <v>5571</v>
      </c>
      <c r="I4" s="12">
        <v>5571</v>
      </c>
      <c r="J4" s="12">
        <v>5571</v>
      </c>
      <c r="K4" s="13">
        <v>5571</v>
      </c>
    </row>
    <row r="5" spans="1:11" ht="15" customHeight="1" x14ac:dyDescent="0.25">
      <c r="A5" s="10" t="s">
        <v>60</v>
      </c>
      <c r="B5" s="11"/>
      <c r="C5" s="11"/>
      <c r="D5" s="12">
        <v>25394</v>
      </c>
      <c r="E5" s="12">
        <v>25400</v>
      </c>
      <c r="F5" s="12">
        <v>26000</v>
      </c>
      <c r="G5" s="12">
        <v>26000</v>
      </c>
      <c r="H5" s="12">
        <v>26000</v>
      </c>
      <c r="I5" s="12">
        <v>26000</v>
      </c>
      <c r="J5" s="12">
        <v>26000</v>
      </c>
      <c r="K5" s="13">
        <v>26000</v>
      </c>
    </row>
    <row r="6" spans="1:11" ht="15" customHeight="1" x14ac:dyDescent="0.25">
      <c r="A6" s="10" t="s">
        <v>41</v>
      </c>
      <c r="B6" s="11"/>
      <c r="C6" s="11"/>
      <c r="D6" s="14">
        <v>0.52100000000000002</v>
      </c>
      <c r="E6" s="14">
        <v>0.52</v>
      </c>
      <c r="F6" s="14">
        <v>0.52500000000000002</v>
      </c>
      <c r="G6" s="14">
        <v>0.53</v>
      </c>
      <c r="H6" s="14">
        <v>0.53500000000000003</v>
      </c>
      <c r="I6" s="14">
        <v>0.54</v>
      </c>
      <c r="J6" s="14">
        <v>0.54500000000000004</v>
      </c>
      <c r="K6" s="15">
        <v>0.55000000000000004</v>
      </c>
    </row>
    <row r="7" spans="1:11" ht="15" customHeight="1" x14ac:dyDescent="0.25">
      <c r="A7" s="10" t="s">
        <v>61</v>
      </c>
      <c r="B7" s="11"/>
      <c r="C7" s="11"/>
      <c r="D7" s="11"/>
      <c r="E7" s="14">
        <v>0.14000000000000001</v>
      </c>
      <c r="F7" s="14">
        <v>0.14000000000000001</v>
      </c>
      <c r="G7" s="14">
        <v>0.14000000000000001</v>
      </c>
      <c r="H7" s="14">
        <v>0.14000000000000001</v>
      </c>
      <c r="I7" s="14">
        <v>0.14000000000000001</v>
      </c>
      <c r="J7" s="14">
        <v>0.14000000000000001</v>
      </c>
      <c r="K7" s="15">
        <v>0.14000000000000001</v>
      </c>
    </row>
    <row r="8" spans="1:11" ht="15" customHeight="1" x14ac:dyDescent="0.25">
      <c r="A8" s="10" t="s">
        <v>62</v>
      </c>
      <c r="B8" s="11"/>
      <c r="C8" s="11"/>
      <c r="D8" s="11"/>
      <c r="E8" s="14">
        <v>7.0000000000000007E-2</v>
      </c>
      <c r="F8" s="14">
        <v>7.0000000000000007E-2</v>
      </c>
      <c r="G8" s="14">
        <v>7.0000000000000007E-2</v>
      </c>
      <c r="H8" s="14">
        <v>7.0000000000000007E-2</v>
      </c>
      <c r="I8" s="14">
        <v>7.0000000000000007E-2</v>
      </c>
      <c r="J8" s="14">
        <v>7.0000000000000007E-2</v>
      </c>
      <c r="K8" s="15">
        <v>7.0000000000000007E-2</v>
      </c>
    </row>
    <row r="9" spans="1:11" ht="15" customHeight="1" x14ac:dyDescent="0.25">
      <c r="A9" s="10" t="s">
        <v>63</v>
      </c>
      <c r="B9" s="14">
        <v>0.24</v>
      </c>
      <c r="C9" s="14">
        <v>0.24</v>
      </c>
      <c r="D9" s="14">
        <v>0.24</v>
      </c>
      <c r="E9" s="14">
        <v>0.24</v>
      </c>
      <c r="F9" s="14">
        <v>0.24</v>
      </c>
      <c r="G9" s="14">
        <v>0.24</v>
      </c>
      <c r="H9" s="14">
        <v>0.24</v>
      </c>
      <c r="I9" s="14">
        <v>0.24</v>
      </c>
      <c r="J9" s="14">
        <v>0.24</v>
      </c>
      <c r="K9" s="15">
        <v>0.24</v>
      </c>
    </row>
    <row r="10" spans="1:11" ht="15" customHeight="1" x14ac:dyDescent="0.25">
      <c r="A10" s="10" t="s">
        <v>64</v>
      </c>
      <c r="B10" s="14">
        <v>0.02</v>
      </c>
      <c r="C10" s="14">
        <v>0.02</v>
      </c>
      <c r="D10" s="14">
        <v>0.02</v>
      </c>
      <c r="E10" s="14">
        <v>0.02</v>
      </c>
      <c r="F10" s="14">
        <v>0.02</v>
      </c>
      <c r="G10" s="14">
        <v>0.02</v>
      </c>
      <c r="H10" s="14">
        <v>2.1999999999999999E-2</v>
      </c>
      <c r="I10" s="14">
        <v>2.4E-2</v>
      </c>
      <c r="J10" s="14">
        <v>2.5000000000000001E-2</v>
      </c>
      <c r="K10" s="15">
        <v>2.5000000000000001E-2</v>
      </c>
    </row>
    <row r="12" spans="1:11" ht="15" customHeight="1" x14ac:dyDescent="0.25">
      <c r="A12" s="7" t="s">
        <v>65</v>
      </c>
      <c r="B12" s="7"/>
      <c r="C12" s="7"/>
      <c r="D12" s="16"/>
      <c r="E12" s="16"/>
      <c r="F12" s="16"/>
      <c r="G12" s="16"/>
      <c r="H12" s="16"/>
      <c r="I12" s="16"/>
      <c r="J12" s="16"/>
      <c r="K12" s="16"/>
    </row>
    <row r="13" spans="1:11" ht="15" customHeight="1" x14ac:dyDescent="0.25">
      <c r="A13" s="10" t="s">
        <v>66</v>
      </c>
      <c r="B13" s="17"/>
      <c r="C13" s="18"/>
      <c r="E13" s="13">
        <v>200000</v>
      </c>
    </row>
    <row r="14" spans="1:11" ht="15" customHeight="1" x14ac:dyDescent="0.25">
      <c r="A14" s="10" t="s">
        <v>67</v>
      </c>
      <c r="B14" s="17"/>
      <c r="C14" s="18"/>
      <c r="E14" s="15">
        <v>0.76</v>
      </c>
    </row>
    <row r="15" spans="1:11" ht="15" customHeight="1" x14ac:dyDescent="0.25">
      <c r="A15" s="10" t="s">
        <v>68</v>
      </c>
      <c r="B15" s="17"/>
      <c r="C15" s="18"/>
      <c r="E15" s="19">
        <f>E13*E14</f>
        <v>152000</v>
      </c>
      <c r="F15" s="13">
        <v>175000</v>
      </c>
      <c r="G15" s="13">
        <v>165000</v>
      </c>
      <c r="H15" s="13">
        <v>150000</v>
      </c>
      <c r="I15" s="13">
        <v>138000</v>
      </c>
      <c r="J15" s="13">
        <v>130000</v>
      </c>
      <c r="K15" s="13">
        <v>124000</v>
      </c>
    </row>
    <row r="16" spans="1:11" ht="15" customHeight="1" x14ac:dyDescent="0.25">
      <c r="A16" s="20"/>
      <c r="B16" s="17"/>
      <c r="C16" s="18"/>
    </row>
    <row r="17" spans="1:4" ht="15" customHeight="1" x14ac:dyDescent="0.25">
      <c r="A17" s="7" t="s">
        <v>69</v>
      </c>
      <c r="B17" s="21" t="s">
        <v>2</v>
      </c>
      <c r="C17" s="22" t="s">
        <v>70</v>
      </c>
      <c r="D17" s="7" t="s">
        <v>71</v>
      </c>
    </row>
    <row r="18" spans="1:4" ht="15" customHeight="1" x14ac:dyDescent="0.25">
      <c r="A18" s="10" t="s">
        <v>72</v>
      </c>
      <c r="B18" s="9" t="s">
        <v>73</v>
      </c>
      <c r="C18" s="9" t="s">
        <v>74</v>
      </c>
      <c r="D18" s="9" t="s">
        <v>75</v>
      </c>
    </row>
    <row r="19" spans="1:4" ht="15" customHeight="1" x14ac:dyDescent="0.25">
      <c r="A19" s="10" t="s">
        <v>76</v>
      </c>
      <c r="B19" s="9" t="s">
        <v>77</v>
      </c>
      <c r="C19" s="9" t="s">
        <v>78</v>
      </c>
      <c r="D19" s="9" t="s">
        <v>75</v>
      </c>
    </row>
    <row r="20" spans="1:4" ht="15" customHeight="1" x14ac:dyDescent="0.25">
      <c r="A20" s="10" t="s">
        <v>79</v>
      </c>
      <c r="B20" s="9" t="s">
        <v>80</v>
      </c>
      <c r="C20" s="9" t="s">
        <v>81</v>
      </c>
      <c r="D20" s="9" t="s">
        <v>75</v>
      </c>
    </row>
    <row r="21" spans="1:4" ht="15" customHeight="1" x14ac:dyDescent="0.25">
      <c r="A21" s="10" t="s">
        <v>82</v>
      </c>
      <c r="B21" s="9" t="s">
        <v>83</v>
      </c>
      <c r="C21" s="9" t="s">
        <v>84</v>
      </c>
      <c r="D21" s="9" t="s">
        <v>85</v>
      </c>
    </row>
    <row r="22" spans="1:4" ht="15" customHeight="1" x14ac:dyDescent="0.25">
      <c r="A22" s="10" t="s">
        <v>86</v>
      </c>
      <c r="B22" s="9" t="s">
        <v>87</v>
      </c>
      <c r="C22" s="9" t="s">
        <v>88</v>
      </c>
      <c r="D22" s="9" t="s">
        <v>85</v>
      </c>
    </row>
    <row r="23" spans="1:4" ht="15" customHeight="1" x14ac:dyDescent="0.25">
      <c r="A23" s="10" t="s">
        <v>89</v>
      </c>
      <c r="B23" s="9" t="s">
        <v>90</v>
      </c>
      <c r="C23" s="9" t="s">
        <v>91</v>
      </c>
      <c r="D23" s="9" t="s">
        <v>92</v>
      </c>
    </row>
    <row r="24" spans="1:4" ht="15" customHeight="1" x14ac:dyDescent="0.25">
      <c r="A24" s="10" t="s">
        <v>93</v>
      </c>
      <c r="B24" s="9" t="s">
        <v>94</v>
      </c>
      <c r="C24" s="9" t="s">
        <v>95</v>
      </c>
      <c r="D24" s="9" t="s">
        <v>96</v>
      </c>
    </row>
    <row r="25" spans="1:4" ht="15" customHeight="1" x14ac:dyDescent="0.25">
      <c r="A25" s="10" t="s">
        <v>97</v>
      </c>
      <c r="B25" s="9" t="s">
        <v>98</v>
      </c>
      <c r="C25" s="9" t="s">
        <v>99</v>
      </c>
      <c r="D25" s="9" t="s">
        <v>96</v>
      </c>
    </row>
    <row r="26" spans="1:4" ht="15" customHeight="1" x14ac:dyDescent="0.25">
      <c r="A26" s="10" t="s">
        <v>100</v>
      </c>
      <c r="B26" s="9" t="s">
        <v>101</v>
      </c>
      <c r="C26" s="9" t="s">
        <v>102</v>
      </c>
      <c r="D26" s="9" t="s">
        <v>85</v>
      </c>
    </row>
    <row r="27" spans="1:4" ht="15" customHeight="1" x14ac:dyDescent="0.25">
      <c r="A27" s="10" t="s">
        <v>103</v>
      </c>
      <c r="B27" s="9" t="s">
        <v>104</v>
      </c>
      <c r="C27" s="9" t="s">
        <v>105</v>
      </c>
      <c r="D27" s="9" t="s">
        <v>75</v>
      </c>
    </row>
    <row r="28" spans="1:4" ht="15" customHeight="1" x14ac:dyDescent="0.25">
      <c r="A28" s="10" t="s">
        <v>106</v>
      </c>
      <c r="B28" s="9" t="s">
        <v>107</v>
      </c>
      <c r="C28" s="9" t="s">
        <v>108</v>
      </c>
      <c r="D28" s="9" t="s">
        <v>85</v>
      </c>
    </row>
    <row r="29" spans="1:4" ht="15" customHeight="1" x14ac:dyDescent="0.25">
      <c r="A29" s="10" t="s">
        <v>109</v>
      </c>
      <c r="B29" s="9" t="s">
        <v>110</v>
      </c>
      <c r="C29" s="9" t="s">
        <v>111</v>
      </c>
      <c r="D29" s="9" t="s">
        <v>75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showGridLines="0" workbookViewId="0">
      <selection activeCell="E15" sqref="E15"/>
    </sheetView>
  </sheetViews>
  <sheetFormatPr defaultColWidth="8.7109375" defaultRowHeight="15" x14ac:dyDescent="0.25"/>
  <cols>
    <col min="1" max="1" width="24" style="36" customWidth="1"/>
    <col min="2" max="11" width="12" style="36" customWidth="1"/>
    <col min="12" max="12" width="50" style="36" customWidth="1"/>
    <col min="13" max="16384" width="8.7109375" style="36"/>
  </cols>
  <sheetData>
    <row r="1" spans="1:12" ht="15" customHeight="1" x14ac:dyDescent="0.25">
      <c r="A1" s="57" t="s">
        <v>22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22" t="s">
        <v>23</v>
      </c>
    </row>
    <row r="2" spans="1:12" ht="15" customHeight="1" x14ac:dyDescent="0.25">
      <c r="E2" s="37">
        <f>1-YEARFRAC(DATE(2025,12,31), DATE(2026,6,18), 1)</f>
        <v>0.53698630136986303</v>
      </c>
      <c r="F2" s="37">
        <f>E2+1</f>
        <v>1.536986301369863</v>
      </c>
      <c r="G2" s="37">
        <f t="shared" ref="G2:K2" si="0">F2+1</f>
        <v>2.536986301369863</v>
      </c>
      <c r="H2" s="37">
        <f t="shared" si="0"/>
        <v>3.536986301369863</v>
      </c>
      <c r="I2" s="37">
        <f t="shared" si="0"/>
        <v>4.536986301369863</v>
      </c>
      <c r="J2" s="37">
        <f t="shared" si="0"/>
        <v>5.536986301369863</v>
      </c>
      <c r="K2" s="37">
        <f t="shared" si="0"/>
        <v>6.536986301369863</v>
      </c>
      <c r="L2" s="8" t="s">
        <v>24</v>
      </c>
    </row>
    <row r="3" spans="1:12" ht="15" customHeight="1" x14ac:dyDescent="0.25">
      <c r="A3" s="1" t="s">
        <v>25</v>
      </c>
      <c r="B3" s="1" t="s">
        <v>26</v>
      </c>
      <c r="C3" s="1" t="s">
        <v>27</v>
      </c>
      <c r="D3" s="1" t="s">
        <v>4</v>
      </c>
      <c r="E3" s="1" t="s">
        <v>5</v>
      </c>
      <c r="F3" s="1" t="s">
        <v>6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7</v>
      </c>
      <c r="L3" s="18" t="s">
        <v>32</v>
      </c>
    </row>
    <row r="4" spans="1:12" ht="15" customHeight="1" x14ac:dyDescent="0.25">
      <c r="A4" s="23" t="s">
        <v>33</v>
      </c>
      <c r="B4" s="24">
        <v>90757</v>
      </c>
      <c r="C4" s="24">
        <v>107556</v>
      </c>
      <c r="D4" s="24">
        <v>128725</v>
      </c>
      <c r="E4" s="25">
        <f>E6*'AWS Assumptions'!E4</f>
        <v>162028.36771653543</v>
      </c>
      <c r="F4" s="25">
        <f>F6*'AWS Assumptions'!F4</f>
        <v>199525.48310115081</v>
      </c>
      <c r="G4" s="25">
        <f>G6*'AWS Assumptions'!G4</f>
        <v>234879.9061780739</v>
      </c>
      <c r="H4" s="25">
        <f>H6*'AWS Assumptions'!H4</f>
        <v>267020.29079345852</v>
      </c>
      <c r="I4" s="25">
        <f>I6*'AWS Assumptions'!I4</f>
        <v>296589.44463961234</v>
      </c>
      <c r="J4" s="25">
        <f>J6*'AWS Assumptions'!J4</f>
        <v>324444.44463961234</v>
      </c>
      <c r="K4" s="25">
        <f>K6*'AWS Assumptions'!K4</f>
        <v>351013.82925499696</v>
      </c>
      <c r="L4" s="8" t="s">
        <v>34</v>
      </c>
    </row>
    <row r="5" spans="1:12" ht="15" customHeight="1" x14ac:dyDescent="0.25">
      <c r="A5" s="10" t="s">
        <v>35</v>
      </c>
      <c r="B5" s="26"/>
      <c r="C5" s="27">
        <f t="shared" ref="C5:K5" si="1">C4/B4-1</f>
        <v>0.18509867007503544</v>
      </c>
      <c r="D5" s="27">
        <f t="shared" si="1"/>
        <v>0.19681840157685304</v>
      </c>
      <c r="E5" s="27">
        <f t="shared" si="1"/>
        <v>0.25871717006436534</v>
      </c>
      <c r="F5" s="27">
        <f t="shared" si="1"/>
        <v>0.23142315085353227</v>
      </c>
      <c r="G5" s="27">
        <f t="shared" si="1"/>
        <v>0.1771925196091364</v>
      </c>
      <c r="H5" s="27">
        <f t="shared" si="1"/>
        <v>0.13683752321928044</v>
      </c>
      <c r="I5" s="27">
        <f t="shared" si="1"/>
        <v>0.11073747900688824</v>
      </c>
      <c r="J5" s="27">
        <f t="shared" si="1"/>
        <v>9.3917705108645277E-2</v>
      </c>
      <c r="K5" s="27">
        <f t="shared" si="1"/>
        <v>8.1891938833773104E-2</v>
      </c>
      <c r="L5" s="18"/>
    </row>
    <row r="6" spans="1:12" ht="15" customHeight="1" x14ac:dyDescent="0.25">
      <c r="A6" s="23" t="s">
        <v>36</v>
      </c>
      <c r="B6" s="28">
        <v>16.399999999999999</v>
      </c>
      <c r="C6" s="28">
        <v>19.399999999999999</v>
      </c>
      <c r="D6" s="28">
        <v>23.1</v>
      </c>
      <c r="E6" s="29">
        <f t="shared" ref="E6:K6" si="2">D6+E7</f>
        <v>29.084251968503938</v>
      </c>
      <c r="F6" s="29">
        <f t="shared" si="2"/>
        <v>35.815021199273168</v>
      </c>
      <c r="G6" s="29">
        <f t="shared" si="2"/>
        <v>42.161175045427015</v>
      </c>
      <c r="H6" s="29">
        <f t="shared" si="2"/>
        <v>47.930405814657782</v>
      </c>
      <c r="I6" s="29">
        <f t="shared" si="2"/>
        <v>53.238098122350088</v>
      </c>
      <c r="J6" s="29">
        <f t="shared" si="2"/>
        <v>58.238098122350088</v>
      </c>
      <c r="K6" s="29">
        <f t="shared" si="2"/>
        <v>63.007328891580855</v>
      </c>
      <c r="L6" s="8" t="s">
        <v>37</v>
      </c>
    </row>
    <row r="7" spans="1:12" ht="15" customHeight="1" x14ac:dyDescent="0.25">
      <c r="A7" s="10" t="s">
        <v>38</v>
      </c>
      <c r="B7" s="26"/>
      <c r="C7" s="30">
        <v>3</v>
      </c>
      <c r="D7" s="30">
        <v>3.8</v>
      </c>
      <c r="E7" s="31">
        <f t="shared" ref="E7:K7" si="3">E14/E15</f>
        <v>5.984251968503937</v>
      </c>
      <c r="F7" s="31">
        <f t="shared" si="3"/>
        <v>6.7307692307692308</v>
      </c>
      <c r="G7" s="31">
        <f t="shared" si="3"/>
        <v>6.3461538461538458</v>
      </c>
      <c r="H7" s="31">
        <f t="shared" si="3"/>
        <v>5.7692307692307692</v>
      </c>
      <c r="I7" s="31">
        <f t="shared" si="3"/>
        <v>5.3076923076923075</v>
      </c>
      <c r="J7" s="31">
        <f t="shared" si="3"/>
        <v>5</v>
      </c>
      <c r="K7" s="31">
        <f t="shared" si="3"/>
        <v>4.7692307692307692</v>
      </c>
    </row>
    <row r="8" spans="1:12" ht="15" customHeight="1" x14ac:dyDescent="0.25">
      <c r="A8" s="23" t="s">
        <v>39</v>
      </c>
      <c r="B8" s="25"/>
      <c r="C8" s="25"/>
      <c r="D8" s="25">
        <f>'AWS Assumptions'!D4</f>
        <v>5571</v>
      </c>
      <c r="E8" s="25">
        <f>'AWS Assumptions'!E4</f>
        <v>5571</v>
      </c>
      <c r="F8" s="25">
        <f>'AWS Assumptions'!F4</f>
        <v>5571</v>
      </c>
      <c r="G8" s="25">
        <f>'AWS Assumptions'!G4</f>
        <v>5571</v>
      </c>
      <c r="H8" s="25">
        <f>'AWS Assumptions'!H4</f>
        <v>5571</v>
      </c>
      <c r="I8" s="25">
        <f>'AWS Assumptions'!I4</f>
        <v>5571</v>
      </c>
      <c r="J8" s="25">
        <f>'AWS Assumptions'!J4</f>
        <v>5571</v>
      </c>
      <c r="K8" s="25">
        <f>'AWS Assumptions'!K4</f>
        <v>5571</v>
      </c>
      <c r="L8" s="9" t="s">
        <v>40</v>
      </c>
    </row>
    <row r="9" spans="1:12" ht="15" customHeight="1" x14ac:dyDescent="0.25">
      <c r="A9" s="10" t="s">
        <v>41</v>
      </c>
      <c r="B9" s="13"/>
      <c r="C9" s="13"/>
      <c r="D9" s="27">
        <f>'AWS Assumptions'!D6</f>
        <v>0.52100000000000002</v>
      </c>
      <c r="E9" s="27">
        <f>'AWS Assumptions'!E6</f>
        <v>0.52</v>
      </c>
      <c r="F9" s="27">
        <f>'AWS Assumptions'!F6</f>
        <v>0.52500000000000002</v>
      </c>
      <c r="G9" s="27">
        <f>'AWS Assumptions'!G6</f>
        <v>0.53</v>
      </c>
      <c r="H9" s="27">
        <f>'AWS Assumptions'!H6</f>
        <v>0.53500000000000003</v>
      </c>
      <c r="I9" s="27">
        <f>'AWS Assumptions'!I6</f>
        <v>0.54</v>
      </c>
      <c r="J9" s="27">
        <f>'AWS Assumptions'!J6</f>
        <v>0.54500000000000004</v>
      </c>
      <c r="K9" s="27">
        <f>'AWS Assumptions'!K6</f>
        <v>0.55000000000000004</v>
      </c>
    </row>
    <row r="10" spans="1:12" ht="15" customHeight="1" x14ac:dyDescent="0.25">
      <c r="A10" s="23" t="s">
        <v>42</v>
      </c>
      <c r="B10" s="24">
        <v>24631</v>
      </c>
      <c r="C10" s="24">
        <v>39834</v>
      </c>
      <c r="D10" s="24">
        <v>45606</v>
      </c>
      <c r="E10" s="25">
        <f>E4*'AWS Assumptions'!E6-E13</f>
        <v>47007.051212598417</v>
      </c>
      <c r="F10" s="25">
        <f>F4*'AWS Assumptions'!F6-F13</f>
        <v>49827.856628104179</v>
      </c>
      <c r="G10" s="25">
        <f>G4*'AWS Assumptions'!G6-G13</f>
        <v>53452.551354379175</v>
      </c>
      <c r="H10" s="25">
        <f>H4*'AWS Assumptions'!H6-H13</f>
        <v>59716.788503300311</v>
      </c>
      <c r="I10" s="25">
        <f>I4*'AWS Assumptions'!I6-I13</f>
        <v>68498.702424158662</v>
      </c>
      <c r="J10" s="25">
        <f>J4*'AWS Assumptions'!J6-J13</f>
        <v>79234.968322729226</v>
      </c>
      <c r="K10" s="25">
        <f>K4*'AWS Assumptions'!K6-K13</f>
        <v>91352.567645209172</v>
      </c>
      <c r="L10" s="9" t="s">
        <v>43</v>
      </c>
    </row>
    <row r="11" spans="1:12" ht="15" customHeight="1" x14ac:dyDescent="0.25">
      <c r="A11" s="10" t="s">
        <v>13</v>
      </c>
      <c r="B11" s="27">
        <f t="shared" ref="B11:K11" si="4">B10/B4</f>
        <v>0.27139504390845887</v>
      </c>
      <c r="C11" s="27">
        <f t="shared" si="4"/>
        <v>0.37035590762021642</v>
      </c>
      <c r="D11" s="27">
        <f t="shared" si="4"/>
        <v>0.35429015342785009</v>
      </c>
      <c r="E11" s="27">
        <f t="shared" si="4"/>
        <v>0.29011618073469747</v>
      </c>
      <c r="F11" s="27">
        <f t="shared" si="4"/>
        <v>0.24973179292012343</v>
      </c>
      <c r="G11" s="27">
        <f t="shared" si="4"/>
        <v>0.22757396417662987</v>
      </c>
      <c r="H11" s="27">
        <f t="shared" si="4"/>
        <v>0.22364138817259971</v>
      </c>
      <c r="I11" s="27">
        <f t="shared" si="4"/>
        <v>0.23095461980244056</v>
      </c>
      <c r="J11" s="27">
        <f t="shared" si="4"/>
        <v>0.24421736797109334</v>
      </c>
      <c r="K11" s="27">
        <f t="shared" si="4"/>
        <v>0.26025347160565954</v>
      </c>
    </row>
    <row r="12" spans="1:12" ht="15" customHeight="1" x14ac:dyDescent="0.25">
      <c r="A12" s="10" t="s">
        <v>44</v>
      </c>
      <c r="B12" s="19">
        <f>B10*(1-'AWS Assumptions'!B9)</f>
        <v>18719.560000000001</v>
      </c>
      <c r="C12" s="19">
        <f>C10*(1-'AWS Assumptions'!C9)</f>
        <v>30273.84</v>
      </c>
      <c r="D12" s="19">
        <f>D10*(1-'AWS Assumptions'!D9)</f>
        <v>34660.559999999998</v>
      </c>
      <c r="E12" s="19">
        <f>E10*(1-'AWS Assumptions'!E9)</f>
        <v>35725.3589215748</v>
      </c>
      <c r="F12" s="19">
        <f>F10*(1-'AWS Assumptions'!F9)</f>
        <v>37869.171037359178</v>
      </c>
      <c r="G12" s="19">
        <f>G10*(1-'AWS Assumptions'!G9)</f>
        <v>40623.939029328176</v>
      </c>
      <c r="H12" s="19">
        <f>H10*(1-'AWS Assumptions'!H9)</f>
        <v>45384.75926250824</v>
      </c>
      <c r="I12" s="19">
        <f>I10*(1-'AWS Assumptions'!I9)</f>
        <v>52059.013842360582</v>
      </c>
      <c r="J12" s="19">
        <f>J10*(1-'AWS Assumptions'!J9)</f>
        <v>60218.575925274214</v>
      </c>
      <c r="K12" s="19">
        <f>K10*(1-'AWS Assumptions'!K9)</f>
        <v>69427.951410358975</v>
      </c>
      <c r="L12" s="9" t="s">
        <v>45</v>
      </c>
    </row>
    <row r="13" spans="1:12" ht="15" customHeight="1" x14ac:dyDescent="0.25">
      <c r="A13" s="10" t="s">
        <v>46</v>
      </c>
      <c r="B13" s="13">
        <v>12531</v>
      </c>
      <c r="C13" s="13">
        <v>13320</v>
      </c>
      <c r="D13" s="13">
        <v>21450</v>
      </c>
      <c r="E13" s="19">
        <f>'AWS Assumptions'!E7*D16+'AWS Assumptions'!E8*E14</f>
        <v>37247.700000000004</v>
      </c>
      <c r="F13" s="19">
        <f>'AWS Assumptions'!F7*E16+'AWS Assumptions'!F8*F14</f>
        <v>54923.022000000004</v>
      </c>
      <c r="G13" s="19">
        <f>'AWS Assumptions'!G7*F16+'AWS Assumptions'!G8*G14</f>
        <v>71033.798920000001</v>
      </c>
      <c r="H13" s="19">
        <f>'AWS Assumptions'!H7*G16+'AWS Assumptions'!H8*H14</f>
        <v>83139.067071199999</v>
      </c>
      <c r="I13" s="19">
        <f>'AWS Assumptions'!I7*H16+'AWS Assumptions'!I8*I14</f>
        <v>91659.597681232</v>
      </c>
      <c r="J13" s="19">
        <f>'AWS Assumptions'!J7*I16+'AWS Assumptions'!J8*J14</f>
        <v>97587.254005859519</v>
      </c>
      <c r="K13" s="19">
        <f>'AWS Assumptions'!K7*J16+'AWS Assumptions'!K8*K14</f>
        <v>101705.03844503919</v>
      </c>
    </row>
    <row r="14" spans="1:12" ht="15" customHeight="1" x14ac:dyDescent="0.25">
      <c r="A14" s="10" t="s">
        <v>47</v>
      </c>
      <c r="B14" s="13">
        <v>24843</v>
      </c>
      <c r="C14" s="13">
        <v>53267</v>
      </c>
      <c r="D14" s="13">
        <v>96496</v>
      </c>
      <c r="E14" s="19">
        <f>'AWS Assumptions'!E15</f>
        <v>152000</v>
      </c>
      <c r="F14" s="19">
        <f>'AWS Assumptions'!F15</f>
        <v>175000</v>
      </c>
      <c r="G14" s="19">
        <f>'AWS Assumptions'!G15</f>
        <v>165000</v>
      </c>
      <c r="H14" s="19">
        <f>'AWS Assumptions'!H15</f>
        <v>150000</v>
      </c>
      <c r="I14" s="19">
        <f>'AWS Assumptions'!I15</f>
        <v>138000</v>
      </c>
      <c r="J14" s="19">
        <f>'AWS Assumptions'!J15</f>
        <v>130000</v>
      </c>
      <c r="K14" s="19">
        <f>'AWS Assumptions'!K15</f>
        <v>124000</v>
      </c>
    </row>
    <row r="15" spans="1:12" ht="15" customHeight="1" x14ac:dyDescent="0.25">
      <c r="A15" s="10" t="s">
        <v>48</v>
      </c>
      <c r="B15" s="19"/>
      <c r="C15" s="19">
        <f>C14/C7</f>
        <v>17755.666666666668</v>
      </c>
      <c r="D15" s="19">
        <f>D14/D7</f>
        <v>25393.684210526317</v>
      </c>
      <c r="E15" s="19">
        <f>'AWS Assumptions'!E5</f>
        <v>25400</v>
      </c>
      <c r="F15" s="19">
        <f>'AWS Assumptions'!F5</f>
        <v>26000</v>
      </c>
      <c r="G15" s="19">
        <f>'AWS Assumptions'!G5</f>
        <v>26000</v>
      </c>
      <c r="H15" s="19">
        <f>'AWS Assumptions'!H5</f>
        <v>26000</v>
      </c>
      <c r="I15" s="19">
        <f>'AWS Assumptions'!I5</f>
        <v>26000</v>
      </c>
      <c r="J15" s="19">
        <f>'AWS Assumptions'!J5</f>
        <v>26000</v>
      </c>
      <c r="K15" s="19">
        <f>'AWS Assumptions'!K5</f>
        <v>26000</v>
      </c>
    </row>
    <row r="16" spans="1:12" ht="15" customHeight="1" x14ac:dyDescent="0.25">
      <c r="A16" s="32" t="s">
        <v>49</v>
      </c>
      <c r="B16" s="33">
        <v>72701</v>
      </c>
      <c r="C16" s="33">
        <v>110683</v>
      </c>
      <c r="D16" s="33">
        <v>190055</v>
      </c>
      <c r="E16" s="34">
        <f t="shared" ref="E16:K16" si="5">D16+E14-E13</f>
        <v>304807.3</v>
      </c>
      <c r="F16" s="34">
        <f t="shared" si="5"/>
        <v>424884.27799999999</v>
      </c>
      <c r="G16" s="34">
        <f t="shared" si="5"/>
        <v>518850.47907999996</v>
      </c>
      <c r="H16" s="34">
        <f t="shared" si="5"/>
        <v>585711.41200879996</v>
      </c>
      <c r="I16" s="34">
        <f t="shared" si="5"/>
        <v>632051.81432756793</v>
      </c>
      <c r="J16" s="34">
        <f t="shared" si="5"/>
        <v>664464.56032170844</v>
      </c>
      <c r="K16" s="34">
        <f t="shared" si="5"/>
        <v>686759.52187666926</v>
      </c>
    </row>
    <row r="17" spans="1:11" ht="15" customHeight="1" x14ac:dyDescent="0.25">
      <c r="A17" s="10" t="s">
        <v>50</v>
      </c>
      <c r="B17" s="19">
        <f>B4*'AWS Assumptions'!B10</f>
        <v>1815.14</v>
      </c>
      <c r="C17" s="19">
        <f>C4*'AWS Assumptions'!C10</f>
        <v>2151.12</v>
      </c>
      <c r="D17" s="19">
        <f>D4*'AWS Assumptions'!D10</f>
        <v>2574.5</v>
      </c>
      <c r="E17" s="19">
        <f>E4*'AWS Assumptions'!E10</f>
        <v>3240.5673543307089</v>
      </c>
      <c r="F17" s="19">
        <f>F4*'AWS Assumptions'!F10</f>
        <v>3990.5096620230161</v>
      </c>
      <c r="G17" s="19">
        <f>G4*'AWS Assumptions'!G10</f>
        <v>4697.5981235614781</v>
      </c>
      <c r="H17" s="19">
        <f>H4*'AWS Assumptions'!H10</f>
        <v>5874.4463974560867</v>
      </c>
      <c r="I17" s="19">
        <f>I4*'AWS Assumptions'!I10</f>
        <v>7118.1466713506961</v>
      </c>
      <c r="J17" s="19">
        <f>J4*'AWS Assumptions'!J10</f>
        <v>8111.1111159903085</v>
      </c>
      <c r="K17" s="19">
        <f>K4*'AWS Assumptions'!K10</f>
        <v>8775.3457313749241</v>
      </c>
    </row>
    <row r="18" spans="1:11" ht="15" customHeight="1" x14ac:dyDescent="0.25">
      <c r="A18" s="10" t="s">
        <v>51</v>
      </c>
      <c r="C18" s="19">
        <f t="shared" ref="C18:K18" si="6">C17-B17</f>
        <v>335.97999999999979</v>
      </c>
      <c r="D18" s="19">
        <f t="shared" si="6"/>
        <v>423.38000000000011</v>
      </c>
      <c r="E18" s="19">
        <f t="shared" si="6"/>
        <v>666.06735433070889</v>
      </c>
      <c r="F18" s="19">
        <f t="shared" si="6"/>
        <v>749.94230769230717</v>
      </c>
      <c r="G18" s="19">
        <f t="shared" si="6"/>
        <v>707.08846153846207</v>
      </c>
      <c r="H18" s="19">
        <f t="shared" si="6"/>
        <v>1176.8482738946086</v>
      </c>
      <c r="I18" s="19">
        <f t="shared" si="6"/>
        <v>1243.7002738946094</v>
      </c>
      <c r="J18" s="19">
        <f t="shared" si="6"/>
        <v>992.96444463961234</v>
      </c>
      <c r="K18" s="19">
        <f t="shared" si="6"/>
        <v>664.23461538461561</v>
      </c>
    </row>
    <row r="19" spans="1:11" ht="15" customHeight="1" x14ac:dyDescent="0.25">
      <c r="A19" s="10" t="s">
        <v>52</v>
      </c>
      <c r="B19" s="19">
        <f>B12+B13-B14</f>
        <v>6407.5600000000013</v>
      </c>
      <c r="C19" s="19">
        <f t="shared" ref="C19:K19" si="7">C12+C13-C14-C18</f>
        <v>-10009.140000000003</v>
      </c>
      <c r="D19" s="19">
        <f t="shared" si="7"/>
        <v>-40808.82</v>
      </c>
      <c r="E19" s="19">
        <f t="shared" si="7"/>
        <v>-79693.008432755902</v>
      </c>
      <c r="F19" s="19">
        <f t="shared" si="7"/>
        <v>-82957.749270333123</v>
      </c>
      <c r="G19" s="19">
        <f t="shared" si="7"/>
        <v>-54049.350512210287</v>
      </c>
      <c r="H19" s="19">
        <f t="shared" si="7"/>
        <v>-22653.021940186361</v>
      </c>
      <c r="I19" s="19">
        <f t="shared" si="7"/>
        <v>4474.9112496979733</v>
      </c>
      <c r="J19" s="19">
        <f t="shared" si="7"/>
        <v>26812.865486494105</v>
      </c>
      <c r="K19" s="19">
        <f t="shared" si="7"/>
        <v>46468.755240013546</v>
      </c>
    </row>
    <row r="20" spans="1:11" ht="15" customHeight="1" x14ac:dyDescent="0.25">
      <c r="A20" s="10" t="s">
        <v>17</v>
      </c>
      <c r="B20" s="27">
        <f t="shared" ref="B20:K20" si="8">B19/B4</f>
        <v>7.0601275934638663E-2</v>
      </c>
      <c r="C20" s="27">
        <f t="shared" si="8"/>
        <v>-9.3059801405779338E-2</v>
      </c>
      <c r="D20" s="27">
        <f t="shared" si="8"/>
        <v>-0.31702326665371916</v>
      </c>
      <c r="E20" s="27">
        <f t="shared" si="8"/>
        <v>-0.49184602397634974</v>
      </c>
      <c r="F20" s="27">
        <f t="shared" si="8"/>
        <v>-0.41577520816364655</v>
      </c>
      <c r="G20" s="27">
        <f t="shared" si="8"/>
        <v>-0.2301148335406471</v>
      </c>
      <c r="H20" s="27">
        <f t="shared" si="8"/>
        <v>-8.4836331624358025E-2</v>
      </c>
      <c r="I20" s="27">
        <f t="shared" si="8"/>
        <v>1.5087897868838405E-2</v>
      </c>
      <c r="J20" s="27">
        <f t="shared" si="8"/>
        <v>8.2642393573042691E-2</v>
      </c>
      <c r="K20" s="27">
        <f t="shared" si="8"/>
        <v>0.1323844001777375</v>
      </c>
    </row>
    <row r="21" spans="1:11" ht="15" customHeight="1" x14ac:dyDescent="0.25">
      <c r="A21" s="36" t="s">
        <v>53</v>
      </c>
      <c r="E21" s="39">
        <f>E19/(1+$B$23)^E2</f>
        <v>-76089.145197632955</v>
      </c>
      <c r="F21" s="39">
        <f t="shared" ref="F21:K21" si="9">F19/(1+$B$23)^F2</f>
        <v>-72666.283025931349</v>
      </c>
      <c r="G21" s="39">
        <f t="shared" si="9"/>
        <v>-43435.014117620878</v>
      </c>
      <c r="H21" s="39">
        <f t="shared" si="9"/>
        <v>-16701.256079475123</v>
      </c>
      <c r="I21" s="39">
        <f t="shared" si="9"/>
        <v>3026.7804345039535</v>
      </c>
      <c r="J21" s="39">
        <f t="shared" si="9"/>
        <v>16638.463680255132</v>
      </c>
      <c r="K21" s="39">
        <f t="shared" si="9"/>
        <v>26454.803182336367</v>
      </c>
    </row>
    <row r="23" spans="1:11" ht="15" customHeight="1" x14ac:dyDescent="0.25">
      <c r="A23" s="36" t="s">
        <v>54</v>
      </c>
      <c r="B23" s="38">
        <v>0.09</v>
      </c>
    </row>
    <row r="24" spans="1:11" ht="15" customHeight="1" x14ac:dyDescent="0.25">
      <c r="A24" s="36" t="s">
        <v>55</v>
      </c>
      <c r="B24" s="36">
        <v>18</v>
      </c>
    </row>
    <row r="25" spans="1:11" ht="15" customHeight="1" x14ac:dyDescent="0.25">
      <c r="A25" s="36" t="s">
        <v>56</v>
      </c>
      <c r="B25" s="39">
        <f>(B24*K10)/(1+B23)^K2</f>
        <v>936131.28490116016</v>
      </c>
    </row>
    <row r="26" spans="1:11" ht="15" customHeight="1" x14ac:dyDescent="0.25">
      <c r="A26" s="36" t="s">
        <v>57</v>
      </c>
      <c r="B26" s="39">
        <f>B25+SUM(E21:K21)</f>
        <v>773359.63377759536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"/>
  <sheetViews>
    <sheetView tabSelected="1" workbookViewId="0">
      <selection activeCell="B30" sqref="B30"/>
    </sheetView>
  </sheetViews>
  <sheetFormatPr defaultRowHeight="15" customHeight="1" x14ac:dyDescent="0.2"/>
  <cols>
    <col min="1" max="1" width="30" customWidth="1"/>
    <col min="2" max="11" width="12" customWidth="1"/>
  </cols>
  <sheetData>
    <row r="1" spans="1:11" ht="15" customHeight="1" x14ac:dyDescent="0.2">
      <c r="A1" s="60" t="s">
        <v>112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s="37" customFormat="1" ht="15" customHeight="1" x14ac:dyDescent="0.2">
      <c r="E2" s="37">
        <f>1-YEARFRAC(DATE(2025,12,31), DATE(2026,6,18), 1)</f>
        <v>0.53698630136986303</v>
      </c>
      <c r="F2" s="37">
        <f>E2+1</f>
        <v>1.536986301369863</v>
      </c>
      <c r="G2" s="37">
        <f t="shared" ref="G2:K2" si="0">F2+1</f>
        <v>2.536986301369863</v>
      </c>
      <c r="H2" s="37">
        <f t="shared" si="0"/>
        <v>3.536986301369863</v>
      </c>
      <c r="I2" s="37">
        <f t="shared" si="0"/>
        <v>4.536986301369863</v>
      </c>
      <c r="J2" s="37">
        <f t="shared" si="0"/>
        <v>5.536986301369863</v>
      </c>
      <c r="K2" s="37">
        <f t="shared" si="0"/>
        <v>6.536986301369863</v>
      </c>
    </row>
    <row r="3" spans="1:11" ht="15" customHeight="1" x14ac:dyDescent="0.2">
      <c r="A3" s="41" t="s">
        <v>25</v>
      </c>
      <c r="B3" s="41" t="s">
        <v>26</v>
      </c>
      <c r="C3" s="41" t="s">
        <v>27</v>
      </c>
      <c r="D3" s="41" t="s">
        <v>4</v>
      </c>
      <c r="E3" s="41" t="s">
        <v>5</v>
      </c>
      <c r="F3" s="41" t="s">
        <v>6</v>
      </c>
      <c r="G3" s="41" t="s">
        <v>28</v>
      </c>
      <c r="H3" s="41" t="s">
        <v>29</v>
      </c>
      <c r="I3" s="41" t="s">
        <v>30</v>
      </c>
      <c r="J3" s="41" t="s">
        <v>31</v>
      </c>
      <c r="K3" s="41" t="s">
        <v>7</v>
      </c>
    </row>
    <row r="4" spans="1:11" ht="15" customHeight="1" x14ac:dyDescent="0.2">
      <c r="A4" s="42" t="s">
        <v>113</v>
      </c>
      <c r="B4" s="49">
        <v>231872</v>
      </c>
      <c r="C4" s="49">
        <v>247029</v>
      </c>
      <c r="D4" s="49">
        <v>269287</v>
      </c>
      <c r="E4" s="50">
        <f>D4*(1+E42)</f>
        <v>289483.52499999997</v>
      </c>
      <c r="F4" s="50">
        <f>E4*(1+F42)</f>
        <v>309747.37174999999</v>
      </c>
      <c r="G4" s="50">
        <f>F4*(1+G42)</f>
        <v>329880.95091374998</v>
      </c>
      <c r="H4" s="50">
        <f>G4*(1+H42)</f>
        <v>349673.80796857498</v>
      </c>
      <c r="I4" s="50">
        <f>H4*(1+I42)</f>
        <v>368905.86740684661</v>
      </c>
      <c r="J4" s="50">
        <f>I4*(1+J42)</f>
        <v>387351.16077718895</v>
      </c>
      <c r="K4" s="50">
        <f>J4*(1+K42)</f>
        <v>404781.96301216242</v>
      </c>
    </row>
    <row r="5" spans="1:11" ht="15" customHeight="1" x14ac:dyDescent="0.2">
      <c r="A5" s="42" t="s">
        <v>114</v>
      </c>
      <c r="B5" s="49">
        <v>140053</v>
      </c>
      <c r="C5" s="49">
        <v>156146</v>
      </c>
      <c r="D5" s="49">
        <v>172162</v>
      </c>
      <c r="E5" s="50">
        <f>D5*(1+E43)</f>
        <v>191099.82</v>
      </c>
      <c r="F5" s="50">
        <f>E5*(1+F43)</f>
        <v>210209.80200000003</v>
      </c>
      <c r="G5" s="50">
        <f>F5*(1+G43)</f>
        <v>229128.68418000004</v>
      </c>
      <c r="H5" s="50">
        <f>G5*(1+H43)</f>
        <v>247458.97891440007</v>
      </c>
      <c r="I5" s="50">
        <f>H5*(1+I43)</f>
        <v>264781.10743840807</v>
      </c>
      <c r="J5" s="50">
        <f>I5*(1+J43)</f>
        <v>281991.87942190457</v>
      </c>
      <c r="K5" s="50">
        <f>J5*(1+K43)</f>
        <v>298911.39218721888</v>
      </c>
    </row>
    <row r="6" spans="1:11" ht="15" customHeight="1" x14ac:dyDescent="0.2">
      <c r="A6" s="42" t="s">
        <v>115</v>
      </c>
      <c r="B6" s="49">
        <v>46906</v>
      </c>
      <c r="C6" s="49">
        <v>56214</v>
      </c>
      <c r="D6" s="49">
        <v>68635</v>
      </c>
      <c r="E6" s="50">
        <f>D6*(1+E44)</f>
        <v>80646.125</v>
      </c>
      <c r="F6" s="50">
        <f>E6*(1+F44)</f>
        <v>92743.043749999997</v>
      </c>
      <c r="G6" s="50">
        <f>F6*(1+G44)</f>
        <v>104799.63943749998</v>
      </c>
      <c r="H6" s="50">
        <f>G6*(1+H44)</f>
        <v>116327.59977562499</v>
      </c>
      <c r="I6" s="50">
        <f>H6*(1+I44)</f>
        <v>126797.08375543125</v>
      </c>
      <c r="J6" s="50">
        <f>I6*(1+J44)</f>
        <v>136940.85045586576</v>
      </c>
      <c r="K6" s="50">
        <f>J6*(1+K44)</f>
        <v>146526.70998777638</v>
      </c>
    </row>
    <row r="7" spans="1:11" ht="15" customHeight="1" x14ac:dyDescent="0.2">
      <c r="A7" s="42" t="s">
        <v>116</v>
      </c>
      <c r="B7" s="49">
        <v>40209</v>
      </c>
      <c r="C7" s="49">
        <v>44374</v>
      </c>
      <c r="D7" s="49">
        <v>49619</v>
      </c>
      <c r="E7" s="50">
        <f>D7*(1+E45)</f>
        <v>54084.710000000006</v>
      </c>
      <c r="F7" s="50">
        <f>E7*(1+F45)</f>
        <v>58411.486800000013</v>
      </c>
      <c r="G7" s="50">
        <f>F7*(1+G45)</f>
        <v>62500.290876000021</v>
      </c>
      <c r="H7" s="50">
        <f>G7*(1+H45)</f>
        <v>66562.809782940021</v>
      </c>
      <c r="I7" s="50">
        <f>H7*(1+I45)</f>
        <v>70556.578369916431</v>
      </c>
      <c r="J7" s="50">
        <f>I7*(1+J45)</f>
        <v>74437.190180261838</v>
      </c>
      <c r="K7" s="50">
        <f>J7*(1+K45)</f>
        <v>78159.049689274936</v>
      </c>
    </row>
    <row r="8" spans="1:11" ht="15" customHeight="1" x14ac:dyDescent="0.2">
      <c r="A8" s="45" t="s">
        <v>117</v>
      </c>
      <c r="B8" s="51">
        <f t="shared" ref="B8:K8" si="1">SUM(B4:B7)</f>
        <v>459040</v>
      </c>
      <c r="C8" s="51">
        <f t="shared" si="1"/>
        <v>503763</v>
      </c>
      <c r="D8" s="51">
        <f t="shared" si="1"/>
        <v>559703</v>
      </c>
      <c r="E8" s="52">
        <f t="shared" si="1"/>
        <v>615314.17999999993</v>
      </c>
      <c r="F8" s="52">
        <f t="shared" si="1"/>
        <v>671111.7043000001</v>
      </c>
      <c r="G8" s="52">
        <f t="shared" si="1"/>
        <v>726309.56540724996</v>
      </c>
      <c r="H8" s="52">
        <f t="shared" si="1"/>
        <v>780023.19644154003</v>
      </c>
      <c r="I8" s="52">
        <f t="shared" si="1"/>
        <v>831040.63697060233</v>
      </c>
      <c r="J8" s="52">
        <f t="shared" si="1"/>
        <v>880721.0808352211</v>
      </c>
      <c r="K8" s="52">
        <f t="shared" si="1"/>
        <v>928379.11487643258</v>
      </c>
    </row>
    <row r="9" spans="1:11" ht="15" customHeight="1" x14ac:dyDescent="0.2">
      <c r="A9" s="42" t="s">
        <v>35</v>
      </c>
      <c r="B9" s="44"/>
      <c r="C9" s="44">
        <f t="shared" ref="C9:K9" si="2">C8/B8-1</f>
        <v>9.7427239456256531E-2</v>
      </c>
      <c r="D9" s="44">
        <f t="shared" si="2"/>
        <v>0.11104428074312733</v>
      </c>
      <c r="E9" s="43">
        <f t="shared" si="2"/>
        <v>9.9358373994779203E-2</v>
      </c>
      <c r="F9" s="43">
        <f t="shared" si="2"/>
        <v>9.0681356148821779E-2</v>
      </c>
      <c r="G9" s="43">
        <f t="shared" si="2"/>
        <v>8.2248395838698363E-2</v>
      </c>
      <c r="H9" s="43">
        <f t="shared" si="2"/>
        <v>7.3954183715275956E-2</v>
      </c>
      <c r="I9" s="43">
        <f t="shared" si="2"/>
        <v>6.5405029955267313E-2</v>
      </c>
      <c r="J9" s="43">
        <f t="shared" si="2"/>
        <v>5.9781004266793891E-2</v>
      </c>
      <c r="K9" s="43">
        <f t="shared" si="2"/>
        <v>5.4112516525680832E-2</v>
      </c>
    </row>
    <row r="10" spans="1:11" ht="15" customHeight="1" x14ac:dyDescent="0.2">
      <c r="A10" s="42" t="s">
        <v>118</v>
      </c>
      <c r="B10" s="44">
        <f>B11/B8</f>
        <v>2.6622952248170094E-2</v>
      </c>
      <c r="C10" s="44">
        <f>C11/C8</f>
        <v>5.7088353054908759E-2</v>
      </c>
      <c r="D10" s="44">
        <f>D11/D8</f>
        <v>6.1405781280429082E-2</v>
      </c>
      <c r="E10" s="43">
        <f t="shared" ref="E10:K10" si="3">E46</f>
        <v>6.5000000000000002E-2</v>
      </c>
      <c r="F10" s="43">
        <f t="shared" si="3"/>
        <v>7.0000000000000007E-2</v>
      </c>
      <c r="G10" s="43">
        <f t="shared" si="3"/>
        <v>7.3999999999999996E-2</v>
      </c>
      <c r="H10" s="43">
        <f t="shared" si="3"/>
        <v>7.6999999999999999E-2</v>
      </c>
      <c r="I10" s="43">
        <f t="shared" si="3"/>
        <v>7.9000000000000001E-2</v>
      </c>
      <c r="J10" s="43">
        <f t="shared" si="3"/>
        <v>8.1000000000000003E-2</v>
      </c>
      <c r="K10" s="43">
        <f t="shared" si="3"/>
        <v>8.3000000000000004E-2</v>
      </c>
    </row>
    <row r="11" spans="1:11" ht="15" customHeight="1" x14ac:dyDescent="0.2">
      <c r="A11" s="45" t="s">
        <v>119</v>
      </c>
      <c r="B11" s="51">
        <v>12221</v>
      </c>
      <c r="C11" s="51">
        <v>28759</v>
      </c>
      <c r="D11" s="51">
        <v>34369</v>
      </c>
      <c r="E11" s="52">
        <f t="shared" ref="E11:K11" si="4">E8*E10</f>
        <v>39995.421699999999</v>
      </c>
      <c r="F11" s="52">
        <f t="shared" si="4"/>
        <v>46977.81930100001</v>
      </c>
      <c r="G11" s="52">
        <f t="shared" si="4"/>
        <v>53746.907840136497</v>
      </c>
      <c r="H11" s="52">
        <f t="shared" si="4"/>
        <v>60061.78612599858</v>
      </c>
      <c r="I11" s="52">
        <f t="shared" si="4"/>
        <v>65652.210320677579</v>
      </c>
      <c r="J11" s="52">
        <f t="shared" si="4"/>
        <v>71338.407547652911</v>
      </c>
      <c r="K11" s="52">
        <f t="shared" si="4"/>
        <v>77055.466534743915</v>
      </c>
    </row>
    <row r="12" spans="1:11" ht="15" customHeight="1" x14ac:dyDescent="0.2">
      <c r="A12" s="42" t="s">
        <v>63</v>
      </c>
      <c r="B12" s="44">
        <f t="shared" ref="B12:K12" si="5">B47</f>
        <v>0.24</v>
      </c>
      <c r="C12" s="44">
        <f t="shared" si="5"/>
        <v>0.24</v>
      </c>
      <c r="D12" s="44">
        <f t="shared" si="5"/>
        <v>0.24</v>
      </c>
      <c r="E12" s="43">
        <f t="shared" si="5"/>
        <v>0.24</v>
      </c>
      <c r="F12" s="43">
        <f t="shared" si="5"/>
        <v>0.24</v>
      </c>
      <c r="G12" s="43">
        <f t="shared" si="5"/>
        <v>0.24</v>
      </c>
      <c r="H12" s="43">
        <f t="shared" si="5"/>
        <v>0.24</v>
      </c>
      <c r="I12" s="43">
        <f t="shared" si="5"/>
        <v>0.24</v>
      </c>
      <c r="J12" s="43">
        <f t="shared" si="5"/>
        <v>0.24</v>
      </c>
      <c r="K12" s="43">
        <f t="shared" si="5"/>
        <v>0.24</v>
      </c>
    </row>
    <row r="13" spans="1:11" ht="15" customHeight="1" x14ac:dyDescent="0.2">
      <c r="A13" s="45" t="s">
        <v>44</v>
      </c>
      <c r="B13" s="53">
        <f t="shared" ref="B13:K13" si="6">B11*(1-B12)</f>
        <v>9287.9600000000009</v>
      </c>
      <c r="C13" s="53">
        <f t="shared" si="6"/>
        <v>21856.84</v>
      </c>
      <c r="D13" s="53">
        <f t="shared" si="6"/>
        <v>26120.44</v>
      </c>
      <c r="E13" s="54">
        <f t="shared" si="6"/>
        <v>30396.520492</v>
      </c>
      <c r="F13" s="54">
        <f t="shared" si="6"/>
        <v>35703.142668760011</v>
      </c>
      <c r="G13" s="54">
        <f t="shared" si="6"/>
        <v>40847.649958503738</v>
      </c>
      <c r="H13" s="54">
        <f t="shared" si="6"/>
        <v>45646.957455758922</v>
      </c>
      <c r="I13" s="54">
        <f t="shared" si="6"/>
        <v>49895.679843714963</v>
      </c>
      <c r="J13" s="54">
        <f t="shared" si="6"/>
        <v>54217.189736216213</v>
      </c>
      <c r="K13" s="54">
        <f t="shared" si="6"/>
        <v>58562.154566405377</v>
      </c>
    </row>
    <row r="14" spans="1:11" ht="15" customHeight="1" x14ac:dyDescent="0.2">
      <c r="A14" s="42" t="s">
        <v>120</v>
      </c>
      <c r="B14" s="44">
        <f t="shared" ref="B14:K14" si="7">B48</f>
        <v>3.5000000000000003E-2</v>
      </c>
      <c r="C14" s="44">
        <f t="shared" si="7"/>
        <v>3.3000000000000002E-2</v>
      </c>
      <c r="D14" s="44">
        <f t="shared" si="7"/>
        <v>3.2000000000000001E-2</v>
      </c>
      <c r="E14" s="43">
        <f t="shared" si="7"/>
        <v>3.1E-2</v>
      </c>
      <c r="F14" s="43">
        <f t="shared" si="7"/>
        <v>0.03</v>
      </c>
      <c r="G14" s="43">
        <f t="shared" si="7"/>
        <v>2.9000000000000001E-2</v>
      </c>
      <c r="H14" s="43">
        <f t="shared" si="7"/>
        <v>2.8000000000000001E-2</v>
      </c>
      <c r="I14" s="43">
        <f t="shared" si="7"/>
        <v>2.7E-2</v>
      </c>
      <c r="J14" s="43">
        <f t="shared" si="7"/>
        <v>2.5999999999999999E-2</v>
      </c>
      <c r="K14" s="43">
        <f t="shared" si="7"/>
        <v>2.5000000000000001E-2</v>
      </c>
    </row>
    <row r="15" spans="1:11" ht="15" customHeight="1" x14ac:dyDescent="0.2">
      <c r="A15" s="45" t="s">
        <v>46</v>
      </c>
      <c r="B15" s="53">
        <f t="shared" ref="B15:K15" si="8">B8*B14</f>
        <v>16066.400000000001</v>
      </c>
      <c r="C15" s="53">
        <f t="shared" si="8"/>
        <v>16624.179</v>
      </c>
      <c r="D15" s="53">
        <f t="shared" si="8"/>
        <v>17910.495999999999</v>
      </c>
      <c r="E15" s="54">
        <f t="shared" si="8"/>
        <v>19074.739579999998</v>
      </c>
      <c r="F15" s="54">
        <f t="shared" si="8"/>
        <v>20133.351129000002</v>
      </c>
      <c r="G15" s="54">
        <f t="shared" si="8"/>
        <v>21062.977396810249</v>
      </c>
      <c r="H15" s="54">
        <f t="shared" si="8"/>
        <v>21840.649500363121</v>
      </c>
      <c r="I15" s="54">
        <f t="shared" si="8"/>
        <v>22438.097198206262</v>
      </c>
      <c r="J15" s="54">
        <f t="shared" si="8"/>
        <v>22898.748101715748</v>
      </c>
      <c r="K15" s="54">
        <f t="shared" si="8"/>
        <v>23209.477871910814</v>
      </c>
    </row>
    <row r="16" spans="1:11" ht="15" customHeight="1" x14ac:dyDescent="0.2">
      <c r="A16" s="42" t="s">
        <v>15</v>
      </c>
      <c r="B16" s="44">
        <f t="shared" ref="B16:K16" si="9">B49</f>
        <v>0.05</v>
      </c>
      <c r="C16" s="44">
        <f t="shared" si="9"/>
        <v>4.4999999999999998E-2</v>
      </c>
      <c r="D16" s="44">
        <f t="shared" si="9"/>
        <v>0.04</v>
      </c>
      <c r="E16" s="43">
        <f t="shared" si="9"/>
        <v>3.7999999999999999E-2</v>
      </c>
      <c r="F16" s="43">
        <f t="shared" si="9"/>
        <v>3.5999999999999997E-2</v>
      </c>
      <c r="G16" s="43">
        <f t="shared" si="9"/>
        <v>3.4000000000000002E-2</v>
      </c>
      <c r="H16" s="43">
        <f t="shared" si="9"/>
        <v>3.3000000000000002E-2</v>
      </c>
      <c r="I16" s="43">
        <f t="shared" si="9"/>
        <v>3.2000000000000001E-2</v>
      </c>
      <c r="J16" s="43">
        <f t="shared" si="9"/>
        <v>3.1E-2</v>
      </c>
      <c r="K16" s="43">
        <f t="shared" si="9"/>
        <v>0.03</v>
      </c>
    </row>
    <row r="17" spans="1:11" ht="15" customHeight="1" x14ac:dyDescent="0.2">
      <c r="A17" s="45" t="s">
        <v>121</v>
      </c>
      <c r="B17" s="53">
        <f t="shared" ref="B17:K17" si="10">B8*B16</f>
        <v>22952</v>
      </c>
      <c r="C17" s="53">
        <f t="shared" si="10"/>
        <v>22669.334999999999</v>
      </c>
      <c r="D17" s="53">
        <f t="shared" si="10"/>
        <v>22388.12</v>
      </c>
      <c r="E17" s="54">
        <f t="shared" si="10"/>
        <v>23381.938839999995</v>
      </c>
      <c r="F17" s="54">
        <f t="shared" si="10"/>
        <v>24160.021354800003</v>
      </c>
      <c r="G17" s="54">
        <f t="shared" si="10"/>
        <v>24694.5252238465</v>
      </c>
      <c r="H17" s="54">
        <f t="shared" si="10"/>
        <v>25740.765482570823</v>
      </c>
      <c r="I17" s="54">
        <f t="shared" si="10"/>
        <v>26593.300383059275</v>
      </c>
      <c r="J17" s="54">
        <f t="shared" si="10"/>
        <v>27302.353505891853</v>
      </c>
      <c r="K17" s="54">
        <f t="shared" si="10"/>
        <v>27851.373446292975</v>
      </c>
    </row>
    <row r="18" spans="1:11" ht="15" customHeight="1" x14ac:dyDescent="0.2">
      <c r="A18" s="42" t="s">
        <v>64</v>
      </c>
      <c r="B18" s="44">
        <f t="shared" ref="B18:K18" si="11">B50</f>
        <v>-5.5E-2</v>
      </c>
      <c r="C18" s="44">
        <f t="shared" si="11"/>
        <v>-5.3999999999999999E-2</v>
      </c>
      <c r="D18" s="44">
        <f t="shared" si="11"/>
        <v>-5.2999999999999999E-2</v>
      </c>
      <c r="E18" s="43">
        <f t="shared" si="11"/>
        <v>-5.1999999999999998E-2</v>
      </c>
      <c r="F18" s="43">
        <f t="shared" si="11"/>
        <v>-5.0999999999999997E-2</v>
      </c>
      <c r="G18" s="43">
        <f t="shared" si="11"/>
        <v>-0.05</v>
      </c>
      <c r="H18" s="43">
        <f t="shared" si="11"/>
        <v>-4.9000000000000002E-2</v>
      </c>
      <c r="I18" s="43">
        <f t="shared" si="11"/>
        <v>-4.8000000000000001E-2</v>
      </c>
      <c r="J18" s="43">
        <f t="shared" si="11"/>
        <v>-4.7E-2</v>
      </c>
      <c r="K18" s="43">
        <f t="shared" si="11"/>
        <v>-4.5999999999999999E-2</v>
      </c>
    </row>
    <row r="19" spans="1:11" ht="15" customHeight="1" x14ac:dyDescent="0.2">
      <c r="A19" s="46" t="s">
        <v>50</v>
      </c>
      <c r="B19" s="55">
        <f t="shared" ref="B19:K19" si="12">B8*B18</f>
        <v>-25247.200000000001</v>
      </c>
      <c r="C19" s="55">
        <f t="shared" si="12"/>
        <v>-27203.202000000001</v>
      </c>
      <c r="D19" s="55">
        <f t="shared" si="12"/>
        <v>-29664.258999999998</v>
      </c>
      <c r="E19" s="56">
        <f t="shared" si="12"/>
        <v>-31996.337359999994</v>
      </c>
      <c r="F19" s="56">
        <f t="shared" si="12"/>
        <v>-34226.696919300004</v>
      </c>
      <c r="G19" s="56">
        <f t="shared" si="12"/>
        <v>-36315.478270362502</v>
      </c>
      <c r="H19" s="56">
        <f t="shared" si="12"/>
        <v>-38221.136625635459</v>
      </c>
      <c r="I19" s="56">
        <f t="shared" si="12"/>
        <v>-39889.950574588911</v>
      </c>
      <c r="J19" s="56">
        <f t="shared" si="12"/>
        <v>-41393.890799255394</v>
      </c>
      <c r="K19" s="56">
        <f t="shared" si="12"/>
        <v>-42705.4392843159</v>
      </c>
    </row>
    <row r="20" spans="1:11" ht="15" customHeight="1" x14ac:dyDescent="0.2">
      <c r="A20" s="42" t="s">
        <v>51</v>
      </c>
      <c r="B20" s="49">
        <v>0</v>
      </c>
      <c r="C20" s="49">
        <f t="shared" ref="C20:K20" si="13">C19-B19</f>
        <v>-1956.0020000000004</v>
      </c>
      <c r="D20" s="49">
        <f t="shared" si="13"/>
        <v>-2461.0569999999971</v>
      </c>
      <c r="E20" s="50">
        <f t="shared" si="13"/>
        <v>-2332.0783599999959</v>
      </c>
      <c r="F20" s="50">
        <f t="shared" si="13"/>
        <v>-2230.35955930001</v>
      </c>
      <c r="G20" s="50">
        <f t="shared" si="13"/>
        <v>-2088.7813510624983</v>
      </c>
      <c r="H20" s="50">
        <f t="shared" si="13"/>
        <v>-1905.6583552729571</v>
      </c>
      <c r="I20" s="50">
        <f t="shared" si="13"/>
        <v>-1668.8139489534515</v>
      </c>
      <c r="J20" s="50">
        <f t="shared" si="13"/>
        <v>-1503.9402246664831</v>
      </c>
      <c r="K20" s="50">
        <f t="shared" si="13"/>
        <v>-1311.5484850605062</v>
      </c>
    </row>
    <row r="21" spans="1:11" ht="15" customHeight="1" x14ac:dyDescent="0.2">
      <c r="A21" s="45" t="s">
        <v>52</v>
      </c>
      <c r="B21" s="51">
        <f t="shared" ref="B21:K21" si="14">B13+B15-B17-B20</f>
        <v>2402.3600000000006</v>
      </c>
      <c r="C21" s="51">
        <f t="shared" si="14"/>
        <v>17767.686000000002</v>
      </c>
      <c r="D21" s="51">
        <f t="shared" si="14"/>
        <v>24103.873</v>
      </c>
      <c r="E21" s="52">
        <f t="shared" si="14"/>
        <v>28421.399591999998</v>
      </c>
      <c r="F21" s="52">
        <f t="shared" si="14"/>
        <v>33906.832002260024</v>
      </c>
      <c r="G21" s="52">
        <f t="shared" si="14"/>
        <v>39304.883482529985</v>
      </c>
      <c r="H21" s="52">
        <f t="shared" si="14"/>
        <v>43652.49982882417</v>
      </c>
      <c r="I21" s="52">
        <f t="shared" si="14"/>
        <v>47409.29060781539</v>
      </c>
      <c r="J21" s="52">
        <f t="shared" si="14"/>
        <v>51317.524556706601</v>
      </c>
      <c r="K21" s="52">
        <f t="shared" si="14"/>
        <v>55231.807477083719</v>
      </c>
    </row>
    <row r="22" spans="1:11" ht="15" customHeight="1" x14ac:dyDescent="0.2">
      <c r="A22" s="42" t="s">
        <v>17</v>
      </c>
      <c r="B22" s="44">
        <f t="shared" ref="B22:K22" si="15">B21/B8</f>
        <v>5.2334437086092728E-3</v>
      </c>
      <c r="C22" s="44">
        <f t="shared" si="15"/>
        <v>3.5269930503034168E-2</v>
      </c>
      <c r="D22" s="44">
        <f t="shared" si="15"/>
        <v>4.3065470436999626E-2</v>
      </c>
      <c r="E22" s="43">
        <f t="shared" si="15"/>
        <v>4.6190061135922465E-2</v>
      </c>
      <c r="F22" s="43">
        <f t="shared" si="15"/>
        <v>5.0523380511782887E-2</v>
      </c>
      <c r="G22" s="43">
        <f t="shared" si="15"/>
        <v>5.4115883026394251E-2</v>
      </c>
      <c r="H22" s="43">
        <f t="shared" si="15"/>
        <v>5.5963079082733111E-2</v>
      </c>
      <c r="I22" s="43">
        <f t="shared" si="15"/>
        <v>5.7048101499147838E-2</v>
      </c>
      <c r="J22" s="43">
        <f t="shared" si="15"/>
        <v>5.8267623738539623E-2</v>
      </c>
      <c r="K22" s="43">
        <f t="shared" si="15"/>
        <v>5.9492729416295714E-2</v>
      </c>
    </row>
    <row r="23" spans="1:11" ht="15" customHeight="1" x14ac:dyDescent="0.2">
      <c r="A23" s="42" t="s">
        <v>53</v>
      </c>
      <c r="B23" s="44"/>
      <c r="C23" s="44"/>
      <c r="D23" s="44"/>
      <c r="E23" s="61">
        <f>E21/(1+$B$25)^E2</f>
        <v>27270.767565782651</v>
      </c>
      <c r="F23" s="61">
        <f t="shared" ref="F23:K23" si="16">F21/(1+$B$25)^F2</f>
        <v>30124.188753557781</v>
      </c>
      <c r="G23" s="61">
        <f t="shared" si="16"/>
        <v>32333.364886173767</v>
      </c>
      <c r="H23" s="61">
        <f t="shared" si="16"/>
        <v>33249.854869164104</v>
      </c>
      <c r="I23" s="61">
        <f t="shared" si="16"/>
        <v>33436.463448516632</v>
      </c>
      <c r="J23" s="61">
        <f t="shared" si="16"/>
        <v>33511.882338885604</v>
      </c>
      <c r="K23" s="61">
        <f t="shared" si="16"/>
        <v>33396.320795629021</v>
      </c>
    </row>
    <row r="24" spans="1:11" ht="15" customHeight="1" x14ac:dyDescent="0.2">
      <c r="A24" s="42"/>
      <c r="B24" s="44"/>
      <c r="C24" s="44"/>
      <c r="D24" s="44"/>
      <c r="E24" s="43"/>
      <c r="F24" s="43"/>
      <c r="G24" s="43"/>
      <c r="H24" s="43"/>
      <c r="I24" s="43"/>
      <c r="J24" s="43"/>
      <c r="K24" s="43"/>
    </row>
    <row r="25" spans="1:11" ht="15" customHeight="1" x14ac:dyDescent="0.25">
      <c r="A25" s="36" t="s">
        <v>54</v>
      </c>
      <c r="B25" s="38">
        <v>0.08</v>
      </c>
      <c r="C25" s="44"/>
      <c r="D25" s="44"/>
      <c r="E25" s="43"/>
      <c r="F25" s="43"/>
      <c r="G25" s="43"/>
      <c r="H25" s="43"/>
      <c r="I25" s="43"/>
      <c r="J25" s="43"/>
      <c r="K25" s="43"/>
    </row>
    <row r="26" spans="1:11" ht="15" customHeight="1" x14ac:dyDescent="0.25">
      <c r="A26" s="36" t="s">
        <v>55</v>
      </c>
      <c r="B26" s="36">
        <v>14</v>
      </c>
      <c r="C26" s="44"/>
      <c r="D26" s="44"/>
      <c r="E26" s="43"/>
      <c r="F26" s="43"/>
      <c r="G26" s="43"/>
      <c r="H26" s="43"/>
      <c r="I26" s="43"/>
      <c r="J26" s="43"/>
      <c r="K26" s="43"/>
    </row>
    <row r="27" spans="1:11" ht="15" customHeight="1" x14ac:dyDescent="0.25">
      <c r="A27" s="36" t="s">
        <v>56</v>
      </c>
      <c r="B27" s="39">
        <f>(B26*K11)/(1+B25)^K2</f>
        <v>652290.20663979487</v>
      </c>
      <c r="C27" s="44"/>
      <c r="D27" s="44"/>
      <c r="E27" s="43"/>
      <c r="F27" s="43"/>
      <c r="G27" s="43"/>
      <c r="H27" s="43"/>
      <c r="I27" s="43"/>
      <c r="J27" s="43"/>
      <c r="K27" s="43"/>
    </row>
    <row r="28" spans="1:11" ht="15" customHeight="1" x14ac:dyDescent="0.25">
      <c r="A28" s="36" t="s">
        <v>57</v>
      </c>
      <c r="B28" s="39">
        <f>B27+SUM(E23:K23)</f>
        <v>875613.04929750436</v>
      </c>
      <c r="C28" s="44"/>
      <c r="D28" s="44"/>
      <c r="E28" s="43"/>
      <c r="F28" s="43"/>
      <c r="G28" s="43"/>
      <c r="H28" s="43"/>
      <c r="I28" s="43"/>
      <c r="J28" s="43"/>
      <c r="K28" s="43"/>
    </row>
    <row r="29" spans="1:11" ht="15" customHeight="1" x14ac:dyDescent="0.2">
      <c r="A29" s="42"/>
      <c r="B29" s="44"/>
      <c r="C29" s="44"/>
      <c r="D29" s="44"/>
      <c r="E29" s="43"/>
      <c r="F29" s="43"/>
      <c r="G29" s="43"/>
      <c r="H29" s="43"/>
      <c r="I29" s="43"/>
      <c r="J29" s="43"/>
      <c r="K29" s="43"/>
    </row>
    <row r="30" spans="1:11" ht="15" customHeight="1" x14ac:dyDescent="0.2">
      <c r="A30" s="42"/>
      <c r="B30" s="44"/>
      <c r="C30" s="44"/>
      <c r="D30" s="44"/>
      <c r="E30" s="43"/>
      <c r="F30" s="43"/>
      <c r="G30" s="43"/>
      <c r="H30" s="43"/>
      <c r="I30" s="43"/>
      <c r="J30" s="43"/>
      <c r="K30" s="43"/>
    </row>
    <row r="31" spans="1:11" ht="15" customHeight="1" x14ac:dyDescent="0.2">
      <c r="A31" s="42"/>
      <c r="B31" s="44"/>
      <c r="C31" s="44"/>
      <c r="D31" s="44"/>
      <c r="E31" s="43"/>
      <c r="F31" s="43"/>
      <c r="G31" s="43"/>
      <c r="H31" s="43"/>
      <c r="I31" s="43"/>
      <c r="J31" s="43"/>
      <c r="K31" s="43"/>
    </row>
    <row r="32" spans="1:11" ht="15" customHeight="1" x14ac:dyDescent="0.2">
      <c r="A32" s="42"/>
      <c r="B32" s="44"/>
      <c r="C32" s="44"/>
      <c r="D32" s="44"/>
      <c r="E32" s="43"/>
      <c r="F32" s="43"/>
      <c r="G32" s="43"/>
      <c r="H32" s="43"/>
      <c r="I32" s="43"/>
      <c r="J32" s="43"/>
      <c r="K32" s="43"/>
    </row>
    <row r="33" spans="1:11" ht="15" customHeight="1" x14ac:dyDescent="0.2">
      <c r="A33" s="42"/>
      <c r="B33" s="44"/>
      <c r="C33" s="44"/>
      <c r="D33" s="44"/>
      <c r="E33" s="43"/>
      <c r="F33" s="43"/>
      <c r="G33" s="43"/>
      <c r="H33" s="43"/>
      <c r="I33" s="43"/>
      <c r="J33" s="43"/>
      <c r="K33" s="43"/>
    </row>
    <row r="34" spans="1:11" ht="15" customHeight="1" x14ac:dyDescent="0.2">
      <c r="A34" s="42"/>
      <c r="B34" s="44"/>
      <c r="C34" s="44"/>
      <c r="D34" s="44"/>
      <c r="E34" s="43"/>
      <c r="F34" s="43"/>
      <c r="G34" s="43"/>
      <c r="H34" s="43"/>
      <c r="I34" s="43"/>
      <c r="J34" s="43"/>
      <c r="K34" s="43"/>
    </row>
    <row r="35" spans="1:11" ht="15" customHeight="1" x14ac:dyDescent="0.2">
      <c r="A35" s="42"/>
      <c r="B35" s="44"/>
      <c r="C35" s="44"/>
      <c r="D35" s="44"/>
      <c r="E35" s="43"/>
      <c r="F35" s="43"/>
      <c r="G35" s="43"/>
      <c r="H35" s="43"/>
      <c r="I35" s="43"/>
      <c r="J35" s="43"/>
      <c r="K35" s="43"/>
    </row>
    <row r="36" spans="1:11" ht="15" customHeight="1" x14ac:dyDescent="0.2">
      <c r="A36" s="42"/>
      <c r="B36" s="44"/>
      <c r="C36" s="44"/>
      <c r="D36" s="44"/>
      <c r="E36" s="43"/>
      <c r="F36" s="43"/>
      <c r="G36" s="43"/>
      <c r="H36" s="43"/>
      <c r="I36" s="43"/>
      <c r="J36" s="43"/>
      <c r="K36" s="43"/>
    </row>
    <row r="37" spans="1:11" ht="15" customHeight="1" x14ac:dyDescent="0.2">
      <c r="A37" s="42"/>
      <c r="B37" s="44"/>
      <c r="C37" s="44"/>
      <c r="D37" s="44"/>
      <c r="E37" s="43"/>
      <c r="F37" s="43"/>
      <c r="G37" s="43"/>
      <c r="H37" s="43"/>
      <c r="I37" s="43"/>
      <c r="J37" s="43"/>
      <c r="K37" s="43"/>
    </row>
    <row r="38" spans="1:11" ht="15" customHeight="1" x14ac:dyDescent="0.2">
      <c r="A38" s="42"/>
      <c r="B38" s="44"/>
      <c r="C38" s="44"/>
      <c r="D38" s="44"/>
      <c r="E38" s="43"/>
      <c r="F38" s="43"/>
      <c r="G38" s="43"/>
      <c r="H38" s="43"/>
      <c r="I38" s="43"/>
      <c r="J38" s="43"/>
      <c r="K38" s="43"/>
    </row>
    <row r="39" spans="1:11" ht="15" customHeight="1" x14ac:dyDescent="0.2">
      <c r="A39" s="42"/>
      <c r="B39" s="44"/>
      <c r="C39" s="44"/>
      <c r="D39" s="44"/>
      <c r="E39" s="43"/>
      <c r="F39" s="43"/>
      <c r="G39" s="43"/>
      <c r="H39" s="43"/>
      <c r="I39" s="43"/>
      <c r="J39" s="43"/>
      <c r="K39" s="43"/>
    </row>
    <row r="40" spans="1:11" ht="15" customHeight="1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</row>
    <row r="41" spans="1:11" ht="15" customHeight="1" x14ac:dyDescent="0.2">
      <c r="A41" s="60" t="s">
        <v>122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</row>
    <row r="42" spans="1:11" ht="15" customHeight="1" x14ac:dyDescent="0.2">
      <c r="A42" s="47" t="s">
        <v>123</v>
      </c>
      <c r="B42" s="48"/>
      <c r="C42" s="48"/>
      <c r="D42" s="48"/>
      <c r="E42" s="48">
        <v>7.4999999999999997E-2</v>
      </c>
      <c r="F42" s="48">
        <v>7.0000000000000007E-2</v>
      </c>
      <c r="G42" s="48">
        <v>6.5000000000000002E-2</v>
      </c>
      <c r="H42" s="48">
        <v>0.06</v>
      </c>
      <c r="I42" s="48">
        <v>5.5E-2</v>
      </c>
      <c r="J42" s="48">
        <v>0.05</v>
      </c>
      <c r="K42" s="48">
        <v>4.4999999999999998E-2</v>
      </c>
    </row>
    <row r="43" spans="1:11" ht="15" customHeight="1" x14ac:dyDescent="0.2">
      <c r="A43" s="47" t="s">
        <v>124</v>
      </c>
      <c r="B43" s="48"/>
      <c r="C43" s="48"/>
      <c r="D43" s="48"/>
      <c r="E43" s="48">
        <v>0.11</v>
      </c>
      <c r="F43" s="48">
        <v>0.1</v>
      </c>
      <c r="G43" s="48">
        <v>0.09</v>
      </c>
      <c r="H43" s="48">
        <v>0.08</v>
      </c>
      <c r="I43" s="48">
        <v>7.0000000000000007E-2</v>
      </c>
      <c r="J43" s="48">
        <v>6.5000000000000002E-2</v>
      </c>
      <c r="K43" s="48">
        <v>0.06</v>
      </c>
    </row>
    <row r="44" spans="1:11" ht="15" customHeight="1" x14ac:dyDescent="0.2">
      <c r="A44" s="47" t="s">
        <v>125</v>
      </c>
      <c r="B44" s="48"/>
      <c r="C44" s="48"/>
      <c r="D44" s="48"/>
      <c r="E44" s="48">
        <v>0.17499999999999999</v>
      </c>
      <c r="F44" s="48">
        <v>0.15</v>
      </c>
      <c r="G44" s="48">
        <v>0.13</v>
      </c>
      <c r="H44" s="48">
        <v>0.11</v>
      </c>
      <c r="I44" s="48">
        <v>0.09</v>
      </c>
      <c r="J44" s="48">
        <v>0.08</v>
      </c>
      <c r="K44" s="48">
        <v>7.0000000000000007E-2</v>
      </c>
    </row>
    <row r="45" spans="1:11" ht="15" customHeight="1" x14ac:dyDescent="0.2">
      <c r="A45" s="47" t="s">
        <v>126</v>
      </c>
      <c r="B45" s="48"/>
      <c r="C45" s="48"/>
      <c r="D45" s="48"/>
      <c r="E45" s="48">
        <v>0.09</v>
      </c>
      <c r="F45" s="48">
        <v>0.08</v>
      </c>
      <c r="G45" s="48">
        <v>7.0000000000000007E-2</v>
      </c>
      <c r="H45" s="48">
        <v>6.5000000000000002E-2</v>
      </c>
      <c r="I45" s="48">
        <v>0.06</v>
      </c>
      <c r="J45" s="48">
        <v>5.5E-2</v>
      </c>
      <c r="K45" s="48">
        <v>0.05</v>
      </c>
    </row>
    <row r="46" spans="1:11" ht="15" customHeight="1" x14ac:dyDescent="0.2">
      <c r="A46" s="47" t="s">
        <v>118</v>
      </c>
      <c r="B46" s="48"/>
      <c r="C46" s="48"/>
      <c r="D46" s="48"/>
      <c r="E46" s="48">
        <v>6.5000000000000002E-2</v>
      </c>
      <c r="F46" s="48">
        <v>7.0000000000000007E-2</v>
      </c>
      <c r="G46" s="48">
        <v>7.3999999999999996E-2</v>
      </c>
      <c r="H46" s="48">
        <v>7.6999999999999999E-2</v>
      </c>
      <c r="I46" s="48">
        <v>7.9000000000000001E-2</v>
      </c>
      <c r="J46" s="48">
        <v>8.1000000000000003E-2</v>
      </c>
      <c r="K46" s="48">
        <v>8.3000000000000004E-2</v>
      </c>
    </row>
    <row r="47" spans="1:11" ht="15" customHeight="1" x14ac:dyDescent="0.2">
      <c r="A47" s="47" t="s">
        <v>63</v>
      </c>
      <c r="B47" s="48">
        <v>0.24</v>
      </c>
      <c r="C47" s="48">
        <v>0.24</v>
      </c>
      <c r="D47" s="48">
        <v>0.24</v>
      </c>
      <c r="E47" s="48">
        <v>0.24</v>
      </c>
      <c r="F47" s="48">
        <v>0.24</v>
      </c>
      <c r="G47" s="48">
        <v>0.24</v>
      </c>
      <c r="H47" s="48">
        <v>0.24</v>
      </c>
      <c r="I47" s="48">
        <v>0.24</v>
      </c>
      <c r="J47" s="48">
        <v>0.24</v>
      </c>
      <c r="K47" s="48">
        <v>0.24</v>
      </c>
    </row>
    <row r="48" spans="1:11" ht="15" customHeight="1" x14ac:dyDescent="0.2">
      <c r="A48" s="47" t="s">
        <v>120</v>
      </c>
      <c r="B48" s="48">
        <v>3.5000000000000003E-2</v>
      </c>
      <c r="C48" s="48">
        <v>3.3000000000000002E-2</v>
      </c>
      <c r="D48" s="48">
        <v>3.2000000000000001E-2</v>
      </c>
      <c r="E48" s="48">
        <v>3.1E-2</v>
      </c>
      <c r="F48" s="48">
        <v>0.03</v>
      </c>
      <c r="G48" s="48">
        <v>2.9000000000000001E-2</v>
      </c>
      <c r="H48" s="48">
        <v>2.8000000000000001E-2</v>
      </c>
      <c r="I48" s="48">
        <v>2.7E-2</v>
      </c>
      <c r="J48" s="48">
        <v>2.5999999999999999E-2</v>
      </c>
      <c r="K48" s="48">
        <v>2.5000000000000001E-2</v>
      </c>
    </row>
    <row r="49" spans="1:11" ht="15" customHeight="1" x14ac:dyDescent="0.2">
      <c r="A49" s="47" t="s">
        <v>15</v>
      </c>
      <c r="B49" s="48">
        <v>0.05</v>
      </c>
      <c r="C49" s="48">
        <v>4.4999999999999998E-2</v>
      </c>
      <c r="D49" s="48">
        <v>0.04</v>
      </c>
      <c r="E49" s="48">
        <v>3.7999999999999999E-2</v>
      </c>
      <c r="F49" s="48">
        <v>3.5999999999999997E-2</v>
      </c>
      <c r="G49" s="48">
        <v>3.4000000000000002E-2</v>
      </c>
      <c r="H49" s="48">
        <v>3.3000000000000002E-2</v>
      </c>
      <c r="I49" s="48">
        <v>3.2000000000000001E-2</v>
      </c>
      <c r="J49" s="48">
        <v>3.1E-2</v>
      </c>
      <c r="K49" s="48">
        <v>0.03</v>
      </c>
    </row>
    <row r="50" spans="1:11" ht="15" customHeight="1" x14ac:dyDescent="0.2">
      <c r="A50" s="47" t="s">
        <v>64</v>
      </c>
      <c r="B50" s="48">
        <v>-5.5E-2</v>
      </c>
      <c r="C50" s="48">
        <v>-5.3999999999999999E-2</v>
      </c>
      <c r="D50" s="48">
        <v>-5.2999999999999999E-2</v>
      </c>
      <c r="E50" s="48">
        <v>-5.1999999999999998E-2</v>
      </c>
      <c r="F50" s="48">
        <v>-5.0999999999999997E-2</v>
      </c>
      <c r="G50" s="48">
        <v>-0.05</v>
      </c>
      <c r="H50" s="48">
        <v>-4.9000000000000002E-2</v>
      </c>
      <c r="I50" s="48">
        <v>-4.8000000000000001E-2</v>
      </c>
      <c r="J50" s="48">
        <v>-4.7E-2</v>
      </c>
      <c r="K50" s="48">
        <v>-4.5999999999999999E-2</v>
      </c>
    </row>
  </sheetData>
  <mergeCells count="2">
    <mergeCell ref="A41:K41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AWS Assumptions</vt:lpstr>
      <vt:lpstr>AWS</vt:lpstr>
      <vt:lpstr>Online 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created xsi:type="dcterms:W3CDTF">2026-06-18T19:35:27Z</dcterms:created>
  <dcterms:modified xsi:type="dcterms:W3CDTF">2026-06-18T19:35:27Z</dcterms:modified>
</cp:coreProperties>
</file>