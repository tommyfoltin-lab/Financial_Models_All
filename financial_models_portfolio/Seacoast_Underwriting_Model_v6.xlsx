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Key Assumptions" sheetId="2" state="visible" r:id="rId4"/>
    <sheet name="Revenue Build" sheetId="3" state="visible" r:id="rId5"/>
    <sheet name="Income Statement" sheetId="4" state="visible" r:id="rId6"/>
    <sheet name="Balance Sheet" sheetId="5" state="visible" r:id="rId7"/>
    <sheet name="Cash Flow" sheetId="6" state="visible" r:id="rId8"/>
    <sheet name="Debt Schedule" sheetId="7" state="visible" r:id="rId9"/>
    <sheet name="Coverage Ratios" sheetId="8" state="visible" r:id="rId10"/>
    <sheet name="Returns Analysi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<sst xmlns="http://schemas.openxmlformats.org/spreadsheetml/2006/main" count="422" uniqueCount="283">
  <si>
    <t xml:space="preserve">Model Summary and Assumptions</t>
  </si>
  <si>
    <t xml:space="preserve">Base Case  |  ($ in thousands)</t>
  </si>
  <si>
    <t xml:space="preserve">Source of Funds</t>
  </si>
  <si>
    <t xml:space="preserve">$</t>
  </si>
  <si>
    <t xml:space="preserve">%</t>
  </si>
  <si>
    <t xml:space="preserve">x EBITDA</t>
  </si>
  <si>
    <t xml:space="preserve">2014 Mult.</t>
  </si>
  <si>
    <t xml:space="preserve">Ownership</t>
  </si>
  <si>
    <t xml:space="preserve">Coupon %</t>
  </si>
  <si>
    <t xml:space="preserve">Terminal %</t>
  </si>
  <si>
    <t xml:space="preserve">Cash on Balance Sheet</t>
  </si>
  <si>
    <t xml:space="preserve">Sr. Sub Notes</t>
  </si>
  <si>
    <t xml:space="preserve">Revolving Line of Credit</t>
  </si>
  <si>
    <t xml:space="preserve">Part. Pref.</t>
  </si>
  <si>
    <t xml:space="preserve">Senior Term Loan</t>
  </si>
  <si>
    <t xml:space="preserve">Seacoast Senior Sub. Notes</t>
  </si>
  <si>
    <t xml:space="preserve">Exit Multiple</t>
  </si>
  <si>
    <t xml:space="preserve">Low</t>
  </si>
  <si>
    <t xml:space="preserve">Base</t>
  </si>
  <si>
    <t xml:space="preserve">High</t>
  </si>
  <si>
    <t xml:space="preserve">Seller Note</t>
  </si>
  <si>
    <t xml:space="preserve">Seller Working Capital Holdback</t>
  </si>
  <si>
    <t xml:space="preserve">Seacoast Participating Pref. Stock</t>
  </si>
  <si>
    <t xml:space="preserve">5-Year Returns</t>
  </si>
  <si>
    <t xml:space="preserve">Investments Particip. Pref. Stock</t>
  </si>
  <si>
    <t xml:space="preserve">Subordinated Debt</t>
  </si>
  <si>
    <t xml:space="preserve">Tom Participating Pref. Stock</t>
  </si>
  <si>
    <t xml:space="preserve">IRR</t>
  </si>
  <si>
    <t xml:space="preserve">Mgmt. Equity Common Class A (PLUG)</t>
  </si>
  <si>
    <t xml:space="preserve">MOIC</t>
  </si>
  <si>
    <t xml:space="preserve">Total</t>
  </si>
  <si>
    <t xml:space="preserve">Use of Funds</t>
  </si>
  <si>
    <t xml:space="preserve">Cash to Sellers</t>
  </si>
  <si>
    <t xml:space="preserve">Retire Existing Debt</t>
  </si>
  <si>
    <t xml:space="preserve">Retire Seller Note Payable to Tom</t>
  </si>
  <si>
    <t xml:space="preserve">Blended</t>
  </si>
  <si>
    <t xml:space="preserve">Retire Note Payable to Richard</t>
  </si>
  <si>
    <t xml:space="preserve">Mgmt. Equity</t>
  </si>
  <si>
    <t xml:space="preserve">Capital Equipment Purchases</t>
  </si>
  <si>
    <t xml:space="preserve">Cash/Working Capital</t>
  </si>
  <si>
    <t xml:space="preserve">Seller WC Holdback</t>
  </si>
  <si>
    <t xml:space="preserve">Financing Fees</t>
  </si>
  <si>
    <t xml:space="preserve">Transaction Expenses</t>
  </si>
  <si>
    <t xml:space="preserve">Key Growth &amp; Ratio Assumptions</t>
  </si>
  <si>
    <t xml:space="preserve">Environmental Services, Inc.  |  ($ in thousands)</t>
  </si>
  <si>
    <t xml:space="preserve">Segment Revenue Assumptions ($K)</t>
  </si>
  <si>
    <t xml:space="preserve">2010A</t>
  </si>
  <si>
    <t xml:space="preserve">2011A</t>
  </si>
  <si>
    <t xml:space="preserve">2012A</t>
  </si>
  <si>
    <t xml:space="preserve">2013A</t>
  </si>
  <si>
    <t xml:space="preserve">2014P</t>
  </si>
  <si>
    <t xml:space="preserve">2015P</t>
  </si>
  <si>
    <t xml:space="preserve">2016P</t>
  </si>
  <si>
    <t xml:space="preserve">2017P</t>
  </si>
  <si>
    <t xml:space="preserve">2018P</t>
  </si>
  <si>
    <t xml:space="preserve">Industrial Services Revenue</t>
  </si>
  <si>
    <t xml:space="preserve">Growth Rate</t>
  </si>
  <si>
    <t xml:space="preserve">Emergency Response Revenue</t>
  </si>
  <si>
    <t xml:space="preserve">Transportation &amp; Disposal Revenue</t>
  </si>
  <si>
    <t xml:space="preserve">Segment Gross Margin Assumptions</t>
  </si>
  <si>
    <t xml:space="preserve">Industrial Services Gross Margin</t>
  </si>
  <si>
    <t xml:space="preserve">Emergency Response Gross Margin</t>
  </si>
  <si>
    <t xml:space="preserve">Transportation &amp; Disposal Gross Margin</t>
  </si>
  <si>
    <t xml:space="preserve">Operating Expense Assumptions (% of Revenue)</t>
  </si>
  <si>
    <t xml:space="preserve">Salaries &amp; Wages</t>
  </si>
  <si>
    <t xml:space="preserve">Rent &amp; Facilities</t>
  </si>
  <si>
    <t xml:space="preserve">Insurance</t>
  </si>
  <si>
    <t xml:space="preserve">Vehicle &amp; Equipment</t>
  </si>
  <si>
    <t xml:space="preserve">Other SG&amp;A</t>
  </si>
  <si>
    <t xml:space="preserve">D&amp;A and Capital Expenditure Assumptions ($K)</t>
  </si>
  <si>
    <t xml:space="preserve">Depreciation &amp; Amortization</t>
  </si>
  <si>
    <t xml:space="preserve">Maintenance CapEx</t>
  </si>
  <si>
    <t xml:space="preserve">Growth CapEx</t>
  </si>
  <si>
    <t xml:space="preserve">Total CapEx</t>
  </si>
  <si>
    <t xml:space="preserve">Working Capital Assumptions</t>
  </si>
  <si>
    <t xml:space="preserve">A/R Days Sales Outstanding</t>
  </si>
  <si>
    <t xml:space="preserve">Inventory Days (on COGS)</t>
  </si>
  <si>
    <t xml:space="preserve">A/P Days (on COGS)</t>
  </si>
  <si>
    <t xml:space="preserve">Accrued Expenses (% of Revenue)</t>
  </si>
  <si>
    <t xml:space="preserve">Other Current Assets ($K, flat)</t>
  </si>
  <si>
    <t xml:space="preserve">Other Current Liabilities ($K, flat)</t>
  </si>
  <si>
    <t xml:space="preserve">Implied SG&amp;A % of Revenue (check)</t>
  </si>
  <si>
    <t xml:space="preserve">Total SG&amp;A %</t>
  </si>
  <si>
    <t xml:space="preserve">CapEx / D&amp;A (check)</t>
  </si>
  <si>
    <t xml:space="preserve">CapEx / D&amp;A</t>
  </si>
  <si>
    <t xml:space="preserve">Deal Information</t>
  </si>
  <si>
    <t xml:space="preserve">Company Name</t>
  </si>
  <si>
    <t xml:space="preserve">Environmental Services, Inc.</t>
  </si>
  <si>
    <t xml:space="preserve">Analyst</t>
  </si>
  <si>
    <t xml:space="preserve">[Name]</t>
  </si>
  <si>
    <t xml:space="preserve">Close Date</t>
  </si>
  <si>
    <t xml:space="preserve">12/31/2013</t>
  </si>
  <si>
    <t xml:space="preserve">Fiscal Year End</t>
  </si>
  <si>
    <t xml:space="preserve">December 31</t>
  </si>
  <si>
    <t xml:space="preserve">Capital Structure (Sized off Closing EBITDA)</t>
  </si>
  <si>
    <t xml:space="preserve">Adj. Closing EBITDA ($K):</t>
  </si>
  <si>
    <t xml:space="preserve">Total Sources</t>
  </si>
  <si>
    <t xml:space="preserve">Uses of Funds ($K)</t>
  </si>
  <si>
    <t xml:space="preserve">Mgmt. Equity Purchase</t>
  </si>
  <si>
    <t xml:space="preserve">Seller Note (use)</t>
  </si>
  <si>
    <t xml:space="preserve">Seller WC Holdback (use)</t>
  </si>
  <si>
    <t xml:space="preserve">Total Uses</t>
  </si>
  <si>
    <t xml:space="preserve">Pricing Assumptions</t>
  </si>
  <si>
    <t xml:space="preserve">Senior Term Loan Interest Rate</t>
  </si>
  <si>
    <t xml:space="preserve">Sr. Sub Notes Cash Coupon</t>
  </si>
  <si>
    <t xml:space="preserve">Sr. Sub Notes PIK Rate</t>
  </si>
  <si>
    <t xml:space="preserve">Seller Note Interest Rate</t>
  </si>
  <si>
    <t xml:space="preserve">Participating Pref. Dividend Rate</t>
  </si>
  <si>
    <t xml:space="preserve">Pref. Dividend Cash vs PIK Split</t>
  </si>
  <si>
    <t xml:space="preserve">(0%=all PIK, 100%=all cash)</t>
  </si>
  <si>
    <t xml:space="preserve">Senior Debt Terms</t>
  </si>
  <si>
    <t xml:space="preserve">Senior Term Loan Annual Amort. Rate</t>
  </si>
  <si>
    <t xml:space="preserve">Revolver Commitment ($K)</t>
  </si>
  <si>
    <t xml:space="preserve">Revolver Advance Rate on A/R</t>
  </si>
  <si>
    <t xml:space="preserve">Revolver Advance Rate on Inventory</t>
  </si>
  <si>
    <t xml:space="preserve">Revolver Interest Rate</t>
  </si>
  <si>
    <t xml:space="preserve">Ownership &amp; Exit Assumptions</t>
  </si>
  <si>
    <t xml:space="preserve">Seacoast Sub Debt Warrant Ownership %</t>
  </si>
  <si>
    <t xml:space="preserve">Seacoast Part. Pref. Equity Participation %</t>
  </si>
  <si>
    <t xml:space="preserve">Incentive Pool %</t>
  </si>
  <si>
    <t xml:space="preserve">Carried Interest %</t>
  </si>
  <si>
    <t xml:space="preserve">Exit Multiple (Low)</t>
  </si>
  <si>
    <t xml:space="preserve">Exit Multiple (Base)</t>
  </si>
  <si>
    <t xml:space="preserve">Exit Multiple (High)</t>
  </si>
  <si>
    <t xml:space="preserve">Tax &amp; Other</t>
  </si>
  <si>
    <t xml:space="preserve">Effective Tax Rate</t>
  </si>
  <si>
    <t xml:space="preserve">(pass-through assumed per SBIC)</t>
  </si>
  <si>
    <t xml:space="preserve">Minimum Cash Balance ($K)</t>
  </si>
  <si>
    <t xml:space="preserve">Revenue Build by Segment</t>
  </si>
  <si>
    <t xml:space="preserve">($ in thousands)</t>
  </si>
  <si>
    <t xml:space="preserve">CAGR</t>
  </si>
  <si>
    <t xml:space="preserve">Industrial Services</t>
  </si>
  <si>
    <t xml:space="preserve">Revenue</t>
  </si>
  <si>
    <t xml:space="preserve">Gross Margin</t>
  </si>
  <si>
    <t xml:space="preserve">Segment Gross Profit</t>
  </si>
  <si>
    <t xml:space="preserve">Emergency Response</t>
  </si>
  <si>
    <t xml:space="preserve">Transportation &amp; Disposal</t>
  </si>
  <si>
    <t xml:space="preserve">Consolidated Revenue Summary</t>
  </si>
  <si>
    <t xml:space="preserve">Total Revenue</t>
  </si>
  <si>
    <t xml:space="preserve">Total Revenue Growth</t>
  </si>
  <si>
    <t xml:space="preserve">Total Gross Profit</t>
  </si>
  <si>
    <t xml:space="preserve">Blended Gross Margin</t>
  </si>
  <si>
    <t xml:space="preserve">Revenue Concentration (Top Customers)</t>
  </si>
  <si>
    <t xml:space="preserve">Customer 1 (e.g., Oxy)</t>
  </si>
  <si>
    <t xml:space="preserve">Customer 2 (e.g., SoCal Edison)</t>
  </si>
  <si>
    <t xml:space="preserve">Customer 3 (e.g., SoCal Gas)</t>
  </si>
  <si>
    <t xml:space="preserve">Customer 4 (e.g., Berry Petroleum)</t>
  </si>
  <si>
    <t xml:space="preserve">Top 4 Concentration</t>
  </si>
  <si>
    <t xml:space="preserve">Top 4 Revenue ($K)</t>
  </si>
  <si>
    <t xml:space="preserve">Projected Income Statement</t>
  </si>
  <si>
    <t xml:space="preserve">Revenues</t>
  </si>
  <si>
    <t xml:space="preserve">Cost of Goods Sold</t>
  </si>
  <si>
    <t xml:space="preserve">Gross Profit</t>
  </si>
  <si>
    <t xml:space="preserve">Operating Expenses</t>
  </si>
  <si>
    <t xml:space="preserve">Total SG&amp;A</t>
  </si>
  <si>
    <t xml:space="preserve">SG&amp;A % of Revenue</t>
  </si>
  <si>
    <t xml:space="preserve">EBITDA</t>
  </si>
  <si>
    <t xml:space="preserve">EBITDA Margin</t>
  </si>
  <si>
    <t xml:space="preserve">EBITDA Growth</t>
  </si>
  <si>
    <t xml:space="preserve">EBIT</t>
  </si>
  <si>
    <t xml:space="preserve">Total Cash Interest Expense</t>
  </si>
  <si>
    <t xml:space="preserve">Total PIK Interest / Dividends</t>
  </si>
  <si>
    <t xml:space="preserve">Pre-Tax Income</t>
  </si>
  <si>
    <t xml:space="preserve">Taxes</t>
  </si>
  <si>
    <t xml:space="preserve">Net Income</t>
  </si>
  <si>
    <t xml:space="preserve">Projected Balance Sheet</t>
  </si>
  <si>
    <t xml:space="preserve">($ in thousands)  |  Driven by Working Capital Days</t>
  </si>
  <si>
    <t xml:space="preserve">@Close</t>
  </si>
  <si>
    <t xml:space="preserve">ASSETS</t>
  </si>
  <si>
    <t xml:space="preserve">Cash &amp; Equivalents</t>
  </si>
  <si>
    <t xml:space="preserve">Accounts Receivable</t>
  </si>
  <si>
    <t xml:space="preserve">Inventory</t>
  </si>
  <si>
    <t xml:space="preserve">Other Current Assets</t>
  </si>
  <si>
    <t xml:space="preserve">Total Current Assets</t>
  </si>
  <si>
    <t xml:space="preserve">Net PP&amp;E</t>
  </si>
  <si>
    <t xml:space="preserve">Goodwill &amp; Intangibles</t>
  </si>
  <si>
    <t xml:space="preserve">TOTAL ASSETS</t>
  </si>
  <si>
    <t xml:space="preserve">LIABILITIES</t>
  </si>
  <si>
    <t xml:space="preserve">Accounts Payable</t>
  </si>
  <si>
    <t xml:space="preserve">Accrued Expenses</t>
  </si>
  <si>
    <t xml:space="preserve">Other Current Liabilities</t>
  </si>
  <si>
    <t xml:space="preserve">Current Portion of LT Debt</t>
  </si>
  <si>
    <t xml:space="preserve">Total Current Liabilities</t>
  </si>
  <si>
    <t xml:space="preserve">Senior Term Loan (net of current)</t>
  </si>
  <si>
    <t xml:space="preserve">Seacoast Senior Sub. Notes (incl. PIK)</t>
  </si>
  <si>
    <t xml:space="preserve">Seacoast Part. Pref. (incl. PIK Div.)</t>
  </si>
  <si>
    <t xml:space="preserve">Other Pref. Stock (Investments + Tom)</t>
  </si>
  <si>
    <t xml:space="preserve">Total Liabilities</t>
  </si>
  <si>
    <t xml:space="preserve">EQUITY</t>
  </si>
  <si>
    <t xml:space="preserve">Mgmt. Common Equity</t>
  </si>
  <si>
    <t xml:space="preserve">Retained Earnings</t>
  </si>
  <si>
    <t xml:space="preserve">Total Equity</t>
  </si>
  <si>
    <t xml:space="preserve">TOTAL LIABILITIES &amp; EQUITY</t>
  </si>
  <si>
    <t xml:space="preserve">Balance Check (Assets - L&amp;E)</t>
  </si>
  <si>
    <t xml:space="preserve">Cash Flow Statement</t>
  </si>
  <si>
    <t xml:space="preserve">Changes in Working Capital</t>
  </si>
  <si>
    <t xml:space="preserve">Change in A/R (increase=use)</t>
  </si>
  <si>
    <t xml:space="preserve">Change in Inventory (increase=use)</t>
  </si>
  <si>
    <t xml:space="preserve">Change in A/P (increase=source)</t>
  </si>
  <si>
    <t xml:space="preserve">Change in Accrued Expenses</t>
  </si>
  <si>
    <t xml:space="preserve">Change in Other NWC</t>
  </si>
  <si>
    <t xml:space="preserve">Total Change in NWC (increase=use of cash)</t>
  </si>
  <si>
    <t xml:space="preserve">Cash Flow from Operations</t>
  </si>
  <si>
    <t xml:space="preserve">Less: Cash Interest Expense</t>
  </si>
  <si>
    <t xml:space="preserve">Less: Taxes</t>
  </si>
  <si>
    <t xml:space="preserve">Less: Change in NWC</t>
  </si>
  <si>
    <t xml:space="preserve">Cash Flow from Investing</t>
  </si>
  <si>
    <t xml:space="preserve">Cash Flow from Financing</t>
  </si>
  <si>
    <t xml:space="preserve">Senior Loan Amortization</t>
  </si>
  <si>
    <t xml:space="preserve">Free Cash Flow Summary</t>
  </si>
  <si>
    <t xml:space="preserve">Unlevered Free Cash Flow (EBITDA - CapEx - dNWC)</t>
  </si>
  <si>
    <t xml:space="preserve">UFCF % of Revenue</t>
  </si>
  <si>
    <t xml:space="preserve">UFCF % of EBITDA (Cash Conversion)</t>
  </si>
  <si>
    <t xml:space="preserve">Levered Free Cash Flow</t>
  </si>
  <si>
    <t xml:space="preserve">Net Change in Cash</t>
  </si>
  <si>
    <t xml:space="preserve">Beginning Cash</t>
  </si>
  <si>
    <t xml:space="preserve">Ending Cash</t>
  </si>
  <si>
    <t xml:space="preserve">Debt &amp; Preferred Equity Schedule</t>
  </si>
  <si>
    <t xml:space="preserve">Beginning Balance</t>
  </si>
  <si>
    <t xml:space="preserve">Mandatory Amortization (Cash)</t>
  </si>
  <si>
    <t xml:space="preserve">Prepayment from Excess Cash</t>
  </si>
  <si>
    <t xml:space="preserve">Ending Balance</t>
  </si>
  <si>
    <t xml:space="preserve">Cash Interest Expense</t>
  </si>
  <si>
    <t xml:space="preserve">Seacoast Senior Subordinated Notes</t>
  </si>
  <si>
    <t xml:space="preserve">PIK Interest Accrual</t>
  </si>
  <si>
    <t xml:space="preserve">Cash Coupon Interest</t>
  </si>
  <si>
    <t xml:space="preserve">Balance (interest only)</t>
  </si>
  <si>
    <t xml:space="preserve">Seller WC Holdback (static)</t>
  </si>
  <si>
    <t xml:space="preserve">Seacoast Participating Preferred Stock</t>
  </si>
  <si>
    <t xml:space="preserve">Cash Dividend</t>
  </si>
  <si>
    <t xml:space="preserve">PIK Dividend Accrual</t>
  </si>
  <si>
    <t xml:space="preserve">Revolving Credit Facility / Borrowing Base</t>
  </si>
  <si>
    <t xml:space="preserve">Eligible A/R</t>
  </si>
  <si>
    <t xml:space="preserve">Eligible Inventory</t>
  </si>
  <si>
    <t xml:space="preserve">A/R Borrowing Base</t>
  </si>
  <si>
    <t xml:space="preserve">Inventory Borrowing Base</t>
  </si>
  <si>
    <t xml:space="preserve">Total Borrowing Base</t>
  </si>
  <si>
    <t xml:space="preserve">Revolver Commitment</t>
  </si>
  <si>
    <t xml:space="preserve">Available Revolver Capacity</t>
  </si>
  <si>
    <t xml:space="preserve">Total Available Liquidity (Cash + Revolver)</t>
  </si>
  <si>
    <t xml:space="preserve">Summary for Income Statement Links</t>
  </si>
  <si>
    <t xml:space="preserve">Total Cash Interest</t>
  </si>
  <si>
    <t xml:space="preserve">Total Debt Service (Principal + Cash Interest)</t>
  </si>
  <si>
    <t xml:space="preserve">Total Debt Service</t>
  </si>
  <si>
    <t xml:space="preserve">Debt Coverage &amp; Efficiency Ratios</t>
  </si>
  <si>
    <t xml:space="preserve">Debt Coverage Ratios</t>
  </si>
  <si>
    <t xml:space="preserve">EBITDA / (Total Debt Service + CapEx)</t>
  </si>
  <si>
    <t xml:space="preserve">EBITDA / (Sr. Debt Service + CapEx)</t>
  </si>
  <si>
    <t xml:space="preserve">Leverage Ratios</t>
  </si>
  <si>
    <t xml:space="preserve">Senior Debt / EBITDA</t>
  </si>
  <si>
    <t xml:space="preserve">Sr. + Sub. Debt (excl. Seller &amp; Holdback) / EBITDA</t>
  </si>
  <si>
    <t xml:space="preserve">Total Net Debt / EBITDA</t>
  </si>
  <si>
    <t xml:space="preserve">Returns Analysis</t>
  </si>
  <si>
    <t xml:space="preserve">($ in thousands)  |  5-Year Hold Period</t>
  </si>
  <si>
    <t xml:space="preserve">Exit Enterprise Value</t>
  </si>
  <si>
    <t xml:space="preserve">Exit Year EBITDA (Year 5)</t>
  </si>
  <si>
    <t xml:space="preserve">Less: Senior Debt Outstanding</t>
  </si>
  <si>
    <t xml:space="preserve">Less: Seller Note</t>
  </si>
  <si>
    <t xml:space="preserve">Less: Seller WC Holdback</t>
  </si>
  <si>
    <t xml:space="preserve">Equity Value for Distribution</t>
  </si>
  <si>
    <t xml:space="preserve">Subordinated Debt Returns</t>
  </si>
  <si>
    <t xml:space="preserve">Sub Debt Principal + Accrued PIK at Exit</t>
  </si>
  <si>
    <t xml:space="preserve">Warrant Value (Ownership % x Equity Value)</t>
  </si>
  <si>
    <t xml:space="preserve">Total Exit Proceeds</t>
  </si>
  <si>
    <t xml:space="preserve">Sub Debt Cash Flow Stream</t>
  </si>
  <si>
    <t xml:space="preserve">Year 0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</si>
  <si>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</si>
  <si>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</si>
  <si>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</si>
  <si>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</si>
  <si>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</si>
  <si>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Sub Debt IRR</t>
  </si>
  <si>
    <t xml:space="preserve">Sub Debt MOIC</t>
  </si>
  <si>
    <t xml:space="preserve">Participating Preferred Returns</t>
  </si>
  <si>
    <t xml:space="preserve">Pref. Principal + Accrued PIK Div. at Exit</t>
  </si>
  <si>
    <t xml:space="preserve">Equity Participation (% x Equity Value)</t>
  </si>
  <si>
    <t xml:space="preserve">Pref. Cash Flow Stream</t>
  </si>
  <si>
    <t xml:space="preserve">Pref. IRR</t>
  </si>
  <si>
    <t xml:space="preserve">Pref. MOIC</t>
  </si>
  <si>
    <t xml:space="preserve">Blended Seacoast Returns (Sub Debt + Part. Pref.)</t>
  </si>
  <si>
    <t xml:space="preserve">Blended Cash Flow Stream</t>
  </si>
  <si>
    <t xml:space="preserve">Blended IRR</t>
  </si>
  <si>
    <t xml:space="preserve">Blended MOIC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</si>
</sst>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%"/>
    <numFmt numFmtId="167" formatCode="0.0\x"/>
    <numFmt numFmtId="168" formatCode="#,##0.0;\(#,##0.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9"/>
      <name val="Arial"/>
      <family val="0"/>
      <charset val="1"/>
    </font>
    <font>
      <b val="true"/>
      <u val="single"/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2F2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5" min="4" style="0" width="10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34"/>
    <col collapsed="false" customWidth="true" hidden="false" outlineLevel="0" max="11" min="9" style="0" width="14"/>
    <col collapsed="false" customWidth="true" hidden="false" outlineLevel="0" max="12" min="12" style="0" width="3"/>
    <col collapsed="false" customWidth="true" hidden="false" outlineLevel="0" max="21" min="13" style="0" width="14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H4" s="3" t="s">
        <v>7</v>
      </c>
      <c r="I4" s="5" t="s">
        <v>8</v>
      </c>
      <c r="J4" s="5" t="s">
        <v>9</v>
      </c>
    </row>
    <row r="5" customFormat="false" ht="15" hidden="false" customHeight="false" outlineLevel="0" collapsed="false">
      <c r="B5" s="6" t="s">
        <v>10</v>
      </c>
      <c r="C5" s="7" t="n">
        <f aca="false">'Key Assumptions'!C85</f>
        <v>921.8</v>
      </c>
      <c r="D5" s="8" t="n">
        <f aca="false">IF(C15=0,0,C5/C15)</f>
        <v>0.0343801283007609</v>
      </c>
      <c r="E5" s="9" t="n">
        <f aca="false">'Key Assumptions'!D85</f>
        <v>0.2</v>
      </c>
      <c r="F5" s="10" t="n">
        <f aca="false">IF('Income Statement'!G24=0,0,C5/'Income Statement'!G24)</f>
        <v>0.16346677528039</v>
      </c>
      <c r="H5" s="6" t="s">
        <v>11</v>
      </c>
      <c r="I5" s="11" t="n">
        <f aca="false">'Key Assumptions'!C113</f>
        <v>0.13</v>
      </c>
      <c r="J5" s="11" t="n">
        <f aca="false">'Key Assumptions'!C127</f>
        <v>0.05</v>
      </c>
    </row>
    <row r="6" customFormat="false" ht="15" hidden="false" customHeight="false" outlineLevel="0" collapsed="false">
      <c r="B6" s="6" t="s">
        <v>12</v>
      </c>
      <c r="C6" s="7" t="n">
        <f aca="false">'Key Assumptions'!C86</f>
        <v>0</v>
      </c>
      <c r="D6" s="8" t="n">
        <f aca="false">IF(C15=0,0,C6/C15)</f>
        <v>0</v>
      </c>
      <c r="E6" s="9" t="n">
        <f aca="false">'Key Assumptions'!D86</f>
        <v>0</v>
      </c>
      <c r="F6" s="10" t="n">
        <f aca="false">IF('Income Statement'!G24=0,0,C6/'Income Statement'!G24)</f>
        <v>0</v>
      </c>
      <c r="H6" s="6" t="s">
        <v>13</v>
      </c>
      <c r="I6" s="11" t="n">
        <f aca="false">'Key Assumptions'!C116</f>
        <v>0.15</v>
      </c>
      <c r="J6" s="11" t="n">
        <f aca="false">'Key Assumptions'!C128</f>
        <v>0.15</v>
      </c>
    </row>
    <row r="7" customFormat="false" ht="15" hidden="false" customHeight="false" outlineLevel="0" collapsed="false">
      <c r="B7" s="6" t="s">
        <v>14</v>
      </c>
      <c r="C7" s="7" t="n">
        <f aca="false">'Key Assumptions'!C87</f>
        <v>7835.3</v>
      </c>
      <c r="D7" s="8" t="n">
        <f aca="false">IF(C15=0,0,C7/C15)</f>
        <v>0.292231090556467</v>
      </c>
      <c r="E7" s="9" t="n">
        <f aca="false">'Key Assumptions'!D87</f>
        <v>1.7</v>
      </c>
      <c r="F7" s="10" t="n">
        <f aca="false">IF('Income Statement'!G24=0,0,C7/'Income Statement'!G24)</f>
        <v>1.38946758988332</v>
      </c>
    </row>
    <row r="8" customFormat="false" ht="15" hidden="false" customHeight="false" outlineLevel="0" collapsed="false">
      <c r="B8" s="6" t="s">
        <v>15</v>
      </c>
      <c r="C8" s="7" t="n">
        <f aca="false">'Key Assumptions'!C88</f>
        <v>7835.3</v>
      </c>
      <c r="D8" s="8" t="n">
        <f aca="false">IF(C15=0,0,C8/C15)</f>
        <v>0.292231090556467</v>
      </c>
      <c r="E8" s="9" t="n">
        <f aca="false">'Key Assumptions'!D88</f>
        <v>1.7</v>
      </c>
      <c r="F8" s="10" t="n">
        <f aca="false">IF('Income Statement'!G24=0,0,C8/'Income Statement'!G24)</f>
        <v>1.38946758988332</v>
      </c>
      <c r="H8" s="3" t="s">
        <v>16</v>
      </c>
      <c r="I8" s="5" t="s">
        <v>17</v>
      </c>
      <c r="J8" s="5" t="s">
        <v>18</v>
      </c>
      <c r="K8" s="5" t="s">
        <v>19</v>
      </c>
    </row>
    <row r="9" customFormat="false" ht="15" hidden="false" customHeight="false" outlineLevel="0" collapsed="false">
      <c r="B9" s="6" t="s">
        <v>20</v>
      </c>
      <c r="C9" s="7" t="n">
        <f aca="false">'Key Assumptions'!C89</f>
        <v>921.8</v>
      </c>
      <c r="D9" s="8" t="n">
        <f aca="false">IF(C15=0,0,C9/C15)</f>
        <v>0.0343801283007609</v>
      </c>
      <c r="E9" s="9" t="n">
        <f aca="false">'Key Assumptions'!D89</f>
        <v>0.2</v>
      </c>
      <c r="F9" s="10" t="n">
        <f aca="false">IF('Income Statement'!G24=0,0,C9/'Income Statement'!G24)</f>
        <v>0.16346677528039</v>
      </c>
      <c r="I9" s="9" t="n">
        <f aca="false">'Key Assumptions'!C131</f>
        <v>4</v>
      </c>
      <c r="J9" s="9" t="n">
        <f aca="false">'Key Assumptions'!C132</f>
        <v>5</v>
      </c>
      <c r="K9" s="9" t="n">
        <f aca="false">'Key Assumptions'!C133</f>
        <v>6</v>
      </c>
    </row>
    <row r="10" customFormat="false" ht="15" hidden="false" customHeight="false" outlineLevel="0" collapsed="false">
      <c r="B10" s="6" t="s">
        <v>21</v>
      </c>
      <c r="C10" s="7" t="n">
        <f aca="false">'Key Assumptions'!C90</f>
        <v>921.8</v>
      </c>
      <c r="D10" s="8" t="n">
        <f aca="false">IF(C15=0,0,C10/C15)</f>
        <v>0.0343801283007609</v>
      </c>
      <c r="E10" s="9" t="n">
        <f aca="false">'Key Assumptions'!D90</f>
        <v>0.2</v>
      </c>
      <c r="F10" s="10" t="n">
        <f aca="false">IF('Income Statement'!G24=0,0,C10/'Income Statement'!G24)</f>
        <v>0.16346677528039</v>
      </c>
    </row>
    <row r="11" customFormat="false" ht="15" hidden="false" customHeight="false" outlineLevel="0" collapsed="false">
      <c r="B11" s="6" t="s">
        <v>22</v>
      </c>
      <c r="C11" s="7" t="n">
        <f aca="false">'Key Assumptions'!C91</f>
        <v>1843.6</v>
      </c>
      <c r="D11" s="8" t="n">
        <f aca="false">IF(C15=0,0,C11/C15)</f>
        <v>0.0687602566015217</v>
      </c>
      <c r="E11" s="9" t="n">
        <f aca="false">'Key Assumptions'!D91</f>
        <v>0.4</v>
      </c>
      <c r="F11" s="10" t="n">
        <f aca="false">IF('Income Statement'!G24=0,0,C11/'Income Statement'!G24)</f>
        <v>0.326933550560781</v>
      </c>
      <c r="H11" s="3" t="s">
        <v>23</v>
      </c>
      <c r="I11" s="5" t="s">
        <v>17</v>
      </c>
      <c r="J11" s="5" t="s">
        <v>18</v>
      </c>
      <c r="K11" s="5" t="s">
        <v>19</v>
      </c>
    </row>
    <row r="12" customFormat="false" ht="15" hidden="false" customHeight="false" outlineLevel="0" collapsed="false">
      <c r="B12" s="6" t="s">
        <v>24</v>
      </c>
      <c r="C12" s="7" t="n">
        <f aca="false">'Key Assumptions'!C92</f>
        <v>4609</v>
      </c>
      <c r="D12" s="8" t="n">
        <f aca="false">IF(C15=0,0,C12/C15)</f>
        <v>0.171900641503804</v>
      </c>
      <c r="E12" s="9" t="n">
        <f aca="false">'Key Assumptions'!D92</f>
        <v>1</v>
      </c>
      <c r="F12" s="10" t="n">
        <f aca="false">IF('Income Statement'!G24=0,0,C12/'Income Statement'!G24)</f>
        <v>0.817333876401951</v>
      </c>
      <c r="H12" s="5" t="s">
        <v>25</v>
      </c>
    </row>
    <row r="13" customFormat="false" ht="15" hidden="false" customHeight="false" outlineLevel="0" collapsed="false">
      <c r="B13" s="6" t="s">
        <v>26</v>
      </c>
      <c r="C13" s="7" t="n">
        <f aca="false">'Key Assumptions'!C93</f>
        <v>460.9</v>
      </c>
      <c r="D13" s="8" t="n">
        <f aca="false">IF(C15=0,0,C13/C15)</f>
        <v>0.0171900641503804</v>
      </c>
      <c r="E13" s="9" t="n">
        <f aca="false">'Key Assumptions'!D93</f>
        <v>0.1</v>
      </c>
      <c r="F13" s="10" t="n">
        <f aca="false">IF('Income Statement'!G24=0,0,C13/'Income Statement'!G24)</f>
        <v>0.0817333876401952</v>
      </c>
      <c r="H13" s="12" t="s">
        <v>27</v>
      </c>
      <c r="I13" s="11" t="n">
        <f aca="false">'Returns Analysis'!C24</f>
        <v>0.172260239706293</v>
      </c>
      <c r="J13" s="11" t="n">
        <f aca="false">'Returns Analysis'!D24</f>
        <v>0.178869046520252</v>
      </c>
      <c r="K13" s="11" t="n">
        <f aca="false">'Returns Analysis'!E24</f>
        <v>0.185317169190533</v>
      </c>
    </row>
    <row r="14" customFormat="false" ht="15" hidden="false" customHeight="false" outlineLevel="0" collapsed="false">
      <c r="B14" s="6" t="s">
        <v>28</v>
      </c>
      <c r="C14" s="7" t="n">
        <f aca="false">'Key Assumptions'!C94</f>
        <v>1462.5</v>
      </c>
      <c r="D14" s="8" t="n">
        <f aca="false">IF(C15=0,0,C14/C15)</f>
        <v>0.0545464717290764</v>
      </c>
      <c r="E14" s="9" t="n">
        <f aca="false">'Key Assumptions'!D94</f>
        <v>0.317313950965501</v>
      </c>
      <c r="F14" s="10" t="n">
        <f aca="false">IF('Income Statement'!G24=0,0,C14/'Income Statement'!G24)</f>
        <v>0.259351441579052</v>
      </c>
      <c r="H14" s="12" t="s">
        <v>29</v>
      </c>
      <c r="I14" s="9" t="n">
        <f aca="false">'Returns Analysis'!C25</f>
        <v>1.94283189023739</v>
      </c>
      <c r="J14" s="9" t="n">
        <f aca="false">'Returns Analysis'!D25</f>
        <v>1.99371065826732</v>
      </c>
      <c r="K14" s="9" t="n">
        <f aca="false">'Returns Analysis'!E25</f>
        <v>2.04458942629726</v>
      </c>
    </row>
    <row r="15" customFormat="false" ht="15" hidden="false" customHeight="false" outlineLevel="0" collapsed="false">
      <c r="B15" s="5" t="s">
        <v>30</v>
      </c>
      <c r="C15" s="13" t="n">
        <f aca="false">SUM(C5:C14)</f>
        <v>26812</v>
      </c>
      <c r="D15" s="14" t="n">
        <f aca="false">SUM(D5:D14)</f>
        <v>1</v>
      </c>
      <c r="E15" s="15" t="n">
        <f aca="false">IF('Key Assumptions'!$F$84=0,0,C15/'Key Assumptions'!$F$84)</f>
        <v>5.8173139509655</v>
      </c>
      <c r="F15" s="15" t="n">
        <f aca="false">IF('Income Statement'!G24=0,0,C15/'Income Statement'!G24)</f>
        <v>4.75468776178979</v>
      </c>
    </row>
    <row r="16" customFormat="false" ht="15" hidden="false" customHeight="false" outlineLevel="0" collapsed="false">
      <c r="H16" s="5" t="s">
        <v>13</v>
      </c>
    </row>
    <row r="17" customFormat="false" ht="15" hidden="false" customHeight="false" outlineLevel="0" collapsed="false">
      <c r="B17" s="3" t="s">
        <v>31</v>
      </c>
      <c r="C17" s="4" t="s">
        <v>3</v>
      </c>
      <c r="D17" s="4" t="s">
        <v>4</v>
      </c>
      <c r="E17" s="4" t="s">
        <v>5</v>
      </c>
      <c r="F17" s="4" t="s">
        <v>6</v>
      </c>
      <c r="H17" s="12" t="s">
        <v>27</v>
      </c>
      <c r="I17" s="11" t="n">
        <f aca="false">'Returns Analysis'!C37</f>
        <v>0.324727137448471</v>
      </c>
      <c r="J17" s="11" t="n">
        <f aca="false">'Returns Analysis'!D37</f>
        <v>0.364405935176794</v>
      </c>
      <c r="K17" s="11" t="n">
        <f aca="false">'Returns Analysis'!E37</f>
        <v>0.399943017372733</v>
      </c>
    </row>
    <row r="18" customFormat="false" ht="15" hidden="false" customHeight="false" outlineLevel="0" collapsed="false">
      <c r="B18" s="6" t="s">
        <v>32</v>
      </c>
      <c r="C18" s="7" t="n">
        <f aca="false">'Key Assumptions'!C98</f>
        <v>16392</v>
      </c>
      <c r="D18" s="8" t="n">
        <f aca="false">IF(C30=0,0,C18/C30)</f>
        <v>0.611368044159332</v>
      </c>
      <c r="E18" s="10" t="n">
        <f aca="false">IF('Key Assumptions'!$F$84=0,0,C18/'Key Assumptions'!$F$84)</f>
        <v>3.55651985246257</v>
      </c>
      <c r="F18" s="10" t="n">
        <f aca="false">IF('Income Statement'!G24=0,0,C18/'Income Statement'!G24)</f>
        <v>2.90686415751373</v>
      </c>
      <c r="H18" s="12" t="s">
        <v>29</v>
      </c>
      <c r="I18" s="9" t="n">
        <f aca="false">'Returns Analysis'!C38</f>
        <v>4.0797369820267</v>
      </c>
      <c r="J18" s="9" t="n">
        <f aca="false">'Returns Analysis'!D38</f>
        <v>4.72844127440838</v>
      </c>
      <c r="K18" s="9" t="n">
        <f aca="false">'Returns Analysis'!E38</f>
        <v>5.37714556679005</v>
      </c>
    </row>
    <row r="19" customFormat="false" ht="15" hidden="false" customHeight="false" outlineLevel="0" collapsed="false">
      <c r="B19" s="6" t="s">
        <v>33</v>
      </c>
      <c r="C19" s="7" t="n">
        <f aca="false">'Key Assumptions'!C99</f>
        <v>2435</v>
      </c>
      <c r="D19" s="8" t="n">
        <f aca="false">IF(C30=0,0,C19/C30)</f>
        <v>0.090817544383112</v>
      </c>
      <c r="E19" s="10" t="n">
        <f aca="false">IF('Key Assumptions'!$F$84=0,0,C19/'Key Assumptions'!$F$84)</f>
        <v>0.528314167932306</v>
      </c>
      <c r="F19" s="10" t="n">
        <f aca="false">IF('Income Statement'!G24=0,0,C19/'Income Statement'!G24)</f>
        <v>0.431809066834184</v>
      </c>
    </row>
    <row r="20" customFormat="false" ht="15" hidden="false" customHeight="false" outlineLevel="0" collapsed="false">
      <c r="B20" s="6" t="s">
        <v>34</v>
      </c>
      <c r="C20" s="7" t="n">
        <f aca="false">'Key Assumptions'!C100</f>
        <v>176</v>
      </c>
      <c r="D20" s="8" t="n">
        <f aca="false">IF(C30=0,0,C20/C30)</f>
        <v>0.00656422497389229</v>
      </c>
      <c r="E20" s="10" t="n">
        <f aca="false">IF('Key Assumptions'!$F$84=0,0,C20/'Key Assumptions'!$F$84)</f>
        <v>0.0381861575178998</v>
      </c>
      <c r="F20" s="10" t="n">
        <f aca="false">IF('Income Statement'!G24=0,0,C20/'Income Statement'!G24)</f>
        <v>0.0312108401490005</v>
      </c>
      <c r="H20" s="5" t="s">
        <v>35</v>
      </c>
    </row>
    <row r="21" customFormat="false" ht="15" hidden="false" customHeight="false" outlineLevel="0" collapsed="false">
      <c r="B21" s="6" t="s">
        <v>36</v>
      </c>
      <c r="C21" s="7" t="n">
        <f aca="false">'Key Assumptions'!C101</f>
        <v>93</v>
      </c>
      <c r="D21" s="8" t="n">
        <f aca="false">IF(C30=0,0,C21/C30)</f>
        <v>0.00346859615097717</v>
      </c>
      <c r="E21" s="10" t="n">
        <f aca="false">IF('Key Assumptions'!$F$84=0,0,C21/'Key Assumptions'!$F$84)</f>
        <v>0.0201779127793448</v>
      </c>
      <c r="F21" s="10" t="n">
        <f aca="false">IF('Income Statement'!G24=0,0,C21/'Income Statement'!G24)</f>
        <v>0.0164920916696423</v>
      </c>
      <c r="H21" s="12" t="s">
        <v>27</v>
      </c>
      <c r="I21" s="11" t="n">
        <f aca="false">'Returns Analysis'!C46</f>
        <v>0.213653884798064</v>
      </c>
      <c r="J21" s="11" t="n">
        <f aca="false">'Returns Analysis'!D46</f>
        <v>0.230937455751259</v>
      </c>
      <c r="K21" s="11" t="n">
        <f aca="false">'Returns Analysis'!E46</f>
        <v>0.247234879198016</v>
      </c>
    </row>
    <row r="22" customFormat="false" ht="15" hidden="false" customHeight="false" outlineLevel="0" collapsed="false">
      <c r="B22" s="6" t="s">
        <v>37</v>
      </c>
      <c r="C22" s="7" t="n">
        <f aca="false">'Key Assumptions'!C102</f>
        <v>886</v>
      </c>
      <c r="D22" s="8" t="n">
        <f aca="false">IF(C30=0,0,C22/C30)</f>
        <v>0.0330449052662987</v>
      </c>
      <c r="E22" s="10" t="n">
        <f aca="false">IF('Key Assumptions'!$F$84=0,0,C22/'Key Assumptions'!$F$84)</f>
        <v>0.192232588413973</v>
      </c>
      <c r="F22" s="10" t="n">
        <f aca="false">IF('Income Statement'!G24=0,0,C22/'Income Statement'!G24)</f>
        <v>0.157118206659173</v>
      </c>
      <c r="H22" s="12" t="s">
        <v>29</v>
      </c>
      <c r="I22" s="9" t="n">
        <f aca="false">'Returns Analysis'!C47</f>
        <v>2.34986143153059</v>
      </c>
      <c r="J22" s="9" t="n">
        <f aca="false">'Returns Analysis'!D47</f>
        <v>2.51461172800848</v>
      </c>
      <c r="K22" s="9" t="n">
        <f aca="false">'Returns Analysis'!E47</f>
        <v>2.67936202448636</v>
      </c>
    </row>
    <row r="23" customFormat="false" ht="15" hidden="false" customHeight="false" outlineLevel="0" collapsed="false">
      <c r="B23" s="6" t="s">
        <v>38</v>
      </c>
      <c r="C23" s="7" t="n">
        <f aca="false">'Key Assumptions'!C103</f>
        <v>2150</v>
      </c>
      <c r="D23" s="8" t="n">
        <f aca="false">IF(C30=0,0,C23/C30)</f>
        <v>0.0801879755333433</v>
      </c>
      <c r="E23" s="10" t="n">
        <f aca="false">IF('Key Assumptions'!$F$84=0,0,C23/'Key Assumptions'!$F$84)</f>
        <v>0.466478628769798</v>
      </c>
      <c r="F23" s="10" t="n">
        <f aca="false">IF('Income Statement'!G24=0,0,C23/'Income Statement'!G24)</f>
        <v>0.381268785911086</v>
      </c>
    </row>
    <row r="24" customFormat="false" ht="15" hidden="false" customHeight="false" outlineLevel="0" collapsed="false">
      <c r="B24" s="6" t="s">
        <v>39</v>
      </c>
      <c r="C24" s="7" t="n">
        <f aca="false">'Key Assumptions'!C104</f>
        <v>1861</v>
      </c>
      <c r="D24" s="8" t="n">
        <f aca="false">IF(C30=0,0,C24/C30)</f>
        <v>0.0694092197523497</v>
      </c>
      <c r="E24" s="10" t="n">
        <f aca="false">IF('Key Assumptions'!$F$84=0,0,C24/'Key Assumptions'!$F$84)</f>
        <v>0.403775222390974</v>
      </c>
      <c r="F24" s="10" t="n">
        <f aca="false">IF('Income Statement'!G24=0,0,C24/'Income Statement'!G24)</f>
        <v>0.330019167711875</v>
      </c>
    </row>
    <row r="25" customFormat="false" ht="15" hidden="false" customHeight="false" outlineLevel="0" collapsed="false">
      <c r="B25" s="6" t="s">
        <v>20</v>
      </c>
      <c r="C25" s="7" t="n">
        <f aca="false">'Key Assumptions'!C105</f>
        <v>1000</v>
      </c>
      <c r="D25" s="8" t="n">
        <f aca="false">IF(C30=0,0,C25/C30)</f>
        <v>0.0372967328062062</v>
      </c>
      <c r="E25" s="10" t="n">
        <f aca="false">IF('Key Assumptions'!$F$84=0,0,C25/'Key Assumptions'!$F$84)</f>
        <v>0.216966804078976</v>
      </c>
      <c r="F25" s="10" t="n">
        <f aca="false">IF('Income Statement'!G24=0,0,C25/'Income Statement'!G24)</f>
        <v>0.177334319028412</v>
      </c>
    </row>
    <row r="26" customFormat="false" ht="15" hidden="false" customHeight="false" outlineLevel="0" collapsed="false">
      <c r="B26" s="6" t="s">
        <v>40</v>
      </c>
      <c r="C26" s="7" t="n">
        <f aca="false">'Key Assumptions'!C106</f>
        <v>939</v>
      </c>
      <c r="D26" s="8" t="n">
        <f aca="false">IF(C30=0,0,C26/C30)</f>
        <v>0.0350216321050276</v>
      </c>
      <c r="E26" s="10" t="n">
        <f aca="false">IF('Key Assumptions'!$F$84=0,0,C26/'Key Assumptions'!$F$84)</f>
        <v>0.203731829030158</v>
      </c>
      <c r="F26" s="10" t="n">
        <f aca="false">IF('Income Statement'!G24=0,0,C26/'Income Statement'!G24)</f>
        <v>0.166516925567679</v>
      </c>
    </row>
    <row r="27" customFormat="false" ht="15" hidden="false" customHeight="false" outlineLevel="0" collapsed="false">
      <c r="B27" s="6"/>
    </row>
    <row r="28" customFormat="false" ht="15" hidden="false" customHeight="false" outlineLevel="0" collapsed="false">
      <c r="B28" s="6" t="s">
        <v>41</v>
      </c>
      <c r="C28" s="7" t="n">
        <f aca="false">'Key Assumptions'!C107</f>
        <v>280</v>
      </c>
      <c r="D28" s="8" t="n">
        <f aca="false">IF(C30=0,0,C28/C30)</f>
        <v>0.0104430851857377</v>
      </c>
      <c r="E28" s="10" t="n">
        <f aca="false">IF('Key Assumptions'!$F$84=0,0,C28/'Key Assumptions'!$F$84)</f>
        <v>0.0607507051421133</v>
      </c>
      <c r="F28" s="10" t="n">
        <f aca="false">IF('Income Statement'!G24=0,0,C28/'Income Statement'!G24)</f>
        <v>0.0496536093279554</v>
      </c>
    </row>
    <row r="29" customFormat="false" ht="15" hidden="false" customHeight="false" outlineLevel="0" collapsed="false">
      <c r="B29" s="6" t="s">
        <v>42</v>
      </c>
      <c r="C29" s="7" t="n">
        <f aca="false">'Key Assumptions'!C108</f>
        <v>600</v>
      </c>
      <c r="D29" s="8" t="n">
        <f aca="false">IF(C30=0,0,C29/C30)</f>
        <v>0.0223780396837237</v>
      </c>
      <c r="E29" s="10" t="n">
        <f aca="false">IF('Key Assumptions'!$F$84=0,0,C29/'Key Assumptions'!$F$84)</f>
        <v>0.130180082447386</v>
      </c>
      <c r="F29" s="10" t="n">
        <f aca="false">IF('Income Statement'!G24=0,0,C29/'Income Statement'!G24)</f>
        <v>0.106400591417047</v>
      </c>
    </row>
    <row r="30" customFormat="false" ht="15" hidden="false" customHeight="false" outlineLevel="0" collapsed="false">
      <c r="B30" s="5" t="s">
        <v>30</v>
      </c>
      <c r="C30" s="13" t="n">
        <f aca="false">SUM(C18:C26)+C28+C29</f>
        <v>26812</v>
      </c>
      <c r="D30" s="14" t="n">
        <f aca="false">SUM(D18:D29)</f>
        <v>1</v>
      </c>
      <c r="E30" s="15" t="n">
        <f aca="false">IF('Key Assumptions'!$F$84=0,0,C30/'Key Assumptions'!$F$84)</f>
        <v>5.8173139509655</v>
      </c>
      <c r="F30" s="15" t="n">
        <f aca="false">IF('Income Statement'!G24=0,0,C30/'Income Statement'!G24)</f>
        <v>4.75468776178979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11" min="3" style="0" width="14"/>
  </cols>
  <sheetData>
    <row r="1" customFormat="false" ht="17.35" hidden="false" customHeight="false" outlineLevel="0" collapsed="false">
      <c r="B1" s="1" t="s">
        <v>43</v>
      </c>
    </row>
    <row r="2" customFormat="false" ht="15" hidden="false" customHeight="false" outlineLevel="0" collapsed="false">
      <c r="B2" s="2" t="s">
        <v>44</v>
      </c>
    </row>
    <row r="10" customFormat="false" ht="15" hidden="false" customHeight="false" outlineLevel="0" collapsed="false">
      <c r="B10" s="3" t="s">
        <v>45</v>
      </c>
    </row>
    <row r="11" customFormat="false" ht="15" hidden="false" customHeight="false" outlineLevel="0" collapsed="false">
      <c r="C11" s="4" t="s">
        <v>46</v>
      </c>
      <c r="D11" s="4" t="s">
        <v>47</v>
      </c>
      <c r="E11" s="4" t="s">
        <v>48</v>
      </c>
      <c r="F11" s="4" t="s">
        <v>49</v>
      </c>
      <c r="G11" s="4" t="s">
        <v>50</v>
      </c>
      <c r="H11" s="4" t="s">
        <v>51</v>
      </c>
      <c r="I11" s="4" t="s">
        <v>52</v>
      </c>
      <c r="J11" s="4" t="s">
        <v>53</v>
      </c>
      <c r="K11" s="4" t="s">
        <v>54</v>
      </c>
    </row>
    <row r="12" customFormat="false" ht="15" hidden="false" customHeight="false" outlineLevel="0" collapsed="false">
      <c r="B12" s="5" t="s">
        <v>55</v>
      </c>
      <c r="C12" s="16" t="n">
        <v>9535</v>
      </c>
      <c r="D12" s="16" t="n">
        <v>15767</v>
      </c>
      <c r="E12" s="16" t="n">
        <v>19665</v>
      </c>
      <c r="F12" s="16" t="n">
        <v>16610</v>
      </c>
    </row>
    <row r="13" customFormat="false" ht="15" hidden="false" customHeight="false" outlineLevel="0" collapsed="false">
      <c r="B13" s="12" t="s">
        <v>56</v>
      </c>
      <c r="G13" s="17" t="n">
        <v>0.06</v>
      </c>
      <c r="H13" s="17" t="n">
        <v>0.06</v>
      </c>
      <c r="I13" s="17" t="n">
        <v>0.06</v>
      </c>
      <c r="J13" s="17" t="n">
        <v>0.06</v>
      </c>
      <c r="K13" s="17" t="n">
        <v>0.06</v>
      </c>
    </row>
    <row r="14" customFormat="false" ht="15" hidden="false" customHeight="false" outlineLevel="0" collapsed="false">
      <c r="B14" s="5" t="s">
        <v>57</v>
      </c>
      <c r="C14" s="16" t="n">
        <v>4767</v>
      </c>
      <c r="D14" s="16" t="n">
        <v>8044</v>
      </c>
      <c r="E14" s="16" t="n">
        <v>10034</v>
      </c>
      <c r="F14" s="16" t="n">
        <v>8651</v>
      </c>
    </row>
    <row r="15" customFormat="false" ht="15" hidden="false" customHeight="false" outlineLevel="0" collapsed="false">
      <c r="B15" s="12" t="s">
        <v>56</v>
      </c>
      <c r="G15" s="17" t="n">
        <v>0.04</v>
      </c>
      <c r="H15" s="17" t="n">
        <v>0.04</v>
      </c>
      <c r="I15" s="17" t="n">
        <v>0.04</v>
      </c>
      <c r="J15" s="17" t="n">
        <v>0.04</v>
      </c>
      <c r="K15" s="17" t="n">
        <v>0.04</v>
      </c>
    </row>
    <row r="16" customFormat="false" ht="15" hidden="false" customHeight="false" outlineLevel="0" collapsed="false">
      <c r="B16" s="5" t="s">
        <v>58</v>
      </c>
      <c r="C16" s="16" t="n">
        <v>4767</v>
      </c>
      <c r="D16" s="16" t="n">
        <v>8366</v>
      </c>
      <c r="E16" s="16" t="n">
        <v>10436</v>
      </c>
      <c r="F16" s="16" t="n">
        <v>9343</v>
      </c>
    </row>
    <row r="17" customFormat="false" ht="15" hidden="false" customHeight="false" outlineLevel="0" collapsed="false">
      <c r="B17" s="12" t="s">
        <v>56</v>
      </c>
      <c r="G17" s="17" t="n">
        <v>0.04</v>
      </c>
      <c r="H17" s="17" t="n">
        <v>0.04</v>
      </c>
      <c r="I17" s="17" t="n">
        <v>0.04</v>
      </c>
      <c r="J17" s="17" t="n">
        <v>0.04</v>
      </c>
      <c r="K17" s="17" t="n">
        <v>0.04</v>
      </c>
    </row>
    <row r="19" customFormat="false" ht="15" hidden="false" customHeight="false" outlineLevel="0" collapsed="false">
      <c r="B19" s="3" t="s">
        <v>59</v>
      </c>
    </row>
    <row r="20" customFormat="false" ht="15" hidden="false" customHeight="false" outlineLevel="0" collapsed="false">
      <c r="B20" s="6" t="s">
        <v>60</v>
      </c>
      <c r="C20" s="17" t="n">
        <v>0.455</v>
      </c>
      <c r="D20" s="17" t="n">
        <v>0.45</v>
      </c>
      <c r="E20" s="17" t="n">
        <v>0.47</v>
      </c>
      <c r="F20" s="17" t="n">
        <v>0.47</v>
      </c>
      <c r="G20" s="17" t="n">
        <v>0.48</v>
      </c>
      <c r="H20" s="17" t="n">
        <v>0.483</v>
      </c>
      <c r="I20" s="17" t="n">
        <v>0.486</v>
      </c>
      <c r="J20" s="17" t="n">
        <v>0.489</v>
      </c>
      <c r="K20" s="17" t="n">
        <v>0.492</v>
      </c>
    </row>
    <row r="21" customFormat="false" ht="15" hidden="false" customHeight="false" outlineLevel="0" collapsed="false">
      <c r="B21" s="6" t="s">
        <v>61</v>
      </c>
      <c r="C21" s="17" t="n">
        <v>0.51</v>
      </c>
      <c r="D21" s="17" t="n">
        <v>0.505</v>
      </c>
      <c r="E21" s="17" t="n">
        <v>0.51</v>
      </c>
      <c r="F21" s="17" t="n">
        <v>0.515</v>
      </c>
      <c r="G21" s="17" t="n">
        <v>0.52</v>
      </c>
      <c r="H21" s="17" t="n">
        <v>0.522</v>
      </c>
      <c r="I21" s="17" t="n">
        <v>0.524</v>
      </c>
      <c r="J21" s="17" t="n">
        <v>0.526</v>
      </c>
      <c r="K21" s="17" t="n">
        <v>0.528</v>
      </c>
    </row>
    <row r="22" customFormat="false" ht="15" hidden="false" customHeight="false" outlineLevel="0" collapsed="false">
      <c r="B22" s="6" t="s">
        <v>62</v>
      </c>
      <c r="C22" s="17" t="n">
        <v>0.48</v>
      </c>
      <c r="D22" s="17" t="n">
        <v>0.475</v>
      </c>
      <c r="E22" s="17" t="n">
        <v>0.49</v>
      </c>
      <c r="F22" s="17" t="n">
        <v>0.5</v>
      </c>
      <c r="G22" s="17" t="n">
        <v>0.5</v>
      </c>
      <c r="H22" s="17" t="n">
        <v>0.502</v>
      </c>
      <c r="I22" s="17" t="n">
        <v>0.504</v>
      </c>
      <c r="J22" s="17" t="n">
        <v>0.506</v>
      </c>
      <c r="K22" s="17" t="n">
        <v>0.508</v>
      </c>
    </row>
    <row r="24" customFormat="false" ht="15" hidden="false" customHeight="false" outlineLevel="0" collapsed="false">
      <c r="B24" s="3" t="s">
        <v>63</v>
      </c>
    </row>
    <row r="25" customFormat="false" ht="15" hidden="false" customHeight="false" outlineLevel="0" collapsed="false">
      <c r="B25" s="6" t="s">
        <v>64</v>
      </c>
      <c r="C25" s="17" t="n">
        <v>0.22</v>
      </c>
      <c r="D25" s="17" t="n">
        <v>0.218</v>
      </c>
      <c r="E25" s="17" t="n">
        <v>0.222</v>
      </c>
      <c r="F25" s="17" t="n">
        <v>0.24</v>
      </c>
      <c r="G25" s="17" t="n">
        <v>0.215</v>
      </c>
      <c r="H25" s="17" t="n">
        <v>0.212</v>
      </c>
      <c r="I25" s="17" t="n">
        <v>0.209</v>
      </c>
      <c r="J25" s="17" t="n">
        <v>0.206</v>
      </c>
      <c r="K25" s="17" t="n">
        <v>0.203</v>
      </c>
    </row>
    <row r="26" customFormat="false" ht="15" hidden="false" customHeight="false" outlineLevel="0" collapsed="false">
      <c r="B26" s="6" t="s">
        <v>65</v>
      </c>
      <c r="C26" s="17" t="n">
        <v>0.04</v>
      </c>
      <c r="D26" s="17" t="n">
        <v>0.038</v>
      </c>
      <c r="E26" s="17" t="n">
        <v>0.037</v>
      </c>
      <c r="F26" s="17" t="n">
        <v>0.042</v>
      </c>
      <c r="G26" s="17" t="n">
        <v>0.038</v>
      </c>
      <c r="H26" s="17" t="n">
        <v>0.038</v>
      </c>
      <c r="I26" s="17" t="n">
        <v>0.038</v>
      </c>
      <c r="J26" s="17" t="n">
        <v>0.038</v>
      </c>
      <c r="K26" s="17" t="n">
        <v>0.038</v>
      </c>
    </row>
    <row r="27" customFormat="false" ht="15" hidden="false" customHeight="false" outlineLevel="0" collapsed="false">
      <c r="B27" s="6" t="s">
        <v>66</v>
      </c>
      <c r="C27" s="17" t="n">
        <v>0.03</v>
      </c>
      <c r="D27" s="17" t="n">
        <v>0.032</v>
      </c>
      <c r="E27" s="17" t="n">
        <v>0.031</v>
      </c>
      <c r="F27" s="17" t="n">
        <v>0.035</v>
      </c>
      <c r="G27" s="17" t="n">
        <v>0.03</v>
      </c>
      <c r="H27" s="17" t="n">
        <v>0.03</v>
      </c>
      <c r="I27" s="17" t="n">
        <v>0.03</v>
      </c>
      <c r="J27" s="17" t="n">
        <v>0.03</v>
      </c>
      <c r="K27" s="17" t="n">
        <v>0.03</v>
      </c>
    </row>
    <row r="28" customFormat="false" ht="15" hidden="false" customHeight="false" outlineLevel="0" collapsed="false">
      <c r="B28" s="6" t="s">
        <v>67</v>
      </c>
      <c r="C28" s="17" t="n">
        <v>0.025</v>
      </c>
      <c r="D28" s="17" t="n">
        <v>0.027</v>
      </c>
      <c r="E28" s="17" t="n">
        <v>0.028</v>
      </c>
      <c r="F28" s="17" t="n">
        <v>0.03</v>
      </c>
      <c r="G28" s="17" t="n">
        <v>0.025</v>
      </c>
      <c r="H28" s="17" t="n">
        <v>0.025</v>
      </c>
      <c r="I28" s="17" t="n">
        <v>0.025</v>
      </c>
      <c r="J28" s="17" t="n">
        <v>0.025</v>
      </c>
      <c r="K28" s="17" t="n">
        <v>0.025</v>
      </c>
    </row>
    <row r="29" customFormat="false" ht="15" hidden="false" customHeight="false" outlineLevel="0" collapsed="false">
      <c r="B29" s="6" t="s">
        <v>68</v>
      </c>
      <c r="C29" s="17" t="n">
        <v>0.06</v>
      </c>
      <c r="D29" s="17" t="n">
        <v>0.058</v>
      </c>
      <c r="E29" s="17" t="n">
        <v>0.052</v>
      </c>
      <c r="F29" s="17" t="n">
        <v>0.06</v>
      </c>
      <c r="G29" s="17" t="n">
        <v>0.032</v>
      </c>
      <c r="H29" s="17" t="n">
        <v>0.031</v>
      </c>
      <c r="I29" s="17" t="n">
        <v>0.03</v>
      </c>
      <c r="J29" s="17" t="n">
        <v>0.029</v>
      </c>
      <c r="K29" s="17" t="n">
        <v>0.028</v>
      </c>
    </row>
    <row r="31" customFormat="false" ht="15" hidden="false" customHeight="false" outlineLevel="0" collapsed="false">
      <c r="B31" s="3" t="s">
        <v>69</v>
      </c>
    </row>
    <row r="32" customFormat="false" ht="15" hidden="false" customHeight="false" outlineLevel="0" collapsed="false">
      <c r="B32" s="6" t="s">
        <v>70</v>
      </c>
      <c r="C32" s="16" t="n">
        <v>800</v>
      </c>
      <c r="D32" s="16" t="n">
        <v>950</v>
      </c>
      <c r="E32" s="16" t="n">
        <v>1100</v>
      </c>
      <c r="F32" s="16" t="n">
        <v>1200</v>
      </c>
      <c r="G32" s="16" t="n">
        <v>1300</v>
      </c>
      <c r="H32" s="16" t="n">
        <v>1400</v>
      </c>
      <c r="I32" s="16" t="n">
        <v>1500</v>
      </c>
      <c r="J32" s="16" t="n">
        <v>1600</v>
      </c>
      <c r="K32" s="16" t="n">
        <v>1700</v>
      </c>
    </row>
    <row r="33" customFormat="false" ht="15" hidden="false" customHeight="false" outlineLevel="0" collapsed="false">
      <c r="B33" s="6" t="s">
        <v>71</v>
      </c>
      <c r="G33" s="16" t="n">
        <v>800</v>
      </c>
      <c r="H33" s="16" t="n">
        <v>850</v>
      </c>
      <c r="I33" s="16" t="n">
        <v>900</v>
      </c>
      <c r="J33" s="16" t="n">
        <v>950</v>
      </c>
      <c r="K33" s="16" t="n">
        <v>1000</v>
      </c>
    </row>
    <row r="34" customFormat="false" ht="15" hidden="false" customHeight="false" outlineLevel="0" collapsed="false">
      <c r="B34" s="6" t="s">
        <v>72</v>
      </c>
      <c r="G34" s="16" t="n">
        <v>700</v>
      </c>
      <c r="H34" s="16" t="n">
        <v>750</v>
      </c>
      <c r="I34" s="16" t="n">
        <v>800</v>
      </c>
      <c r="J34" s="16" t="n">
        <v>850</v>
      </c>
      <c r="K34" s="16" t="n">
        <v>900</v>
      </c>
    </row>
    <row r="35" customFormat="false" ht="15" hidden="false" customHeight="false" outlineLevel="0" collapsed="false">
      <c r="B35" s="5" t="s">
        <v>73</v>
      </c>
      <c r="G35" s="18" t="n">
        <f aca="false">G33+G34</f>
        <v>1500</v>
      </c>
      <c r="H35" s="18" t="n">
        <f aca="false">H33+H34</f>
        <v>1600</v>
      </c>
      <c r="I35" s="18" t="n">
        <f aca="false">I33+I34</f>
        <v>1700</v>
      </c>
      <c r="J35" s="18" t="n">
        <f aca="false">J33+J34</f>
        <v>1800</v>
      </c>
      <c r="K35" s="18" t="n">
        <f aca="false">K33+K34</f>
        <v>1900</v>
      </c>
    </row>
    <row r="37" customFormat="false" ht="15" hidden="false" customHeight="false" outlineLevel="0" collapsed="false">
      <c r="B37" s="3" t="s">
        <v>74</v>
      </c>
    </row>
    <row r="38" customFormat="false" ht="15" hidden="false" customHeight="false" outlineLevel="0" collapsed="false">
      <c r="B38" s="6" t="s">
        <v>75</v>
      </c>
      <c r="C38" s="19" t="n">
        <v>55</v>
      </c>
      <c r="D38" s="19" t="n">
        <v>54</v>
      </c>
      <c r="E38" s="19" t="n">
        <v>53.5</v>
      </c>
      <c r="F38" s="19" t="n">
        <v>57.3</v>
      </c>
      <c r="G38" s="19" t="n">
        <v>57.3</v>
      </c>
      <c r="H38" s="19" t="n">
        <v>56.2</v>
      </c>
      <c r="I38" s="19" t="n">
        <v>55.1</v>
      </c>
      <c r="J38" s="19" t="n">
        <v>54</v>
      </c>
      <c r="K38" s="19" t="n">
        <v>52.9</v>
      </c>
    </row>
    <row r="39" customFormat="false" ht="15" hidden="false" customHeight="false" outlineLevel="0" collapsed="false">
      <c r="B39" s="6" t="s">
        <v>76</v>
      </c>
      <c r="C39" s="19" t="n">
        <v>7</v>
      </c>
      <c r="D39" s="19" t="n">
        <v>7.2</v>
      </c>
      <c r="E39" s="19" t="n">
        <v>7.3</v>
      </c>
      <c r="F39" s="19" t="n">
        <v>7.3</v>
      </c>
      <c r="G39" s="19" t="n">
        <v>7.3</v>
      </c>
      <c r="H39" s="19" t="n">
        <v>7.4</v>
      </c>
      <c r="I39" s="19" t="n">
        <v>7.5</v>
      </c>
      <c r="J39" s="19" t="n">
        <v>7.6</v>
      </c>
      <c r="K39" s="19" t="n">
        <v>7.7</v>
      </c>
    </row>
    <row r="40" customFormat="false" ht="15" hidden="false" customHeight="false" outlineLevel="0" collapsed="false">
      <c r="B40" s="6" t="s">
        <v>77</v>
      </c>
      <c r="C40" s="19" t="n">
        <v>55</v>
      </c>
      <c r="D40" s="19" t="n">
        <v>56</v>
      </c>
      <c r="E40" s="19" t="n">
        <v>57.5</v>
      </c>
      <c r="F40" s="19" t="n">
        <v>57.2</v>
      </c>
      <c r="G40" s="19" t="n">
        <v>57.2</v>
      </c>
      <c r="H40" s="19" t="n">
        <v>57.7</v>
      </c>
      <c r="I40" s="19" t="n">
        <v>58.2</v>
      </c>
      <c r="J40" s="19" t="n">
        <v>58.7</v>
      </c>
      <c r="K40" s="19" t="n">
        <v>59.2</v>
      </c>
    </row>
    <row r="41" customFormat="false" ht="15" hidden="false" customHeight="false" outlineLevel="0" collapsed="false">
      <c r="B41" s="6" t="s">
        <v>78</v>
      </c>
      <c r="C41" s="17" t="n">
        <v>0.04</v>
      </c>
      <c r="D41" s="17" t="n">
        <v>0.04</v>
      </c>
      <c r="E41" s="17" t="n">
        <v>0.04</v>
      </c>
      <c r="F41" s="17" t="n">
        <v>0.04</v>
      </c>
      <c r="G41" s="17" t="n">
        <v>0.04</v>
      </c>
      <c r="H41" s="17" t="n">
        <v>0.04</v>
      </c>
      <c r="I41" s="17" t="n">
        <v>0.04</v>
      </c>
      <c r="J41" s="17" t="n">
        <v>0.04</v>
      </c>
      <c r="K41" s="17" t="n">
        <v>0.04</v>
      </c>
    </row>
    <row r="42" customFormat="false" ht="15" hidden="false" customHeight="false" outlineLevel="0" collapsed="false">
      <c r="B42" s="6" t="s">
        <v>79</v>
      </c>
      <c r="G42" s="16" t="n">
        <v>200</v>
      </c>
      <c r="H42" s="16" t="n">
        <v>200</v>
      </c>
      <c r="I42" s="16" t="n">
        <v>200</v>
      </c>
      <c r="J42" s="16" t="n">
        <v>200</v>
      </c>
      <c r="K42" s="16" t="n">
        <v>200</v>
      </c>
    </row>
    <row r="43" customFormat="false" ht="15" hidden="false" customHeight="false" outlineLevel="0" collapsed="false">
      <c r="B43" s="6" t="s">
        <v>80</v>
      </c>
      <c r="G43" s="16" t="n">
        <v>150</v>
      </c>
      <c r="H43" s="16" t="n">
        <v>150</v>
      </c>
      <c r="I43" s="16" t="n">
        <v>150</v>
      </c>
      <c r="J43" s="16" t="n">
        <v>150</v>
      </c>
      <c r="K43" s="16" t="n">
        <v>150</v>
      </c>
    </row>
    <row r="45" customFormat="false" ht="15" hidden="false" customHeight="false" outlineLevel="0" collapsed="false">
      <c r="B45" s="3" t="s">
        <v>81</v>
      </c>
    </row>
    <row r="46" customFormat="false" ht="15" hidden="false" customHeight="false" outlineLevel="0" collapsed="false">
      <c r="B46" s="12" t="s">
        <v>82</v>
      </c>
      <c r="C46" s="8" t="n">
        <f aca="false">SUM(C25:C29)</f>
        <v>0.375</v>
      </c>
      <c r="D46" s="8" t="n">
        <f aca="false">SUM(D25:D29)</f>
        <v>0.373</v>
      </c>
      <c r="E46" s="8" t="n">
        <f aca="false">SUM(E25:E29)</f>
        <v>0.37</v>
      </c>
      <c r="F46" s="8" t="n">
        <f aca="false">SUM(F25:F29)</f>
        <v>0.407</v>
      </c>
      <c r="G46" s="8" t="n">
        <f aca="false">SUM(G25:G29)</f>
        <v>0.34</v>
      </c>
      <c r="H46" s="8" t="n">
        <f aca="false">SUM(H25:H29)</f>
        <v>0.336</v>
      </c>
      <c r="I46" s="8" t="n">
        <f aca="false">SUM(I25:I29)</f>
        <v>0.332</v>
      </c>
      <c r="J46" s="8" t="n">
        <f aca="false">SUM(J25:J29)</f>
        <v>0.328</v>
      </c>
      <c r="K46" s="8" t="n">
        <f aca="false">SUM(K25:K29)</f>
        <v>0.324</v>
      </c>
    </row>
    <row r="48" customFormat="false" ht="15" hidden="false" customHeight="false" outlineLevel="0" collapsed="false">
      <c r="B48" s="3" t="s">
        <v>83</v>
      </c>
    </row>
    <row r="49" customFormat="false" ht="15" hidden="false" customHeight="false" outlineLevel="0" collapsed="false">
      <c r="B49" s="12" t="s">
        <v>84</v>
      </c>
      <c r="G49" s="10" t="n">
        <f aca="false">IF(G32=0,0,G35/G32)</f>
        <v>1.15384615384615</v>
      </c>
      <c r="H49" s="10" t="n">
        <f aca="false">IF(H32=0,0,H35/H32)</f>
        <v>1.14285714285714</v>
      </c>
      <c r="I49" s="10" t="n">
        <f aca="false">IF(I32=0,0,I35/I32)</f>
        <v>1.13333333333333</v>
      </c>
      <c r="J49" s="10" t="n">
        <f aca="false">IF(J32=0,0,J35/J32)</f>
        <v>1.125</v>
      </c>
      <c r="K49" s="10" t="n">
        <f aca="false">IF(K32=0,0,K35/K32)</f>
        <v>1.11764705882353</v>
      </c>
    </row>
    <row r="78" customFormat="false" ht="15" hidden="false" customHeight="false" outlineLevel="0" collapsed="false">
      <c r="B78" s="3" t="s">
        <v>85</v>
      </c>
    </row>
    <row r="79" customFormat="false" ht="15" hidden="false" customHeight="false" outlineLevel="0" collapsed="false">
      <c r="B79" s="6" t="s">
        <v>86</v>
      </c>
      <c r="C79" s="20" t="s">
        <v>87</v>
      </c>
    </row>
    <row r="80" customFormat="false" ht="15" hidden="false" customHeight="false" outlineLevel="0" collapsed="false">
      <c r="B80" s="6" t="s">
        <v>88</v>
      </c>
      <c r="C80" s="20" t="s">
        <v>89</v>
      </c>
    </row>
    <row r="81" customFormat="false" ht="15" hidden="false" customHeight="false" outlineLevel="0" collapsed="false">
      <c r="B81" s="6" t="s">
        <v>90</v>
      </c>
      <c r="C81" s="20" t="s">
        <v>91</v>
      </c>
    </row>
    <row r="82" customFormat="false" ht="15" hidden="false" customHeight="false" outlineLevel="0" collapsed="false">
      <c r="B82" s="6" t="s">
        <v>92</v>
      </c>
      <c r="C82" s="20" t="s">
        <v>93</v>
      </c>
    </row>
    <row r="84" customFormat="false" ht="15" hidden="false" customHeight="false" outlineLevel="0" collapsed="false">
      <c r="B84" s="3" t="s">
        <v>94</v>
      </c>
      <c r="D84" s="5" t="s">
        <v>5</v>
      </c>
      <c r="E84" s="5" t="s">
        <v>95</v>
      </c>
      <c r="F84" s="21" t="n">
        <v>4609</v>
      </c>
    </row>
    <row r="85" customFormat="false" ht="15" hidden="false" customHeight="false" outlineLevel="0" collapsed="false">
      <c r="B85" s="6" t="s">
        <v>10</v>
      </c>
      <c r="C85" s="22" t="n">
        <f aca="false">D85*$F$84</f>
        <v>921.8</v>
      </c>
      <c r="D85" s="23" t="n">
        <v>0.2</v>
      </c>
    </row>
    <row r="86" customFormat="false" ht="15" hidden="false" customHeight="false" outlineLevel="0" collapsed="false">
      <c r="B86" s="6" t="s">
        <v>12</v>
      </c>
      <c r="C86" s="22" t="n">
        <f aca="false">D86*$F$84</f>
        <v>0</v>
      </c>
      <c r="D86" s="23" t="n">
        <v>0</v>
      </c>
    </row>
    <row r="87" customFormat="false" ht="15" hidden="false" customHeight="false" outlineLevel="0" collapsed="false">
      <c r="B87" s="6" t="s">
        <v>14</v>
      </c>
      <c r="C87" s="22" t="n">
        <f aca="false">D87*$F$84</f>
        <v>7835.3</v>
      </c>
      <c r="D87" s="23" t="n">
        <v>1.7</v>
      </c>
    </row>
    <row r="88" customFormat="false" ht="15" hidden="false" customHeight="false" outlineLevel="0" collapsed="false">
      <c r="B88" s="6" t="s">
        <v>15</v>
      </c>
      <c r="C88" s="22" t="n">
        <f aca="false">D88*$F$84</f>
        <v>7835.3</v>
      </c>
      <c r="D88" s="23" t="n">
        <v>1.7</v>
      </c>
    </row>
    <row r="89" customFormat="false" ht="15" hidden="false" customHeight="false" outlineLevel="0" collapsed="false">
      <c r="B89" s="6" t="s">
        <v>20</v>
      </c>
      <c r="C89" s="22" t="n">
        <f aca="false">D89*$F$84</f>
        <v>921.8</v>
      </c>
      <c r="D89" s="23" t="n">
        <v>0.2</v>
      </c>
    </row>
    <row r="90" customFormat="false" ht="15" hidden="false" customHeight="false" outlineLevel="0" collapsed="false">
      <c r="B90" s="6" t="s">
        <v>21</v>
      </c>
      <c r="C90" s="22" t="n">
        <f aca="false">D90*$F$84</f>
        <v>921.8</v>
      </c>
      <c r="D90" s="23" t="n">
        <v>0.2</v>
      </c>
    </row>
    <row r="91" customFormat="false" ht="15" hidden="false" customHeight="false" outlineLevel="0" collapsed="false">
      <c r="B91" s="6" t="s">
        <v>22</v>
      </c>
      <c r="C91" s="22" t="n">
        <f aca="false">D91*$F$84</f>
        <v>1843.6</v>
      </c>
      <c r="D91" s="23" t="n">
        <v>0.4</v>
      </c>
    </row>
    <row r="92" customFormat="false" ht="15" hidden="false" customHeight="false" outlineLevel="0" collapsed="false">
      <c r="B92" s="6" t="s">
        <v>24</v>
      </c>
      <c r="C92" s="22" t="n">
        <f aca="false">D92*$F$84</f>
        <v>4609</v>
      </c>
      <c r="D92" s="23" t="n">
        <v>1</v>
      </c>
    </row>
    <row r="93" customFormat="false" ht="15" hidden="false" customHeight="false" outlineLevel="0" collapsed="false">
      <c r="B93" s="6" t="s">
        <v>26</v>
      </c>
      <c r="C93" s="22" t="n">
        <f aca="false">D93*$F$84</f>
        <v>460.9</v>
      </c>
      <c r="D93" s="23" t="n">
        <v>0.1</v>
      </c>
    </row>
    <row r="94" customFormat="false" ht="15" hidden="false" customHeight="false" outlineLevel="0" collapsed="false">
      <c r="B94" s="5" t="s">
        <v>28</v>
      </c>
      <c r="C94" s="24" t="n">
        <f aca="false">C109-SUM(C85:C93)</f>
        <v>1462.5</v>
      </c>
      <c r="D94" s="10" t="n">
        <f aca="false">IF($F$84=0,0,C94/$F$84)</f>
        <v>0.317313950965501</v>
      </c>
    </row>
    <row r="95" customFormat="false" ht="15" hidden="false" customHeight="false" outlineLevel="0" collapsed="false">
      <c r="B95" s="5" t="s">
        <v>96</v>
      </c>
      <c r="C95" s="13" t="n">
        <f aca="false">SUM(C85:C94)</f>
        <v>26812</v>
      </c>
      <c r="D95" s="15" t="n">
        <f aca="false">IF($F$84=0,0,C95/$F$84)</f>
        <v>5.8173139509655</v>
      </c>
    </row>
    <row r="97" customFormat="false" ht="15" hidden="false" customHeight="false" outlineLevel="0" collapsed="false">
      <c r="B97" s="3" t="s">
        <v>97</v>
      </c>
    </row>
    <row r="98" customFormat="false" ht="15" hidden="false" customHeight="false" outlineLevel="0" collapsed="false">
      <c r="B98" s="6" t="s">
        <v>32</v>
      </c>
      <c r="C98" s="16" t="n">
        <v>16392</v>
      </c>
    </row>
    <row r="99" customFormat="false" ht="15" hidden="false" customHeight="false" outlineLevel="0" collapsed="false">
      <c r="B99" s="6" t="s">
        <v>33</v>
      </c>
      <c r="C99" s="16" t="n">
        <v>2435</v>
      </c>
    </row>
    <row r="100" customFormat="false" ht="15" hidden="false" customHeight="false" outlineLevel="0" collapsed="false">
      <c r="B100" s="6" t="s">
        <v>34</v>
      </c>
      <c r="C100" s="16" t="n">
        <v>176</v>
      </c>
    </row>
    <row r="101" customFormat="false" ht="15" hidden="false" customHeight="false" outlineLevel="0" collapsed="false">
      <c r="B101" s="6" t="s">
        <v>36</v>
      </c>
      <c r="C101" s="16" t="n">
        <v>93</v>
      </c>
    </row>
    <row r="102" customFormat="false" ht="15" hidden="false" customHeight="false" outlineLevel="0" collapsed="false">
      <c r="B102" s="6" t="s">
        <v>98</v>
      </c>
      <c r="C102" s="16" t="n">
        <v>886</v>
      </c>
    </row>
    <row r="103" customFormat="false" ht="15" hidden="false" customHeight="false" outlineLevel="0" collapsed="false">
      <c r="B103" s="6" t="s">
        <v>38</v>
      </c>
      <c r="C103" s="16" t="n">
        <v>2150</v>
      </c>
    </row>
    <row r="104" customFormat="false" ht="15" hidden="false" customHeight="false" outlineLevel="0" collapsed="false">
      <c r="B104" s="6" t="s">
        <v>39</v>
      </c>
      <c r="C104" s="16" t="n">
        <v>1861</v>
      </c>
    </row>
    <row r="105" customFormat="false" ht="15" hidden="false" customHeight="false" outlineLevel="0" collapsed="false">
      <c r="B105" s="6" t="s">
        <v>99</v>
      </c>
      <c r="C105" s="16" t="n">
        <v>1000</v>
      </c>
    </row>
    <row r="106" customFormat="false" ht="15" hidden="false" customHeight="false" outlineLevel="0" collapsed="false">
      <c r="B106" s="6" t="s">
        <v>100</v>
      </c>
      <c r="C106" s="16" t="n">
        <v>939</v>
      </c>
    </row>
    <row r="107" customFormat="false" ht="15" hidden="false" customHeight="false" outlineLevel="0" collapsed="false">
      <c r="B107" s="6" t="s">
        <v>41</v>
      </c>
      <c r="C107" s="16" t="n">
        <v>280</v>
      </c>
    </row>
    <row r="108" customFormat="false" ht="15" hidden="false" customHeight="false" outlineLevel="0" collapsed="false">
      <c r="B108" s="6" t="s">
        <v>42</v>
      </c>
      <c r="C108" s="16" t="n">
        <v>600</v>
      </c>
    </row>
    <row r="109" customFormat="false" ht="15" hidden="false" customHeight="false" outlineLevel="0" collapsed="false">
      <c r="B109" s="5" t="s">
        <v>101</v>
      </c>
      <c r="C109" s="13" t="n">
        <f aca="false">SUM(C98:C108)</f>
        <v>26812</v>
      </c>
      <c r="D109" s="15" t="n">
        <f aca="false">IF($F$84=0,0,C109/$F$84)</f>
        <v>5.8173139509655</v>
      </c>
    </row>
    <row r="111" customFormat="false" ht="15" hidden="false" customHeight="false" outlineLevel="0" collapsed="false">
      <c r="B111" s="3" t="s">
        <v>102</v>
      </c>
    </row>
    <row r="112" customFormat="false" ht="15" hidden="false" customHeight="false" outlineLevel="0" collapsed="false">
      <c r="B112" s="6" t="s">
        <v>103</v>
      </c>
      <c r="C112" s="17" t="n">
        <v>0.05</v>
      </c>
    </row>
    <row r="113" customFormat="false" ht="15" hidden="false" customHeight="false" outlineLevel="0" collapsed="false">
      <c r="B113" s="6" t="s">
        <v>104</v>
      </c>
      <c r="C113" s="17" t="n">
        <v>0.13</v>
      </c>
    </row>
    <row r="114" customFormat="false" ht="15" hidden="false" customHeight="false" outlineLevel="0" collapsed="false">
      <c r="B114" s="6" t="s">
        <v>105</v>
      </c>
      <c r="C114" s="17" t="n">
        <v>0.02</v>
      </c>
    </row>
    <row r="115" customFormat="false" ht="15" hidden="false" customHeight="false" outlineLevel="0" collapsed="false">
      <c r="B115" s="6" t="s">
        <v>106</v>
      </c>
      <c r="C115" s="17" t="n">
        <v>0.05</v>
      </c>
    </row>
    <row r="116" customFormat="false" ht="15" hidden="false" customHeight="false" outlineLevel="0" collapsed="false">
      <c r="B116" s="6" t="s">
        <v>107</v>
      </c>
      <c r="C116" s="17" t="n">
        <v>0.15</v>
      </c>
    </row>
    <row r="117" customFormat="false" ht="15" hidden="false" customHeight="false" outlineLevel="0" collapsed="false">
      <c r="B117" s="6" t="s">
        <v>108</v>
      </c>
      <c r="C117" s="17" t="n">
        <v>0</v>
      </c>
      <c r="D117" s="6" t="s">
        <v>109</v>
      </c>
    </row>
    <row r="119" customFormat="false" ht="15" hidden="false" customHeight="false" outlineLevel="0" collapsed="false">
      <c r="B119" s="3" t="s">
        <v>110</v>
      </c>
    </row>
    <row r="120" customFormat="false" ht="15" hidden="false" customHeight="false" outlineLevel="0" collapsed="false">
      <c r="B120" s="6" t="s">
        <v>111</v>
      </c>
      <c r="C120" s="17" t="n">
        <v>0.1</v>
      </c>
    </row>
    <row r="121" customFormat="false" ht="15" hidden="false" customHeight="false" outlineLevel="0" collapsed="false">
      <c r="B121" s="6" t="s">
        <v>112</v>
      </c>
      <c r="C121" s="16" t="n">
        <v>5000</v>
      </c>
    </row>
    <row r="122" customFormat="false" ht="15" hidden="false" customHeight="false" outlineLevel="0" collapsed="false">
      <c r="B122" s="6" t="s">
        <v>113</v>
      </c>
      <c r="C122" s="17" t="n">
        <v>0.8</v>
      </c>
    </row>
    <row r="123" customFormat="false" ht="15" hidden="false" customHeight="false" outlineLevel="0" collapsed="false">
      <c r="B123" s="6" t="s">
        <v>114</v>
      </c>
      <c r="C123" s="17" t="n">
        <v>0.5</v>
      </c>
    </row>
    <row r="124" customFormat="false" ht="15" hidden="false" customHeight="false" outlineLevel="0" collapsed="false">
      <c r="B124" s="6" t="s">
        <v>115</v>
      </c>
      <c r="C124" s="17" t="n">
        <v>0.045</v>
      </c>
    </row>
    <row r="126" customFormat="false" ht="15" hidden="false" customHeight="false" outlineLevel="0" collapsed="false">
      <c r="B126" s="3" t="s">
        <v>116</v>
      </c>
    </row>
    <row r="127" customFormat="false" ht="15" hidden="false" customHeight="false" outlineLevel="0" collapsed="false">
      <c r="B127" s="6" t="s">
        <v>117</v>
      </c>
      <c r="C127" s="17" t="n">
        <v>0.05</v>
      </c>
    </row>
    <row r="128" customFormat="false" ht="15" hidden="false" customHeight="false" outlineLevel="0" collapsed="false">
      <c r="B128" s="6" t="s">
        <v>118</v>
      </c>
      <c r="C128" s="17" t="n">
        <v>0.15</v>
      </c>
    </row>
    <row r="129" customFormat="false" ht="15" hidden="false" customHeight="false" outlineLevel="0" collapsed="false">
      <c r="B129" s="6" t="s">
        <v>119</v>
      </c>
      <c r="C129" s="17" t="n">
        <v>0.1</v>
      </c>
    </row>
    <row r="130" customFormat="false" ht="15" hidden="false" customHeight="false" outlineLevel="0" collapsed="false">
      <c r="B130" s="6" t="s">
        <v>120</v>
      </c>
      <c r="C130" s="17" t="n">
        <v>0.2</v>
      </c>
    </row>
    <row r="131" customFormat="false" ht="15" hidden="false" customHeight="false" outlineLevel="0" collapsed="false">
      <c r="B131" s="6" t="s">
        <v>121</v>
      </c>
      <c r="C131" s="23" t="n">
        <v>4</v>
      </c>
    </row>
    <row r="132" customFormat="false" ht="15" hidden="false" customHeight="false" outlineLevel="0" collapsed="false">
      <c r="B132" s="6" t="s">
        <v>122</v>
      </c>
      <c r="C132" s="23" t="n">
        <v>5</v>
      </c>
    </row>
    <row r="133" customFormat="false" ht="15" hidden="false" customHeight="false" outlineLevel="0" collapsed="false">
      <c r="B133" s="6" t="s">
        <v>123</v>
      </c>
      <c r="C133" s="23" t="n">
        <v>6</v>
      </c>
    </row>
    <row r="135" customFormat="false" ht="15" hidden="false" customHeight="false" outlineLevel="0" collapsed="false">
      <c r="B135" s="3" t="s">
        <v>124</v>
      </c>
    </row>
    <row r="136" customFormat="false" ht="15" hidden="false" customHeight="false" outlineLevel="0" collapsed="false">
      <c r="B136" s="6" t="s">
        <v>125</v>
      </c>
      <c r="C136" s="17" t="n">
        <v>0</v>
      </c>
      <c r="D136" s="6" t="s">
        <v>126</v>
      </c>
    </row>
    <row r="137" customFormat="false" ht="15" hidden="false" customHeight="false" outlineLevel="0" collapsed="false">
      <c r="B137" s="6" t="s">
        <v>127</v>
      </c>
      <c r="C137" s="16" t="n">
        <v>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12" min="3" style="0" width="14"/>
  </cols>
  <sheetData>
    <row r="1" customFormat="false" ht="17.35" hidden="false" customHeight="false" outlineLevel="0" collapsed="false">
      <c r="B1" s="1" t="s">
        <v>128</v>
      </c>
    </row>
    <row r="2" customFormat="false" ht="15" hidden="false" customHeight="false" outlineLevel="0" collapsed="false">
      <c r="B2" s="2" t="s">
        <v>129</v>
      </c>
    </row>
    <row r="4" customFormat="false" ht="15" hidden="false" customHeight="false" outlineLevel="0" collapsed="false">
      <c r="C4" s="4" t="s">
        <v>46</v>
      </c>
      <c r="D4" s="4" t="s">
        <v>47</v>
      </c>
      <c r="E4" s="4" t="s">
        <v>48</v>
      </c>
      <c r="F4" s="4" t="s">
        <v>49</v>
      </c>
      <c r="G4" s="4" t="s">
        <v>50</v>
      </c>
      <c r="H4" s="4" t="s">
        <v>51</v>
      </c>
      <c r="I4" s="4" t="s">
        <v>52</v>
      </c>
      <c r="J4" s="4" t="s">
        <v>53</v>
      </c>
      <c r="K4" s="4" t="s">
        <v>54</v>
      </c>
      <c r="L4" s="4" t="s">
        <v>130</v>
      </c>
    </row>
    <row r="6" customFormat="false" ht="15" hidden="false" customHeight="false" outlineLevel="0" collapsed="false">
      <c r="B6" s="3" t="s">
        <v>131</v>
      </c>
    </row>
    <row r="7" customFormat="false" ht="15" hidden="false" customHeight="false" outlineLevel="0" collapsed="false">
      <c r="B7" s="5" t="s">
        <v>132</v>
      </c>
      <c r="C7" s="7" t="n">
        <f aca="false">'Key Assumptions'!C12</f>
        <v>9535</v>
      </c>
      <c r="D7" s="7" t="n">
        <f aca="false">'Key Assumptions'!D12</f>
        <v>15767</v>
      </c>
      <c r="E7" s="7" t="n">
        <f aca="false">'Key Assumptions'!E12</f>
        <v>19665</v>
      </c>
      <c r="F7" s="7" t="n">
        <f aca="false">'Key Assumptions'!F12</f>
        <v>16610</v>
      </c>
      <c r="G7" s="22" t="n">
        <f aca="false">F7*(1+'Key Assumptions'!G13)</f>
        <v>17606.6</v>
      </c>
      <c r="H7" s="22" t="n">
        <f aca="false">G7*(1+'Key Assumptions'!H13)</f>
        <v>18662.996</v>
      </c>
      <c r="I7" s="22" t="n">
        <f aca="false">H7*(1+'Key Assumptions'!I13)</f>
        <v>19782.77576</v>
      </c>
      <c r="J7" s="22" t="n">
        <f aca="false">I7*(1+'Key Assumptions'!J13)</f>
        <v>20969.7423056</v>
      </c>
      <c r="K7" s="22" t="n">
        <f aca="false">J7*(1+'Key Assumptions'!K13)</f>
        <v>22227.926843936</v>
      </c>
      <c r="L7" s="8" t="n">
        <f aca="false">IF(G7=0,0,(K7/G7)^(1/4)-1)</f>
        <v>0.0600000000000001</v>
      </c>
    </row>
    <row r="8" customFormat="false" ht="15" hidden="false" customHeight="false" outlineLevel="0" collapsed="false">
      <c r="B8" s="6" t="s">
        <v>56</v>
      </c>
      <c r="C8" s="8"/>
      <c r="D8" s="8" t="n">
        <f aca="false">IF(C7=0,0,(D7-C7)/C7)</f>
        <v>0.653592029365496</v>
      </c>
      <c r="E8" s="8" t="n">
        <f aca="false">IF(D7=0,0,(E7-D7)/D7)</f>
        <v>0.247225217225851</v>
      </c>
      <c r="F8" s="8" t="n">
        <f aca="false">IF(E7=0,0,(F7-E7)/E7)</f>
        <v>-0.15535214848716</v>
      </c>
      <c r="G8" s="8" t="n">
        <f aca="false">IF(F7=0,0,(G7-F7)/F7)</f>
        <v>0.0600000000000001</v>
      </c>
      <c r="H8" s="8" t="n">
        <f aca="false">IF(G7=0,0,(H7-G7)/G7)</f>
        <v>0.06</v>
      </c>
      <c r="I8" s="8" t="n">
        <f aca="false">IF(H7=0,0,(I7-H7)/H7)</f>
        <v>0.0600000000000001</v>
      </c>
      <c r="J8" s="8" t="n">
        <f aca="false">IF(I7=0,0,(J7-I7)/I7)</f>
        <v>0.06</v>
      </c>
      <c r="K8" s="8" t="n">
        <f aca="false">IF(J7=0,0,(K7-J7)/J7)</f>
        <v>0.0600000000000001</v>
      </c>
    </row>
    <row r="9" customFormat="false" ht="15" hidden="false" customHeight="false" outlineLevel="0" collapsed="false">
      <c r="B9" s="6" t="s">
        <v>133</v>
      </c>
      <c r="C9" s="11" t="n">
        <f aca="false">'Key Assumptions'!C20</f>
        <v>0.455</v>
      </c>
      <c r="D9" s="11" t="n">
        <f aca="false">'Key Assumptions'!D20</f>
        <v>0.45</v>
      </c>
      <c r="E9" s="11" t="n">
        <f aca="false">'Key Assumptions'!E20</f>
        <v>0.47</v>
      </c>
      <c r="F9" s="11" t="n">
        <f aca="false">'Key Assumptions'!F20</f>
        <v>0.47</v>
      </c>
      <c r="G9" s="11" t="n">
        <f aca="false">'Key Assumptions'!G20</f>
        <v>0.48</v>
      </c>
      <c r="H9" s="11" t="n">
        <f aca="false">'Key Assumptions'!H20</f>
        <v>0.483</v>
      </c>
      <c r="I9" s="11" t="n">
        <f aca="false">'Key Assumptions'!I20</f>
        <v>0.486</v>
      </c>
      <c r="J9" s="11" t="n">
        <f aca="false">'Key Assumptions'!J20</f>
        <v>0.489</v>
      </c>
      <c r="K9" s="11" t="n">
        <f aca="false">'Key Assumptions'!K20</f>
        <v>0.492</v>
      </c>
    </row>
    <row r="10" customFormat="false" ht="15" hidden="false" customHeight="false" outlineLevel="0" collapsed="false">
      <c r="B10" s="6" t="s">
        <v>134</v>
      </c>
      <c r="C10" s="22" t="n">
        <f aca="false">C7*C9</f>
        <v>4338.425</v>
      </c>
      <c r="D10" s="22" t="n">
        <f aca="false">D7*D9</f>
        <v>7095.15</v>
      </c>
      <c r="E10" s="22" t="n">
        <f aca="false">E7*E9</f>
        <v>9242.55</v>
      </c>
      <c r="F10" s="22" t="n">
        <f aca="false">F7*F9</f>
        <v>7806.7</v>
      </c>
      <c r="G10" s="22" t="n">
        <f aca="false">G7*G9</f>
        <v>8451.168</v>
      </c>
      <c r="H10" s="22" t="n">
        <f aca="false">H7*H9</f>
        <v>9014.227068</v>
      </c>
      <c r="I10" s="22" t="n">
        <f aca="false">I7*I9</f>
        <v>9614.42901936</v>
      </c>
      <c r="J10" s="22" t="n">
        <f aca="false">J7*J9</f>
        <v>10254.2039874384</v>
      </c>
      <c r="K10" s="22" t="n">
        <f aca="false">K7*K9</f>
        <v>10936.1400072165</v>
      </c>
    </row>
    <row r="12" customFormat="false" ht="15" hidden="false" customHeight="false" outlineLevel="0" collapsed="false">
      <c r="B12" s="3" t="s">
        <v>135</v>
      </c>
    </row>
    <row r="13" customFormat="false" ht="15" hidden="false" customHeight="false" outlineLevel="0" collapsed="false">
      <c r="B13" s="5" t="s">
        <v>132</v>
      </c>
      <c r="C13" s="7" t="n">
        <f aca="false">'Key Assumptions'!C14</f>
        <v>4767</v>
      </c>
      <c r="D13" s="7" t="n">
        <f aca="false">'Key Assumptions'!D14</f>
        <v>8044</v>
      </c>
      <c r="E13" s="7" t="n">
        <f aca="false">'Key Assumptions'!E14</f>
        <v>10034</v>
      </c>
      <c r="F13" s="7" t="n">
        <f aca="false">'Key Assumptions'!F14</f>
        <v>8651</v>
      </c>
      <c r="G13" s="22" t="n">
        <f aca="false">F13*(1+'Key Assumptions'!G15)</f>
        <v>8997.04</v>
      </c>
      <c r="H13" s="22" t="n">
        <f aca="false">G13*(1+'Key Assumptions'!H15)</f>
        <v>9356.9216</v>
      </c>
      <c r="I13" s="22" t="n">
        <f aca="false">H13*(1+'Key Assumptions'!I15)</f>
        <v>9731.198464</v>
      </c>
      <c r="J13" s="22" t="n">
        <f aca="false">I13*(1+'Key Assumptions'!J15)</f>
        <v>10120.44640256</v>
      </c>
      <c r="K13" s="22" t="n">
        <f aca="false">J13*(1+'Key Assumptions'!K15)</f>
        <v>10525.2642586624</v>
      </c>
      <c r="L13" s="8" t="n">
        <f aca="false">IF(G13=0,0,(K13/G13)^(1/4)-1)</f>
        <v>0.04</v>
      </c>
    </row>
    <row r="14" customFormat="false" ht="15" hidden="false" customHeight="false" outlineLevel="0" collapsed="false">
      <c r="B14" s="6" t="s">
        <v>56</v>
      </c>
      <c r="C14" s="8"/>
      <c r="D14" s="8" t="n">
        <f aca="false">IF(C13=0,0,(D13-C13)/C13)</f>
        <v>0.687434445143696</v>
      </c>
      <c r="E14" s="8" t="n">
        <f aca="false">IF(D13=0,0,(E13-D13)/D13)</f>
        <v>0.247389358528096</v>
      </c>
      <c r="F14" s="8" t="n">
        <f aca="false">IF(E13=0,0,(F13-E13)/E13)</f>
        <v>-0.137831373330676</v>
      </c>
      <c r="G14" s="8" t="n">
        <f aca="false">IF(F13=0,0,(G13-F13)/F13)</f>
        <v>0.0400000000000001</v>
      </c>
      <c r="H14" s="8" t="n">
        <f aca="false">IF(G13=0,0,(H13-G13)/G13)</f>
        <v>0.0400000000000001</v>
      </c>
      <c r="I14" s="8" t="n">
        <f aca="false">IF(H13=0,0,(I13-H13)/H13)</f>
        <v>0.0400000000000001</v>
      </c>
      <c r="J14" s="8" t="n">
        <f aca="false">IF(I13=0,0,(J13-I13)/I13)</f>
        <v>0.04</v>
      </c>
      <c r="K14" s="8" t="n">
        <f aca="false">IF(J13=0,0,(K13-J13)/J13)</f>
        <v>0.04</v>
      </c>
    </row>
    <row r="15" customFormat="false" ht="15" hidden="false" customHeight="false" outlineLevel="0" collapsed="false">
      <c r="B15" s="6" t="s">
        <v>133</v>
      </c>
      <c r="C15" s="11" t="n">
        <f aca="false">'Key Assumptions'!C21</f>
        <v>0.51</v>
      </c>
      <c r="D15" s="11" t="n">
        <f aca="false">'Key Assumptions'!D21</f>
        <v>0.505</v>
      </c>
      <c r="E15" s="11" t="n">
        <f aca="false">'Key Assumptions'!E21</f>
        <v>0.51</v>
      </c>
      <c r="F15" s="11" t="n">
        <f aca="false">'Key Assumptions'!F21</f>
        <v>0.515</v>
      </c>
      <c r="G15" s="11" t="n">
        <f aca="false">'Key Assumptions'!G21</f>
        <v>0.52</v>
      </c>
      <c r="H15" s="11" t="n">
        <f aca="false">'Key Assumptions'!H21</f>
        <v>0.522</v>
      </c>
      <c r="I15" s="11" t="n">
        <f aca="false">'Key Assumptions'!I21</f>
        <v>0.524</v>
      </c>
      <c r="J15" s="11" t="n">
        <f aca="false">'Key Assumptions'!J21</f>
        <v>0.526</v>
      </c>
      <c r="K15" s="11" t="n">
        <f aca="false">'Key Assumptions'!K21</f>
        <v>0.528</v>
      </c>
    </row>
    <row r="16" customFormat="false" ht="15" hidden="false" customHeight="false" outlineLevel="0" collapsed="false">
      <c r="B16" s="6" t="s">
        <v>134</v>
      </c>
      <c r="C16" s="22" t="n">
        <f aca="false">C13*C15</f>
        <v>2431.17</v>
      </c>
      <c r="D16" s="22" t="n">
        <f aca="false">D13*D15</f>
        <v>4062.22</v>
      </c>
      <c r="E16" s="22" t="n">
        <f aca="false">E13*E15</f>
        <v>5117.34</v>
      </c>
      <c r="F16" s="22" t="n">
        <f aca="false">F13*F15</f>
        <v>4455.265</v>
      </c>
      <c r="G16" s="22" t="n">
        <f aca="false">G13*G15</f>
        <v>4678.4608</v>
      </c>
      <c r="H16" s="22" t="n">
        <f aca="false">H13*H15</f>
        <v>4884.3130752</v>
      </c>
      <c r="I16" s="22" t="n">
        <f aca="false">I13*I15</f>
        <v>5099.147995136</v>
      </c>
      <c r="J16" s="22" t="n">
        <f aca="false">J13*J15</f>
        <v>5323.35480774656</v>
      </c>
      <c r="K16" s="22" t="n">
        <f aca="false">K13*K15</f>
        <v>5557.33952857375</v>
      </c>
    </row>
    <row r="18" customFormat="false" ht="15" hidden="false" customHeight="false" outlineLevel="0" collapsed="false">
      <c r="B18" s="3" t="s">
        <v>136</v>
      </c>
    </row>
    <row r="19" customFormat="false" ht="15" hidden="false" customHeight="false" outlineLevel="0" collapsed="false">
      <c r="B19" s="5" t="s">
        <v>132</v>
      </c>
      <c r="C19" s="7" t="n">
        <f aca="false">'Key Assumptions'!C16</f>
        <v>4767</v>
      </c>
      <c r="D19" s="7" t="n">
        <f aca="false">'Key Assumptions'!D16</f>
        <v>8366</v>
      </c>
      <c r="E19" s="7" t="n">
        <f aca="false">'Key Assumptions'!E16</f>
        <v>10436</v>
      </c>
      <c r="F19" s="7" t="n">
        <f aca="false">'Key Assumptions'!F16</f>
        <v>9343</v>
      </c>
      <c r="G19" s="22" t="n">
        <f aca="false">F19*(1+'Key Assumptions'!G17)</f>
        <v>9716.72</v>
      </c>
      <c r="H19" s="22" t="n">
        <f aca="false">G19*(1+'Key Assumptions'!H17)</f>
        <v>10105.3888</v>
      </c>
      <c r="I19" s="22" t="n">
        <f aca="false">H19*(1+'Key Assumptions'!I17)</f>
        <v>10509.604352</v>
      </c>
      <c r="J19" s="22" t="n">
        <f aca="false">I19*(1+'Key Assumptions'!J17)</f>
        <v>10929.98852608</v>
      </c>
      <c r="K19" s="22" t="n">
        <f aca="false">J19*(1+'Key Assumptions'!K17)</f>
        <v>11367.1880671232</v>
      </c>
      <c r="L19" s="8" t="n">
        <f aca="false">IF(G19=0,0,(K19/G19)^(1/4)-1)</f>
        <v>0.04</v>
      </c>
    </row>
    <row r="20" customFormat="false" ht="15" hidden="false" customHeight="false" outlineLevel="0" collapsed="false">
      <c r="B20" s="6" t="s">
        <v>56</v>
      </c>
      <c r="C20" s="8"/>
      <c r="D20" s="8" t="n">
        <f aca="false">IF(C19=0,0,(D19-C19)/C19)</f>
        <v>0.754982169079085</v>
      </c>
      <c r="E20" s="8" t="n">
        <f aca="false">IF(D19=0,0,(E19-D19)/D19)</f>
        <v>0.247430074109491</v>
      </c>
      <c r="F20" s="8" t="n">
        <f aca="false">IF(E19=0,0,(F19-E19)/E19)</f>
        <v>-0.104733614411652</v>
      </c>
      <c r="G20" s="8" t="n">
        <f aca="false">IF(F19=0,0,(G19-F19)/F19)</f>
        <v>0.0400000000000001</v>
      </c>
      <c r="H20" s="8" t="n">
        <f aca="false">IF(G19=0,0,(H19-G19)/G19)</f>
        <v>0.0400000000000001</v>
      </c>
      <c r="I20" s="8" t="n">
        <f aca="false">IF(H19=0,0,(I19-H19)/H19)</f>
        <v>0.04</v>
      </c>
      <c r="J20" s="8" t="n">
        <f aca="false">IF(I19=0,0,(J19-I19)/I19)</f>
        <v>0.04</v>
      </c>
      <c r="K20" s="8" t="n">
        <f aca="false">IF(J19=0,0,(K19-J19)/J19)</f>
        <v>0.0400000000000001</v>
      </c>
    </row>
    <row r="21" customFormat="false" ht="15" hidden="false" customHeight="false" outlineLevel="0" collapsed="false">
      <c r="B21" s="6" t="s">
        <v>133</v>
      </c>
      <c r="C21" s="11" t="n">
        <f aca="false">'Key Assumptions'!C22</f>
        <v>0.48</v>
      </c>
      <c r="D21" s="11" t="n">
        <f aca="false">'Key Assumptions'!D22</f>
        <v>0.475</v>
      </c>
      <c r="E21" s="11" t="n">
        <f aca="false">'Key Assumptions'!E22</f>
        <v>0.49</v>
      </c>
      <c r="F21" s="11" t="n">
        <f aca="false">'Key Assumptions'!F22</f>
        <v>0.5</v>
      </c>
      <c r="G21" s="11" t="n">
        <f aca="false">'Key Assumptions'!G22</f>
        <v>0.5</v>
      </c>
      <c r="H21" s="11" t="n">
        <f aca="false">'Key Assumptions'!H22</f>
        <v>0.502</v>
      </c>
      <c r="I21" s="11" t="n">
        <f aca="false">'Key Assumptions'!I22</f>
        <v>0.504</v>
      </c>
      <c r="J21" s="11" t="n">
        <f aca="false">'Key Assumptions'!J22</f>
        <v>0.506</v>
      </c>
      <c r="K21" s="11" t="n">
        <f aca="false">'Key Assumptions'!K22</f>
        <v>0.508</v>
      </c>
    </row>
    <row r="22" customFormat="false" ht="15" hidden="false" customHeight="false" outlineLevel="0" collapsed="false">
      <c r="B22" s="6" t="s">
        <v>134</v>
      </c>
      <c r="C22" s="22" t="n">
        <f aca="false">C19*C21</f>
        <v>2288.16</v>
      </c>
      <c r="D22" s="22" t="n">
        <f aca="false">D19*D21</f>
        <v>3973.85</v>
      </c>
      <c r="E22" s="22" t="n">
        <f aca="false">E19*E21</f>
        <v>5113.64</v>
      </c>
      <c r="F22" s="22" t="n">
        <f aca="false">F19*F21</f>
        <v>4671.5</v>
      </c>
      <c r="G22" s="22" t="n">
        <f aca="false">G19*G21</f>
        <v>4858.36</v>
      </c>
      <c r="H22" s="22" t="n">
        <f aca="false">H19*H21</f>
        <v>5072.9051776</v>
      </c>
      <c r="I22" s="22" t="n">
        <f aca="false">I19*I21</f>
        <v>5296.840593408</v>
      </c>
      <c r="J22" s="22" t="n">
        <f aca="false">J19*J21</f>
        <v>5530.57419419648</v>
      </c>
      <c r="K22" s="22" t="n">
        <f aca="false">K19*K21</f>
        <v>5774.53153809859</v>
      </c>
    </row>
    <row r="24" customFormat="false" ht="15" hidden="false" customHeight="false" outlineLevel="0" collapsed="false">
      <c r="B24" s="3" t="s">
        <v>137</v>
      </c>
    </row>
    <row r="25" customFormat="false" ht="15" hidden="false" customHeight="false" outlineLevel="0" collapsed="false">
      <c r="B25" s="5" t="s">
        <v>138</v>
      </c>
      <c r="C25" s="13" t="n">
        <f aca="false">C7+C13+C19</f>
        <v>19069</v>
      </c>
      <c r="D25" s="13" t="n">
        <f aca="false">D7+D13+D19</f>
        <v>32177</v>
      </c>
      <c r="E25" s="13" t="n">
        <f aca="false">E7+E13+E19</f>
        <v>40135</v>
      </c>
      <c r="F25" s="13" t="n">
        <f aca="false">F7+F13+F19</f>
        <v>34604</v>
      </c>
      <c r="G25" s="13" t="n">
        <f aca="false">G7+G13+G19</f>
        <v>36320.36</v>
      </c>
      <c r="H25" s="13" t="n">
        <f aca="false">H7+H13+H19</f>
        <v>38125.3064</v>
      </c>
      <c r="I25" s="13" t="n">
        <f aca="false">I7+I13+I19</f>
        <v>40023.578576</v>
      </c>
      <c r="J25" s="13" t="n">
        <f aca="false">J7+J13+J19</f>
        <v>42020.17723424</v>
      </c>
      <c r="K25" s="13" t="n">
        <f aca="false">K7+K13+K19</f>
        <v>44120.3791697216</v>
      </c>
      <c r="L25" s="8" t="n">
        <f aca="false">IF(G25=0,0,(K25/G25)^(1/4)-1)</f>
        <v>0.0498379623680183</v>
      </c>
    </row>
    <row r="26" customFormat="false" ht="15" hidden="false" customHeight="false" outlineLevel="0" collapsed="false">
      <c r="B26" s="6" t="s">
        <v>139</v>
      </c>
      <c r="C26" s="8"/>
      <c r="D26" s="8" t="n">
        <f aca="false">IF(C25=0,0,(D25-C25)/C25)</f>
        <v>0.687398395301274</v>
      </c>
      <c r="E26" s="8" t="n">
        <f aca="false">IF(D25=0,0,(E25-D25)/D25)</f>
        <v>0.247319513938528</v>
      </c>
      <c r="F26" s="8" t="n">
        <f aca="false">IF(E25=0,0,(F25-E25)/E25)</f>
        <v>-0.137809891615797</v>
      </c>
      <c r="G26" s="8" t="n">
        <f aca="false">IF(F25=0,0,(G25-F25)/F25)</f>
        <v>0.0496000462374292</v>
      </c>
      <c r="H26" s="8" t="n">
        <f aca="false">IF(G25=0,0,(H25-G25)/G25)</f>
        <v>0.0496951682196985</v>
      </c>
      <c r="I26" s="8" t="n">
        <f aca="false">IF(H25=0,0,(I25-H25)/H25)</f>
        <v>0.0497903454488696</v>
      </c>
      <c r="J26" s="8" t="n">
        <f aca="false">IF(I25=0,0,(J25-I25)/I25)</f>
        <v>0.0498855606938969</v>
      </c>
      <c r="K26" s="8" t="n">
        <f aca="false">IF(J25=0,0,(K25-J25)/J25)</f>
        <v>0.0499807966961705</v>
      </c>
    </row>
    <row r="28" customFormat="false" ht="15" hidden="false" customHeight="false" outlineLevel="0" collapsed="false">
      <c r="B28" s="5" t="s">
        <v>140</v>
      </c>
      <c r="C28" s="13" t="n">
        <f aca="false">C10+C16+C22</f>
        <v>9057.755</v>
      </c>
      <c r="D28" s="13" t="n">
        <f aca="false">D10+D16+D22</f>
        <v>15131.22</v>
      </c>
      <c r="E28" s="13" t="n">
        <f aca="false">E10+E16+E22</f>
        <v>19473.53</v>
      </c>
      <c r="F28" s="13" t="n">
        <f aca="false">F10+F16+F22</f>
        <v>16933.465</v>
      </c>
      <c r="G28" s="13" t="n">
        <f aca="false">G10+G16+G22</f>
        <v>17987.9888</v>
      </c>
      <c r="H28" s="13" t="n">
        <f aca="false">H10+H16+H22</f>
        <v>18971.4453208</v>
      </c>
      <c r="I28" s="13" t="n">
        <f aca="false">I10+I16+I22</f>
        <v>20010.417607904</v>
      </c>
      <c r="J28" s="13" t="n">
        <f aca="false">J10+J16+J22</f>
        <v>21108.1329893814</v>
      </c>
      <c r="K28" s="13" t="n">
        <f aca="false">K10+K16+K22</f>
        <v>22268.0110738889</v>
      </c>
    </row>
    <row r="29" customFormat="false" ht="15" hidden="false" customHeight="false" outlineLevel="0" collapsed="false">
      <c r="B29" s="6" t="s">
        <v>141</v>
      </c>
      <c r="C29" s="8" t="n">
        <f aca="false">IF(C25=0,0,C28/C25)</f>
        <v>0.474998951177304</v>
      </c>
      <c r="D29" s="8" t="n">
        <f aca="false">IF(D25=0,0,D28/D25)</f>
        <v>0.470249557137086</v>
      </c>
      <c r="E29" s="8" t="n">
        <f aca="false">IF(E25=0,0,E28/E25)</f>
        <v>0.485200697645447</v>
      </c>
      <c r="F29" s="8" t="n">
        <f aca="false">IF(F25=0,0,F28/F25)</f>
        <v>0.489349930643856</v>
      </c>
      <c r="G29" s="8" t="n">
        <f aca="false">IF(G25=0,0,G28/G25)</f>
        <v>0.495259099854737</v>
      </c>
      <c r="H29" s="8" t="n">
        <f aca="false">IF(H25=0,0,H28/H25)</f>
        <v>0.497607681411316</v>
      </c>
      <c r="I29" s="8" t="n">
        <f aca="false">IF(I25=0,0,I28/I25)</f>
        <v>0.499965728199606</v>
      </c>
      <c r="J29" s="8" t="n">
        <f aca="false">IF(J25=0,0,J28/J25)</f>
        <v>0.502333268889251</v>
      </c>
      <c r="K29" s="8" t="n">
        <f aca="false">IF(K25=0,0,K28/K25)</f>
        <v>0.504710328717453</v>
      </c>
    </row>
    <row r="31" customFormat="false" ht="15" hidden="false" customHeight="false" outlineLevel="0" collapsed="false">
      <c r="B31" s="3" t="s">
        <v>142</v>
      </c>
    </row>
    <row r="32" customFormat="false" ht="15" hidden="false" customHeight="false" outlineLevel="0" collapsed="false">
      <c r="B32" s="6" t="s">
        <v>143</v>
      </c>
      <c r="G32" s="17" t="n">
        <v>0.25</v>
      </c>
      <c r="H32" s="17" t="n">
        <v>0.25</v>
      </c>
      <c r="I32" s="17" t="n">
        <v>0.25</v>
      </c>
      <c r="J32" s="17" t="n">
        <v>0.25</v>
      </c>
      <c r="K32" s="17" t="n">
        <v>0.25</v>
      </c>
    </row>
    <row r="33" customFormat="false" ht="15" hidden="false" customHeight="false" outlineLevel="0" collapsed="false">
      <c r="B33" s="6" t="s">
        <v>144</v>
      </c>
      <c r="G33" s="17" t="n">
        <v>0.15</v>
      </c>
      <c r="H33" s="17" t="n">
        <v>0.15</v>
      </c>
      <c r="I33" s="17" t="n">
        <v>0.15</v>
      </c>
      <c r="J33" s="17" t="n">
        <v>0.15</v>
      </c>
      <c r="K33" s="17" t="n">
        <v>0.15</v>
      </c>
    </row>
    <row r="34" customFormat="false" ht="15" hidden="false" customHeight="false" outlineLevel="0" collapsed="false">
      <c r="B34" s="6" t="s">
        <v>145</v>
      </c>
      <c r="G34" s="17" t="n">
        <v>0.1</v>
      </c>
      <c r="H34" s="17" t="n">
        <v>0.1</v>
      </c>
      <c r="I34" s="17" t="n">
        <v>0.1</v>
      </c>
      <c r="J34" s="17" t="n">
        <v>0.1</v>
      </c>
      <c r="K34" s="17" t="n">
        <v>0.1</v>
      </c>
    </row>
    <row r="35" customFormat="false" ht="15" hidden="false" customHeight="false" outlineLevel="0" collapsed="false">
      <c r="B35" s="6" t="s">
        <v>146</v>
      </c>
      <c r="G35" s="17" t="n">
        <v>0.08</v>
      </c>
      <c r="H35" s="17" t="n">
        <v>0.08</v>
      </c>
      <c r="I35" s="17" t="n">
        <v>0.08</v>
      </c>
      <c r="J35" s="17" t="n">
        <v>0.08</v>
      </c>
      <c r="K35" s="17" t="n">
        <v>0.08</v>
      </c>
    </row>
    <row r="36" customFormat="false" ht="15" hidden="false" customHeight="false" outlineLevel="0" collapsed="false">
      <c r="B36" s="6" t="s">
        <v>147</v>
      </c>
      <c r="G36" s="25" t="n">
        <f aca="false">SUM(G32:G35)</f>
        <v>0.58</v>
      </c>
      <c r="H36" s="25" t="n">
        <f aca="false">SUM(H32:H35)</f>
        <v>0.58</v>
      </c>
      <c r="I36" s="25" t="n">
        <f aca="false">SUM(I32:I35)</f>
        <v>0.58</v>
      </c>
      <c r="J36" s="25" t="n">
        <f aca="false">SUM(J32:J35)</f>
        <v>0.58</v>
      </c>
      <c r="K36" s="25" t="n">
        <f aca="false">SUM(K32:K35)</f>
        <v>0.58</v>
      </c>
    </row>
    <row r="37" customFormat="false" ht="15" hidden="false" customHeight="false" outlineLevel="0" collapsed="false">
      <c r="B37" s="6" t="s">
        <v>148</v>
      </c>
      <c r="G37" s="22" t="n">
        <f aca="false">G36*G25</f>
        <v>21065.8088</v>
      </c>
      <c r="H37" s="22" t="n">
        <f aca="false">H36*H25</f>
        <v>22112.677712</v>
      </c>
      <c r="I37" s="22" t="n">
        <f aca="false">I36*I25</f>
        <v>23213.67557408</v>
      </c>
      <c r="J37" s="22" t="n">
        <f aca="false">J36*J25</f>
        <v>24371.7027958592</v>
      </c>
      <c r="K37" s="22" t="n">
        <f aca="false">K36*K25</f>
        <v>25589.8199184385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12" min="3" style="0" width="14"/>
  </cols>
  <sheetData>
    <row r="1" customFormat="false" ht="17.35" hidden="false" customHeight="false" outlineLevel="0" collapsed="false">
      <c r="B1" s="1" t="s">
        <v>149</v>
      </c>
    </row>
    <row r="2" customFormat="false" ht="15" hidden="false" customHeight="false" outlineLevel="0" collapsed="false">
      <c r="B2" s="2" t="s">
        <v>129</v>
      </c>
    </row>
    <row r="4" customFormat="false" ht="15" hidden="false" customHeight="false" outlineLevel="0" collapsed="false">
      <c r="C4" s="4" t="s">
        <v>46</v>
      </c>
      <c r="D4" s="4" t="s">
        <v>47</v>
      </c>
      <c r="E4" s="4" t="s">
        <v>48</v>
      </c>
      <c r="F4" s="4" t="s">
        <v>49</v>
      </c>
      <c r="G4" s="4" t="s">
        <v>50</v>
      </c>
      <c r="H4" s="4" t="s">
        <v>51</v>
      </c>
      <c r="I4" s="4" t="s">
        <v>52</v>
      </c>
      <c r="J4" s="4" t="s">
        <v>53</v>
      </c>
      <c r="K4" s="4" t="s">
        <v>54</v>
      </c>
      <c r="L4" s="4" t="s">
        <v>130</v>
      </c>
    </row>
    <row r="6" customFormat="false" ht="15" hidden="false" customHeight="false" outlineLevel="0" collapsed="false">
      <c r="B6" s="5" t="s">
        <v>150</v>
      </c>
      <c r="C6" s="26" t="n">
        <f aca="false">'Revenue Build'!C25</f>
        <v>19069</v>
      </c>
      <c r="D6" s="26" t="n">
        <f aca="false">'Revenue Build'!D25</f>
        <v>32177</v>
      </c>
      <c r="E6" s="26" t="n">
        <f aca="false">'Revenue Build'!E25</f>
        <v>40135</v>
      </c>
      <c r="F6" s="26" t="n">
        <f aca="false">'Revenue Build'!F25</f>
        <v>34604</v>
      </c>
      <c r="G6" s="26" t="n">
        <f aca="false">'Revenue Build'!G25</f>
        <v>36320.36</v>
      </c>
      <c r="H6" s="26" t="n">
        <f aca="false">'Revenue Build'!H25</f>
        <v>38125.3064</v>
      </c>
      <c r="I6" s="26" t="n">
        <f aca="false">'Revenue Build'!I25</f>
        <v>40023.578576</v>
      </c>
      <c r="J6" s="26" t="n">
        <f aca="false">'Revenue Build'!J25</f>
        <v>42020.17723424</v>
      </c>
      <c r="K6" s="26" t="n">
        <f aca="false">'Revenue Build'!K25</f>
        <v>44120.3791697216</v>
      </c>
      <c r="L6" s="8" t="n">
        <f aca="false">IF(G6=0,0,(K6/G6)^(1/4)-1)</f>
        <v>0.0498379623680183</v>
      </c>
    </row>
    <row r="7" customFormat="false" ht="15" hidden="false" customHeight="false" outlineLevel="0" collapsed="false">
      <c r="B7" s="12" t="s">
        <v>56</v>
      </c>
      <c r="C7" s="11" t="n">
        <f aca="false">'Revenue Build'!C26</f>
        <v>0</v>
      </c>
      <c r="D7" s="11" t="n">
        <f aca="false">'Revenue Build'!D26</f>
        <v>0.687398395301274</v>
      </c>
      <c r="E7" s="11" t="n">
        <f aca="false">'Revenue Build'!E26</f>
        <v>0.247319513938528</v>
      </c>
      <c r="F7" s="11" t="n">
        <f aca="false">'Revenue Build'!F26</f>
        <v>-0.137809891615797</v>
      </c>
      <c r="G7" s="11" t="n">
        <f aca="false">'Revenue Build'!G26</f>
        <v>0.0496000462374292</v>
      </c>
      <c r="H7" s="11" t="n">
        <f aca="false">'Revenue Build'!H26</f>
        <v>0.0496951682196985</v>
      </c>
      <c r="I7" s="11" t="n">
        <f aca="false">'Revenue Build'!I26</f>
        <v>0.0497903454488696</v>
      </c>
      <c r="J7" s="11" t="n">
        <f aca="false">'Revenue Build'!J26</f>
        <v>0.0498855606938969</v>
      </c>
      <c r="K7" s="11" t="n">
        <f aca="false">'Revenue Build'!K26</f>
        <v>0.0499807966961705</v>
      </c>
    </row>
    <row r="9" customFormat="false" ht="15" hidden="false" customHeight="false" outlineLevel="0" collapsed="false">
      <c r="B9" s="6" t="s">
        <v>151</v>
      </c>
      <c r="C9" s="22" t="n">
        <f aca="false">C6-C11</f>
        <v>10011.245</v>
      </c>
      <c r="D9" s="22" t="n">
        <f aca="false">D6-D11</f>
        <v>17045.78</v>
      </c>
      <c r="E9" s="22" t="n">
        <f aca="false">E6-E11</f>
        <v>20661.47</v>
      </c>
      <c r="F9" s="22" t="n">
        <f aca="false">F6-F11</f>
        <v>17670.535</v>
      </c>
      <c r="G9" s="22" t="n">
        <f aca="false">G6-G11</f>
        <v>18332.3712</v>
      </c>
      <c r="H9" s="22" t="n">
        <f aca="false">H6-H11</f>
        <v>19153.8610792</v>
      </c>
      <c r="I9" s="22" t="n">
        <f aca="false">I6-I11</f>
        <v>20013.160968096</v>
      </c>
      <c r="J9" s="22" t="n">
        <f aca="false">J6-J11</f>
        <v>20912.0442448586</v>
      </c>
      <c r="K9" s="22" t="n">
        <f aca="false">K6-K11</f>
        <v>21852.3680958328</v>
      </c>
    </row>
    <row r="11" customFormat="false" ht="15" hidden="false" customHeight="false" outlineLevel="0" collapsed="false">
      <c r="B11" s="5" t="s">
        <v>152</v>
      </c>
      <c r="C11" s="27" t="n">
        <f aca="false">'Revenue Build'!C28</f>
        <v>9057.755</v>
      </c>
      <c r="D11" s="27" t="n">
        <f aca="false">'Revenue Build'!D28</f>
        <v>15131.22</v>
      </c>
      <c r="E11" s="27" t="n">
        <f aca="false">'Revenue Build'!E28</f>
        <v>19473.53</v>
      </c>
      <c r="F11" s="27" t="n">
        <f aca="false">'Revenue Build'!F28</f>
        <v>16933.465</v>
      </c>
      <c r="G11" s="27" t="n">
        <f aca="false">'Revenue Build'!G28</f>
        <v>17987.9888</v>
      </c>
      <c r="H11" s="27" t="n">
        <f aca="false">'Revenue Build'!H28</f>
        <v>18971.4453208</v>
      </c>
      <c r="I11" s="27" t="n">
        <f aca="false">'Revenue Build'!I28</f>
        <v>20010.417607904</v>
      </c>
      <c r="J11" s="27" t="n">
        <f aca="false">'Revenue Build'!J28</f>
        <v>21108.1329893814</v>
      </c>
      <c r="K11" s="27" t="n">
        <f aca="false">'Revenue Build'!K28</f>
        <v>22268.0110738889</v>
      </c>
    </row>
    <row r="12" customFormat="false" ht="15" hidden="false" customHeight="false" outlineLevel="0" collapsed="false">
      <c r="B12" s="12" t="s">
        <v>133</v>
      </c>
      <c r="C12" s="11" t="n">
        <f aca="false">'Revenue Build'!C29</f>
        <v>0.474998951177304</v>
      </c>
      <c r="D12" s="11" t="n">
        <f aca="false">'Revenue Build'!D29</f>
        <v>0.470249557137086</v>
      </c>
      <c r="E12" s="11" t="n">
        <f aca="false">'Revenue Build'!E29</f>
        <v>0.485200697645447</v>
      </c>
      <c r="F12" s="11" t="n">
        <f aca="false">'Revenue Build'!F29</f>
        <v>0.489349930643856</v>
      </c>
      <c r="G12" s="11" t="n">
        <f aca="false">'Revenue Build'!G29</f>
        <v>0.495259099854737</v>
      </c>
      <c r="H12" s="11" t="n">
        <f aca="false">'Revenue Build'!H29</f>
        <v>0.497607681411316</v>
      </c>
      <c r="I12" s="11" t="n">
        <f aca="false">'Revenue Build'!I29</f>
        <v>0.499965728199606</v>
      </c>
      <c r="J12" s="11" t="n">
        <f aca="false">'Revenue Build'!J29</f>
        <v>0.502333268889251</v>
      </c>
      <c r="K12" s="11" t="n">
        <f aca="false">'Revenue Build'!K29</f>
        <v>0.504710328717453</v>
      </c>
    </row>
    <row r="14" customFormat="false" ht="15" hidden="false" customHeight="false" outlineLevel="0" collapsed="false">
      <c r="B14" s="3" t="s">
        <v>153</v>
      </c>
    </row>
    <row r="15" customFormat="false" ht="15" hidden="false" customHeight="false" outlineLevel="0" collapsed="false">
      <c r="B15" s="12" t="s">
        <v>64</v>
      </c>
      <c r="C15" s="22" t="n">
        <f aca="false">C6*'Key Assumptions'!C25</f>
        <v>4195.18</v>
      </c>
      <c r="D15" s="22" t="n">
        <f aca="false">D6*'Key Assumptions'!D25</f>
        <v>7014.586</v>
      </c>
      <c r="E15" s="22" t="n">
        <f aca="false">E6*'Key Assumptions'!E25</f>
        <v>8909.97</v>
      </c>
      <c r="F15" s="22" t="n">
        <f aca="false">F6*'Key Assumptions'!F25</f>
        <v>8304.96</v>
      </c>
      <c r="G15" s="22" t="n">
        <f aca="false">G6*'Key Assumptions'!G25</f>
        <v>7808.8774</v>
      </c>
      <c r="H15" s="22" t="n">
        <f aca="false">H6*'Key Assumptions'!H25</f>
        <v>8082.5649568</v>
      </c>
      <c r="I15" s="22" t="n">
        <f aca="false">I6*'Key Assumptions'!I25</f>
        <v>8364.927922384</v>
      </c>
      <c r="J15" s="22" t="n">
        <f aca="false">J6*'Key Assumptions'!J25</f>
        <v>8656.15651025344</v>
      </c>
      <c r="K15" s="22" t="n">
        <f aca="false">K6*'Key Assumptions'!K25</f>
        <v>8956.43697145349</v>
      </c>
    </row>
    <row r="16" customFormat="false" ht="15" hidden="false" customHeight="false" outlineLevel="0" collapsed="false">
      <c r="B16" s="12" t="s">
        <v>65</v>
      </c>
      <c r="C16" s="22" t="n">
        <f aca="false">C6*'Key Assumptions'!C26</f>
        <v>762.76</v>
      </c>
      <c r="D16" s="22" t="n">
        <f aca="false">D6*'Key Assumptions'!D26</f>
        <v>1222.726</v>
      </c>
      <c r="E16" s="22" t="n">
        <f aca="false">E6*'Key Assumptions'!E26</f>
        <v>1484.995</v>
      </c>
      <c r="F16" s="22" t="n">
        <f aca="false">F6*'Key Assumptions'!F26</f>
        <v>1453.368</v>
      </c>
      <c r="G16" s="22" t="n">
        <f aca="false">G6*'Key Assumptions'!G26</f>
        <v>1380.17368</v>
      </c>
      <c r="H16" s="22" t="n">
        <f aca="false">H6*'Key Assumptions'!H26</f>
        <v>1448.7616432</v>
      </c>
      <c r="I16" s="22" t="n">
        <f aca="false">I6*'Key Assumptions'!I26</f>
        <v>1520.895985888</v>
      </c>
      <c r="J16" s="22" t="n">
        <f aca="false">J6*'Key Assumptions'!J26</f>
        <v>1596.76673490112</v>
      </c>
      <c r="K16" s="22" t="n">
        <f aca="false">K6*'Key Assumptions'!K26</f>
        <v>1676.57440844942</v>
      </c>
    </row>
    <row r="17" customFormat="false" ht="15" hidden="false" customHeight="false" outlineLevel="0" collapsed="false">
      <c r="B17" s="12" t="s">
        <v>66</v>
      </c>
      <c r="C17" s="22" t="n">
        <f aca="false">C6*'Key Assumptions'!C27</f>
        <v>572.07</v>
      </c>
      <c r="D17" s="22" t="n">
        <f aca="false">D6*'Key Assumptions'!D27</f>
        <v>1029.664</v>
      </c>
      <c r="E17" s="22" t="n">
        <f aca="false">E6*'Key Assumptions'!E27</f>
        <v>1244.185</v>
      </c>
      <c r="F17" s="22" t="n">
        <f aca="false">F6*'Key Assumptions'!F27</f>
        <v>1211.14</v>
      </c>
      <c r="G17" s="22" t="n">
        <f aca="false">G6*'Key Assumptions'!G27</f>
        <v>1089.6108</v>
      </c>
      <c r="H17" s="22" t="n">
        <f aca="false">H6*'Key Assumptions'!H27</f>
        <v>1143.759192</v>
      </c>
      <c r="I17" s="22" t="n">
        <f aca="false">I6*'Key Assumptions'!I27</f>
        <v>1200.70735728</v>
      </c>
      <c r="J17" s="22" t="n">
        <f aca="false">J6*'Key Assumptions'!J27</f>
        <v>1260.6053170272</v>
      </c>
      <c r="K17" s="22" t="n">
        <f aca="false">K6*'Key Assumptions'!K27</f>
        <v>1323.61137509165</v>
      </c>
    </row>
    <row r="18" customFormat="false" ht="15" hidden="false" customHeight="false" outlineLevel="0" collapsed="false">
      <c r="B18" s="12" t="s">
        <v>67</v>
      </c>
      <c r="C18" s="22" t="n">
        <f aca="false">C6*'Key Assumptions'!C28</f>
        <v>476.725</v>
      </c>
      <c r="D18" s="22" t="n">
        <f aca="false">D6*'Key Assumptions'!D28</f>
        <v>868.779</v>
      </c>
      <c r="E18" s="22" t="n">
        <f aca="false">E6*'Key Assumptions'!E28</f>
        <v>1123.78</v>
      </c>
      <c r="F18" s="22" t="n">
        <f aca="false">F6*'Key Assumptions'!F28</f>
        <v>1038.12</v>
      </c>
      <c r="G18" s="22" t="n">
        <f aca="false">G6*'Key Assumptions'!G28</f>
        <v>908.009</v>
      </c>
      <c r="H18" s="22" t="n">
        <f aca="false">H6*'Key Assumptions'!H28</f>
        <v>953.13266</v>
      </c>
      <c r="I18" s="22" t="n">
        <f aca="false">I6*'Key Assumptions'!I28</f>
        <v>1000.5894644</v>
      </c>
      <c r="J18" s="22" t="n">
        <f aca="false">J6*'Key Assumptions'!J28</f>
        <v>1050.504430856</v>
      </c>
      <c r="K18" s="22" t="n">
        <f aca="false">K6*'Key Assumptions'!K28</f>
        <v>1103.00947924304</v>
      </c>
    </row>
    <row r="19" customFormat="false" ht="15" hidden="false" customHeight="false" outlineLevel="0" collapsed="false">
      <c r="B19" s="12" t="s">
        <v>68</v>
      </c>
      <c r="C19" s="22" t="n">
        <f aca="false">C6*'Key Assumptions'!C29</f>
        <v>1144.14</v>
      </c>
      <c r="D19" s="22" t="n">
        <f aca="false">D6*'Key Assumptions'!D29</f>
        <v>1866.266</v>
      </c>
      <c r="E19" s="22" t="n">
        <f aca="false">E6*'Key Assumptions'!E29</f>
        <v>2087.02</v>
      </c>
      <c r="F19" s="22" t="n">
        <f aca="false">F6*'Key Assumptions'!F29</f>
        <v>2076.24</v>
      </c>
      <c r="G19" s="22" t="n">
        <f aca="false">G6*'Key Assumptions'!G29</f>
        <v>1162.25152</v>
      </c>
      <c r="H19" s="22" t="n">
        <f aca="false">H6*'Key Assumptions'!H29</f>
        <v>1181.8844984</v>
      </c>
      <c r="I19" s="22" t="n">
        <f aca="false">I6*'Key Assumptions'!I29</f>
        <v>1200.70735728</v>
      </c>
      <c r="J19" s="22" t="n">
        <f aca="false">J6*'Key Assumptions'!J29</f>
        <v>1218.58513979296</v>
      </c>
      <c r="K19" s="22" t="n">
        <f aca="false">K6*'Key Assumptions'!K29</f>
        <v>1235.37061675221</v>
      </c>
    </row>
    <row r="21" customFormat="false" ht="15" hidden="false" customHeight="false" outlineLevel="0" collapsed="false">
      <c r="B21" s="5" t="s">
        <v>154</v>
      </c>
      <c r="C21" s="18" t="n">
        <f aca="false">SUM(C15:C19)</f>
        <v>7150.875</v>
      </c>
      <c r="D21" s="18" t="n">
        <f aca="false">SUM(D15:D19)</f>
        <v>12002.021</v>
      </c>
      <c r="E21" s="18" t="n">
        <f aca="false">SUM(E15:E19)</f>
        <v>14849.95</v>
      </c>
      <c r="F21" s="18" t="n">
        <f aca="false">SUM(F15:F19)</f>
        <v>14083.828</v>
      </c>
      <c r="G21" s="18" t="n">
        <f aca="false">SUM(G15:G19)</f>
        <v>12348.9224</v>
      </c>
      <c r="H21" s="18" t="n">
        <f aca="false">SUM(H15:H19)</f>
        <v>12810.1029504</v>
      </c>
      <c r="I21" s="18" t="n">
        <f aca="false">SUM(I15:I19)</f>
        <v>13287.828087232</v>
      </c>
      <c r="J21" s="18" t="n">
        <f aca="false">SUM(J15:J19)</f>
        <v>13782.6181328307</v>
      </c>
      <c r="K21" s="18" t="n">
        <f aca="false">SUM(K15:K19)</f>
        <v>14295.0028509898</v>
      </c>
    </row>
    <row r="22" customFormat="false" ht="15" hidden="false" customHeight="false" outlineLevel="0" collapsed="false">
      <c r="B22" s="12" t="s">
        <v>155</v>
      </c>
      <c r="C22" s="8" t="n">
        <f aca="false">IF(C6=0,0,C21/C6)</f>
        <v>0.375</v>
      </c>
      <c r="D22" s="8" t="n">
        <f aca="false">IF(D6=0,0,D21/D6)</f>
        <v>0.373</v>
      </c>
      <c r="E22" s="8" t="n">
        <f aca="false">IF(E6=0,0,E21/E6)</f>
        <v>0.37</v>
      </c>
      <c r="F22" s="8" t="n">
        <f aca="false">IF(F6=0,0,F21/F6)</f>
        <v>0.407</v>
      </c>
      <c r="G22" s="8" t="n">
        <f aca="false">IF(G6=0,0,G21/G6)</f>
        <v>0.34</v>
      </c>
      <c r="H22" s="8" t="n">
        <f aca="false">IF(H6=0,0,H21/H6)</f>
        <v>0.336</v>
      </c>
      <c r="I22" s="8" t="n">
        <f aca="false">IF(I6=0,0,I21/I6)</f>
        <v>0.332</v>
      </c>
      <c r="J22" s="8" t="n">
        <f aca="false">IF(J6=0,0,J21/J6)</f>
        <v>0.328</v>
      </c>
      <c r="K22" s="8" t="n">
        <f aca="false">IF(K6=0,0,K21/K6)</f>
        <v>0.324</v>
      </c>
    </row>
    <row r="24" customFormat="false" ht="15" hidden="false" customHeight="false" outlineLevel="0" collapsed="false">
      <c r="B24" s="5" t="s">
        <v>156</v>
      </c>
      <c r="C24" s="18" t="n">
        <f aca="false">C11-C21</f>
        <v>1906.88</v>
      </c>
      <c r="D24" s="18" t="n">
        <f aca="false">D11-D21</f>
        <v>3129.199</v>
      </c>
      <c r="E24" s="18" t="n">
        <f aca="false">E11-E21</f>
        <v>4623.58</v>
      </c>
      <c r="F24" s="18" t="n">
        <f aca="false">F11-F21</f>
        <v>2849.637</v>
      </c>
      <c r="G24" s="18" t="n">
        <f aca="false">G11-G21</f>
        <v>5639.0664</v>
      </c>
      <c r="H24" s="18" t="n">
        <f aca="false">H11-H21</f>
        <v>6161.3423704</v>
      </c>
      <c r="I24" s="18" t="n">
        <f aca="false">I11-I21</f>
        <v>6722.589520672</v>
      </c>
      <c r="J24" s="18" t="n">
        <f aca="false">J11-J21</f>
        <v>7325.51485655073</v>
      </c>
      <c r="K24" s="18" t="n">
        <f aca="false">K11-K21</f>
        <v>7973.00822289905</v>
      </c>
      <c r="L24" s="8" t="n">
        <f aca="false">IF(G24=0,0,(K24/G24)^(1/4)-1)</f>
        <v>0.0904449633990376</v>
      </c>
    </row>
    <row r="25" customFormat="false" ht="15" hidden="false" customHeight="false" outlineLevel="0" collapsed="false">
      <c r="B25" s="12" t="s">
        <v>157</v>
      </c>
      <c r="C25" s="8" t="n">
        <f aca="false">IF(C6=0,0,C24/C6)</f>
        <v>0.0999989511773035</v>
      </c>
      <c r="D25" s="8" t="n">
        <f aca="false">IF(D6=0,0,D24/D6)</f>
        <v>0.0972495571370855</v>
      </c>
      <c r="E25" s="8" t="n">
        <f aca="false">IF(E6=0,0,E24/E6)</f>
        <v>0.115200697645447</v>
      </c>
      <c r="F25" s="8" t="n">
        <f aca="false">IF(F6=0,0,F24/F6)</f>
        <v>0.0823499306438562</v>
      </c>
      <c r="G25" s="8" t="n">
        <f aca="false">IF(G6=0,0,G24/G6)</f>
        <v>0.155259099854737</v>
      </c>
      <c r="H25" s="8" t="n">
        <f aca="false">IF(H6=0,0,H24/H6)</f>
        <v>0.161607681411316</v>
      </c>
      <c r="I25" s="8" t="n">
        <f aca="false">IF(I6=0,0,I24/I6)</f>
        <v>0.167965728199606</v>
      </c>
      <c r="J25" s="8" t="n">
        <f aca="false">IF(J6=0,0,J24/J6)</f>
        <v>0.174333268889251</v>
      </c>
      <c r="K25" s="8" t="n">
        <f aca="false">IF(K6=0,0,K24/K6)</f>
        <v>0.180710328717453</v>
      </c>
    </row>
    <row r="26" customFormat="false" ht="15" hidden="false" customHeight="false" outlineLevel="0" collapsed="false">
      <c r="B26" s="12" t="s">
        <v>158</v>
      </c>
      <c r="C26" s="8"/>
      <c r="D26" s="8" t="n">
        <f aca="false">IF(C24=0,0,(D24-C24)/C24)</f>
        <v>0.641004677798288</v>
      </c>
      <c r="E26" s="8" t="n">
        <f aca="false">IF(D24=0,0,(E24-D24)/D24)</f>
        <v>0.477560231867644</v>
      </c>
      <c r="F26" s="8" t="n">
        <f aca="false">IF(E24=0,0,(F24-E24)/E24)</f>
        <v>-0.383673041236444</v>
      </c>
      <c r="G26" s="8" t="n">
        <f aca="false">IF(F24=0,0,(G24-F24)/F24)</f>
        <v>0.978871835254807</v>
      </c>
      <c r="H26" s="8" t="n">
        <f aca="false">IF(G24=0,0,(H24-G24)/G24)</f>
        <v>0.0926174535557868</v>
      </c>
      <c r="I26" s="8" t="n">
        <f aca="false">IF(H24=0,0,(I24-H24)/H24)</f>
        <v>0.0910916999140181</v>
      </c>
      <c r="J26" s="8" t="n">
        <f aca="false">IF(I24=0,0,(J24-I24)/I24)</f>
        <v>0.0896864718609881</v>
      </c>
      <c r="K26" s="8" t="n">
        <f aca="false">IF(J24=0,0,(K24-J24)/J24)</f>
        <v>0.088388786184675</v>
      </c>
    </row>
    <row r="28" customFormat="false" ht="15" hidden="false" customHeight="false" outlineLevel="0" collapsed="false">
      <c r="B28" s="6" t="s">
        <v>70</v>
      </c>
      <c r="C28" s="7" t="n">
        <f aca="false">'Key Assumptions'!C32</f>
        <v>800</v>
      </c>
      <c r="D28" s="7" t="n">
        <f aca="false">'Key Assumptions'!D32</f>
        <v>950</v>
      </c>
      <c r="E28" s="7" t="n">
        <f aca="false">'Key Assumptions'!E32</f>
        <v>1100</v>
      </c>
      <c r="F28" s="7" t="n">
        <f aca="false">'Key Assumptions'!F32</f>
        <v>1200</v>
      </c>
      <c r="G28" s="7" t="n">
        <f aca="false">'Key Assumptions'!G32</f>
        <v>1300</v>
      </c>
      <c r="H28" s="7" t="n">
        <f aca="false">'Key Assumptions'!H32</f>
        <v>1400</v>
      </c>
      <c r="I28" s="7" t="n">
        <f aca="false">'Key Assumptions'!I32</f>
        <v>1500</v>
      </c>
      <c r="J28" s="7" t="n">
        <f aca="false">'Key Assumptions'!J32</f>
        <v>1600</v>
      </c>
      <c r="K28" s="7" t="n">
        <f aca="false">'Key Assumptions'!K32</f>
        <v>1700</v>
      </c>
    </row>
    <row r="30" customFormat="false" ht="15" hidden="false" customHeight="false" outlineLevel="0" collapsed="false">
      <c r="B30" s="5" t="s">
        <v>159</v>
      </c>
      <c r="C30" s="18" t="n">
        <f aca="false">C24-C28</f>
        <v>1106.88</v>
      </c>
      <c r="D30" s="18" t="n">
        <f aca="false">D24-D28</f>
        <v>2179.199</v>
      </c>
      <c r="E30" s="18" t="n">
        <f aca="false">E24-E28</f>
        <v>3523.58</v>
      </c>
      <c r="F30" s="18" t="n">
        <f aca="false">F24-F28</f>
        <v>1649.637</v>
      </c>
      <c r="G30" s="18" t="n">
        <f aca="false">G24-G28</f>
        <v>4339.0664</v>
      </c>
      <c r="H30" s="18" t="n">
        <f aca="false">H24-H28</f>
        <v>4761.3423704</v>
      </c>
      <c r="I30" s="18" t="n">
        <f aca="false">I24-I28</f>
        <v>5222.589520672</v>
      </c>
      <c r="J30" s="18" t="n">
        <f aca="false">J24-J28</f>
        <v>5725.51485655073</v>
      </c>
      <c r="K30" s="18" t="n">
        <f aca="false">K24-K28</f>
        <v>6273.00822289905</v>
      </c>
    </row>
    <row r="32" customFormat="false" ht="15" hidden="false" customHeight="false" outlineLevel="0" collapsed="false">
      <c r="B32" s="6" t="s">
        <v>160</v>
      </c>
      <c r="G32" s="7" t="n">
        <f aca="false">'Debt Schedule'!C41</f>
        <v>1436.85575</v>
      </c>
      <c r="H32" s="7" t="n">
        <f aca="false">'Debt Schedule'!D41</f>
        <v>1420.009855</v>
      </c>
      <c r="I32" s="7" t="n">
        <f aca="false">'Debt Schedule'!E41</f>
        <v>1407.2931631</v>
      </c>
      <c r="J32" s="7" t="n">
        <f aca="false">'Debt Schedule'!F41</f>
        <v>1398.341646262</v>
      </c>
      <c r="K32" s="7" t="n">
        <f aca="false">'Debt Schedule'!G41</f>
        <v>1392.82865709724</v>
      </c>
    </row>
    <row r="33" customFormat="false" ht="15" hidden="false" customHeight="false" outlineLevel="0" collapsed="false">
      <c r="B33" s="6" t="s">
        <v>161</v>
      </c>
      <c r="G33" s="7" t="n">
        <f aca="false">'Debt Schedule'!C42</f>
        <v>433.246</v>
      </c>
      <c r="H33" s="7" t="n">
        <f aca="false">'Debt Schedule'!D42</f>
        <v>477.86112</v>
      </c>
      <c r="I33" s="7" t="n">
        <f aca="false">'Debt Schedule'!E42</f>
        <v>528.7610724</v>
      </c>
      <c r="J33" s="7" t="n">
        <f aca="false">'Debt Schedule'!F42</f>
        <v>586.880433348</v>
      </c>
      <c r="K33" s="7" t="n">
        <f aca="false">'Debt Schedule'!G42</f>
        <v>653.29380243996</v>
      </c>
    </row>
    <row r="35" customFormat="false" ht="15" hidden="false" customHeight="false" outlineLevel="0" collapsed="false">
      <c r="B35" s="5" t="s">
        <v>162</v>
      </c>
      <c r="G35" s="28" t="n">
        <f aca="false">G30-G32-G33</f>
        <v>2468.96465</v>
      </c>
      <c r="H35" s="28" t="n">
        <f aca="false">H30-H32-H33</f>
        <v>2863.4713954</v>
      </c>
      <c r="I35" s="28" t="n">
        <f aca="false">I30-I32-I33</f>
        <v>3286.535285172</v>
      </c>
      <c r="J35" s="28" t="n">
        <f aca="false">J30-J32-J33</f>
        <v>3740.29277694073</v>
      </c>
      <c r="K35" s="28" t="n">
        <f aca="false">K30-K32-K33</f>
        <v>4226.88576336185</v>
      </c>
    </row>
    <row r="36" customFormat="false" ht="15" hidden="false" customHeight="false" outlineLevel="0" collapsed="false">
      <c r="B36" s="6" t="s">
        <v>163</v>
      </c>
      <c r="G36" s="22" t="n">
        <f aca="false">MAX(0,G35*'Key Assumptions'!$C$136)</f>
        <v>0</v>
      </c>
      <c r="H36" s="22" t="n">
        <f aca="false">MAX(0,H35*'Key Assumptions'!$C$136)</f>
        <v>0</v>
      </c>
      <c r="I36" s="22" t="n">
        <f aca="false">MAX(0,I35*'Key Assumptions'!$C$136)</f>
        <v>0</v>
      </c>
      <c r="J36" s="22" t="n">
        <f aca="false">MAX(0,J35*'Key Assumptions'!$C$136)</f>
        <v>0</v>
      </c>
      <c r="K36" s="22" t="n">
        <f aca="false">MAX(0,K35*'Key Assumptions'!$C$136)</f>
        <v>0</v>
      </c>
    </row>
    <row r="38" customFormat="false" ht="15" hidden="false" customHeight="false" outlineLevel="0" collapsed="false">
      <c r="B38" s="5" t="s">
        <v>164</v>
      </c>
      <c r="G38" s="13" t="n">
        <f aca="false">G35-G36</f>
        <v>2468.96465</v>
      </c>
      <c r="H38" s="13" t="n">
        <f aca="false">H35-H36</f>
        <v>2863.4713954</v>
      </c>
      <c r="I38" s="13" t="n">
        <f aca="false">I35-I36</f>
        <v>3286.535285172</v>
      </c>
      <c r="J38" s="13" t="n">
        <f aca="false">J35-J36</f>
        <v>3740.29277694073</v>
      </c>
      <c r="K38" s="13" t="n">
        <f aca="false">K35-K36</f>
        <v>4226.88576336185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8" min="3" style="0" width="14"/>
  </cols>
  <sheetData>
    <row r="1" customFormat="false" ht="17.35" hidden="false" customHeight="false" outlineLevel="0" collapsed="false">
      <c r="B1" s="1" t="s">
        <v>165</v>
      </c>
    </row>
    <row r="2" customFormat="false" ht="15" hidden="false" customHeight="false" outlineLevel="0" collapsed="false">
      <c r="B2" s="2" t="s">
        <v>166</v>
      </c>
    </row>
    <row r="4" customFormat="false" ht="15" hidden="false" customHeight="false" outlineLevel="0" collapsed="false">
      <c r="C4" s="4" t="s">
        <v>167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</row>
    <row r="6" customFormat="false" ht="15" hidden="false" customHeight="false" outlineLevel="0" collapsed="false">
      <c r="B6" s="3" t="s">
        <v>168</v>
      </c>
    </row>
    <row r="7" customFormat="false" ht="15" hidden="false" customHeight="false" outlineLevel="0" collapsed="false">
      <c r="B7" s="6" t="s">
        <v>169</v>
      </c>
      <c r="C7" s="7" t="n">
        <f aca="false">'Key Assumptions'!C137</f>
        <v>500</v>
      </c>
      <c r="D7" s="7" t="n">
        <f aca="false">'Cash Flow'!C44</f>
        <v>2308.37120994521</v>
      </c>
      <c r="E7" s="7" t="n">
        <f aca="false">'Cash Flow'!D44</f>
        <v>4781.56923264318</v>
      </c>
      <c r="F7" s="7" t="n">
        <f aca="false">'Cash Flow'!E44</f>
        <v>7806.82509216233</v>
      </c>
      <c r="G7" s="7" t="n">
        <f aca="false">'Cash Flow'!F44</f>
        <v>11415.6765738997</v>
      </c>
      <c r="H7" s="7" t="n">
        <f aca="false">'Cash Flow'!G44</f>
        <v>15643.6340432819</v>
      </c>
    </row>
    <row r="8" customFormat="false" ht="15" hidden="false" customHeight="false" outlineLevel="0" collapsed="false">
      <c r="B8" s="6" t="s">
        <v>170</v>
      </c>
      <c r="C8" s="22" t="n">
        <f aca="false">'Income Statement'!F6*'Key Assumptions'!F38/365</f>
        <v>5432.35397260274</v>
      </c>
      <c r="D8" s="22" t="n">
        <f aca="false">'Income Statement'!G6*'Key Assumptions'!G38/365</f>
        <v>5701.79898082192</v>
      </c>
      <c r="E8" s="22" t="n">
        <f aca="false">'Income Statement'!H6*'Key Assumptions'!H38/365</f>
        <v>5870.25265665754</v>
      </c>
      <c r="F8" s="22" t="n">
        <f aca="false">'Income Statement'!I6*'Key Assumptions'!I38/365</f>
        <v>6041.91556037699</v>
      </c>
      <c r="G8" s="22" t="n">
        <f aca="false">'Income Statement'!J6*'Key Assumptions'!J38/365</f>
        <v>6216.68375520263</v>
      </c>
      <c r="H8" s="22" t="n">
        <f aca="false">'Income Statement'!K6*'Key Assumptions'!K38/365</f>
        <v>6394.43303583089</v>
      </c>
    </row>
    <row r="9" customFormat="false" ht="15" hidden="false" customHeight="false" outlineLevel="0" collapsed="false">
      <c r="B9" s="6" t="s">
        <v>171</v>
      </c>
      <c r="C9" s="22" t="n">
        <f aca="false">'Income Statement'!F9*'Key Assumptions'!F39/365</f>
        <v>353.4107</v>
      </c>
      <c r="D9" s="22" t="n">
        <f aca="false">'Income Statement'!G9*'Key Assumptions'!G39/365</f>
        <v>366.647424</v>
      </c>
      <c r="E9" s="22" t="n">
        <f aca="false">'Income Statement'!H9*'Key Assumptions'!H39/365</f>
        <v>388.324854756384</v>
      </c>
      <c r="F9" s="22" t="n">
        <f aca="false">'Income Statement'!I9*'Key Assumptions'!I39/365</f>
        <v>411.229334960877</v>
      </c>
      <c r="G9" s="22" t="n">
        <f aca="false">'Income Statement'!J9*'Key Assumptions'!J39/365</f>
        <v>435.428866468288</v>
      </c>
      <c r="H9" s="22" t="n">
        <f aca="false">'Income Statement'!K9*'Key Assumptions'!K39/365</f>
        <v>460.995162569623</v>
      </c>
    </row>
    <row r="10" customFormat="false" ht="15" hidden="false" customHeight="false" outlineLevel="0" collapsed="false">
      <c r="B10" s="6" t="s">
        <v>172</v>
      </c>
      <c r="C10" s="16" t="n">
        <v>200</v>
      </c>
      <c r="D10" s="7" t="n">
        <f aca="false">'Key Assumptions'!G42</f>
        <v>200</v>
      </c>
      <c r="E10" s="7" t="n">
        <f aca="false">'Key Assumptions'!H42</f>
        <v>200</v>
      </c>
      <c r="F10" s="7" t="n">
        <f aca="false">'Key Assumptions'!I42</f>
        <v>200</v>
      </c>
      <c r="G10" s="7" t="n">
        <f aca="false">'Key Assumptions'!J42</f>
        <v>200</v>
      </c>
      <c r="H10" s="7" t="n">
        <f aca="false">'Key Assumptions'!K42</f>
        <v>200</v>
      </c>
    </row>
    <row r="12" customFormat="false" ht="15" hidden="false" customHeight="false" outlineLevel="0" collapsed="false">
      <c r="B12" s="5" t="s">
        <v>173</v>
      </c>
      <c r="C12" s="18" t="n">
        <f aca="false">SUM(C7:C10)</f>
        <v>6485.76467260274</v>
      </c>
      <c r="D12" s="18" t="n">
        <f aca="false">SUM(D7:D10)</f>
        <v>8576.81761476713</v>
      </c>
      <c r="E12" s="18" t="n">
        <f aca="false">SUM(E7:E10)</f>
        <v>11240.1467440571</v>
      </c>
      <c r="F12" s="18" t="n">
        <f aca="false">SUM(F7:F10)</f>
        <v>14459.9699875002</v>
      </c>
      <c r="G12" s="18" t="n">
        <f aca="false">SUM(G7:G10)</f>
        <v>18267.7891955706</v>
      </c>
      <c r="H12" s="18" t="n">
        <f aca="false">SUM(H7:H10)</f>
        <v>22699.0622416824</v>
      </c>
    </row>
    <row r="14" customFormat="false" ht="15" hidden="false" customHeight="false" outlineLevel="0" collapsed="false">
      <c r="B14" s="6" t="s">
        <v>174</v>
      </c>
      <c r="C14" s="16" t="n">
        <v>5000</v>
      </c>
      <c r="D14" s="22" t="n">
        <f aca="false">C14+'Key Assumptions'!G33+'Key Assumptions'!G34-'Key Assumptions'!G32</f>
        <v>5200</v>
      </c>
      <c r="E14" s="22" t="n">
        <f aca="false">D14+'Key Assumptions'!H33+'Key Assumptions'!H34-'Key Assumptions'!H32</f>
        <v>5400</v>
      </c>
      <c r="F14" s="22" t="n">
        <f aca="false">E14+'Key Assumptions'!I33+'Key Assumptions'!I34-'Key Assumptions'!I32</f>
        <v>5600</v>
      </c>
      <c r="G14" s="22" t="n">
        <f aca="false">F14+'Key Assumptions'!J33+'Key Assumptions'!J34-'Key Assumptions'!J32</f>
        <v>5800</v>
      </c>
      <c r="H14" s="22" t="n">
        <f aca="false">G14+'Key Assumptions'!K33+'Key Assumptions'!K34-'Key Assumptions'!K32</f>
        <v>6000</v>
      </c>
    </row>
    <row r="15" customFormat="false" ht="15" hidden="false" customHeight="false" outlineLevel="0" collapsed="false">
      <c r="B15" s="6" t="s">
        <v>175</v>
      </c>
      <c r="C15" s="16" t="n">
        <v>0</v>
      </c>
      <c r="D15" s="22" t="n">
        <f aca="false">C15</f>
        <v>0</v>
      </c>
      <c r="E15" s="22" t="n">
        <f aca="false">D15</f>
        <v>0</v>
      </c>
      <c r="F15" s="22" t="n">
        <f aca="false">E15</f>
        <v>0</v>
      </c>
      <c r="G15" s="22" t="n">
        <f aca="false">F15</f>
        <v>0</v>
      </c>
      <c r="H15" s="22" t="n">
        <f aca="false">G15</f>
        <v>0</v>
      </c>
    </row>
    <row r="17" customFormat="false" ht="15" hidden="false" customHeight="false" outlineLevel="0" collapsed="false">
      <c r="B17" s="5" t="s">
        <v>176</v>
      </c>
      <c r="C17" s="13" t="n">
        <f aca="false">C12+C14+C15</f>
        <v>11485.7646726027</v>
      </c>
      <c r="D17" s="13" t="n">
        <f aca="false">D12+D14+D15</f>
        <v>13776.8176147671</v>
      </c>
      <c r="E17" s="13" t="n">
        <f aca="false">E12+E14+E15</f>
        <v>16640.1467440571</v>
      </c>
      <c r="F17" s="13" t="n">
        <f aca="false">F12+F14+F15</f>
        <v>20059.9699875002</v>
      </c>
      <c r="G17" s="13" t="n">
        <f aca="false">G12+G14+G15</f>
        <v>24067.7891955706</v>
      </c>
      <c r="H17" s="13" t="n">
        <f aca="false">H12+H14+H15</f>
        <v>28699.0622416824</v>
      </c>
    </row>
    <row r="19" customFormat="false" ht="15" hidden="false" customHeight="false" outlineLevel="0" collapsed="false">
      <c r="B19" s="3" t="s">
        <v>177</v>
      </c>
    </row>
    <row r="20" customFormat="false" ht="15" hidden="false" customHeight="false" outlineLevel="0" collapsed="false">
      <c r="B20" s="6" t="s">
        <v>178</v>
      </c>
      <c r="C20" s="22" t="n">
        <f aca="false">'Income Statement'!F9*'Key Assumptions'!F40/365</f>
        <v>2769.19069041096</v>
      </c>
      <c r="D20" s="22" t="n">
        <f aca="false">'Income Statement'!G9*'Key Assumptions'!G40/365</f>
        <v>2872.90858257534</v>
      </c>
      <c r="E20" s="22" t="n">
        <f aca="false">'Income Statement'!H9*'Key Assumptions'!H40/365</f>
        <v>3027.88434046532</v>
      </c>
      <c r="F20" s="22" t="n">
        <f aca="false">'Income Statement'!I9*'Key Assumptions'!I40/365</f>
        <v>3191.1396392964</v>
      </c>
      <c r="G20" s="22" t="n">
        <f aca="false">'Income Statement'!J9*'Key Assumptions'!J40/365</f>
        <v>3363.11506074849</v>
      </c>
      <c r="H20" s="22" t="n">
        <f aca="false">'Income Statement'!K9*'Key Assumptions'!K40/365</f>
        <v>3544.27449663918</v>
      </c>
    </row>
    <row r="21" customFormat="false" ht="15" hidden="false" customHeight="false" outlineLevel="0" collapsed="false">
      <c r="B21" s="6" t="s">
        <v>179</v>
      </c>
      <c r="C21" s="22" t="n">
        <f aca="false">'Income Statement'!F6*'Key Assumptions'!F41</f>
        <v>1384.16</v>
      </c>
      <c r="D21" s="22" t="n">
        <f aca="false">'Income Statement'!G6*'Key Assumptions'!G41</f>
        <v>1452.8144</v>
      </c>
      <c r="E21" s="22" t="n">
        <f aca="false">'Income Statement'!H6*'Key Assumptions'!H41</f>
        <v>1525.012256</v>
      </c>
      <c r="F21" s="22" t="n">
        <f aca="false">'Income Statement'!I6*'Key Assumptions'!I41</f>
        <v>1600.94314304</v>
      </c>
      <c r="G21" s="22" t="n">
        <f aca="false">'Income Statement'!J6*'Key Assumptions'!J41</f>
        <v>1680.8070893696</v>
      </c>
      <c r="H21" s="22" t="n">
        <f aca="false">'Income Statement'!K6*'Key Assumptions'!K41</f>
        <v>1764.81516678886</v>
      </c>
    </row>
    <row r="22" customFormat="false" ht="15" hidden="false" customHeight="false" outlineLevel="0" collapsed="false">
      <c r="B22" s="6" t="s">
        <v>180</v>
      </c>
      <c r="C22" s="16" t="n">
        <v>150</v>
      </c>
      <c r="D22" s="7" t="n">
        <f aca="false">'Key Assumptions'!G43</f>
        <v>150</v>
      </c>
      <c r="E22" s="7" t="n">
        <f aca="false">'Key Assumptions'!H43</f>
        <v>150</v>
      </c>
      <c r="F22" s="7" t="n">
        <f aca="false">'Key Assumptions'!I43</f>
        <v>150</v>
      </c>
      <c r="G22" s="7" t="n">
        <f aca="false">'Key Assumptions'!J43</f>
        <v>150</v>
      </c>
      <c r="H22" s="7" t="n">
        <f aca="false">'Key Assumptions'!K43</f>
        <v>150</v>
      </c>
    </row>
    <row r="23" customFormat="false" ht="15" hidden="false" customHeight="false" outlineLevel="0" collapsed="false">
      <c r="B23" s="6" t="s">
        <v>181</v>
      </c>
      <c r="C23" s="22" t="n">
        <f aca="false">'Key Assumptions'!C87*'Key Assumptions'!C120</f>
        <v>783.53</v>
      </c>
      <c r="D23" s="22" t="n">
        <f aca="false">'Debt Schedule'!C7*'Key Assumptions'!$C$120</f>
        <v>783.53</v>
      </c>
      <c r="E23" s="22" t="n">
        <f aca="false">'Debt Schedule'!D7*'Key Assumptions'!$C$120</f>
        <v>705.177</v>
      </c>
      <c r="F23" s="22" t="n">
        <f aca="false">'Debt Schedule'!E7*'Key Assumptions'!$C$120</f>
        <v>634.6593</v>
      </c>
      <c r="G23" s="22" t="n">
        <f aca="false">'Debt Schedule'!F7*'Key Assumptions'!$C$120</f>
        <v>571.19337</v>
      </c>
      <c r="H23" s="22" t="n">
        <f aca="false">'Debt Schedule'!G7*'Key Assumptions'!$C$120</f>
        <v>514.074033</v>
      </c>
    </row>
    <row r="25" customFormat="false" ht="15" hidden="false" customHeight="false" outlineLevel="0" collapsed="false">
      <c r="B25" s="5" t="s">
        <v>182</v>
      </c>
      <c r="C25" s="18" t="n">
        <f aca="false">SUM(C20:C23)</f>
        <v>5086.88069041096</v>
      </c>
      <c r="D25" s="18" t="n">
        <f aca="false">SUM(D20:D23)</f>
        <v>5259.25298257534</v>
      </c>
      <c r="E25" s="18" t="n">
        <f aca="false">SUM(E20:E23)</f>
        <v>5408.07359646532</v>
      </c>
      <c r="F25" s="18" t="n">
        <f aca="false">SUM(F20:F23)</f>
        <v>5576.74208233641</v>
      </c>
      <c r="G25" s="18" t="n">
        <f aca="false">SUM(G20:G23)</f>
        <v>5765.11552011809</v>
      </c>
      <c r="H25" s="18" t="n">
        <f aca="false">SUM(H20:H23)</f>
        <v>5973.16369642804</v>
      </c>
    </row>
    <row r="27" customFormat="false" ht="15" hidden="false" customHeight="false" outlineLevel="0" collapsed="false">
      <c r="B27" s="6" t="s">
        <v>183</v>
      </c>
      <c r="C27" s="7" t="n">
        <f aca="false">'Key Assumptions'!C87</f>
        <v>7835.3</v>
      </c>
      <c r="D27" s="7" t="n">
        <f aca="false">'Debt Schedule'!C10</f>
        <v>7051.77</v>
      </c>
      <c r="E27" s="7" t="n">
        <f aca="false">'Debt Schedule'!D10</f>
        <v>6346.593</v>
      </c>
      <c r="F27" s="7" t="n">
        <f aca="false">'Debt Schedule'!E10</f>
        <v>5711.9337</v>
      </c>
      <c r="G27" s="7" t="n">
        <f aca="false">'Debt Schedule'!F10</f>
        <v>5140.74033</v>
      </c>
      <c r="H27" s="7" t="n">
        <f aca="false">'Debt Schedule'!G10</f>
        <v>4626.666297</v>
      </c>
    </row>
    <row r="28" customFormat="false" ht="15" hidden="false" customHeight="false" outlineLevel="0" collapsed="false">
      <c r="B28" s="6" t="s">
        <v>184</v>
      </c>
      <c r="C28" s="7" t="n">
        <f aca="false">'Key Assumptions'!C88</f>
        <v>7835.3</v>
      </c>
      <c r="D28" s="7" t="n">
        <f aca="false">'Debt Schedule'!C16</f>
        <v>7992.006</v>
      </c>
      <c r="E28" s="7" t="n">
        <f aca="false">'Debt Schedule'!D16</f>
        <v>8151.84612</v>
      </c>
      <c r="F28" s="7" t="n">
        <f aca="false">'Debt Schedule'!E16</f>
        <v>8314.8830424</v>
      </c>
      <c r="G28" s="7" t="n">
        <f aca="false">'Debt Schedule'!F16</f>
        <v>8481.180703248</v>
      </c>
      <c r="H28" s="7" t="n">
        <f aca="false">'Debt Schedule'!G16</f>
        <v>8650.80431731296</v>
      </c>
    </row>
    <row r="29" customFormat="false" ht="15" hidden="false" customHeight="false" outlineLevel="0" collapsed="false">
      <c r="B29" s="6" t="s">
        <v>20</v>
      </c>
      <c r="C29" s="7" t="n">
        <f aca="false">'Key Assumptions'!C89</f>
        <v>921.8</v>
      </c>
      <c r="D29" s="7" t="n">
        <f aca="false">'Debt Schedule'!C20</f>
        <v>921.8</v>
      </c>
      <c r="E29" s="7" t="n">
        <f aca="false">'Debt Schedule'!D20</f>
        <v>921.8</v>
      </c>
      <c r="F29" s="7" t="n">
        <f aca="false">'Debt Schedule'!E20</f>
        <v>921.8</v>
      </c>
      <c r="G29" s="7" t="n">
        <f aca="false">'Debt Schedule'!F20</f>
        <v>921.8</v>
      </c>
      <c r="H29" s="7" t="n">
        <f aca="false">'Debt Schedule'!G20</f>
        <v>921.8</v>
      </c>
    </row>
    <row r="30" customFormat="false" ht="15" hidden="false" customHeight="false" outlineLevel="0" collapsed="false">
      <c r="B30" s="6" t="s">
        <v>40</v>
      </c>
      <c r="C30" s="7" t="n">
        <f aca="false">'Key Assumptions'!C90</f>
        <v>921.8</v>
      </c>
      <c r="D30" s="7" t="n">
        <f aca="false">'Debt Schedule'!C22</f>
        <v>921.8</v>
      </c>
      <c r="E30" s="7" t="n">
        <f aca="false">'Debt Schedule'!D22</f>
        <v>921.8</v>
      </c>
      <c r="F30" s="7" t="n">
        <f aca="false">'Debt Schedule'!E22</f>
        <v>921.8</v>
      </c>
      <c r="G30" s="7" t="n">
        <f aca="false">'Debt Schedule'!F22</f>
        <v>921.8</v>
      </c>
      <c r="H30" s="7" t="n">
        <f aca="false">'Debt Schedule'!G22</f>
        <v>921.8</v>
      </c>
    </row>
    <row r="31" customFormat="false" ht="15" hidden="false" customHeight="false" outlineLevel="0" collapsed="false">
      <c r="B31" s="6" t="s">
        <v>185</v>
      </c>
      <c r="C31" s="7" t="n">
        <f aca="false">'Key Assumptions'!C91</f>
        <v>1843.6</v>
      </c>
      <c r="D31" s="7" t="n">
        <f aca="false">'Debt Schedule'!C28</f>
        <v>2120.14</v>
      </c>
      <c r="E31" s="7" t="n">
        <f aca="false">'Debt Schedule'!D28</f>
        <v>2438.161</v>
      </c>
      <c r="F31" s="7" t="n">
        <f aca="false">'Debt Schedule'!E28</f>
        <v>2803.88515</v>
      </c>
      <c r="G31" s="7" t="n">
        <f aca="false">'Debt Schedule'!F28</f>
        <v>3224.4679225</v>
      </c>
      <c r="H31" s="7" t="n">
        <f aca="false">'Debt Schedule'!G28</f>
        <v>3708.138110875</v>
      </c>
    </row>
    <row r="32" customFormat="false" ht="15" hidden="false" customHeight="false" outlineLevel="0" collapsed="false">
      <c r="B32" s="6" t="s">
        <v>186</v>
      </c>
      <c r="C32" s="22" t="n">
        <f aca="false">'Key Assumptions'!C92+'Key Assumptions'!C93</f>
        <v>5069.9</v>
      </c>
      <c r="D32" s="22" t="n">
        <f aca="false">C32</f>
        <v>5069.9</v>
      </c>
      <c r="E32" s="22" t="n">
        <f aca="false">D32</f>
        <v>5069.9</v>
      </c>
      <c r="F32" s="22" t="n">
        <f aca="false">E32</f>
        <v>5069.9</v>
      </c>
      <c r="G32" s="22" t="n">
        <f aca="false">F32</f>
        <v>5069.9</v>
      </c>
      <c r="H32" s="22" t="n">
        <f aca="false">G32</f>
        <v>5069.9</v>
      </c>
    </row>
    <row r="34" customFormat="false" ht="15" hidden="false" customHeight="false" outlineLevel="0" collapsed="false">
      <c r="B34" s="5" t="s">
        <v>187</v>
      </c>
      <c r="C34" s="18" t="n">
        <f aca="false">C25+SUM(C27:C32)</f>
        <v>29514.580690411</v>
      </c>
      <c r="D34" s="18" t="n">
        <f aca="false">D25+SUM(D27:D32)</f>
        <v>29336.6689825753</v>
      </c>
      <c r="E34" s="18" t="n">
        <f aca="false">E25+SUM(E27:E32)</f>
        <v>29258.1737164653</v>
      </c>
      <c r="F34" s="18" t="n">
        <f aca="false">F25+SUM(F27:F32)</f>
        <v>29320.9439747364</v>
      </c>
      <c r="G34" s="18" t="n">
        <f aca="false">G25+SUM(G27:G32)</f>
        <v>29525.0044758661</v>
      </c>
      <c r="H34" s="18" t="n">
        <f aca="false">H25+SUM(H27:H32)</f>
        <v>29872.272421616</v>
      </c>
    </row>
    <row r="36" customFormat="false" ht="15" hidden="false" customHeight="false" outlineLevel="0" collapsed="false">
      <c r="B36" s="3" t="s">
        <v>188</v>
      </c>
    </row>
    <row r="37" customFormat="false" ht="15" hidden="false" customHeight="false" outlineLevel="0" collapsed="false">
      <c r="B37" s="6" t="s">
        <v>189</v>
      </c>
      <c r="C37" s="7" t="n">
        <f aca="false">'Key Assumptions'!C94</f>
        <v>1462.5</v>
      </c>
      <c r="D37" s="22" t="n">
        <f aca="false">C37</f>
        <v>1462.5</v>
      </c>
      <c r="E37" s="22" t="n">
        <f aca="false">D37</f>
        <v>1462.5</v>
      </c>
      <c r="F37" s="22" t="n">
        <f aca="false">E37</f>
        <v>1462.5</v>
      </c>
      <c r="G37" s="22" t="n">
        <f aca="false">F37</f>
        <v>1462.5</v>
      </c>
      <c r="H37" s="22" t="n">
        <f aca="false">G37</f>
        <v>1462.5</v>
      </c>
    </row>
    <row r="38" customFormat="false" ht="15" hidden="false" customHeight="false" outlineLevel="0" collapsed="false">
      <c r="B38" s="6" t="s">
        <v>190</v>
      </c>
      <c r="C38" s="16" t="n">
        <v>0</v>
      </c>
      <c r="D38" s="22" t="n">
        <f aca="false">C38+'Income Statement'!G38</f>
        <v>2468.96465</v>
      </c>
      <c r="E38" s="22" t="n">
        <f aca="false">D38+'Income Statement'!H38</f>
        <v>5332.43604540001</v>
      </c>
      <c r="F38" s="22" t="n">
        <f aca="false">E38+'Income Statement'!I38</f>
        <v>8618.97133057201</v>
      </c>
      <c r="G38" s="22" t="n">
        <f aca="false">F38+'Income Statement'!J38</f>
        <v>12359.2641075127</v>
      </c>
      <c r="H38" s="22" t="n">
        <f aca="false">G38+'Income Statement'!K38</f>
        <v>16586.1498708746</v>
      </c>
    </row>
    <row r="40" customFormat="false" ht="15" hidden="false" customHeight="false" outlineLevel="0" collapsed="false">
      <c r="B40" s="5" t="s">
        <v>191</v>
      </c>
      <c r="C40" s="28" t="n">
        <f aca="false">C37+C38</f>
        <v>1462.5</v>
      </c>
      <c r="D40" s="28" t="n">
        <f aca="false">D37+D38</f>
        <v>3931.46465</v>
      </c>
      <c r="E40" s="28" t="n">
        <f aca="false">E37+E38</f>
        <v>6794.9360454</v>
      </c>
      <c r="F40" s="28" t="n">
        <f aca="false">F37+F38</f>
        <v>10081.471330572</v>
      </c>
      <c r="G40" s="28" t="n">
        <f aca="false">G37+G38</f>
        <v>13821.7641075127</v>
      </c>
      <c r="H40" s="28" t="n">
        <f aca="false">H37+H38</f>
        <v>18048.6498708746</v>
      </c>
    </row>
    <row r="42" customFormat="false" ht="15" hidden="false" customHeight="false" outlineLevel="0" collapsed="false">
      <c r="B42" s="5" t="s">
        <v>192</v>
      </c>
      <c r="C42" s="13" t="n">
        <f aca="false">C34+C40</f>
        <v>30977.080690411</v>
      </c>
      <c r="D42" s="13" t="n">
        <f aca="false">D34+D40</f>
        <v>33268.1336325753</v>
      </c>
      <c r="E42" s="13" t="n">
        <f aca="false">E34+E40</f>
        <v>36053.1097618653</v>
      </c>
      <c r="F42" s="13" t="n">
        <f aca="false">F34+F40</f>
        <v>39402.4153053084</v>
      </c>
      <c r="G42" s="13" t="n">
        <f aca="false">G34+G40</f>
        <v>43346.7685833788</v>
      </c>
      <c r="H42" s="13" t="n">
        <f aca="false">H34+H40</f>
        <v>47920.9222924906</v>
      </c>
    </row>
    <row r="44" customFormat="false" ht="15" hidden="false" customHeight="false" outlineLevel="0" collapsed="false">
      <c r="B44" s="5" t="s">
        <v>193</v>
      </c>
      <c r="C44" s="29" t="n">
        <f aca="false">C17-C42</f>
        <v>-19491.3160178082</v>
      </c>
      <c r="D44" s="29" t="n">
        <f aca="false">D17-D42</f>
        <v>-19491.3160178082</v>
      </c>
      <c r="E44" s="29" t="n">
        <f aca="false">E17-E42</f>
        <v>-19412.9630178082</v>
      </c>
      <c r="F44" s="29" t="n">
        <f aca="false">F17-F42</f>
        <v>-19342.4453178082</v>
      </c>
      <c r="G44" s="29" t="n">
        <f aca="false">G17-G42</f>
        <v>-19278.9793878082</v>
      </c>
      <c r="H44" s="29" t="n">
        <f aca="false">H17-H42</f>
        <v>-19221.8600508082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7" min="3" style="0" width="14"/>
  </cols>
  <sheetData>
    <row r="1" customFormat="false" ht="17.35" hidden="false" customHeight="false" outlineLevel="0" collapsed="false">
      <c r="B1" s="1" t="s">
        <v>194</v>
      </c>
    </row>
    <row r="2" customFormat="false" ht="15" hidden="false" customHeight="false" outlineLevel="0" collapsed="false">
      <c r="B2" s="2" t="s">
        <v>129</v>
      </c>
    </row>
    <row r="4" customFormat="false" ht="15" hidden="false" customHeight="false" outlineLevel="0" collapsed="false">
      <c r="C4" s="4" t="s">
        <v>50</v>
      </c>
      <c r="D4" s="4" t="s">
        <v>51</v>
      </c>
      <c r="E4" s="4" t="s">
        <v>52</v>
      </c>
      <c r="F4" s="4" t="s">
        <v>53</v>
      </c>
      <c r="G4" s="4" t="s">
        <v>54</v>
      </c>
    </row>
    <row r="6" customFormat="false" ht="15" hidden="false" customHeight="false" outlineLevel="0" collapsed="false">
      <c r="B6" s="3" t="s">
        <v>195</v>
      </c>
    </row>
    <row r="7" customFormat="false" ht="15" hidden="false" customHeight="false" outlineLevel="0" collapsed="false">
      <c r="B7" s="12" t="s">
        <v>196</v>
      </c>
      <c r="C7" s="22" t="n">
        <f aca="false">'Balance Sheet'!D8-'Balance Sheet'!C8</f>
        <v>269.445008219179</v>
      </c>
      <c r="D7" s="22" t="n">
        <f aca="false">'Balance Sheet'!E8-'Balance Sheet'!D8</f>
        <v>168.453675835618</v>
      </c>
      <c r="E7" s="22" t="n">
        <f aca="false">'Balance Sheet'!F8-'Balance Sheet'!E8</f>
        <v>171.66290371945</v>
      </c>
      <c r="F7" s="22" t="n">
        <f aca="false">'Balance Sheet'!G8-'Balance Sheet'!F8</f>
        <v>174.768194825645</v>
      </c>
      <c r="G7" s="22" t="n">
        <f aca="false">'Balance Sheet'!H8-'Balance Sheet'!G8</f>
        <v>177.749280628254</v>
      </c>
    </row>
    <row r="8" customFormat="false" ht="15" hidden="false" customHeight="false" outlineLevel="0" collapsed="false">
      <c r="B8" s="12" t="s">
        <v>197</v>
      </c>
      <c r="C8" s="22" t="n">
        <f aca="false">'Balance Sheet'!D9-'Balance Sheet'!C9</f>
        <v>13.236724</v>
      </c>
      <c r="D8" s="22" t="n">
        <f aca="false">'Balance Sheet'!E9-'Balance Sheet'!D9</f>
        <v>21.6774307563836</v>
      </c>
      <c r="E8" s="22" t="n">
        <f aca="false">'Balance Sheet'!F9-'Balance Sheet'!E9</f>
        <v>22.9044802044932</v>
      </c>
      <c r="F8" s="22" t="n">
        <f aca="false">'Balance Sheet'!G9-'Balance Sheet'!F9</f>
        <v>24.1995315074111</v>
      </c>
      <c r="G8" s="22" t="n">
        <f aca="false">'Balance Sheet'!H9-'Balance Sheet'!G9</f>
        <v>25.5662961013347</v>
      </c>
    </row>
    <row r="9" customFormat="false" ht="15" hidden="false" customHeight="false" outlineLevel="0" collapsed="false">
      <c r="B9" s="12" t="s">
        <v>198</v>
      </c>
      <c r="C9" s="22" t="n">
        <f aca="false">'Balance Sheet'!D20-'Balance Sheet'!C20</f>
        <v>103.717892164383</v>
      </c>
      <c r="D9" s="22" t="n">
        <f aca="false">'Balance Sheet'!E20-'Balance Sheet'!D20</f>
        <v>154.975757889973</v>
      </c>
      <c r="E9" s="22" t="n">
        <f aca="false">'Balance Sheet'!F20-'Balance Sheet'!E20</f>
        <v>163.255298831088</v>
      </c>
      <c r="F9" s="22" t="n">
        <f aca="false">'Balance Sheet'!G20-'Balance Sheet'!F20</f>
        <v>171.975421452083</v>
      </c>
      <c r="G9" s="22" t="n">
        <f aca="false">'Balance Sheet'!H20-'Balance Sheet'!G20</f>
        <v>181.15943589069</v>
      </c>
    </row>
    <row r="10" customFormat="false" ht="15" hidden="false" customHeight="false" outlineLevel="0" collapsed="false">
      <c r="B10" s="12" t="s">
        <v>199</v>
      </c>
      <c r="C10" s="22" t="n">
        <f aca="false">'Balance Sheet'!D21-'Balance Sheet'!C21</f>
        <v>68.6543999999999</v>
      </c>
      <c r="D10" s="22" t="n">
        <f aca="false">'Balance Sheet'!E21-'Balance Sheet'!D21</f>
        <v>72.1978560000005</v>
      </c>
      <c r="E10" s="22" t="n">
        <f aca="false">'Balance Sheet'!F21-'Balance Sheet'!E21</f>
        <v>75.9308870399998</v>
      </c>
      <c r="F10" s="22" t="n">
        <f aca="false">'Balance Sheet'!G21-'Balance Sheet'!F21</f>
        <v>79.8639463296001</v>
      </c>
      <c r="G10" s="22" t="n">
        <f aca="false">'Balance Sheet'!H21-'Balance Sheet'!G21</f>
        <v>84.0080774192641</v>
      </c>
    </row>
    <row r="11" customFormat="false" ht="15" hidden="false" customHeight="false" outlineLevel="0" collapsed="false">
      <c r="B11" s="12" t="s">
        <v>200</v>
      </c>
      <c r="C11" s="22" t="n">
        <f aca="false">('Balance Sheet'!D10-'Balance Sheet'!C10)-('Balance Sheet'!D22-'Balance Sheet'!C22)</f>
        <v>0</v>
      </c>
      <c r="D11" s="22" t="n">
        <f aca="false">('Balance Sheet'!E10-'Balance Sheet'!D10)-('Balance Sheet'!E22-'Balance Sheet'!D22)</f>
        <v>0</v>
      </c>
      <c r="E11" s="22" t="n">
        <f aca="false">('Balance Sheet'!F10-'Balance Sheet'!E10)-('Balance Sheet'!F22-'Balance Sheet'!E22)</f>
        <v>0</v>
      </c>
      <c r="F11" s="22" t="n">
        <f aca="false">('Balance Sheet'!G10-'Balance Sheet'!F10)-('Balance Sheet'!G22-'Balance Sheet'!F22)</f>
        <v>0</v>
      </c>
      <c r="G11" s="22" t="n">
        <f aca="false">('Balance Sheet'!H10-'Balance Sheet'!G10)-('Balance Sheet'!H22-'Balance Sheet'!G22)</f>
        <v>0</v>
      </c>
    </row>
    <row r="13" customFormat="false" ht="15" hidden="false" customHeight="false" outlineLevel="0" collapsed="false">
      <c r="B13" s="5" t="s">
        <v>201</v>
      </c>
      <c r="C13" s="18" t="n">
        <f aca="false">C7+C8-C9-C10+C11</f>
        <v>110.309440054796</v>
      </c>
      <c r="D13" s="18" t="n">
        <f aca="false">D7+D8-D9-D10+D11</f>
        <v>-37.0425072979723</v>
      </c>
      <c r="E13" s="18" t="n">
        <f aca="false">E7+E8-E9-E10+E11</f>
        <v>-44.6188019471449</v>
      </c>
      <c r="F13" s="18" t="n">
        <f aca="false">F7+F8-F9-F10+F11</f>
        <v>-52.8716414486268</v>
      </c>
      <c r="G13" s="18" t="n">
        <f aca="false">G7+G8-G9-G10+G11</f>
        <v>-61.8519365803645</v>
      </c>
    </row>
    <row r="15" customFormat="false" ht="15" hidden="false" customHeight="false" outlineLevel="0" collapsed="false">
      <c r="B15" s="3" t="s">
        <v>202</v>
      </c>
    </row>
    <row r="16" customFormat="false" ht="15" hidden="false" customHeight="false" outlineLevel="0" collapsed="false">
      <c r="B16" s="6" t="s">
        <v>156</v>
      </c>
      <c r="C16" s="7" t="n">
        <f aca="false">'Income Statement'!G24</f>
        <v>5639.0664</v>
      </c>
      <c r="D16" s="7" t="n">
        <f aca="false">'Income Statement'!H24</f>
        <v>6161.3423704</v>
      </c>
      <c r="E16" s="7" t="n">
        <f aca="false">'Income Statement'!I24</f>
        <v>6722.589520672</v>
      </c>
      <c r="F16" s="7" t="n">
        <f aca="false">'Income Statement'!J24</f>
        <v>7325.51485655073</v>
      </c>
      <c r="G16" s="7" t="n">
        <f aca="false">'Income Statement'!K24</f>
        <v>7973.00822289905</v>
      </c>
    </row>
    <row r="17" customFormat="false" ht="15" hidden="false" customHeight="false" outlineLevel="0" collapsed="false">
      <c r="B17" s="6" t="s">
        <v>203</v>
      </c>
      <c r="C17" s="7" t="n">
        <f aca="false">-'Debt Schedule'!C41</f>
        <v>-1436.85575</v>
      </c>
      <c r="D17" s="7" t="n">
        <f aca="false">-'Debt Schedule'!D41</f>
        <v>-1420.009855</v>
      </c>
      <c r="E17" s="7" t="n">
        <f aca="false">-'Debt Schedule'!E41</f>
        <v>-1407.2931631</v>
      </c>
      <c r="F17" s="7" t="n">
        <f aca="false">-'Debt Schedule'!F41</f>
        <v>-1398.341646262</v>
      </c>
      <c r="G17" s="7" t="n">
        <f aca="false">-'Debt Schedule'!G41</f>
        <v>-1392.82865709724</v>
      </c>
    </row>
    <row r="18" customFormat="false" ht="15" hidden="false" customHeight="false" outlineLevel="0" collapsed="false">
      <c r="B18" s="6" t="s">
        <v>204</v>
      </c>
      <c r="C18" s="7" t="n">
        <f aca="false">-'Income Statement'!G36</f>
        <v>-0</v>
      </c>
      <c r="D18" s="7" t="n">
        <f aca="false">-'Income Statement'!H36</f>
        <v>-0</v>
      </c>
      <c r="E18" s="7" t="n">
        <f aca="false">-'Income Statement'!I36</f>
        <v>-0</v>
      </c>
      <c r="F18" s="7" t="n">
        <f aca="false">-'Income Statement'!J36</f>
        <v>-0</v>
      </c>
      <c r="G18" s="7" t="n">
        <f aca="false">-'Income Statement'!K36</f>
        <v>-0</v>
      </c>
    </row>
    <row r="19" customFormat="false" ht="15" hidden="false" customHeight="false" outlineLevel="0" collapsed="false">
      <c r="B19" s="6" t="s">
        <v>205</v>
      </c>
      <c r="C19" s="22" t="n">
        <f aca="false">-C13</f>
        <v>-110.309440054796</v>
      </c>
      <c r="D19" s="22" t="n">
        <f aca="false">-D13</f>
        <v>37.0425072979723</v>
      </c>
      <c r="E19" s="22" t="n">
        <f aca="false">-E13</f>
        <v>44.6188019471449</v>
      </c>
      <c r="F19" s="22" t="n">
        <f aca="false">-F13</f>
        <v>52.8716414486268</v>
      </c>
      <c r="G19" s="22" t="n">
        <f aca="false">-G13</f>
        <v>61.8519365803645</v>
      </c>
    </row>
    <row r="21" customFormat="false" ht="15" hidden="false" customHeight="false" outlineLevel="0" collapsed="false">
      <c r="B21" s="5" t="s">
        <v>202</v>
      </c>
      <c r="C21" s="18" t="n">
        <f aca="false">C16+C17+C18+C19</f>
        <v>4091.90120994521</v>
      </c>
      <c r="D21" s="18" t="n">
        <f aca="false">D16+D17+D18+D19</f>
        <v>4778.37502269797</v>
      </c>
      <c r="E21" s="18" t="n">
        <f aca="false">E16+E17+E18+E19</f>
        <v>5359.91515951915</v>
      </c>
      <c r="F21" s="18" t="n">
        <f aca="false">F16+F17+F18+F19</f>
        <v>5980.04485173735</v>
      </c>
      <c r="G21" s="18" t="n">
        <f aca="false">G16+G17+G18+G19</f>
        <v>6642.03150238217</v>
      </c>
    </row>
    <row r="23" customFormat="false" ht="15" hidden="false" customHeight="false" outlineLevel="0" collapsed="false">
      <c r="B23" s="3" t="s">
        <v>206</v>
      </c>
    </row>
    <row r="24" customFormat="false" ht="15" hidden="false" customHeight="false" outlineLevel="0" collapsed="false">
      <c r="B24" s="6" t="s">
        <v>71</v>
      </c>
      <c r="C24" s="7" t="n">
        <f aca="false">-'Key Assumptions'!G33</f>
        <v>-800</v>
      </c>
      <c r="D24" s="7" t="n">
        <f aca="false">-'Key Assumptions'!H33</f>
        <v>-850</v>
      </c>
      <c r="E24" s="7" t="n">
        <f aca="false">-'Key Assumptions'!I33</f>
        <v>-900</v>
      </c>
      <c r="F24" s="7" t="n">
        <f aca="false">-'Key Assumptions'!J33</f>
        <v>-950</v>
      </c>
      <c r="G24" s="7" t="n">
        <f aca="false">-'Key Assumptions'!K33</f>
        <v>-1000</v>
      </c>
    </row>
    <row r="25" customFormat="false" ht="15" hidden="false" customHeight="false" outlineLevel="0" collapsed="false">
      <c r="B25" s="6" t="s">
        <v>72</v>
      </c>
      <c r="C25" s="7" t="n">
        <f aca="false">-'Key Assumptions'!G34</f>
        <v>-700</v>
      </c>
      <c r="D25" s="7" t="n">
        <f aca="false">-'Key Assumptions'!H34</f>
        <v>-750</v>
      </c>
      <c r="E25" s="7" t="n">
        <f aca="false">-'Key Assumptions'!I34</f>
        <v>-800</v>
      </c>
      <c r="F25" s="7" t="n">
        <f aca="false">-'Key Assumptions'!J34</f>
        <v>-850</v>
      </c>
      <c r="G25" s="7" t="n">
        <f aca="false">-'Key Assumptions'!K34</f>
        <v>-900</v>
      </c>
    </row>
    <row r="27" customFormat="false" ht="15" hidden="false" customHeight="false" outlineLevel="0" collapsed="false">
      <c r="B27" s="5" t="s">
        <v>206</v>
      </c>
      <c r="C27" s="18" t="n">
        <f aca="false">C24+C25</f>
        <v>-1500</v>
      </c>
      <c r="D27" s="18" t="n">
        <f aca="false">D24+D25</f>
        <v>-1600</v>
      </c>
      <c r="E27" s="18" t="n">
        <f aca="false">E24+E25</f>
        <v>-1700</v>
      </c>
      <c r="F27" s="18" t="n">
        <f aca="false">F24+F25</f>
        <v>-1800</v>
      </c>
      <c r="G27" s="18" t="n">
        <f aca="false">G24+G25</f>
        <v>-1900</v>
      </c>
    </row>
    <row r="29" customFormat="false" ht="15" hidden="false" customHeight="false" outlineLevel="0" collapsed="false">
      <c r="B29" s="3" t="s">
        <v>207</v>
      </c>
    </row>
    <row r="30" customFormat="false" ht="15" hidden="false" customHeight="false" outlineLevel="0" collapsed="false">
      <c r="B30" s="6" t="s">
        <v>208</v>
      </c>
      <c r="C30" s="7" t="n">
        <f aca="false">'Debt Schedule'!C8</f>
        <v>-783.53</v>
      </c>
      <c r="D30" s="7" t="n">
        <f aca="false">'Debt Schedule'!D8</f>
        <v>-705.177</v>
      </c>
      <c r="E30" s="7" t="n">
        <f aca="false">'Debt Schedule'!E8</f>
        <v>-634.6593</v>
      </c>
      <c r="F30" s="7" t="n">
        <f aca="false">'Debt Schedule'!F8</f>
        <v>-571.19337</v>
      </c>
      <c r="G30" s="7" t="n">
        <f aca="false">'Debt Schedule'!G8</f>
        <v>-514.074033</v>
      </c>
    </row>
    <row r="32" customFormat="false" ht="15" hidden="false" customHeight="false" outlineLevel="0" collapsed="false">
      <c r="B32" s="5" t="s">
        <v>207</v>
      </c>
      <c r="C32" s="18" t="n">
        <f aca="false">C30</f>
        <v>-783.53</v>
      </c>
      <c r="D32" s="18" t="n">
        <f aca="false">D30</f>
        <v>-705.177</v>
      </c>
      <c r="E32" s="18" t="n">
        <f aca="false">E30</f>
        <v>-634.6593</v>
      </c>
      <c r="F32" s="18" t="n">
        <f aca="false">F30</f>
        <v>-571.19337</v>
      </c>
      <c r="G32" s="18" t="n">
        <f aca="false">G30</f>
        <v>-514.074033</v>
      </c>
    </row>
    <row r="34" customFormat="false" ht="15" hidden="false" customHeight="false" outlineLevel="0" collapsed="false">
      <c r="B34" s="3" t="s">
        <v>209</v>
      </c>
    </row>
    <row r="35" customFormat="false" ht="15" hidden="false" customHeight="false" outlineLevel="0" collapsed="false">
      <c r="B35" s="6" t="s">
        <v>210</v>
      </c>
      <c r="C35" s="28" t="n">
        <f aca="false">C16-C13+C24+C25</f>
        <v>4028.75695994521</v>
      </c>
      <c r="D35" s="28" t="n">
        <f aca="false">D16-D13+D24+D25</f>
        <v>4598.38487769797</v>
      </c>
      <c r="E35" s="28" t="n">
        <f aca="false">E16-E13+E24+E25</f>
        <v>5067.20832261915</v>
      </c>
      <c r="F35" s="28" t="n">
        <f aca="false">F16-F13+F24+F25</f>
        <v>5578.38649799935</v>
      </c>
      <c r="G35" s="28" t="n">
        <f aca="false">G16-G13+G24+G25</f>
        <v>6134.86015947941</v>
      </c>
    </row>
    <row r="36" customFormat="false" ht="15" hidden="false" customHeight="false" outlineLevel="0" collapsed="false">
      <c r="B36" s="6" t="s">
        <v>211</v>
      </c>
      <c r="C36" s="8" t="n">
        <f aca="false">IF('Income Statement'!G6=0,0,C35/'Income Statement'!G6)</f>
        <v>0.110922825653303</v>
      </c>
      <c r="D36" s="8" t="n">
        <f aca="false">IF('Income Statement'!H6=0,0,D35/'Income Statement'!H6)</f>
        <v>0.120612404512977</v>
      </c>
      <c r="E36" s="8" t="n">
        <f aca="false">IF('Income Statement'!I6=0,0,E35/'Income Statement'!I6)</f>
        <v>0.126605578584062</v>
      </c>
      <c r="F36" s="8" t="n">
        <f aca="false">IF('Income Statement'!J6=0,0,F35/'Income Statement'!J6)</f>
        <v>0.132754949292642</v>
      </c>
      <c r="G36" s="8" t="n">
        <f aca="false">IF('Income Statement'!K6=0,0,G35/'Income Statement'!K6)</f>
        <v>0.139048219324678</v>
      </c>
    </row>
    <row r="37" customFormat="false" ht="15" hidden="false" customHeight="false" outlineLevel="0" collapsed="false">
      <c r="B37" s="6" t="s">
        <v>212</v>
      </c>
      <c r="C37" s="8" t="n">
        <f aca="false">IF(C16=0,0,C35/C16)</f>
        <v>0.714436872022859</v>
      </c>
      <c r="D37" s="8" t="n">
        <f aca="false">IF(D16=0,0,D35/D16)</f>
        <v>0.746328413721869</v>
      </c>
      <c r="E37" s="8" t="n">
        <f aca="false">IF(E16=0,0,E35/E16)</f>
        <v>0.753758400247026</v>
      </c>
      <c r="F37" s="8" t="n">
        <f aca="false">IF(F16=0,0,F35/F16)</f>
        <v>0.761500946655097</v>
      </c>
      <c r="G37" s="8" t="n">
        <f aca="false">IF(G16=0,0,G35/G16)</f>
        <v>0.769453635060811</v>
      </c>
    </row>
    <row r="39" customFormat="false" ht="15" hidden="false" customHeight="false" outlineLevel="0" collapsed="false">
      <c r="B39" s="6" t="s">
        <v>213</v>
      </c>
      <c r="C39" s="28" t="n">
        <f aca="false">C35+C17+C18+C30</f>
        <v>1808.37120994521</v>
      </c>
      <c r="D39" s="28" t="n">
        <f aca="false">D35+D17+D18+D30</f>
        <v>2473.19802269797</v>
      </c>
      <c r="E39" s="28" t="n">
        <f aca="false">E35+E17+E18+E30</f>
        <v>3025.25585951915</v>
      </c>
      <c r="F39" s="28" t="n">
        <f aca="false">F35+F17+F18+F30</f>
        <v>3608.85148173735</v>
      </c>
      <c r="G39" s="28" t="n">
        <f aca="false">G35+G17+G18+G30</f>
        <v>4227.95746938217</v>
      </c>
    </row>
    <row r="41" customFormat="false" ht="15" hidden="false" customHeight="false" outlineLevel="0" collapsed="false">
      <c r="B41" s="5" t="s">
        <v>214</v>
      </c>
      <c r="C41" s="18" t="n">
        <f aca="false">C21+C27+C32</f>
        <v>1808.37120994521</v>
      </c>
      <c r="D41" s="18" t="n">
        <f aca="false">D21+D27+D32</f>
        <v>2473.19802269797</v>
      </c>
      <c r="E41" s="18" t="n">
        <f aca="false">E21+E27+E32</f>
        <v>3025.25585951915</v>
      </c>
      <c r="F41" s="18" t="n">
        <f aca="false">F21+F27+F32</f>
        <v>3608.85148173735</v>
      </c>
      <c r="G41" s="18" t="n">
        <f aca="false">G21+G27+G32</f>
        <v>4227.95746938217</v>
      </c>
    </row>
    <row r="42" customFormat="false" ht="15" hidden="false" customHeight="false" outlineLevel="0" collapsed="false">
      <c r="B42" s="6" t="s">
        <v>215</v>
      </c>
      <c r="C42" s="7" t="n">
        <f aca="false">'Key Assumptions'!C137</f>
        <v>500</v>
      </c>
      <c r="D42" s="22" t="n">
        <f aca="false">C44</f>
        <v>2308.37120994521</v>
      </c>
      <c r="E42" s="22" t="n">
        <f aca="false">D44</f>
        <v>4781.56923264318</v>
      </c>
      <c r="F42" s="22" t="n">
        <f aca="false">E44</f>
        <v>7806.82509216233</v>
      </c>
      <c r="G42" s="22" t="n">
        <f aca="false">F44</f>
        <v>11415.6765738997</v>
      </c>
    </row>
    <row r="44" customFormat="false" ht="15" hidden="false" customHeight="false" outlineLevel="0" collapsed="false">
      <c r="B44" s="5" t="s">
        <v>216</v>
      </c>
      <c r="C44" s="13" t="n">
        <f aca="false">C42+C41</f>
        <v>2308.37120994521</v>
      </c>
      <c r="D44" s="13" t="n">
        <f aca="false">D42+D41</f>
        <v>4781.56923264318</v>
      </c>
      <c r="E44" s="13" t="n">
        <f aca="false">E42+E41</f>
        <v>7806.82509216233</v>
      </c>
      <c r="F44" s="13" t="n">
        <f aca="false">F42+F41</f>
        <v>11415.6765738997</v>
      </c>
      <c r="G44" s="13" t="n">
        <f aca="false">G42+G41</f>
        <v>15643.6340432819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7" min="3" style="0" width="14"/>
  </cols>
  <sheetData>
    <row r="1" customFormat="false" ht="17.35" hidden="false" customHeight="false" outlineLevel="0" collapsed="false">
      <c r="B1" s="1" t="s">
        <v>217</v>
      </c>
    </row>
    <row r="2" customFormat="false" ht="15" hidden="false" customHeight="false" outlineLevel="0" collapsed="false">
      <c r="B2" s="2" t="s">
        <v>129</v>
      </c>
    </row>
    <row r="4" customFormat="false" ht="15" hidden="false" customHeight="false" outlineLevel="0" collapsed="false">
      <c r="C4" s="4" t="s">
        <v>50</v>
      </c>
      <c r="D4" s="4" t="s">
        <v>51</v>
      </c>
      <c r="E4" s="4" t="s">
        <v>52</v>
      </c>
      <c r="F4" s="4" t="s">
        <v>53</v>
      </c>
      <c r="G4" s="4" t="s">
        <v>54</v>
      </c>
    </row>
    <row r="6" customFormat="false" ht="15" hidden="false" customHeight="false" outlineLevel="0" collapsed="false">
      <c r="B6" s="3" t="s">
        <v>14</v>
      </c>
    </row>
    <row r="7" customFormat="false" ht="15" hidden="false" customHeight="false" outlineLevel="0" collapsed="false">
      <c r="B7" s="6" t="s">
        <v>218</v>
      </c>
      <c r="C7" s="7" t="n">
        <f aca="false">'Key Assumptions'!C87</f>
        <v>7835.3</v>
      </c>
      <c r="D7" s="22" t="n">
        <f aca="false">C10</f>
        <v>7051.77</v>
      </c>
      <c r="E7" s="22" t="n">
        <f aca="false">D10</f>
        <v>6346.593</v>
      </c>
      <c r="F7" s="22" t="n">
        <f aca="false">E10</f>
        <v>5711.9337</v>
      </c>
      <c r="G7" s="22" t="n">
        <f aca="false">F10</f>
        <v>5140.74033</v>
      </c>
    </row>
    <row r="8" customFormat="false" ht="15" hidden="false" customHeight="false" outlineLevel="0" collapsed="false">
      <c r="B8" s="12" t="s">
        <v>219</v>
      </c>
      <c r="C8" s="22" t="n">
        <f aca="false">IF(C7&gt;0,-C7*'Key Assumptions'!$C$120,0)</f>
        <v>-783.53</v>
      </c>
      <c r="D8" s="22" t="n">
        <f aca="false">IF(D7&gt;0,-D7*'Key Assumptions'!$C$120,0)</f>
        <v>-705.177</v>
      </c>
      <c r="E8" s="22" t="n">
        <f aca="false">IF(E7&gt;0,-E7*'Key Assumptions'!$C$120,0)</f>
        <v>-634.6593</v>
      </c>
      <c r="F8" s="22" t="n">
        <f aca="false">IF(F7&gt;0,-F7*'Key Assumptions'!$C$120,0)</f>
        <v>-571.19337</v>
      </c>
      <c r="G8" s="22" t="n">
        <f aca="false">IF(G7&gt;0,-G7*'Key Assumptions'!$C$120,0)</f>
        <v>-514.074033</v>
      </c>
    </row>
    <row r="9" customFormat="false" ht="15" hidden="false" customHeight="false" outlineLevel="0" collapsed="false">
      <c r="B9" s="12" t="s">
        <v>220</v>
      </c>
      <c r="C9" s="16" t="n">
        <v>0</v>
      </c>
      <c r="D9" s="16" t="n">
        <v>0</v>
      </c>
      <c r="E9" s="16" t="n">
        <v>0</v>
      </c>
      <c r="F9" s="16" t="n">
        <v>0</v>
      </c>
      <c r="G9" s="16" t="n">
        <v>0</v>
      </c>
    </row>
    <row r="10" customFormat="false" ht="15" hidden="false" customHeight="false" outlineLevel="0" collapsed="false">
      <c r="B10" s="5" t="s">
        <v>221</v>
      </c>
      <c r="C10" s="18" t="n">
        <f aca="false">C7+C8+C9</f>
        <v>7051.77</v>
      </c>
      <c r="D10" s="18" t="n">
        <f aca="false">D7+D8+D9</f>
        <v>6346.593</v>
      </c>
      <c r="E10" s="18" t="n">
        <f aca="false">E7+E8+E9</f>
        <v>5711.9337</v>
      </c>
      <c r="F10" s="18" t="n">
        <f aca="false">F7+F8+F9</f>
        <v>5140.74033</v>
      </c>
      <c r="G10" s="18" t="n">
        <f aca="false">G7+G8+G9</f>
        <v>4626.666297</v>
      </c>
    </row>
    <row r="11" customFormat="false" ht="15" hidden="false" customHeight="false" outlineLevel="0" collapsed="false">
      <c r="B11" s="12" t="s">
        <v>222</v>
      </c>
      <c r="C11" s="22" t="n">
        <f aca="false">(C7+C10)/2*'Key Assumptions'!$C$112</f>
        <v>372.17675</v>
      </c>
      <c r="D11" s="22" t="n">
        <f aca="false">(D7+D10)/2*'Key Assumptions'!$C$112</f>
        <v>334.959075</v>
      </c>
      <c r="E11" s="22" t="n">
        <f aca="false">(E7+E10)/2*'Key Assumptions'!$C$112</f>
        <v>301.4631675</v>
      </c>
      <c r="F11" s="22" t="n">
        <f aca="false">(F7+F10)/2*'Key Assumptions'!$C$112</f>
        <v>271.31685075</v>
      </c>
      <c r="G11" s="22" t="n">
        <f aca="false">(G7+G10)/2*'Key Assumptions'!$C$112</f>
        <v>244.185165675</v>
      </c>
    </row>
    <row r="13" customFormat="false" ht="15" hidden="false" customHeight="false" outlineLevel="0" collapsed="false">
      <c r="B13" s="3" t="s">
        <v>223</v>
      </c>
    </row>
    <row r="14" customFormat="false" ht="15" hidden="false" customHeight="false" outlineLevel="0" collapsed="false">
      <c r="B14" s="6" t="s">
        <v>218</v>
      </c>
      <c r="C14" s="7" t="n">
        <f aca="false">'Key Assumptions'!C88</f>
        <v>7835.3</v>
      </c>
      <c r="D14" s="22" t="n">
        <f aca="false">C16</f>
        <v>7992.006</v>
      </c>
      <c r="E14" s="22" t="n">
        <f aca="false">D16</f>
        <v>8151.84612</v>
      </c>
      <c r="F14" s="22" t="n">
        <f aca="false">E16</f>
        <v>8314.8830424</v>
      </c>
      <c r="G14" s="22" t="n">
        <f aca="false">F16</f>
        <v>8481.180703248</v>
      </c>
    </row>
    <row r="15" customFormat="false" ht="15" hidden="false" customHeight="false" outlineLevel="0" collapsed="false">
      <c r="B15" s="12" t="s">
        <v>224</v>
      </c>
      <c r="C15" s="22" t="n">
        <f aca="false">C14*'Key Assumptions'!$C$114</f>
        <v>156.706</v>
      </c>
      <c r="D15" s="22" t="n">
        <f aca="false">D14*'Key Assumptions'!$C$114</f>
        <v>159.84012</v>
      </c>
      <c r="E15" s="22" t="n">
        <f aca="false">E14*'Key Assumptions'!$C$114</f>
        <v>163.0369224</v>
      </c>
      <c r="F15" s="22" t="n">
        <f aca="false">F14*'Key Assumptions'!$C$114</f>
        <v>166.297660848</v>
      </c>
      <c r="G15" s="22" t="n">
        <f aca="false">G14*'Key Assumptions'!$C$114</f>
        <v>169.62361406496</v>
      </c>
    </row>
    <row r="16" customFormat="false" ht="15" hidden="false" customHeight="false" outlineLevel="0" collapsed="false">
      <c r="B16" s="5" t="s">
        <v>221</v>
      </c>
      <c r="C16" s="18" t="n">
        <f aca="false">C14+C15</f>
        <v>7992.006</v>
      </c>
      <c r="D16" s="18" t="n">
        <f aca="false">D14+D15</f>
        <v>8151.84612</v>
      </c>
      <c r="E16" s="18" t="n">
        <f aca="false">E14+E15</f>
        <v>8314.8830424</v>
      </c>
      <c r="F16" s="18" t="n">
        <f aca="false">F14+F15</f>
        <v>8481.180703248</v>
      </c>
      <c r="G16" s="18" t="n">
        <f aca="false">G14+G15</f>
        <v>8650.80431731296</v>
      </c>
    </row>
    <row r="17" customFormat="false" ht="15" hidden="false" customHeight="false" outlineLevel="0" collapsed="false">
      <c r="B17" s="12" t="s">
        <v>225</v>
      </c>
      <c r="C17" s="22" t="n">
        <f aca="false">C14*'Key Assumptions'!$C$113</f>
        <v>1018.589</v>
      </c>
      <c r="D17" s="22" t="n">
        <f aca="false">D14*'Key Assumptions'!$C$113</f>
        <v>1038.96078</v>
      </c>
      <c r="E17" s="22" t="n">
        <f aca="false">E14*'Key Assumptions'!$C$113</f>
        <v>1059.7399956</v>
      </c>
      <c r="F17" s="22" t="n">
        <f aca="false">F14*'Key Assumptions'!$C$113</f>
        <v>1080.934795512</v>
      </c>
      <c r="G17" s="22" t="n">
        <f aca="false">G14*'Key Assumptions'!$C$113</f>
        <v>1102.55349142224</v>
      </c>
    </row>
    <row r="19" customFormat="false" ht="15" hidden="false" customHeight="false" outlineLevel="0" collapsed="false">
      <c r="B19" s="3" t="s">
        <v>20</v>
      </c>
    </row>
    <row r="20" customFormat="false" ht="15" hidden="false" customHeight="false" outlineLevel="0" collapsed="false">
      <c r="B20" s="6" t="s">
        <v>226</v>
      </c>
      <c r="C20" s="7" t="n">
        <f aca="false">'Key Assumptions'!C89</f>
        <v>921.8</v>
      </c>
      <c r="D20" s="22" t="n">
        <f aca="false">C20</f>
        <v>921.8</v>
      </c>
      <c r="E20" s="22" t="n">
        <f aca="false">D20</f>
        <v>921.8</v>
      </c>
      <c r="F20" s="22" t="n">
        <f aca="false">E20</f>
        <v>921.8</v>
      </c>
      <c r="G20" s="22" t="n">
        <f aca="false">F20</f>
        <v>921.8</v>
      </c>
    </row>
    <row r="21" customFormat="false" ht="15" hidden="false" customHeight="false" outlineLevel="0" collapsed="false">
      <c r="B21" s="12" t="s">
        <v>222</v>
      </c>
      <c r="C21" s="22" t="n">
        <f aca="false">C20*'Key Assumptions'!$C$115</f>
        <v>46.09</v>
      </c>
      <c r="D21" s="22" t="n">
        <f aca="false">D20*'Key Assumptions'!$C$115</f>
        <v>46.09</v>
      </c>
      <c r="E21" s="22" t="n">
        <f aca="false">E20*'Key Assumptions'!$C$115</f>
        <v>46.09</v>
      </c>
      <c r="F21" s="22" t="n">
        <f aca="false">F20*'Key Assumptions'!$C$115</f>
        <v>46.09</v>
      </c>
      <c r="G21" s="22" t="n">
        <f aca="false">G20*'Key Assumptions'!$C$115</f>
        <v>46.09</v>
      </c>
    </row>
    <row r="22" customFormat="false" ht="15" hidden="false" customHeight="false" outlineLevel="0" collapsed="false">
      <c r="B22" s="6" t="s">
        <v>227</v>
      </c>
      <c r="C22" s="7" t="n">
        <f aca="false">'Key Assumptions'!C90</f>
        <v>921.8</v>
      </c>
      <c r="D22" s="22" t="n">
        <f aca="false">C22</f>
        <v>921.8</v>
      </c>
      <c r="E22" s="22" t="n">
        <f aca="false">D22</f>
        <v>921.8</v>
      </c>
      <c r="F22" s="22" t="n">
        <f aca="false">E22</f>
        <v>921.8</v>
      </c>
      <c r="G22" s="22" t="n">
        <f aca="false">F22</f>
        <v>921.8</v>
      </c>
    </row>
    <row r="24" customFormat="false" ht="15" hidden="false" customHeight="false" outlineLevel="0" collapsed="false">
      <c r="B24" s="3" t="s">
        <v>228</v>
      </c>
    </row>
    <row r="25" customFormat="false" ht="15" hidden="false" customHeight="false" outlineLevel="0" collapsed="false">
      <c r="B25" s="6" t="s">
        <v>218</v>
      </c>
      <c r="C25" s="7" t="n">
        <f aca="false">'Key Assumptions'!C91</f>
        <v>1843.6</v>
      </c>
      <c r="D25" s="22" t="n">
        <f aca="false">C28</f>
        <v>2120.14</v>
      </c>
      <c r="E25" s="22" t="n">
        <f aca="false">D28</f>
        <v>2438.161</v>
      </c>
      <c r="F25" s="22" t="n">
        <f aca="false">E28</f>
        <v>2803.88515</v>
      </c>
      <c r="G25" s="22" t="n">
        <f aca="false">F28</f>
        <v>3224.4679225</v>
      </c>
    </row>
    <row r="26" customFormat="false" ht="15" hidden="false" customHeight="false" outlineLevel="0" collapsed="false">
      <c r="B26" s="12" t="s">
        <v>229</v>
      </c>
      <c r="C26" s="22" t="n">
        <f aca="false">C25*'Key Assumptions'!$C$116*'Key Assumptions'!$C$117</f>
        <v>0</v>
      </c>
      <c r="D26" s="22" t="n">
        <f aca="false">D25*'Key Assumptions'!$C$116*'Key Assumptions'!$C$117</f>
        <v>0</v>
      </c>
      <c r="E26" s="22" t="n">
        <f aca="false">E25*'Key Assumptions'!$C$116*'Key Assumptions'!$C$117</f>
        <v>0</v>
      </c>
      <c r="F26" s="22" t="n">
        <f aca="false">F25*'Key Assumptions'!$C$116*'Key Assumptions'!$C$117</f>
        <v>0</v>
      </c>
      <c r="G26" s="22" t="n">
        <f aca="false">G25*'Key Assumptions'!$C$116*'Key Assumptions'!$C$117</f>
        <v>0</v>
      </c>
    </row>
    <row r="27" customFormat="false" ht="15" hidden="false" customHeight="false" outlineLevel="0" collapsed="false">
      <c r="B27" s="12" t="s">
        <v>230</v>
      </c>
      <c r="C27" s="22" t="n">
        <f aca="false">C25*'Key Assumptions'!$C$116*(1-'Key Assumptions'!$C$117)</f>
        <v>276.54</v>
      </c>
      <c r="D27" s="22" t="n">
        <f aca="false">D25*'Key Assumptions'!$C$116*(1-'Key Assumptions'!$C$117)</f>
        <v>318.021</v>
      </c>
      <c r="E27" s="22" t="n">
        <f aca="false">E25*'Key Assumptions'!$C$116*(1-'Key Assumptions'!$C$117)</f>
        <v>365.72415</v>
      </c>
      <c r="F27" s="22" t="n">
        <f aca="false">F25*'Key Assumptions'!$C$116*(1-'Key Assumptions'!$C$117)</f>
        <v>420.5827725</v>
      </c>
      <c r="G27" s="22" t="n">
        <f aca="false">G25*'Key Assumptions'!$C$116*(1-'Key Assumptions'!$C$117)</f>
        <v>483.670188375</v>
      </c>
    </row>
    <row r="28" customFormat="false" ht="15" hidden="false" customHeight="false" outlineLevel="0" collapsed="false">
      <c r="B28" s="5" t="s">
        <v>221</v>
      </c>
      <c r="C28" s="18" t="n">
        <f aca="false">C25+C27</f>
        <v>2120.14</v>
      </c>
      <c r="D28" s="18" t="n">
        <f aca="false">D25+D27</f>
        <v>2438.161</v>
      </c>
      <c r="E28" s="18" t="n">
        <f aca="false">E25+E27</f>
        <v>2803.88515</v>
      </c>
      <c r="F28" s="18" t="n">
        <f aca="false">F25+F27</f>
        <v>3224.4679225</v>
      </c>
      <c r="G28" s="18" t="n">
        <f aca="false">G25+G27</f>
        <v>3708.138110875</v>
      </c>
    </row>
    <row r="30" customFormat="false" ht="15" hidden="false" customHeight="false" outlineLevel="0" collapsed="false">
      <c r="B30" s="3" t="s">
        <v>231</v>
      </c>
    </row>
    <row r="31" customFormat="false" ht="15" hidden="false" customHeight="false" outlineLevel="0" collapsed="false">
      <c r="B31" s="6" t="s">
        <v>232</v>
      </c>
      <c r="C31" s="7" t="n">
        <f aca="false">'Balance Sheet'!D8</f>
        <v>5701.79898082192</v>
      </c>
      <c r="D31" s="7" t="n">
        <f aca="false">'Balance Sheet'!E8</f>
        <v>5870.25265665754</v>
      </c>
      <c r="E31" s="7" t="n">
        <f aca="false">'Balance Sheet'!F8</f>
        <v>6041.91556037699</v>
      </c>
      <c r="F31" s="7" t="n">
        <f aca="false">'Balance Sheet'!G8</f>
        <v>6216.68375520263</v>
      </c>
      <c r="G31" s="7" t="n">
        <f aca="false">'Balance Sheet'!H8</f>
        <v>6394.43303583089</v>
      </c>
    </row>
    <row r="32" customFormat="false" ht="15" hidden="false" customHeight="false" outlineLevel="0" collapsed="false">
      <c r="B32" s="6" t="s">
        <v>233</v>
      </c>
      <c r="C32" s="7" t="n">
        <f aca="false">'Balance Sheet'!D9</f>
        <v>366.647424</v>
      </c>
      <c r="D32" s="7" t="n">
        <f aca="false">'Balance Sheet'!E9</f>
        <v>388.324854756384</v>
      </c>
      <c r="E32" s="7" t="n">
        <f aca="false">'Balance Sheet'!F9</f>
        <v>411.229334960877</v>
      </c>
      <c r="F32" s="7" t="n">
        <f aca="false">'Balance Sheet'!G9</f>
        <v>435.428866468288</v>
      </c>
      <c r="G32" s="7" t="n">
        <f aca="false">'Balance Sheet'!H9</f>
        <v>460.995162569623</v>
      </c>
    </row>
    <row r="33" customFormat="false" ht="15" hidden="false" customHeight="false" outlineLevel="0" collapsed="false">
      <c r="B33" s="6" t="s">
        <v>234</v>
      </c>
      <c r="C33" s="22" t="n">
        <f aca="false">C31*'Key Assumptions'!$C$122</f>
        <v>4561.43918465753</v>
      </c>
      <c r="D33" s="22" t="n">
        <f aca="false">D31*'Key Assumptions'!$C$122</f>
        <v>4696.20212532603</v>
      </c>
      <c r="E33" s="22" t="n">
        <f aca="false">E31*'Key Assumptions'!$C$122</f>
        <v>4833.53244830159</v>
      </c>
      <c r="F33" s="22" t="n">
        <f aca="false">F31*'Key Assumptions'!$C$122</f>
        <v>4973.34700416211</v>
      </c>
      <c r="G33" s="22" t="n">
        <f aca="false">G31*'Key Assumptions'!$C$122</f>
        <v>5115.54642866471</v>
      </c>
    </row>
    <row r="34" customFormat="false" ht="15" hidden="false" customHeight="false" outlineLevel="0" collapsed="false">
      <c r="B34" s="6" t="s">
        <v>235</v>
      </c>
      <c r="C34" s="22" t="n">
        <f aca="false">C32*'Key Assumptions'!$C$123</f>
        <v>183.323712</v>
      </c>
      <c r="D34" s="22" t="n">
        <f aca="false">D32*'Key Assumptions'!$C$123</f>
        <v>194.162427378192</v>
      </c>
      <c r="E34" s="22" t="n">
        <f aca="false">E32*'Key Assumptions'!$C$123</f>
        <v>205.614667480438</v>
      </c>
      <c r="F34" s="22" t="n">
        <f aca="false">F32*'Key Assumptions'!$C$123</f>
        <v>217.714433234144</v>
      </c>
      <c r="G34" s="22" t="n">
        <f aca="false">G32*'Key Assumptions'!$C$123</f>
        <v>230.497581284811</v>
      </c>
    </row>
    <row r="35" customFormat="false" ht="15" hidden="false" customHeight="false" outlineLevel="0" collapsed="false">
      <c r="B35" s="6" t="s">
        <v>236</v>
      </c>
      <c r="C35" s="22" t="n">
        <f aca="false">C33+C34</f>
        <v>4744.76289665754</v>
      </c>
      <c r="D35" s="22" t="n">
        <f aca="false">D33+D34</f>
        <v>4890.36455270422</v>
      </c>
      <c r="E35" s="22" t="n">
        <f aca="false">E33+E34</f>
        <v>5039.14711578203</v>
      </c>
      <c r="F35" s="22" t="n">
        <f aca="false">F33+F34</f>
        <v>5191.06143739625</v>
      </c>
      <c r="G35" s="22" t="n">
        <f aca="false">G33+G34</f>
        <v>5346.04400994952</v>
      </c>
    </row>
    <row r="36" customFormat="false" ht="15" hidden="false" customHeight="false" outlineLevel="0" collapsed="false">
      <c r="B36" s="6" t="s">
        <v>237</v>
      </c>
      <c r="C36" s="7" t="n">
        <f aca="false">'Key Assumptions'!$C$121</f>
        <v>5000</v>
      </c>
      <c r="D36" s="7" t="n">
        <f aca="false">'Key Assumptions'!$C$121</f>
        <v>5000</v>
      </c>
      <c r="E36" s="7" t="n">
        <f aca="false">'Key Assumptions'!$C$121</f>
        <v>5000</v>
      </c>
      <c r="F36" s="7" t="n">
        <f aca="false">'Key Assumptions'!$C$121</f>
        <v>5000</v>
      </c>
      <c r="G36" s="7" t="n">
        <f aca="false">'Key Assumptions'!$C$121</f>
        <v>5000</v>
      </c>
    </row>
    <row r="37" customFormat="false" ht="15" hidden="false" customHeight="false" outlineLevel="0" collapsed="false">
      <c r="B37" s="5" t="s">
        <v>238</v>
      </c>
      <c r="C37" s="18" t="n">
        <f aca="false">MIN(C35,C36)</f>
        <v>4744.76289665754</v>
      </c>
      <c r="D37" s="18" t="n">
        <f aca="false">MIN(D35,D36)</f>
        <v>4890.36455270422</v>
      </c>
      <c r="E37" s="18" t="n">
        <f aca="false">MIN(E35,E36)</f>
        <v>5000</v>
      </c>
      <c r="F37" s="18" t="n">
        <f aca="false">MIN(F35,F36)</f>
        <v>5000</v>
      </c>
      <c r="G37" s="18" t="n">
        <f aca="false">MIN(G35,G36)</f>
        <v>5000</v>
      </c>
    </row>
    <row r="38" customFormat="false" ht="15" hidden="false" customHeight="false" outlineLevel="0" collapsed="false">
      <c r="B38" s="5" t="s">
        <v>239</v>
      </c>
      <c r="C38" s="28" t="n">
        <f aca="false">'Cash Flow'!C44+C37</f>
        <v>7053.13410660274</v>
      </c>
      <c r="D38" s="28" t="n">
        <f aca="false">'Cash Flow'!D44+D37</f>
        <v>9671.9337853474</v>
      </c>
      <c r="E38" s="28" t="n">
        <f aca="false">'Cash Flow'!E44+E37</f>
        <v>12806.8250921623</v>
      </c>
      <c r="F38" s="28" t="n">
        <f aca="false">'Cash Flow'!F44+F37</f>
        <v>16415.6765738997</v>
      </c>
      <c r="G38" s="28" t="n">
        <f aca="false">'Cash Flow'!G44+G37</f>
        <v>20643.6340432819</v>
      </c>
    </row>
    <row r="40" customFormat="false" ht="15" hidden="false" customHeight="false" outlineLevel="0" collapsed="false">
      <c r="B40" s="3" t="s">
        <v>240</v>
      </c>
    </row>
    <row r="41" customFormat="false" ht="15" hidden="false" customHeight="false" outlineLevel="0" collapsed="false">
      <c r="B41" s="6" t="s">
        <v>241</v>
      </c>
      <c r="C41" s="22" t="n">
        <f aca="false">C11+C17+C21+C26</f>
        <v>1436.85575</v>
      </c>
      <c r="D41" s="22" t="n">
        <f aca="false">D11+D17+D21+D26</f>
        <v>1420.009855</v>
      </c>
      <c r="E41" s="22" t="n">
        <f aca="false">E11+E17+E21+E26</f>
        <v>1407.2931631</v>
      </c>
      <c r="F41" s="22" t="n">
        <f aca="false">F11+F17+F21+F26</f>
        <v>1398.341646262</v>
      </c>
      <c r="G41" s="22" t="n">
        <f aca="false">G11+G17+G21+G26</f>
        <v>1392.82865709724</v>
      </c>
    </row>
    <row r="42" customFormat="false" ht="15" hidden="false" customHeight="false" outlineLevel="0" collapsed="false">
      <c r="B42" s="6" t="s">
        <v>161</v>
      </c>
      <c r="C42" s="22" t="n">
        <f aca="false">C15+C27</f>
        <v>433.246</v>
      </c>
      <c r="D42" s="22" t="n">
        <f aca="false">D15+D27</f>
        <v>477.86112</v>
      </c>
      <c r="E42" s="22" t="n">
        <f aca="false">E15+E27</f>
        <v>528.7610724</v>
      </c>
      <c r="F42" s="22" t="n">
        <f aca="false">F15+F27</f>
        <v>586.880433348</v>
      </c>
      <c r="G42" s="22" t="n">
        <f aca="false">G15+G27</f>
        <v>653.29380243996</v>
      </c>
    </row>
    <row r="44" customFormat="false" ht="15" hidden="false" customHeight="false" outlineLevel="0" collapsed="false">
      <c r="B44" s="3" t="s">
        <v>242</v>
      </c>
    </row>
    <row r="45" customFormat="false" ht="15" hidden="false" customHeight="false" outlineLevel="0" collapsed="false">
      <c r="B45" s="5" t="s">
        <v>243</v>
      </c>
      <c r="C45" s="18" t="n">
        <f aca="false">C41-C8</f>
        <v>2220.38575</v>
      </c>
      <c r="D45" s="18" t="n">
        <f aca="false">D41-D8</f>
        <v>2125.186855</v>
      </c>
      <c r="E45" s="18" t="n">
        <f aca="false">E41-E8</f>
        <v>2041.9524631</v>
      </c>
      <c r="F45" s="18" t="n">
        <f aca="false">F41-F8</f>
        <v>1969.535016262</v>
      </c>
      <c r="G45" s="18" t="n">
        <f aca="false">G41-G8</f>
        <v>1906.90269009724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8" min="3" style="0" width="14"/>
  </cols>
  <sheetData>
    <row r="1" customFormat="false" ht="17.35" hidden="false" customHeight="false" outlineLevel="0" collapsed="false">
      <c r="B1" s="1" t="s">
        <v>244</v>
      </c>
    </row>
    <row r="2" customFormat="false" ht="15" hidden="false" customHeight="false" outlineLevel="0" collapsed="false">
      <c r="B2" s="2" t="s">
        <v>129</v>
      </c>
    </row>
    <row r="4" customFormat="false" ht="15" hidden="false" customHeight="false" outlineLevel="0" collapsed="false">
      <c r="C4" s="4" t="s">
        <v>167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</row>
    <row r="6" customFormat="false" ht="15" hidden="false" customHeight="false" outlineLevel="0" collapsed="false">
      <c r="B6" s="3" t="s">
        <v>245</v>
      </c>
    </row>
    <row r="7" customFormat="false" ht="15" hidden="false" customHeight="false" outlineLevel="0" collapsed="false">
      <c r="B7" s="6" t="s">
        <v>246</v>
      </c>
      <c r="D7" s="10" t="n">
        <f aca="false">IF('Debt Schedule'!C45+'Key Assumptions'!G33+'Key Assumptions'!G34=0,0,'Income Statement'!G24/('Debt Schedule'!C45+'Key Assumptions'!G33+'Key Assumptions'!G34))</f>
        <v>1.51572088996417</v>
      </c>
      <c r="E7" s="10" t="n">
        <f aca="false">IF('Debt Schedule'!D45+'Key Assumptions'!H33+'Key Assumptions'!H34=0,0,'Income Statement'!H24/('Debt Schedule'!D45+'Key Assumptions'!H33+'Key Assumptions'!H34))</f>
        <v>1.65396867599545</v>
      </c>
      <c r="F7" s="10" t="n">
        <f aca="false">IF('Debt Schedule'!E45+'Key Assumptions'!I33+'Key Assumptions'!I34=0,0,'Income Statement'!I24/('Debt Schedule'!E45+'Key Assumptions'!I33+'Key Assumptions'!I34))</f>
        <v>1.79654594411996</v>
      </c>
      <c r="G7" s="10" t="n">
        <f aca="false">IF('Debt Schedule'!F45+'Key Assumptions'!J33+'Key Assumptions'!J34=0,0,'Income Statement'!J24/('Debt Schedule'!F45+'Key Assumptions'!J33+'Key Assumptions'!J34))</f>
        <v>1.94334707727824</v>
      </c>
      <c r="H7" s="10" t="n">
        <f aca="false">IF('Debt Schedule'!G45+'Key Assumptions'!K33+'Key Assumptions'!K34=0,0,'Income Statement'!K24/('Debt Schedule'!G45+'Key Assumptions'!K33+'Key Assumptions'!K34))</f>
        <v>2.09435566704632</v>
      </c>
    </row>
    <row r="8" customFormat="false" ht="15" hidden="false" customHeight="false" outlineLevel="0" collapsed="false">
      <c r="B8" s="6" t="s">
        <v>247</v>
      </c>
      <c r="D8" s="10" t="n">
        <f aca="false">IF('Debt Schedule'!C11-'Debt Schedule'!C8+'Key Assumptions'!G33+'Key Assumptions'!G34=0,0,'Income Statement'!G24/('Debt Schedule'!C11-'Debt Schedule'!C8+'Key Assumptions'!G33+'Key Assumptions'!G34))</f>
        <v>2.1233769127559</v>
      </c>
      <c r="E8" s="10" t="n">
        <f aca="false">IF('Debt Schedule'!D11-'Debt Schedule'!D8+'Key Assumptions'!H33+'Key Assumptions'!H34=0,0,'Income Statement'!H24/('Debt Schedule'!D11-'Debt Schedule'!D8+'Key Assumptions'!H33+'Key Assumptions'!H34))</f>
        <v>2.33372151865316</v>
      </c>
      <c r="F8" s="10" t="n">
        <f aca="false">IF('Debt Schedule'!E11-'Debt Schedule'!E8+'Key Assumptions'!I33+'Key Assumptions'!I34=0,0,'Income Statement'!I24/('Debt Schedule'!E11-'Debt Schedule'!E8+'Key Assumptions'!I33+'Key Assumptions'!I34))</f>
        <v>2.55018103428535</v>
      </c>
      <c r="G8" s="10" t="n">
        <f aca="false">IF('Debt Schedule'!F11-'Debt Schedule'!F8+'Key Assumptions'!J33+'Key Assumptions'!J34=0,0,'Income Statement'!J24/('Debt Schedule'!F11-'Debt Schedule'!F8+'Key Assumptions'!J33+'Key Assumptions'!J34))</f>
        <v>2.77218033028897</v>
      </c>
      <c r="H8" s="10" t="n">
        <f aca="false">IF('Debt Schedule'!G11-'Debt Schedule'!G8+'Key Assumptions'!K33+'Key Assumptions'!K34=0,0,'Income Statement'!K24/('Debt Schedule'!G11-'Debt Schedule'!G8+'Key Assumptions'!K33+'Key Assumptions'!K34))</f>
        <v>2.99933438653129</v>
      </c>
    </row>
    <row r="10" customFormat="false" ht="15" hidden="false" customHeight="false" outlineLevel="0" collapsed="false">
      <c r="B10" s="3" t="s">
        <v>248</v>
      </c>
    </row>
    <row r="11" customFormat="false" ht="15" hidden="false" customHeight="false" outlineLevel="0" collapsed="false">
      <c r="B11" s="6" t="s">
        <v>249</v>
      </c>
      <c r="C11" s="10" t="n">
        <f aca="false">IF('Income Statement'!F24=0,0,'Key Assumptions'!C87/'Income Statement'!F24)</f>
        <v>2.74957827961947</v>
      </c>
      <c r="D11" s="10" t="n">
        <f aca="false">IF('Income Statement'!G24=0,0,'Debt Schedule'!C10/'Income Statement'!G24)</f>
        <v>1.25052083089499</v>
      </c>
      <c r="E11" s="10" t="n">
        <f aca="false">IF('Income Statement'!H24=0,0,'Debt Schedule'!D10/'Income Statement'!H24)</f>
        <v>1.03006660212391</v>
      </c>
      <c r="F11" s="10" t="n">
        <f aca="false">IF('Income Statement'!I24=0,0,'Debt Schedule'!E10/'Income Statement'!I24)</f>
        <v>0.849662720360327</v>
      </c>
      <c r="G11" s="10" t="n">
        <f aca="false">IF('Income Statement'!J24=0,0,'Debt Schedule'!F10/'Income Statement'!J24)</f>
        <v>0.70175822869337</v>
      </c>
      <c r="H11" s="10" t="n">
        <f aca="false">IF('Income Statement'!K24=0,0,'Debt Schedule'!G10/'Income Statement'!K24)</f>
        <v>0.580291173375676</v>
      </c>
    </row>
    <row r="12" customFormat="false" ht="15" hidden="false" customHeight="false" outlineLevel="0" collapsed="false">
      <c r="B12" s="6" t="s">
        <v>250</v>
      </c>
      <c r="C12" s="10" t="n">
        <f aca="false">IF('Income Statement'!F24=0,0,('Key Assumptions'!C87+'Key Assumptions'!C88)/'Income Statement'!F24)</f>
        <v>5.49915655923895</v>
      </c>
      <c r="D12" s="10" t="n">
        <f aca="false">IF('Income Statement'!G24=0,0,('Debt Schedule'!C10+'Debt Schedule'!C16)/'Income Statement'!G24)</f>
        <v>2.66777777257597</v>
      </c>
      <c r="E12" s="10" t="n">
        <f aca="false">IF('Income Statement'!H24=0,0,('Debt Schedule'!D10+'Debt Schedule'!D16)/'Income Statement'!H24)</f>
        <v>2.35312992662973</v>
      </c>
      <c r="F12" s="10" t="n">
        <f aca="false">IF('Income Statement'!I24=0,0,('Debt Schedule'!E10+'Debt Schedule'!E16)/'Income Statement'!I24)</f>
        <v>2.08651988928782</v>
      </c>
      <c r="G12" s="10" t="n">
        <f aca="false">IF('Income Statement'!J24=0,0,('Debt Schedule'!F10+'Debt Schedule'!F16)/'Income Statement'!J24)</f>
        <v>1.85951722165532</v>
      </c>
      <c r="H12" s="10" t="n">
        <f aca="false">IF('Income Statement'!K24=0,0,('Debt Schedule'!G10+'Debt Schedule'!G16)/'Income Statement'!K24)</f>
        <v>1.66530251106215</v>
      </c>
    </row>
    <row r="13" customFormat="false" ht="15" hidden="false" customHeight="false" outlineLevel="0" collapsed="false">
      <c r="B13" s="6" t="s">
        <v>251</v>
      </c>
      <c r="C13" s="10" t="n">
        <f aca="false">IF('Income Statement'!F24=0,0,('Key Assumptions'!C87+'Key Assumptions'!C88+'Key Assumptions'!C89+'Key Assumptions'!C90)/'Income Statement'!F24)</f>
        <v>6.14611615444353</v>
      </c>
      <c r="D13" s="10" t="n">
        <f aca="false">IF('Income Statement'!G24=0,0,('Debt Schedule'!C10+'Debt Schedule'!C16+'Debt Schedule'!C20+'Debt Schedule'!C22)/'Income Statement'!G24)</f>
        <v>2.99471132313675</v>
      </c>
      <c r="E13" s="10" t="n">
        <f aca="false">IF('Income Statement'!H24=0,0,('Debt Schedule'!D10+'Debt Schedule'!D16+'Debt Schedule'!D20+'Debt Schedule'!D22)/'Income Statement'!H24)</f>
        <v>2.65235043559819</v>
      </c>
      <c r="F13" s="10" t="n">
        <f aca="false">IF('Income Statement'!I24=0,0,('Debt Schedule'!E10+'Debt Schedule'!E16+'Debt Schedule'!E20+'Debt Schedule'!E22)/'Income Statement'!I24)</f>
        <v>2.36075945044664</v>
      </c>
      <c r="G13" s="10" t="n">
        <f aca="false">IF('Income Statement'!J24=0,0,('Debt Schedule'!F10+'Debt Schedule'!F16+'Debt Schedule'!F20+'Debt Schedule'!F22)/'Income Statement'!J24)</f>
        <v>2.11118553932331</v>
      </c>
      <c r="H13" s="10" t="n">
        <f aca="false">IF('Income Statement'!K24=0,0,('Debt Schedule'!G10+'Debt Schedule'!G16+'Debt Schedule'!G20+'Debt Schedule'!G22)/'Income Statement'!K24)</f>
        <v>1.89653267519331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9" min="3" style="0" width="14"/>
  </cols>
  <sheetData>
    <row r="1" customFormat="false" ht="17.35" hidden="false" customHeight="false" outlineLevel="0" collapsed="false">
      <c r="B1" s="1" t="s">
        <v>252</v>
      </c>
    </row>
    <row r="2" customFormat="false" ht="15" hidden="false" customHeight="false" outlineLevel="0" collapsed="false">
      <c r="B2" s="2" t="s">
        <v>253</v>
      </c>
    </row>
    <row r="4" customFormat="false" ht="15" hidden="false" customHeight="false" outlineLevel="0" collapsed="false">
      <c r="B4" s="3" t="s">
        <v>254</v>
      </c>
      <c r="C4" s="4" t="s">
        <v>17</v>
      </c>
      <c r="D4" s="4" t="s">
        <v>18</v>
      </c>
      <c r="E4" s="4" t="s">
        <v>19</v>
      </c>
    </row>
    <row r="5" customFormat="false" ht="15" hidden="false" customHeight="false" outlineLevel="0" collapsed="false">
      <c r="B5" s="6" t="s">
        <v>255</v>
      </c>
      <c r="C5" s="7" t="n">
        <f aca="false">'Income Statement'!K24</f>
        <v>7973.00822289905</v>
      </c>
      <c r="D5" s="7" t="n">
        <f aca="false">'Income Statement'!K24</f>
        <v>7973.00822289905</v>
      </c>
      <c r="E5" s="7" t="n">
        <f aca="false">'Income Statement'!K24</f>
        <v>7973.00822289905</v>
      </c>
    </row>
    <row r="6" customFormat="false" ht="15" hidden="false" customHeight="false" outlineLevel="0" collapsed="false">
      <c r="B6" s="6" t="s">
        <v>16</v>
      </c>
      <c r="C6" s="9" t="n">
        <f aca="false">'Key Assumptions'!C131</f>
        <v>4</v>
      </c>
      <c r="D6" s="9" t="n">
        <f aca="false">'Key Assumptions'!C132</f>
        <v>5</v>
      </c>
      <c r="E6" s="9" t="n">
        <f aca="false">'Key Assumptions'!C133</f>
        <v>6</v>
      </c>
    </row>
    <row r="7" customFormat="false" ht="15" hidden="false" customHeight="false" outlineLevel="0" collapsed="false">
      <c r="B7" s="5" t="s">
        <v>254</v>
      </c>
      <c r="C7" s="18" t="n">
        <f aca="false">C5*C6</f>
        <v>31892.0328915962</v>
      </c>
      <c r="D7" s="18" t="n">
        <f aca="false">D5*D6</f>
        <v>39865.0411144952</v>
      </c>
      <c r="E7" s="18" t="n">
        <f aca="false">E5*E6</f>
        <v>47838.0493373943</v>
      </c>
    </row>
    <row r="9" customFormat="false" ht="15" hidden="false" customHeight="false" outlineLevel="0" collapsed="false">
      <c r="B9" s="6" t="s">
        <v>256</v>
      </c>
      <c r="C9" s="7" t="n">
        <f aca="false">'Debt Schedule'!G10</f>
        <v>4626.666297</v>
      </c>
      <c r="D9" s="7" t="n">
        <f aca="false">'Debt Schedule'!G10</f>
        <v>4626.666297</v>
      </c>
      <c r="E9" s="7" t="n">
        <f aca="false">'Debt Schedule'!G10</f>
        <v>4626.666297</v>
      </c>
    </row>
    <row r="10" customFormat="false" ht="15" hidden="false" customHeight="false" outlineLevel="0" collapsed="false">
      <c r="B10" s="6" t="s">
        <v>257</v>
      </c>
      <c r="C10" s="7" t="n">
        <f aca="false">'Debt Schedule'!G20</f>
        <v>921.8</v>
      </c>
      <c r="D10" s="7" t="n">
        <f aca="false">'Debt Schedule'!G20</f>
        <v>921.8</v>
      </c>
      <c r="E10" s="7" t="n">
        <f aca="false">'Debt Schedule'!G20</f>
        <v>921.8</v>
      </c>
    </row>
    <row r="11" customFormat="false" ht="15" hidden="false" customHeight="false" outlineLevel="0" collapsed="false">
      <c r="B11" s="6" t="s">
        <v>258</v>
      </c>
      <c r="C11" s="7" t="n">
        <f aca="false">'Debt Schedule'!G22</f>
        <v>921.8</v>
      </c>
      <c r="D11" s="7" t="n">
        <f aca="false">'Debt Schedule'!G22</f>
        <v>921.8</v>
      </c>
      <c r="E11" s="7" t="n">
        <f aca="false">'Debt Schedule'!G22</f>
        <v>921.8</v>
      </c>
    </row>
    <row r="12" customFormat="false" ht="15" hidden="false" customHeight="false" outlineLevel="0" collapsed="false">
      <c r="B12" s="5" t="s">
        <v>259</v>
      </c>
      <c r="C12" s="13" t="n">
        <f aca="false">C7-C9-C10-C11</f>
        <v>25421.7665945962</v>
      </c>
      <c r="D12" s="13" t="n">
        <f aca="false">D7-D9-D10-D11</f>
        <v>33394.7748174952</v>
      </c>
      <c r="E12" s="13" t="n">
        <f aca="false">E7-E9-E10-E11</f>
        <v>41367.7830403943</v>
      </c>
    </row>
    <row r="14" customFormat="false" ht="15" hidden="false" customHeight="false" outlineLevel="0" collapsed="false">
      <c r="B14" s="3" t="s">
        <v>260</v>
      </c>
    </row>
    <row r="15" customFormat="false" ht="15" hidden="false" customHeight="false" outlineLevel="0" collapsed="false">
      <c r="B15" s="6" t="s">
        <v>261</v>
      </c>
      <c r="C15" s="7" t="n">
        <f aca="false">'Debt Schedule'!G16</f>
        <v>8650.80431731296</v>
      </c>
      <c r="D15" s="7" t="n">
        <f aca="false">'Debt Schedule'!G16</f>
        <v>8650.80431731296</v>
      </c>
      <c r="E15" s="7" t="n">
        <f aca="false">'Debt Schedule'!G16</f>
        <v>8650.80431731296</v>
      </c>
    </row>
    <row r="16" customFormat="false" ht="15" hidden="false" customHeight="false" outlineLevel="0" collapsed="false">
      <c r="B16" s="6" t="s">
        <v>262</v>
      </c>
      <c r="C16" s="22" t="n">
        <f aca="false">'Key Assumptions'!$C$127*C12</f>
        <v>1271.08832972981</v>
      </c>
      <c r="D16" s="22" t="n">
        <f aca="false">'Key Assumptions'!$C$127*D12</f>
        <v>1669.73874087476</v>
      </c>
      <c r="E16" s="22" t="n">
        <f aca="false">'Key Assumptions'!$C$127*E12</f>
        <v>2068.38915201971</v>
      </c>
    </row>
    <row r="17" customFormat="false" ht="15" hidden="false" customHeight="false" outlineLevel="0" collapsed="false">
      <c r="B17" s="5" t="s">
        <v>263</v>
      </c>
      <c r="C17" s="18" t="n">
        <f aca="false">C15+C16</f>
        <v>9921.89264704277</v>
      </c>
      <c r="D17" s="18" t="n">
        <f aca="false">D15+D16</f>
        <v>10320.5430581877</v>
      </c>
      <c r="E17" s="18" t="n">
        <f aca="false">E15+E16</f>
        <v>10719.1934693327</v>
      </c>
    </row>
    <row r="19" customFormat="false" ht="15" hidden="false" customHeight="false" outlineLevel="0" collapsed="false">
      <c r="B19" s="5" t="s">
        <v>264</v>
      </c>
      <c r="C19" s="4" t="s">
        <v>265</v>
      </c>
      <c r="D19" s="4" t="s">
        <v>266</v>
      </c>
      <c r="E19" s="4" t="s">
        <v>267</v>
      </c>
      <c r="F19" s="4" t="s">
        <v>268</v>
      </c>
      <c r="G19" s="4" t="s">
        <v>269</v>
      </c>
      <c r="H19" s="4" t="s">
        <v>270</v>
      </c>
    </row>
    <row r="20" customFormat="false" ht="15" hidden="false" customHeight="false" outlineLevel="0" collapsed="false">
      <c r="B20" s="6" t="s">
        <v>17</v>
      </c>
      <c r="C20" s="22" t="n">
        <f aca="false">-'Key Assumptions'!C88</f>
        <v>-7835.3</v>
      </c>
      <c r="D20" s="7" t="n">
        <f aca="false">'Debt Schedule'!C17</f>
        <v>1018.589</v>
      </c>
      <c r="E20" s="7" t="n">
        <f aca="false">'Debt Schedule'!D17</f>
        <v>1038.96078</v>
      </c>
      <c r="F20" s="7" t="n">
        <f aca="false">'Debt Schedule'!E17</f>
        <v>1059.7399956</v>
      </c>
      <c r="G20" s="7" t="n">
        <f aca="false">'Debt Schedule'!F17</f>
        <v>1080.934795512</v>
      </c>
      <c r="H20" s="22" t="n">
        <f aca="false">'Debt Schedule'!G17+C17</f>
        <v>11024.446138465</v>
      </c>
    </row>
    <row r="21" customFormat="false" ht="15" hidden="false" customHeight="false" outlineLevel="0" collapsed="false">
      <c r="B21" s="6" t="s">
        <v>18</v>
      </c>
      <c r="C21" s="22" t="n">
        <f aca="false">-'Key Assumptions'!C88</f>
        <v>-7835.3</v>
      </c>
      <c r="D21" s="7" t="n">
        <f aca="false">'Debt Schedule'!C17</f>
        <v>1018.589</v>
      </c>
      <c r="E21" s="7" t="n">
        <f aca="false">'Debt Schedule'!D17</f>
        <v>1038.96078</v>
      </c>
      <c r="F21" s="7" t="n">
        <f aca="false">'Debt Schedule'!E17</f>
        <v>1059.7399956</v>
      </c>
      <c r="G21" s="7" t="n">
        <f aca="false">'Debt Schedule'!F17</f>
        <v>1080.934795512</v>
      </c>
      <c r="H21" s="22" t="n">
        <f aca="false">'Debt Schedule'!G17+D17</f>
        <v>11423.09654961</v>
      </c>
    </row>
    <row r="22" customFormat="false" ht="15" hidden="false" customHeight="false" outlineLevel="0" collapsed="false">
      <c r="B22" s="6" t="s">
        <v>19</v>
      </c>
      <c r="C22" s="22" t="n">
        <f aca="false">-'Key Assumptions'!C88</f>
        <v>-7835.3</v>
      </c>
      <c r="D22" s="7" t="n">
        <f aca="false">'Debt Schedule'!C17</f>
        <v>1018.589</v>
      </c>
      <c r="E22" s="7" t="n">
        <f aca="false">'Debt Schedule'!D17</f>
        <v>1038.96078</v>
      </c>
      <c r="F22" s="7" t="n">
        <f aca="false">'Debt Schedule'!E17</f>
        <v>1059.7399956</v>
      </c>
      <c r="G22" s="7" t="n">
        <f aca="false">'Debt Schedule'!F17</f>
        <v>1080.934795512</v>
      </c>
      <c r="H22" s="22" t="n">
        <f aca="false">'Debt Schedule'!G17+E17</f>
        <v>11821.7469607549</v>
      </c>
    </row>
    <row r="24" customFormat="false" ht="15" hidden="false" customHeight="false" outlineLevel="0" collapsed="false">
      <c r="B24" s="5" t="s">
        <v>271</v>
      </c>
      <c r="C24" s="25" t="n">
        <f aca="false">IRR(C20:H20)</f>
        <v>0.172260239706293</v>
      </c>
      <c r="D24" s="25" t="n">
        <f aca="false">IRR(C21:H21)</f>
        <v>0.178869046520252</v>
      </c>
      <c r="E24" s="25" t="n">
        <f aca="false">IRR(C22:H22)</f>
        <v>0.185317169190533</v>
      </c>
    </row>
    <row r="25" customFormat="false" ht="15" hidden="false" customHeight="false" outlineLevel="0" collapsed="false">
      <c r="B25" s="5" t="s">
        <v>272</v>
      </c>
      <c r="C25" s="30" t="n">
        <f aca="false">IF(C20=0,0,(SUM(D20:H20))/(-C20))</f>
        <v>1.94283189023739</v>
      </c>
      <c r="D25" s="30" t="n">
        <f aca="false">IF(C21=0,0,(SUM(D21:H21))/(-C21))</f>
        <v>1.99371065826732</v>
      </c>
      <c r="E25" s="30" t="n">
        <f aca="false">IF(C22=0,0,(SUM(D22:H22))/(-C22))</f>
        <v>2.04458942629726</v>
      </c>
    </row>
    <row r="27" customFormat="false" ht="15" hidden="false" customHeight="false" outlineLevel="0" collapsed="false">
      <c r="B27" s="3" t="s">
        <v>273</v>
      </c>
    </row>
    <row r="28" customFormat="false" ht="15" hidden="false" customHeight="false" outlineLevel="0" collapsed="false">
      <c r="B28" s="6" t="s">
        <v>274</v>
      </c>
      <c r="C28" s="7" t="n">
        <f aca="false">'Debt Schedule'!G28</f>
        <v>3708.138110875</v>
      </c>
      <c r="D28" s="7" t="n">
        <f aca="false">'Debt Schedule'!G28</f>
        <v>3708.138110875</v>
      </c>
      <c r="E28" s="7" t="n">
        <f aca="false">'Debt Schedule'!G28</f>
        <v>3708.138110875</v>
      </c>
    </row>
    <row r="29" customFormat="false" ht="15" hidden="false" customHeight="false" outlineLevel="0" collapsed="false">
      <c r="B29" s="6" t="s">
        <v>275</v>
      </c>
      <c r="C29" s="22" t="n">
        <f aca="false">'Key Assumptions'!$C$128*C12</f>
        <v>3813.26498918943</v>
      </c>
      <c r="D29" s="22" t="n">
        <f aca="false">'Key Assumptions'!$C$128*D12</f>
        <v>5009.21622262429</v>
      </c>
      <c r="E29" s="22" t="n">
        <f aca="false">'Key Assumptions'!$C$128*E12</f>
        <v>6205.16745605914</v>
      </c>
    </row>
    <row r="30" customFormat="false" ht="15" hidden="false" customHeight="false" outlineLevel="0" collapsed="false">
      <c r="B30" s="5" t="s">
        <v>263</v>
      </c>
      <c r="C30" s="18" t="n">
        <f aca="false">C28+C29</f>
        <v>7521.40310006443</v>
      </c>
      <c r="D30" s="18" t="n">
        <f aca="false">D28+D29</f>
        <v>8717.35433349929</v>
      </c>
      <c r="E30" s="18" t="n">
        <f aca="false">E28+E29</f>
        <v>9913.30556693414</v>
      </c>
    </row>
    <row r="32" customFormat="false" ht="15" hidden="false" customHeight="false" outlineLevel="0" collapsed="false">
      <c r="B32" s="5" t="s">
        <v>276</v>
      </c>
      <c r="C32" s="4" t="s">
        <v>265</v>
      </c>
      <c r="D32" s="4" t="s">
        <v>266</v>
      </c>
      <c r="E32" s="4" t="s">
        <v>267</v>
      </c>
      <c r="F32" s="4" t="s">
        <v>268</v>
      </c>
      <c r="G32" s="4" t="s">
        <v>269</v>
      </c>
      <c r="H32" s="4" t="s">
        <v>270</v>
      </c>
    </row>
    <row r="33" customFormat="false" ht="15" hidden="false" customHeight="false" outlineLevel="0" collapsed="false">
      <c r="B33" s="6" t="s">
        <v>17</v>
      </c>
      <c r="C33" s="22" t="n">
        <f aca="false">-'Key Assumptions'!C91</f>
        <v>-1843.6</v>
      </c>
      <c r="D33" s="7" t="n">
        <f aca="false">'Debt Schedule'!C26</f>
        <v>0</v>
      </c>
      <c r="E33" s="7" t="n">
        <f aca="false">'Debt Schedule'!D26</f>
        <v>0</v>
      </c>
      <c r="F33" s="7" t="n">
        <f aca="false">'Debt Schedule'!E26</f>
        <v>0</v>
      </c>
      <c r="G33" s="7" t="n">
        <f aca="false">'Debt Schedule'!F26</f>
        <v>0</v>
      </c>
      <c r="H33" s="22" t="n">
        <f aca="false">'Debt Schedule'!G26+C30</f>
        <v>7521.40310006443</v>
      </c>
    </row>
    <row r="34" customFormat="false" ht="15" hidden="false" customHeight="false" outlineLevel="0" collapsed="false">
      <c r="B34" s="6" t="s">
        <v>18</v>
      </c>
      <c r="C34" s="22" t="n">
        <f aca="false">-'Key Assumptions'!C91</f>
        <v>-1843.6</v>
      </c>
      <c r="D34" s="7" t="n">
        <f aca="false">'Debt Schedule'!C26</f>
        <v>0</v>
      </c>
      <c r="E34" s="7" t="n">
        <f aca="false">'Debt Schedule'!D26</f>
        <v>0</v>
      </c>
      <c r="F34" s="7" t="n">
        <f aca="false">'Debt Schedule'!E26</f>
        <v>0</v>
      </c>
      <c r="G34" s="7" t="n">
        <f aca="false">'Debt Schedule'!F26</f>
        <v>0</v>
      </c>
      <c r="H34" s="22" t="n">
        <f aca="false">'Debt Schedule'!G26+D30</f>
        <v>8717.35433349929</v>
      </c>
    </row>
    <row r="35" customFormat="false" ht="15" hidden="false" customHeight="false" outlineLevel="0" collapsed="false">
      <c r="B35" s="6" t="s">
        <v>19</v>
      </c>
      <c r="C35" s="22" t="n">
        <f aca="false">-'Key Assumptions'!C91</f>
        <v>-1843.6</v>
      </c>
      <c r="D35" s="7" t="n">
        <f aca="false">'Debt Schedule'!C26</f>
        <v>0</v>
      </c>
      <c r="E35" s="7" t="n">
        <f aca="false">'Debt Schedule'!D26</f>
        <v>0</v>
      </c>
      <c r="F35" s="7" t="n">
        <f aca="false">'Debt Schedule'!E26</f>
        <v>0</v>
      </c>
      <c r="G35" s="7" t="n">
        <f aca="false">'Debt Schedule'!F26</f>
        <v>0</v>
      </c>
      <c r="H35" s="22" t="n">
        <f aca="false">'Debt Schedule'!G26+E30</f>
        <v>9913.30556693414</v>
      </c>
    </row>
    <row r="37" customFormat="false" ht="15" hidden="false" customHeight="false" outlineLevel="0" collapsed="false">
      <c r="B37" s="5" t="s">
        <v>277</v>
      </c>
      <c r="C37" s="25" t="n">
        <f aca="false">IRR(C33:H33)</f>
        <v>0.324727137448471</v>
      </c>
      <c r="D37" s="25" t="n">
        <f aca="false">IRR(C34:H34)</f>
        <v>0.364405935176794</v>
      </c>
      <c r="E37" s="25" t="n">
        <f aca="false">IRR(C35:H35)</f>
        <v>0.399943017372733</v>
      </c>
    </row>
    <row r="38" customFormat="false" ht="15" hidden="false" customHeight="false" outlineLevel="0" collapsed="false">
      <c r="B38" s="5" t="s">
        <v>278</v>
      </c>
      <c r="C38" s="30" t="n">
        <f aca="false">IF(C33=0,0,(SUM(D33:H33))/(-C33))</f>
        <v>4.0797369820267</v>
      </c>
      <c r="D38" s="30" t="n">
        <f aca="false">IF(C34=0,0,(SUM(D34:H34))/(-C34))</f>
        <v>4.72844127440838</v>
      </c>
      <c r="E38" s="30" t="n">
        <f aca="false">IF(C35=0,0,(SUM(D35:H35))/(-C35))</f>
        <v>5.37714556679005</v>
      </c>
    </row>
    <row r="40" customFormat="false" ht="15" hidden="false" customHeight="false" outlineLevel="0" collapsed="false">
      <c r="B40" s="3" t="s">
        <v>279</v>
      </c>
    </row>
    <row r="41" customFormat="false" ht="15" hidden="false" customHeight="false" outlineLevel="0" collapsed="false">
      <c r="B41" s="5" t="s">
        <v>280</v>
      </c>
      <c r="C41" s="4" t="s">
        <v>265</v>
      </c>
      <c r="D41" s="4" t="s">
        <v>266</v>
      </c>
      <c r="E41" s="4" t="s">
        <v>267</v>
      </c>
      <c r="F41" s="4" t="s">
        <v>268</v>
      </c>
      <c r="G41" s="4" t="s">
        <v>269</v>
      </c>
      <c r="H41" s="4" t="s">
        <v>270</v>
      </c>
    </row>
    <row r="42" customFormat="false" ht="15" hidden="false" customHeight="false" outlineLevel="0" collapsed="false">
      <c r="B42" s="6" t="s">
        <v>17</v>
      </c>
      <c r="C42" s="22" t="n">
        <f aca="false">C20+C33</f>
        <v>-9678.9</v>
      </c>
      <c r="D42" s="22" t="n">
        <f aca="false">D20+D33</f>
        <v>1018.589</v>
      </c>
      <c r="E42" s="22" t="n">
        <f aca="false">E20+E33</f>
        <v>1038.96078</v>
      </c>
      <c r="F42" s="22" t="n">
        <f aca="false">F20+F33</f>
        <v>1059.7399956</v>
      </c>
      <c r="G42" s="22" t="n">
        <f aca="false">G20+G33</f>
        <v>1080.934795512</v>
      </c>
      <c r="H42" s="22" t="n">
        <f aca="false">H20+H33</f>
        <v>18545.8492385294</v>
      </c>
    </row>
    <row r="43" customFormat="false" ht="15" hidden="false" customHeight="false" outlineLevel="0" collapsed="false">
      <c r="B43" s="6" t="s">
        <v>18</v>
      </c>
      <c r="C43" s="22" t="n">
        <f aca="false">C21+C34</f>
        <v>-9678.9</v>
      </c>
      <c r="D43" s="22" t="n">
        <f aca="false">D21+D34</f>
        <v>1018.589</v>
      </c>
      <c r="E43" s="22" t="n">
        <f aca="false">E21+E34</f>
        <v>1038.96078</v>
      </c>
      <c r="F43" s="22" t="n">
        <f aca="false">F21+F34</f>
        <v>1059.7399956</v>
      </c>
      <c r="G43" s="22" t="n">
        <f aca="false">G21+G34</f>
        <v>1080.934795512</v>
      </c>
      <c r="H43" s="22" t="n">
        <f aca="false">H21+H34</f>
        <v>20140.4508831093</v>
      </c>
    </row>
    <row r="44" customFormat="false" ht="15" hidden="false" customHeight="false" outlineLevel="0" collapsed="false">
      <c r="B44" s="6" t="s">
        <v>19</v>
      </c>
      <c r="C44" s="22" t="n">
        <f aca="false">C22+C35</f>
        <v>-9678.9</v>
      </c>
      <c r="D44" s="22" t="n">
        <f aca="false">D22+D35</f>
        <v>1018.589</v>
      </c>
      <c r="E44" s="22" t="n">
        <f aca="false">E22+E35</f>
        <v>1038.96078</v>
      </c>
      <c r="F44" s="22" t="n">
        <f aca="false">F22+F35</f>
        <v>1059.7399956</v>
      </c>
      <c r="G44" s="22" t="n">
        <f aca="false">G22+G35</f>
        <v>1080.934795512</v>
      </c>
      <c r="H44" s="22" t="n">
        <f aca="false">H22+H35</f>
        <v>21735.0525276891</v>
      </c>
    </row>
    <row r="46" customFormat="false" ht="15" hidden="false" customHeight="false" outlineLevel="0" collapsed="false">
      <c r="B46" s="5" t="s">
        <v>281</v>
      </c>
      <c r="C46" s="25" t="n">
        <f aca="false">IRR(C42:H42)</f>
        <v>0.213653884798064</v>
      </c>
      <c r="D46" s="25" t="n">
        <f aca="false">IRR(C43:H43)</f>
        <v>0.230937455751259</v>
      </c>
      <c r="E46" s="25" t="n">
        <f aca="false">IRR(C44:H44)</f>
        <v>0.247234879198016</v>
      </c>
    </row>
    <row r="47" customFormat="false" ht="15" hidden="false" customHeight="false" outlineLevel="0" collapsed="false">
      <c r="B47" s="5" t="s">
        <v>282</v>
      </c>
      <c r="C47" s="30" t="n">
        <f aca="false">IF(C42=0,0,(SUM(D42:H42))/(-C42))</f>
        <v>2.34986143153059</v>
      </c>
      <c r="D47" s="30" t="n">
        <f aca="false">IF(C43=0,0,(SUM(D43:H43))/(-C43))</f>
        <v>2.51461172800848</v>
      </c>
      <c r="E47" s="30" t="n">
        <f aca="false">IF(C44=0,0,(SUM(D44:H44))/(-C44))</f>
        <v>2.67936202448636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2026-04-15T04:20:25Z</dcterms:created>
  <dc:creator>openpyxl</dc:creator>
  <dc:description/>
  <dc:language>en-US</dc:language>
  <cp:lastModifiedBy/>
  <dcterms:modified xsi:type="dcterms:W3CDTF">2026-04-15T04:20:25Z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