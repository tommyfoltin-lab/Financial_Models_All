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y\Downloads\PYPL\"/>
    </mc:Choice>
  </mc:AlternateContent>
  <xr:revisionPtr revIDLastSave="0" documentId="13_ncr:1_{5249CAA3-542B-4A92-87CB-2F3183DADA39}" xr6:coauthVersionLast="47" xr6:coauthVersionMax="47" xr10:uidLastSave="{00000000-0000-0000-0000-000000000000}"/>
  <bookViews>
    <workbookView xWindow="-120" yWindow="-120" windowWidth="29040" windowHeight="15720" xr2:uid="{C04121F2-0500-4C6B-9FE7-330D81199E1E}"/>
  </bookViews>
  <sheets>
    <sheet name="Financ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7" i="1" l="1"/>
  <c r="K127" i="1"/>
  <c r="C36" i="1"/>
  <c r="D36" i="1"/>
  <c r="E36" i="1"/>
  <c r="F36" i="1"/>
  <c r="G36" i="1"/>
  <c r="H36" i="1"/>
  <c r="I36" i="1"/>
  <c r="J36" i="1"/>
  <c r="K36" i="1"/>
  <c r="L36" i="1"/>
  <c r="M36" i="1"/>
  <c r="C37" i="1"/>
  <c r="D37" i="1"/>
  <c r="E37" i="1"/>
  <c r="F37" i="1"/>
  <c r="G37" i="1"/>
  <c r="H37" i="1"/>
  <c r="I37" i="1"/>
  <c r="J37" i="1"/>
  <c r="K37" i="1"/>
  <c r="L37" i="1"/>
  <c r="M37" i="1"/>
  <c r="C38" i="1"/>
  <c r="D38" i="1"/>
  <c r="E38" i="1"/>
  <c r="F38" i="1"/>
  <c r="G38" i="1"/>
  <c r="H38" i="1"/>
  <c r="I38" i="1"/>
  <c r="J38" i="1"/>
  <c r="K38" i="1"/>
  <c r="L38" i="1"/>
  <c r="M38" i="1"/>
  <c r="B38" i="1"/>
  <c r="B37" i="1"/>
  <c r="B36" i="1"/>
  <c r="K32" i="1"/>
  <c r="L32" i="1"/>
  <c r="M32" i="1"/>
  <c r="K33" i="1"/>
  <c r="L33" i="1"/>
  <c r="M33" i="1"/>
  <c r="C34" i="1"/>
  <c r="D34" i="1"/>
  <c r="E34" i="1"/>
  <c r="F34" i="1"/>
  <c r="G34" i="1"/>
  <c r="H34" i="1"/>
  <c r="I34" i="1"/>
  <c r="J34" i="1"/>
  <c r="K34" i="1"/>
  <c r="L34" i="1"/>
  <c r="M34" i="1"/>
  <c r="B34" i="1"/>
  <c r="C18" i="1"/>
  <c r="D18" i="1"/>
  <c r="E18" i="1"/>
  <c r="F18" i="1"/>
  <c r="G18" i="1"/>
  <c r="H18" i="1"/>
  <c r="I18" i="1"/>
  <c r="J18" i="1"/>
  <c r="K18" i="1"/>
  <c r="K19" i="1" s="1"/>
  <c r="K21" i="1" s="1"/>
  <c r="K23" i="1" s="1"/>
  <c r="L18" i="1"/>
  <c r="L19" i="1" s="1"/>
  <c r="L21" i="1" s="1"/>
  <c r="L23" i="1" s="1"/>
  <c r="M18" i="1"/>
  <c r="M19" i="1" s="1"/>
  <c r="M21" i="1" s="1"/>
  <c r="M23" i="1" s="1"/>
  <c r="B18" i="1"/>
  <c r="C12" i="1"/>
  <c r="C19" i="1" s="1"/>
  <c r="D12" i="1"/>
  <c r="D19" i="1" s="1"/>
  <c r="E12" i="1"/>
  <c r="F12" i="1"/>
  <c r="G12" i="1"/>
  <c r="H12" i="1"/>
  <c r="I12" i="1"/>
  <c r="J12" i="1"/>
  <c r="B12" i="1"/>
  <c r="K30" i="1"/>
  <c r="L30" i="1" s="1"/>
  <c r="M30" i="1" s="1"/>
  <c r="K29" i="1"/>
  <c r="L29" i="1" s="1"/>
  <c r="P10" i="1"/>
  <c r="P11" i="1"/>
  <c r="P13" i="1"/>
  <c r="P14" i="1"/>
  <c r="P15" i="1"/>
  <c r="P16" i="1"/>
  <c r="P17" i="1"/>
  <c r="P20" i="1"/>
  <c r="P22" i="1"/>
  <c r="P24" i="1"/>
  <c r="P25" i="1"/>
  <c r="P8" i="1"/>
  <c r="O22" i="1"/>
  <c r="O20" i="1"/>
  <c r="O17" i="1"/>
  <c r="O16" i="1"/>
  <c r="O15" i="1"/>
  <c r="O14" i="1"/>
  <c r="O13" i="1"/>
  <c r="O11" i="1"/>
  <c r="O10" i="1"/>
  <c r="O8" i="1"/>
  <c r="J122" i="1"/>
  <c r="J108" i="1"/>
  <c r="J94" i="1"/>
  <c r="J124" i="1" s="1"/>
  <c r="J75" i="1"/>
  <c r="J64" i="1"/>
  <c r="J67" i="1" s="1"/>
  <c r="J76" i="1" s="1"/>
  <c r="J51" i="1"/>
  <c r="J57" i="1" s="1"/>
  <c r="I122" i="1"/>
  <c r="I108" i="1"/>
  <c r="I94" i="1"/>
  <c r="I124" i="1" s="1"/>
  <c r="I75" i="1"/>
  <c r="I64" i="1"/>
  <c r="I67" i="1" s="1"/>
  <c r="I51" i="1"/>
  <c r="I57" i="1" s="1"/>
  <c r="H122" i="1"/>
  <c r="H108" i="1"/>
  <c r="H94" i="1"/>
  <c r="H124" i="1" s="1"/>
  <c r="H75" i="1"/>
  <c r="H64" i="1"/>
  <c r="H67" i="1" s="1"/>
  <c r="H51" i="1"/>
  <c r="H57" i="1" s="1"/>
  <c r="G122" i="1"/>
  <c r="G108" i="1"/>
  <c r="G94" i="1"/>
  <c r="G124" i="1" s="1"/>
  <c r="G75" i="1"/>
  <c r="G64" i="1"/>
  <c r="G67" i="1" s="1"/>
  <c r="G51" i="1"/>
  <c r="G57" i="1" s="1"/>
  <c r="F122" i="1"/>
  <c r="F108" i="1"/>
  <c r="F94" i="1"/>
  <c r="F124" i="1" s="1"/>
  <c r="F75" i="1"/>
  <c r="F64" i="1"/>
  <c r="F67" i="1" s="1"/>
  <c r="F76" i="1" s="1"/>
  <c r="F51" i="1"/>
  <c r="F57" i="1" s="1"/>
  <c r="E122" i="1"/>
  <c r="E108" i="1"/>
  <c r="E94" i="1"/>
  <c r="E124" i="1" s="1"/>
  <c r="E75" i="1"/>
  <c r="E64" i="1"/>
  <c r="E67" i="1" s="1"/>
  <c r="E51" i="1"/>
  <c r="E57" i="1" s="1"/>
  <c r="D122" i="1"/>
  <c r="D108" i="1"/>
  <c r="D94" i="1"/>
  <c r="D124" i="1" s="1"/>
  <c r="D75" i="1"/>
  <c r="D64" i="1"/>
  <c r="D67" i="1" s="1"/>
  <c r="D51" i="1"/>
  <c r="D57" i="1" s="1"/>
  <c r="C122" i="1"/>
  <c r="C108" i="1"/>
  <c r="C94" i="1"/>
  <c r="C124" i="1" s="1"/>
  <c r="C75" i="1"/>
  <c r="C64" i="1"/>
  <c r="C67" i="1" s="1"/>
  <c r="C76" i="1" s="1"/>
  <c r="C51" i="1"/>
  <c r="C57" i="1" s="1"/>
  <c r="B122" i="1"/>
  <c r="B108" i="1"/>
  <c r="B94" i="1"/>
  <c r="B124" i="1" s="1"/>
  <c r="B75" i="1"/>
  <c r="B64" i="1"/>
  <c r="B67" i="1" s="1"/>
  <c r="B51" i="1"/>
  <c r="B57" i="1" s="1"/>
  <c r="E19" i="1" l="1"/>
  <c r="F19" i="1"/>
  <c r="F32" i="1" s="1"/>
  <c r="F33" i="1" s="1"/>
  <c r="G19" i="1"/>
  <c r="H19" i="1"/>
  <c r="I19" i="1"/>
  <c r="J19" i="1"/>
  <c r="B19" i="1"/>
  <c r="B32" i="1" s="1"/>
  <c r="B33" i="1" s="1"/>
  <c r="K27" i="1"/>
  <c r="M27" i="1"/>
  <c r="K26" i="1"/>
  <c r="L27" i="1"/>
  <c r="I76" i="1"/>
  <c r="I77" i="1" s="1"/>
  <c r="L26" i="1"/>
  <c r="M29" i="1"/>
  <c r="M26" i="1" s="1"/>
  <c r="D21" i="1"/>
  <c r="D23" i="1" s="1"/>
  <c r="D32" i="1"/>
  <c r="D33" i="1" s="1"/>
  <c r="C21" i="1"/>
  <c r="C23" i="1" s="1"/>
  <c r="C32" i="1"/>
  <c r="C33" i="1" s="1"/>
  <c r="C77" i="1"/>
  <c r="D76" i="1"/>
  <c r="D77" i="1" s="1"/>
  <c r="J77" i="1"/>
  <c r="G76" i="1"/>
  <c r="G77" i="1" s="1"/>
  <c r="F77" i="1"/>
  <c r="H76" i="1"/>
  <c r="H77" i="1" s="1"/>
  <c r="P18" i="1"/>
  <c r="O18" i="1"/>
  <c r="E76" i="1"/>
  <c r="E77" i="1" s="1"/>
  <c r="B76" i="1"/>
  <c r="B77" i="1" s="1"/>
  <c r="E21" i="1" l="1"/>
  <c r="E23" i="1" s="1"/>
  <c r="E32" i="1"/>
  <c r="E33" i="1" s="1"/>
  <c r="G21" i="1"/>
  <c r="G23" i="1" s="1"/>
  <c r="G32" i="1"/>
  <c r="G33" i="1" s="1"/>
  <c r="H21" i="1"/>
  <c r="H23" i="1" s="1"/>
  <c r="H32" i="1"/>
  <c r="H33" i="1" s="1"/>
  <c r="I21" i="1"/>
  <c r="I23" i="1" s="1"/>
  <c r="I32" i="1"/>
  <c r="I33" i="1" s="1"/>
  <c r="J21" i="1"/>
  <c r="J23" i="1" s="1"/>
  <c r="J27" i="1" s="1"/>
  <c r="J32" i="1"/>
  <c r="J33" i="1" s="1"/>
  <c r="J26" i="1"/>
  <c r="I26" i="1"/>
  <c r="I27" i="1"/>
  <c r="H27" i="1"/>
  <c r="H26" i="1"/>
  <c r="G27" i="1"/>
  <c r="G26" i="1"/>
  <c r="D26" i="1"/>
  <c r="D27" i="1"/>
  <c r="C26" i="1"/>
  <c r="C27" i="1"/>
  <c r="P19" i="1"/>
  <c r="F21" i="1"/>
  <c r="O19" i="1"/>
  <c r="B21" i="1"/>
  <c r="E26" i="1" l="1"/>
  <c r="E27" i="1"/>
  <c r="P21" i="1"/>
  <c r="F23" i="1"/>
  <c r="O21" i="1"/>
  <c r="B23" i="1"/>
  <c r="P23" i="1" l="1"/>
  <c r="F27" i="1"/>
  <c r="P27" i="1" s="1"/>
  <c r="F26" i="1"/>
  <c r="P26" i="1" s="1"/>
  <c r="O23" i="1"/>
  <c r="B26" i="1"/>
  <c r="O26" i="1" s="1"/>
  <c r="B27" i="1"/>
  <c r="O2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Tomohawk WR</author>
  </authors>
  <commentList>
    <comment ref="A7" authorId="0" shapeId="0" xr:uid="{42CE9D96-79C9-450A-897F-C911DFB7A351}">
      <text>
        <r>
          <rPr>
            <b/>
            <sz val="9"/>
            <color indexed="81"/>
            <rFont val="Tahoma"/>
            <charset val="1"/>
          </rPr>
          <t>Sources by quarter, Q1 2024 through Q1 2026: 982e1c04-12f4-4e5a-86b8-5c0d65c9e8ca.xls; caf58e59-72a0-4135-b806-7f195440851a.xls; c7d87eb8-1e48-4d60-a682-15852ef27197.xls; 6cd88af2-7b9a-4385-9714-af446301f7ba.xls; c9562009-c132-4b5d-a2b5-d8b9ae9221ed.xls; 956cd7fa-6dd5-4a25-9607-198ea58392b1.xls; e7739643-ffd8-4864-b7e9-48e503ce410c.xls; 9cb31356-83d7-4b4b-a0e5-57c033c6cc24.xls; 512bb28e-ac58-4bf5-86e4-5337a2a915b2.xls. Income statement values are direct three-month filing values.</t>
        </r>
      </text>
    </comment>
    <comment ref="A41" authorId="0" shapeId="0" xr:uid="{A69A37F2-9633-4B25-ADE7-3D9748CEEED4}">
      <text>
        <r>
          <rPr>
            <b/>
            <sz val="9"/>
            <color indexed="81"/>
            <rFont val="Tahoma"/>
            <charset val="1"/>
          </rPr>
          <t>Sources by quarter, Q1 2024 through Q1 2026: 982e1c04-12f4-4e5a-86b8-5c0d65c9e8ca.xls; caf58e59-72a0-4135-b806-7f195440851a.xls; c7d87eb8-1e48-4d60-a682-15852ef27197.xls; 6cd88af2-7b9a-4385-9714-af446301f7ba.xls; c9562009-c132-4b5d-a2b5-d8b9ae9221ed.xls; 956cd7fa-6dd5-4a25-9607-198ea58392b1.xls; e7739643-ffd8-4864-b7e9-48e503ce410c.xls; 9cb31356-83d7-4b4b-a0e5-57c033c6cc24.xls; 512bb28e-ac58-4bf5-86e4-5337a2a915b2.xls. Balance sheet values are direct quarter-end filing values.</t>
        </r>
      </text>
    </comment>
    <comment ref="A79" authorId="0" shapeId="0" xr:uid="{A4E374ED-6C43-4B93-8686-86B110EE6AC1}">
      <text>
        <r>
          <rPr>
            <b/>
            <sz val="9"/>
            <color indexed="81"/>
            <rFont val="Tahoma"/>
            <charset val="1"/>
          </rPr>
          <t>Sources by quarter, Q1 2024 through Q1 2026: 982e1c04-12f4-4e5a-86b8-5c0d65c9e8ca.xls; caf58e59-72a0-4135-b806-7f195440851a.xls; c7d87eb8-1e48-4d60-a682-15852ef27197.xls; 6cd88af2-7b9a-4385-9714-af446301f7ba.xls; c9562009-c132-4b5d-a2b5-d8b9ae9221ed.xls; 956cd7fa-6dd5-4a25-9607-198ea58392b1.xls; e7739643-ffd8-4864-b7e9-48e503ce410c.xls; 9cb31356-83d7-4b4b-a0e5-57c033c6cc24.xls; 512bb28e-ac58-4bf5-86e4-5337a2a915b2.xls. Cash flow Q1/Q4 values are direct three-month figures; Q2/Q3 hardcodes were derived outside the workbook as current YTD less prior YTD.</t>
        </r>
      </text>
    </comment>
    <comment ref="A127" authorId="0" shapeId="0" xr:uid="{39D4AD1F-A1B4-414B-AF34-6B41567F8672}">
      <text>
        <r>
          <rPr>
            <b/>
            <sz val="9"/>
            <color indexed="81"/>
            <rFont val="Tahoma"/>
            <family val="2"/>
          </rPr>
          <t>Sources: 6cd88af2-7b9a-4385-9714-af446301f7ba.xls TABLE10 (Q1-Q4 2024); 9cb31356-83d7-4b4b-a0e5-57c033c6cc24.xls TABLE8 (Q1-Q4 2025); 512bb28e-ac58-4bf5-86e4-5337a2a915b2.xls TABLE50 (Q1 2026).</t>
        </r>
      </text>
    </comment>
    <comment ref="A128" authorId="0" shapeId="0" xr:uid="{7CC7EDFE-1639-445A-B30B-BE52881AB514}">
      <text>
        <r>
          <rPr>
            <b/>
            <sz val="9"/>
            <color indexed="81"/>
            <rFont val="Tahoma"/>
            <family val="2"/>
          </rPr>
          <t>Sources: 6cd88af2-7b9a-4385-9714-af446301f7ba.xls TABLE10 (Q1-Q4 2024); 9cb31356-83d7-4b4b-a0e5-57c033c6cc24.xls TABLE8 (Q1-Q4 2025); 512bb28e-ac58-4bf5-86e4-5337a2a915b2.xls TABLE50 (Q1 2026).</t>
        </r>
      </text>
    </comment>
    <comment ref="A129" authorId="0" shapeId="0" xr:uid="{EF19D52B-3D3F-4320-A794-6C58E986B0E3}">
      <text>
        <r>
          <rPr>
            <b/>
            <sz val="9"/>
            <color indexed="81"/>
            <rFont val="Tahoma"/>
            <family val="2"/>
          </rPr>
          <t>Sources: 6cd88af2-7b9a-4385-9714-af446301f7ba.xls TABLE10 (Q1-Q4 2024); 9cb31356-83d7-4b4b-a0e5-57c033c6cc24.xls TABLE8 (Q1-Q4 2025); 512bb28e-ac58-4bf5-86e4-5337a2a915b2.xls TABLE50 (Q1 2026).</t>
        </r>
      </text>
    </comment>
    <comment ref="A130" authorId="0" shapeId="0" xr:uid="{A44E0AE8-2B18-42F5-920F-8B27794F6F6F}">
      <text>
        <r>
          <rPr>
            <b/>
            <sz val="9"/>
            <color indexed="81"/>
            <rFont val="Tahoma"/>
            <family val="2"/>
          </rPr>
          <t>Sources: 6cd88af2-7b9a-4385-9714-af446301f7ba.xls TABLE10 (Q1-Q4 2024); 9cb31356-83d7-4b4b-a0e5-57c033c6cc24.xls TABLE8 (Q1-Q4 2025); 512bb28e-ac58-4bf5-86e4-5337a2a915b2.xls TABLE50 (Q1 2026).</t>
        </r>
      </text>
    </comment>
    <comment ref="A132" authorId="0" shapeId="0" xr:uid="{7CEF8A2A-0AAF-4310-8667-882CAE7151B0}">
      <text>
        <r>
          <rPr>
            <b/>
            <sz val="9"/>
            <color indexed="81"/>
            <rFont val="Tahoma"/>
            <family val="2"/>
          </rPr>
          <t>Sources: Q4 2024 8-K TABLE10; Q4 2025 8-K TABLE8; Q1 2026 10-Q TABLE51.</t>
        </r>
      </text>
    </comment>
    <comment ref="A133" authorId="0" shapeId="0" xr:uid="{FAD52193-8942-4EE2-BACB-CF19DECD5E32}">
      <text>
        <r>
          <rPr>
            <b/>
            <sz val="9"/>
            <color indexed="81"/>
            <rFont val="Tahoma"/>
            <family val="2"/>
          </rPr>
          <t>Sources: Q4 2024 8-K TABLE10; Q4 2025 8-K TABLE8; Q1 2026 10-Q TABLE51.</t>
        </r>
      </text>
    </comment>
    <comment ref="A134" authorId="0" shapeId="0" xr:uid="{1157FE67-AA34-409B-AF17-9457160B8821}">
      <text>
        <r>
          <rPr>
            <b/>
            <sz val="9"/>
            <color indexed="81"/>
            <rFont val="Tahoma"/>
            <family val="2"/>
          </rPr>
          <t>Reported in Q4 2024 8-K TABLE10 and Q4 2025 8-K TABLE8 through Q4 2025. Q1 2026 is hardcoded after deriving transaction margin dollars divided by net revenues from the Q1 2026 filing.</t>
        </r>
      </text>
    </comment>
    <comment ref="A135" authorId="0" shapeId="0" xr:uid="{476F3594-CADC-4978-B6A2-AD62109BE368}">
      <text>
        <r>
          <rPr>
            <b/>
            <sz val="9"/>
            <color indexed="81"/>
            <rFont val="Tahoma"/>
            <family val="2"/>
          </rPr>
          <t>Hardcoded quarterly amounts derived outside the workbook as net revenues less transaction expense less transaction and credit losses; Q4 reported figures tie to the earnings-release transaction margin dollars.</t>
        </r>
      </text>
    </comment>
    <comment ref="A138" authorId="0" shapeId="0" xr:uid="{510E60EF-636B-4D36-BB6A-A26BC5D1AB05}">
      <text>
        <r>
          <rPr>
            <b/>
            <sz val="9"/>
            <color indexed="81"/>
            <rFont val="Tahoma"/>
            <family val="2"/>
          </rPr>
          <t>Sources: quarterly 10-Q supplemental TPV tables. Disclosed at 12% for Q1-Q3 2024 and Q1-Q3 2025; Q4 and Q1 2026 were not disclosed on the same basis.</t>
        </r>
      </text>
    </comment>
    <comment ref="A139" authorId="0" shapeId="0" xr:uid="{32653F0E-7878-49C8-A760-89EF4779A82E}">
      <text>
        <r>
          <rPr>
            <b/>
            <sz val="9"/>
            <color indexed="81"/>
            <rFont val="Tahoma"/>
            <family val="2"/>
          </rPr>
          <t>Source: Q1 2026 10-Q TABLE50, which reports 35% for Q1 2026 and the Q1 2025 comparison. This metric is not the same as cross-border TPV.</t>
        </r>
      </text>
    </comment>
    <comment ref="A140" authorId="0" shapeId="0" xr:uid="{C1C5AA43-7AC4-4394-8695-3B382232EE91}">
      <text>
        <r>
          <rPr>
            <b/>
            <sz val="9"/>
            <color indexed="81"/>
            <rFont val="Tahoma"/>
            <family val="2"/>
          </rPr>
          <t>Source: Q1 2026 10-Q TABLE52, which reports 0.06% for Q1 2026 and 0.07% for Q1 2025.</t>
        </r>
      </text>
    </comment>
  </commentList>
</comments>
</file>

<file path=xl/sharedStrings.xml><?xml version="1.0" encoding="utf-8"?>
<sst xmlns="http://schemas.openxmlformats.org/spreadsheetml/2006/main" count="157" uniqueCount="135">
  <si>
    <t>Free cash flow</t>
  </si>
  <si>
    <t>Net cash used in financing activities</t>
  </si>
  <si>
    <t>Other financing activities</t>
  </si>
  <si>
    <t>Payments of dividends to stockholders</t>
  </si>
  <si>
    <t>Collateral received related to derivative instruments and reverse repurchase agreements, net</t>
  </si>
  <si>
    <t>Funds payable and amounts due to customers</t>
  </si>
  <si>
    <t>Repayments under financing arrangements</t>
  </si>
  <si>
    <t>Borrowings under financing arrangements</t>
  </si>
  <si>
    <t>Tax withholdings related to net share settlements of equity awards</t>
  </si>
  <si>
    <t>Purchases of treasury stock</t>
  </si>
  <si>
    <t>Proceeds from issuance of common stock</t>
  </si>
  <si>
    <t>Repayments of repurchase agreements</t>
  </si>
  <si>
    <t>Borrowings from repurchase agreements</t>
  </si>
  <si>
    <t>Cash flows from financing activities:</t>
  </si>
  <si>
    <t>Net cash provided by (used in) investing activities</t>
  </si>
  <si>
    <t>Other investing activities</t>
  </si>
  <si>
    <t>Collateral posted related to derivative instruments, net</t>
  </si>
  <si>
    <t>Funds receivable</t>
  </si>
  <si>
    <t>Maturities and sales of investments</t>
  </si>
  <si>
    <t>Purchases of investments</t>
  </si>
  <si>
    <t>Proceeds from repayments and sales of loans receivable, held for investment</t>
  </si>
  <si>
    <t>Purchases and originations of loans receivable</t>
  </si>
  <si>
    <t>Proceeds from sales of property and equipment</t>
  </si>
  <si>
    <t>Purchases of property and equipment</t>
  </si>
  <si>
    <t>Maturities of reverse repurchase agreements</t>
  </si>
  <si>
    <t>Purchases of reverse repurchase agreements</t>
  </si>
  <si>
    <t>Cash flows from investing activities:</t>
  </si>
  <si>
    <t>Net cash provided by operating activities</t>
  </si>
  <si>
    <t>Other operating activities</t>
  </si>
  <si>
    <t>Accounts payable</t>
  </si>
  <si>
    <t>Accounts receivable</t>
  </si>
  <si>
    <t>Proceeds from repayments and sales of loans receivable, held for sale</t>
  </si>
  <si>
    <t>Originations of loans receivable, held for sale</t>
  </si>
  <si>
    <t>Adjustments to loans and interest receivable, held for sale</t>
  </si>
  <si>
    <t>Accretion of discounts on investments, net of amortization of premiums</t>
  </si>
  <si>
    <t>Net (gains) losses on strategic investments</t>
  </si>
  <si>
    <t>Deferred income taxes</t>
  </si>
  <si>
    <t>Stock-based compensation</t>
  </si>
  <si>
    <t>Depreciation and amortization</t>
  </si>
  <si>
    <t>Transaction and credit losses</t>
  </si>
  <si>
    <t>Net income (loss)</t>
  </si>
  <si>
    <t>Cash flows from operating activities:</t>
  </si>
  <si>
    <t>CASH FLOW STATEMENT</t>
  </si>
  <si>
    <t>Balance sheet check</t>
  </si>
  <si>
    <t>Total liabilities and equity</t>
  </si>
  <si>
    <t>Total equity</t>
  </si>
  <si>
    <t>Accumulated other comprehensive income (loss)</t>
  </si>
  <si>
    <t>Retained earnings</t>
  </si>
  <si>
    <t>Additional paid-in-capital</t>
  </si>
  <si>
    <t>Treasury stock at cost</t>
  </si>
  <si>
    <t>Preferred stock</t>
  </si>
  <si>
    <t>Common stock</t>
  </si>
  <si>
    <t>Equity:</t>
  </si>
  <si>
    <t>Total liabilities</t>
  </si>
  <si>
    <t>Long-term debt</t>
  </si>
  <si>
    <t>Other long-term liabilities</t>
  </si>
  <si>
    <t>Total current liabilities</t>
  </si>
  <si>
    <t>Accrued expenses and other current liabilities</t>
  </si>
  <si>
    <t>Current liabilities:</t>
  </si>
  <si>
    <t>LIABILITIES AND EQUITY</t>
  </si>
  <si>
    <t>Total assets</t>
  </si>
  <si>
    <t>Other assets</t>
  </si>
  <si>
    <t>Intangible assets, net</t>
  </si>
  <si>
    <t>Goodwill</t>
  </si>
  <si>
    <t>Property and equipment, net</t>
  </si>
  <si>
    <t>Long-term investments</t>
  </si>
  <si>
    <t>Total current assets</t>
  </si>
  <si>
    <t>Prepaid expenses and other current assets</t>
  </si>
  <si>
    <t>Funds receivable and customer accounts</t>
  </si>
  <si>
    <t>Loans and interest receivable, net</t>
  </si>
  <si>
    <t>Loans and interest receivable, held for sale</t>
  </si>
  <si>
    <t>Accounts receivable, net</t>
  </si>
  <si>
    <t>Short-term investments</t>
  </si>
  <si>
    <t>Cash and cash equivalents</t>
  </si>
  <si>
    <t>Current assets:</t>
  </si>
  <si>
    <t>ASSETS</t>
  </si>
  <si>
    <t>BALANCE SHEET</t>
  </si>
  <si>
    <t>Diluted</t>
  </si>
  <si>
    <t>Basic</t>
  </si>
  <si>
    <t>Weighted average shares:</t>
  </si>
  <si>
    <t>Net income (loss) per share:</t>
  </si>
  <si>
    <t>Income tax expense</t>
  </si>
  <si>
    <t>Income before income taxes</t>
  </si>
  <si>
    <t>Other income (expense), net</t>
  </si>
  <si>
    <t>Operating income</t>
  </si>
  <si>
    <t>Total operating expenses</t>
  </si>
  <si>
    <t>Restructuring and other</t>
  </si>
  <si>
    <t>General and administrative</t>
  </si>
  <si>
    <t>Technology and development</t>
  </si>
  <si>
    <t>Sales and marketing</t>
  </si>
  <si>
    <t>Customer support and operations</t>
  </si>
  <si>
    <t>Transaction expense</t>
  </si>
  <si>
    <t>Operating expenses:</t>
  </si>
  <si>
    <t>Net revenues</t>
  </si>
  <si>
    <t>INCOME STATEMENT</t>
  </si>
  <si>
    <t>$ in millions, except per share data</t>
  </si>
  <si>
    <t>Quarter Ended</t>
  </si>
  <si>
    <t>Quarterly Financial Statements</t>
  </si>
  <si>
    <t>PayPal Holdings, Inc.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</si>
  <si>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</si>
  <si>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</si>
  <si>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</si>
  <si>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</si>
  <si>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</si>
  <si>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</si>
  <si>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</si>
  <si>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</si>
  <si>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</si>
  <si>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Transaction loss rate</t>
  </si>
  <si>
    <t>TPV generated outside the U.S.</t>
  </si>
  <si>
    <t>Cross-border TPV</t>
  </si>
  <si>
    <t>ADDITIONAL DISCLOSURES</t>
  </si>
  <si>
    <t>Transaction margin dollars</t>
  </si>
  <si>
    <t>Transaction margin</t>
  </si>
  <si>
    <t>Transaction and credit loss rate</t>
  </si>
  <si>
    <t>Transaction expense rate</t>
  </si>
  <si>
    <t>Total payment volume (TPV)</t>
  </si>
  <si>
    <t>Payment transactions per active account</t>
  </si>
  <si>
    <t>Number of payment transactions</t>
  </si>
  <si>
    <t>Active accounts</t>
  </si>
  <si>
    <t>OPERATING KPIs</t>
  </si>
  <si>
    <t>n/a</t>
  </si>
  <si>
    <t>FY24</t>
  </si>
  <si>
    <t>FY25</t>
  </si>
  <si>
    <t>FY26</t>
  </si>
  <si>
    <t>Q2 2026</t>
  </si>
  <si>
    <t>Q3 2026</t>
  </si>
  <si>
    <t>Q4 2026</t>
  </si>
  <si>
    <t>EBIT</t>
  </si>
  <si>
    <t>Gross profit</t>
  </si>
  <si>
    <t>Adj NI</t>
  </si>
  <si>
    <t>Gross margin</t>
  </si>
  <si>
    <t>EBIT margin</t>
  </si>
  <si>
    <t>Adj margin</t>
  </si>
  <si>
    <t>Adj 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</si>
</sst>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;\(#,##0\);\-"/>
    <numFmt numFmtId="165" formatCode="0.00;\(0.00\);\-"/>
    <numFmt numFmtId="166" formatCode="0.0"/>
    <numFmt numFmtId="167" formatCode="0.0%"/>
  </numFmts>
  <fonts count="7" x14ac:knownFonts="1">
    <font>
      <sz val="12"/>
      <color theme="1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9"/>
      <color indexed="81"/>
      <name val="Tahoma"/>
      <charset val="1"/>
    </font>
    <font>
      <b/>
      <sz val="12"/>
      <color theme="1"/>
      <name val="Arial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165" fontId="1" fillId="0" borderId="0" xfId="0" applyNumberFormat="1" applyFont="1" applyAlignment="1">
      <alignment horizontal="right" vertical="center"/>
    </xf>
    <xf numFmtId="0" fontId="4" fillId="0" borderId="0" xfId="0" applyFont="1"/>
    <xf numFmtId="166" fontId="1" fillId="0" borderId="0" xfId="0" applyNumberFormat="1" applyFont="1" applyAlignment="1">
      <alignment horizontal="right" vertical="center"/>
    </xf>
    <xf numFmtId="10" fontId="1" fillId="0" borderId="0" xfId="0" applyNumberFormat="1" applyFont="1" applyAlignment="1">
      <alignment horizontal="right" vertical="center"/>
    </xf>
    <xf numFmtId="167" fontId="1" fillId="0" borderId="0" xfId="0" applyNumberFormat="1" applyFont="1" applyAlignment="1">
      <alignment horizontal="right" vertical="center"/>
    </xf>
    <xf numFmtId="9" fontId="1" fillId="0" borderId="0" xfId="0" applyNumberFormat="1" applyFont="1" applyAlignment="1">
      <alignment horizontal="right" vertical="center"/>
    </xf>
    <xf numFmtId="43" fontId="1" fillId="0" borderId="0" xfId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0A515-287D-4C86-A3ED-73EE3B1E9EC0}">
  <dimension ref="A1:Q140"/>
  <sheetViews>
    <sheetView tabSelected="1" zoomScale="90" zoomScaleNormal="90" workbookViewId="0">
      <pane xSplit="1" ySplit="4" topLeftCell="E119" activePane="bottomRight" state="frozenSplit"/>
      <selection pane="topRight" activeCell="B1" sqref="B1"/>
      <selection pane="bottomLeft" activeCell="A5" sqref="A5"/>
      <selection pane="bottomRight" activeCell="K130" sqref="K130"/>
    </sheetView>
  </sheetViews>
  <sheetFormatPr defaultRowHeight="15" x14ac:dyDescent="0.2"/>
  <cols>
    <col min="1" max="1" width="78.77734375" customWidth="1"/>
    <col min="2" max="13" width="13.77734375" customWidth="1"/>
    <col min="14" max="14" width="3.21875" customWidth="1"/>
  </cols>
  <sheetData>
    <row r="1" spans="1:17" ht="15" customHeight="1" x14ac:dyDescent="0.2">
      <c r="A1" s="4" t="s">
        <v>98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7" ht="15" customHeight="1" x14ac:dyDescent="0.2">
      <c r="A2" s="4" t="s">
        <v>97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7" ht="15" customHeight="1" x14ac:dyDescent="0.2">
      <c r="A3" s="3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7" ht="15" customHeight="1" x14ac:dyDescent="0.2">
      <c r="A4" s="4" t="s">
        <v>96</v>
      </c>
      <c r="B4" s="6" t="s">
        <v>99</v>
      </c>
      <c r="C4" s="6" t="s">
        <v>100</v>
      </c>
      <c r="D4" s="6" t="s">
        <v>101</v>
      </c>
      <c r="E4" s="6" t="s">
        <v>102</v>
      </c>
      <c r="F4" s="6" t="s">
        <v>103</v>
      </c>
      <c r="G4" s="6" t="s">
        <v>104</v>
      </c>
      <c r="H4" s="6" t="s">
        <v>105</v>
      </c>
      <c r="I4" s="6" t="s">
        <v>106</v>
      </c>
      <c r="J4" s="6" t="s">
        <v>107</v>
      </c>
      <c r="K4" s="6" t="s">
        <v>125</v>
      </c>
      <c r="L4" s="6" t="s">
        <v>126</v>
      </c>
      <c r="M4" s="6" t="s">
        <v>127</v>
      </c>
      <c r="O4" s="6" t="s">
        <v>122</v>
      </c>
      <c r="P4" s="6" t="s">
        <v>123</v>
      </c>
      <c r="Q4" s="6" t="s">
        <v>124</v>
      </c>
    </row>
    <row r="5" spans="1:17" ht="15" customHeight="1" x14ac:dyDescent="0.2">
      <c r="A5" s="3" t="s">
        <v>95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7" ht="15" customHeight="1" x14ac:dyDescent="0.2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7" ht="15" customHeight="1" x14ac:dyDescent="0.2">
      <c r="A7" s="4" t="s">
        <v>94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1:17" s="11" customFormat="1" ht="15" customHeight="1" x14ac:dyDescent="0.25">
      <c r="A8" s="4" t="s">
        <v>93</v>
      </c>
      <c r="B8" s="9">
        <v>7699</v>
      </c>
      <c r="C8" s="9">
        <v>7885</v>
      </c>
      <c r="D8" s="9">
        <v>7847</v>
      </c>
      <c r="E8" s="9">
        <v>8366</v>
      </c>
      <c r="F8" s="9">
        <v>7791</v>
      </c>
      <c r="G8" s="9">
        <v>8288</v>
      </c>
      <c r="H8" s="9">
        <v>8417</v>
      </c>
      <c r="I8" s="9">
        <v>8676</v>
      </c>
      <c r="J8" s="9">
        <v>8353</v>
      </c>
      <c r="K8" s="9"/>
      <c r="L8" s="9"/>
      <c r="M8" s="9"/>
      <c r="O8" s="9">
        <f>SUM(B8:E8)</f>
        <v>31797</v>
      </c>
      <c r="P8" s="9">
        <f>SUM(F8:I8)</f>
        <v>33172</v>
      </c>
    </row>
    <row r="9" spans="1:17" ht="15" customHeight="1" x14ac:dyDescent="0.2">
      <c r="A9" s="4" t="s">
        <v>92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O9" s="9"/>
      <c r="P9" s="9"/>
    </row>
    <row r="10" spans="1:17" ht="15" customHeight="1" x14ac:dyDescent="0.2">
      <c r="A10" s="3" t="s">
        <v>91</v>
      </c>
      <c r="B10" s="8">
        <v>3917</v>
      </c>
      <c r="C10" s="8">
        <v>3942</v>
      </c>
      <c r="D10" s="8">
        <v>3841</v>
      </c>
      <c r="E10" s="8">
        <v>3997</v>
      </c>
      <c r="F10" s="8">
        <v>3704</v>
      </c>
      <c r="G10" s="8">
        <v>3968</v>
      </c>
      <c r="H10" s="8">
        <v>4063</v>
      </c>
      <c r="I10" s="8">
        <v>4252</v>
      </c>
      <c r="J10" s="8">
        <v>4165</v>
      </c>
      <c r="K10" s="8"/>
      <c r="L10" s="8"/>
      <c r="M10" s="8"/>
      <c r="O10" s="8">
        <f>SUM(B10:E10)</f>
        <v>15697</v>
      </c>
      <c r="P10" s="8">
        <f>SUM(F10:I10)</f>
        <v>15987</v>
      </c>
    </row>
    <row r="11" spans="1:17" ht="15" customHeight="1" x14ac:dyDescent="0.2">
      <c r="A11" s="3" t="s">
        <v>39</v>
      </c>
      <c r="B11" s="8">
        <v>321</v>
      </c>
      <c r="C11" s="8">
        <v>335</v>
      </c>
      <c r="D11" s="8">
        <v>352</v>
      </c>
      <c r="E11" s="8">
        <v>434</v>
      </c>
      <c r="F11" s="8">
        <v>371</v>
      </c>
      <c r="G11" s="8">
        <v>476</v>
      </c>
      <c r="H11" s="8">
        <v>483</v>
      </c>
      <c r="I11" s="8">
        <v>390</v>
      </c>
      <c r="J11" s="8">
        <v>378</v>
      </c>
      <c r="K11" s="8"/>
      <c r="L11" s="8"/>
      <c r="M11" s="8"/>
      <c r="O11" s="8">
        <f>SUM(B11:E11)</f>
        <v>1442</v>
      </c>
      <c r="P11" s="8">
        <f>SUM(F11:I11)</f>
        <v>1720</v>
      </c>
    </row>
    <row r="12" spans="1:17" s="11" customFormat="1" ht="15" customHeight="1" x14ac:dyDescent="0.25">
      <c r="A12" s="4" t="s">
        <v>129</v>
      </c>
      <c r="B12" s="9">
        <f>B8-B10-B11</f>
        <v>3461</v>
      </c>
      <c r="C12" s="9">
        <f t="shared" ref="C12:J12" si="0">C8-C10-C11</f>
        <v>3608</v>
      </c>
      <c r="D12" s="9">
        <f t="shared" si="0"/>
        <v>3654</v>
      </c>
      <c r="E12" s="9">
        <f t="shared" si="0"/>
        <v>3935</v>
      </c>
      <c r="F12" s="9">
        <f t="shared" si="0"/>
        <v>3716</v>
      </c>
      <c r="G12" s="9">
        <f t="shared" si="0"/>
        <v>3844</v>
      </c>
      <c r="H12" s="9">
        <f t="shared" si="0"/>
        <v>3871</v>
      </c>
      <c r="I12" s="9">
        <f t="shared" si="0"/>
        <v>4034</v>
      </c>
      <c r="J12" s="9">
        <f t="shared" si="0"/>
        <v>3810</v>
      </c>
      <c r="K12" s="9"/>
      <c r="L12" s="9"/>
      <c r="M12" s="9"/>
      <c r="O12" s="9"/>
      <c r="P12" s="9"/>
    </row>
    <row r="13" spans="1:17" ht="15" customHeight="1" x14ac:dyDescent="0.2">
      <c r="A13" s="3" t="s">
        <v>90</v>
      </c>
      <c r="B13" s="8">
        <v>454</v>
      </c>
      <c r="C13" s="8">
        <v>436</v>
      </c>
      <c r="D13" s="8">
        <v>427</v>
      </c>
      <c r="E13" s="8">
        <v>451</v>
      </c>
      <c r="F13" s="8">
        <v>398</v>
      </c>
      <c r="G13" s="8">
        <v>413</v>
      </c>
      <c r="H13" s="8">
        <v>447</v>
      </c>
      <c r="I13" s="8">
        <v>446</v>
      </c>
      <c r="J13" s="8">
        <v>446</v>
      </c>
      <c r="K13" s="8"/>
      <c r="L13" s="8"/>
      <c r="M13" s="8"/>
      <c r="O13" s="8">
        <f>SUM(B13:E13)</f>
        <v>1768</v>
      </c>
      <c r="P13" s="8">
        <f>SUM(F13:I13)</f>
        <v>1704</v>
      </c>
    </row>
    <row r="14" spans="1:17" ht="15" customHeight="1" x14ac:dyDescent="0.2">
      <c r="A14" s="3" t="s">
        <v>89</v>
      </c>
      <c r="B14" s="8">
        <v>421</v>
      </c>
      <c r="C14" s="8">
        <v>446</v>
      </c>
      <c r="D14" s="8">
        <v>508</v>
      </c>
      <c r="E14" s="8">
        <v>626</v>
      </c>
      <c r="F14" s="8">
        <v>488</v>
      </c>
      <c r="G14" s="8">
        <v>583</v>
      </c>
      <c r="H14" s="8">
        <v>521</v>
      </c>
      <c r="I14" s="8">
        <v>691</v>
      </c>
      <c r="J14" s="8">
        <v>518</v>
      </c>
      <c r="K14" s="8"/>
      <c r="L14" s="8"/>
      <c r="M14" s="8"/>
      <c r="O14" s="8">
        <f>SUM(B14:E14)</f>
        <v>2001</v>
      </c>
      <c r="P14" s="8">
        <f>SUM(F14:I14)</f>
        <v>2283</v>
      </c>
    </row>
    <row r="15" spans="1:17" ht="15" customHeight="1" x14ac:dyDescent="0.2">
      <c r="A15" s="3" t="s">
        <v>88</v>
      </c>
      <c r="B15" s="8">
        <v>742</v>
      </c>
      <c r="C15" s="8">
        <v>718</v>
      </c>
      <c r="D15" s="8">
        <v>746</v>
      </c>
      <c r="E15" s="8">
        <v>773</v>
      </c>
      <c r="F15" s="8">
        <v>731</v>
      </c>
      <c r="G15" s="8">
        <v>767</v>
      </c>
      <c r="H15" s="8">
        <v>801</v>
      </c>
      <c r="I15" s="8">
        <v>804</v>
      </c>
      <c r="J15" s="8">
        <v>793</v>
      </c>
      <c r="K15" s="8"/>
      <c r="L15" s="8"/>
      <c r="M15" s="8"/>
      <c r="O15" s="8">
        <f>SUM(B15:E15)</f>
        <v>2979</v>
      </c>
      <c r="P15" s="8">
        <f>SUM(F15:I15)</f>
        <v>3103</v>
      </c>
    </row>
    <row r="16" spans="1:17" ht="15" customHeight="1" x14ac:dyDescent="0.2">
      <c r="A16" s="3" t="s">
        <v>87</v>
      </c>
      <c r="B16" s="8">
        <v>464</v>
      </c>
      <c r="C16" s="8">
        <v>570</v>
      </c>
      <c r="D16" s="8">
        <v>519</v>
      </c>
      <c r="E16" s="8">
        <v>594</v>
      </c>
      <c r="F16" s="8">
        <v>503</v>
      </c>
      <c r="G16" s="8">
        <v>461</v>
      </c>
      <c r="H16" s="8">
        <v>513</v>
      </c>
      <c r="I16" s="8">
        <v>502</v>
      </c>
      <c r="J16" s="8">
        <v>491</v>
      </c>
      <c r="K16" s="8"/>
      <c r="L16" s="8"/>
      <c r="M16" s="8"/>
      <c r="O16" s="8">
        <f>SUM(B16:E16)</f>
        <v>2147</v>
      </c>
      <c r="P16" s="8">
        <f>SUM(F16:I16)</f>
        <v>1979</v>
      </c>
    </row>
    <row r="17" spans="1:16" ht="15" customHeight="1" x14ac:dyDescent="0.2">
      <c r="A17" s="3" t="s">
        <v>86</v>
      </c>
      <c r="B17" s="8">
        <v>212</v>
      </c>
      <c r="C17" s="8">
        <v>113</v>
      </c>
      <c r="D17" s="8">
        <v>63</v>
      </c>
      <c r="E17" s="8">
        <v>50</v>
      </c>
      <c r="F17" s="8">
        <v>66</v>
      </c>
      <c r="G17" s="8">
        <v>116</v>
      </c>
      <c r="H17" s="8">
        <v>69</v>
      </c>
      <c r="I17" s="8">
        <v>80</v>
      </c>
      <c r="J17" s="8">
        <v>74</v>
      </c>
      <c r="K17" s="8"/>
      <c r="L17" s="8"/>
      <c r="M17" s="8"/>
      <c r="O17" s="8">
        <f>SUM(B17:E17)</f>
        <v>438</v>
      </c>
      <c r="P17" s="8">
        <f>SUM(F17:I17)</f>
        <v>331</v>
      </c>
    </row>
    <row r="18" spans="1:16" ht="15" customHeight="1" x14ac:dyDescent="0.2">
      <c r="A18" s="4" t="s">
        <v>85</v>
      </c>
      <c r="B18" s="9">
        <f>SUM(B13:B17)</f>
        <v>2293</v>
      </c>
      <c r="C18" s="9">
        <f t="shared" ref="C18:M18" si="1">SUM(C13:C17)</f>
        <v>2283</v>
      </c>
      <c r="D18" s="9">
        <f t="shared" si="1"/>
        <v>2263</v>
      </c>
      <c r="E18" s="9">
        <f t="shared" si="1"/>
        <v>2494</v>
      </c>
      <c r="F18" s="9">
        <f t="shared" si="1"/>
        <v>2186</v>
      </c>
      <c r="G18" s="9">
        <f t="shared" si="1"/>
        <v>2340</v>
      </c>
      <c r="H18" s="9">
        <f t="shared" si="1"/>
        <v>2351</v>
      </c>
      <c r="I18" s="9">
        <f t="shared" si="1"/>
        <v>2523</v>
      </c>
      <c r="J18" s="9">
        <f t="shared" si="1"/>
        <v>2322</v>
      </c>
      <c r="K18" s="9">
        <f t="shared" si="1"/>
        <v>0</v>
      </c>
      <c r="L18" s="9">
        <f t="shared" si="1"/>
        <v>0</v>
      </c>
      <c r="M18" s="9">
        <f t="shared" si="1"/>
        <v>0</v>
      </c>
      <c r="O18" s="9">
        <f>SUM(B18:E18)</f>
        <v>9333</v>
      </c>
      <c r="P18" s="9">
        <f>SUM(F18:I18)</f>
        <v>9400</v>
      </c>
    </row>
    <row r="19" spans="1:16" ht="15" customHeight="1" x14ac:dyDescent="0.2">
      <c r="A19" s="4" t="s">
        <v>84</v>
      </c>
      <c r="B19" s="9">
        <f>B12-B18</f>
        <v>1168</v>
      </c>
      <c r="C19" s="9">
        <f t="shared" ref="C19:M19" si="2">C12-C18</f>
        <v>1325</v>
      </c>
      <c r="D19" s="9">
        <f t="shared" si="2"/>
        <v>1391</v>
      </c>
      <c r="E19" s="9">
        <f t="shared" si="2"/>
        <v>1441</v>
      </c>
      <c r="F19" s="9">
        <f t="shared" si="2"/>
        <v>1530</v>
      </c>
      <c r="G19" s="9">
        <f t="shared" si="2"/>
        <v>1504</v>
      </c>
      <c r="H19" s="9">
        <f t="shared" si="2"/>
        <v>1520</v>
      </c>
      <c r="I19" s="9">
        <f t="shared" si="2"/>
        <v>1511</v>
      </c>
      <c r="J19" s="9">
        <f t="shared" si="2"/>
        <v>1488</v>
      </c>
      <c r="K19" s="9">
        <f t="shared" si="2"/>
        <v>0</v>
      </c>
      <c r="L19" s="9">
        <f t="shared" si="2"/>
        <v>0</v>
      </c>
      <c r="M19" s="9">
        <f t="shared" si="2"/>
        <v>0</v>
      </c>
      <c r="O19" s="9">
        <f>SUM(B19:E19)</f>
        <v>5325</v>
      </c>
      <c r="P19" s="9">
        <f>SUM(F19:I19)</f>
        <v>6065</v>
      </c>
    </row>
    <row r="20" spans="1:16" ht="15" customHeight="1" x14ac:dyDescent="0.2">
      <c r="A20" s="3" t="s">
        <v>83</v>
      </c>
      <c r="B20" s="8">
        <v>41</v>
      </c>
      <c r="C20" s="8">
        <v>74</v>
      </c>
      <c r="D20" s="8">
        <v>-80</v>
      </c>
      <c r="E20" s="8">
        <v>-31</v>
      </c>
      <c r="F20" s="8">
        <v>73</v>
      </c>
      <c r="G20" s="8">
        <v>25</v>
      </c>
      <c r="H20" s="8">
        <v>13</v>
      </c>
      <c r="I20" s="8">
        <v>116</v>
      </c>
      <c r="J20" s="8">
        <v>-95</v>
      </c>
      <c r="K20" s="8"/>
      <c r="L20" s="8"/>
      <c r="M20" s="8"/>
      <c r="O20" s="8">
        <f>SUM(B20:E20)</f>
        <v>4</v>
      </c>
      <c r="P20" s="8">
        <f>SUM(F20:I20)</f>
        <v>227</v>
      </c>
    </row>
    <row r="21" spans="1:16" ht="15" customHeight="1" x14ac:dyDescent="0.2">
      <c r="A21" s="4" t="s">
        <v>82</v>
      </c>
      <c r="B21" s="9">
        <f t="shared" ref="B21:M21" si="3">B19+B20</f>
        <v>1209</v>
      </c>
      <c r="C21" s="9">
        <f t="shared" si="3"/>
        <v>1399</v>
      </c>
      <c r="D21" s="9">
        <f t="shared" si="3"/>
        <v>1311</v>
      </c>
      <c r="E21" s="9">
        <f t="shared" si="3"/>
        <v>1410</v>
      </c>
      <c r="F21" s="9">
        <f t="shared" si="3"/>
        <v>1603</v>
      </c>
      <c r="G21" s="9">
        <f t="shared" si="3"/>
        <v>1529</v>
      </c>
      <c r="H21" s="9">
        <f t="shared" si="3"/>
        <v>1533</v>
      </c>
      <c r="I21" s="9">
        <f t="shared" si="3"/>
        <v>1627</v>
      </c>
      <c r="J21" s="9">
        <f t="shared" si="3"/>
        <v>1393</v>
      </c>
      <c r="K21" s="9">
        <f t="shared" si="3"/>
        <v>0</v>
      </c>
      <c r="L21" s="9">
        <f t="shared" si="3"/>
        <v>0</v>
      </c>
      <c r="M21" s="9">
        <f t="shared" si="3"/>
        <v>0</v>
      </c>
      <c r="O21" s="9">
        <f>SUM(B21:E21)</f>
        <v>5329</v>
      </c>
      <c r="P21" s="9">
        <f>SUM(F21:I21)</f>
        <v>6292</v>
      </c>
    </row>
    <row r="22" spans="1:16" ht="15" customHeight="1" x14ac:dyDescent="0.2">
      <c r="A22" s="3" t="s">
        <v>81</v>
      </c>
      <c r="B22" s="8">
        <v>321</v>
      </c>
      <c r="C22" s="8">
        <v>271</v>
      </c>
      <c r="D22" s="8">
        <v>301</v>
      </c>
      <c r="E22" s="8">
        <v>289</v>
      </c>
      <c r="F22" s="8">
        <v>316</v>
      </c>
      <c r="G22" s="8">
        <v>268</v>
      </c>
      <c r="H22" s="8">
        <v>285</v>
      </c>
      <c r="I22" s="8">
        <v>190</v>
      </c>
      <c r="J22" s="8">
        <v>280</v>
      </c>
      <c r="K22" s="8"/>
      <c r="L22" s="8"/>
      <c r="M22" s="8"/>
      <c r="O22" s="8">
        <f>SUM(B22:E22)</f>
        <v>1182</v>
      </c>
      <c r="P22" s="8">
        <f>SUM(F22:I22)</f>
        <v>1059</v>
      </c>
    </row>
    <row r="23" spans="1:16" ht="15" customHeight="1" x14ac:dyDescent="0.2">
      <c r="A23" s="4" t="s">
        <v>40</v>
      </c>
      <c r="B23" s="9">
        <f t="shared" ref="B23:M23" si="4">B21-B22</f>
        <v>888</v>
      </c>
      <c r="C23" s="9">
        <f t="shared" si="4"/>
        <v>1128</v>
      </c>
      <c r="D23" s="9">
        <f t="shared" si="4"/>
        <v>1010</v>
      </c>
      <c r="E23" s="9">
        <f t="shared" si="4"/>
        <v>1121</v>
      </c>
      <c r="F23" s="9">
        <f t="shared" si="4"/>
        <v>1287</v>
      </c>
      <c r="G23" s="9">
        <f t="shared" si="4"/>
        <v>1261</v>
      </c>
      <c r="H23" s="9">
        <f t="shared" si="4"/>
        <v>1248</v>
      </c>
      <c r="I23" s="9">
        <f t="shared" si="4"/>
        <v>1437</v>
      </c>
      <c r="J23" s="9">
        <f t="shared" si="4"/>
        <v>1113</v>
      </c>
      <c r="K23" s="9">
        <f t="shared" si="4"/>
        <v>0</v>
      </c>
      <c r="L23" s="9">
        <f t="shared" si="4"/>
        <v>0</v>
      </c>
      <c r="M23" s="9">
        <f t="shared" si="4"/>
        <v>0</v>
      </c>
      <c r="O23" s="9">
        <f>SUM(B23:E23)</f>
        <v>4147</v>
      </c>
      <c r="P23" s="9">
        <f>SUM(F23:I23)</f>
        <v>5233</v>
      </c>
    </row>
    <row r="24" spans="1:16" ht="15" customHeight="1" x14ac:dyDescent="0.2">
      <c r="A24" s="3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O24" s="2"/>
      <c r="P24" s="2">
        <f>SUM(F24:I24)</f>
        <v>0</v>
      </c>
    </row>
    <row r="25" spans="1:16" ht="15" customHeight="1" x14ac:dyDescent="0.2">
      <c r="A25" s="4" t="s">
        <v>80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O25" s="7"/>
      <c r="P25" s="7">
        <f>SUM(F25:I25)</f>
        <v>0</v>
      </c>
    </row>
    <row r="26" spans="1:16" ht="15" customHeight="1" x14ac:dyDescent="0.2">
      <c r="A26" s="3" t="s">
        <v>78</v>
      </c>
      <c r="B26" s="10">
        <f>B$23/B29</f>
        <v>0.83458646616541354</v>
      </c>
      <c r="C26" s="10">
        <f t="shared" ref="C26:J27" si="5">C$23/C29</f>
        <v>1.0825335892514396</v>
      </c>
      <c r="D26" s="10">
        <f t="shared" si="5"/>
        <v>0.99507389162561577</v>
      </c>
      <c r="E26" s="10">
        <f t="shared" si="5"/>
        <v>1.1243731193580742</v>
      </c>
      <c r="F26" s="10">
        <f t="shared" si="5"/>
        <v>1.3052738336713996</v>
      </c>
      <c r="G26" s="10">
        <f t="shared" si="5"/>
        <v>1.3013415892672859</v>
      </c>
      <c r="H26" s="10">
        <f t="shared" si="5"/>
        <v>1.3136842105263158</v>
      </c>
      <c r="I26" s="10">
        <f t="shared" si="5"/>
        <v>1.543501611170784</v>
      </c>
      <c r="J26" s="10">
        <f t="shared" si="5"/>
        <v>1.2190580503833517</v>
      </c>
      <c r="K26" s="10">
        <f t="shared" ref="K26:M26" si="6">K$23/K29</f>
        <v>0</v>
      </c>
      <c r="L26" s="10">
        <f t="shared" si="6"/>
        <v>0</v>
      </c>
      <c r="M26" s="10">
        <f t="shared" si="6"/>
        <v>0</v>
      </c>
      <c r="O26" s="10">
        <f>SUM(B26:E26)</f>
        <v>4.0365670664005426</v>
      </c>
      <c r="P26" s="10">
        <f>SUM(F26:I26)</f>
        <v>5.4638012446357855</v>
      </c>
    </row>
    <row r="27" spans="1:16" ht="15" customHeight="1" x14ac:dyDescent="0.2">
      <c r="A27" s="3" t="s">
        <v>77</v>
      </c>
      <c r="B27" s="10">
        <f>B$23/B30</f>
        <v>0.82835820895522383</v>
      </c>
      <c r="C27" s="10">
        <f t="shared" si="5"/>
        <v>1.0773638968481376</v>
      </c>
      <c r="D27" s="10">
        <f t="shared" si="5"/>
        <v>0.986328125</v>
      </c>
      <c r="E27" s="10">
        <f t="shared" si="5"/>
        <v>1.1055226824457594</v>
      </c>
      <c r="F27" s="10">
        <f t="shared" si="5"/>
        <v>1.2882882882882882</v>
      </c>
      <c r="G27" s="10">
        <f t="shared" si="5"/>
        <v>1.2906857727737973</v>
      </c>
      <c r="H27" s="10">
        <f t="shared" si="5"/>
        <v>1.3</v>
      </c>
      <c r="I27" s="10">
        <f t="shared" si="5"/>
        <v>1.5303514376996805</v>
      </c>
      <c r="J27" s="10">
        <f t="shared" si="5"/>
        <v>1.2097826086956522</v>
      </c>
      <c r="K27" s="10">
        <f t="shared" ref="K27:M27" si="7">K$23/K30</f>
        <v>0</v>
      </c>
      <c r="L27" s="10">
        <f t="shared" si="7"/>
        <v>0</v>
      </c>
      <c r="M27" s="10">
        <f t="shared" si="7"/>
        <v>0</v>
      </c>
      <c r="O27" s="10">
        <f>SUM(B27:E27)</f>
        <v>3.9975729132491207</v>
      </c>
      <c r="P27" s="10">
        <f>SUM(F27:I27)</f>
        <v>5.409325498761766</v>
      </c>
    </row>
    <row r="28" spans="1:16" ht="15" customHeight="1" x14ac:dyDescent="0.2">
      <c r="A28" s="4" t="s">
        <v>79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</row>
    <row r="29" spans="1:16" ht="15" customHeight="1" x14ac:dyDescent="0.2">
      <c r="A29" s="3" t="s">
        <v>78</v>
      </c>
      <c r="B29" s="8">
        <v>1064</v>
      </c>
      <c r="C29" s="8">
        <v>1042</v>
      </c>
      <c r="D29" s="8">
        <v>1015</v>
      </c>
      <c r="E29" s="8">
        <v>997</v>
      </c>
      <c r="F29" s="8">
        <v>986</v>
      </c>
      <c r="G29" s="8">
        <v>969</v>
      </c>
      <c r="H29" s="8">
        <v>950</v>
      </c>
      <c r="I29" s="8">
        <v>931</v>
      </c>
      <c r="J29" s="8">
        <v>913</v>
      </c>
      <c r="K29" s="8">
        <f>J29</f>
        <v>913</v>
      </c>
      <c r="L29" s="8">
        <f t="shared" ref="L29:M30" si="8">K29</f>
        <v>913</v>
      </c>
      <c r="M29" s="8">
        <f t="shared" si="8"/>
        <v>913</v>
      </c>
    </row>
    <row r="30" spans="1:16" ht="15" customHeight="1" x14ac:dyDescent="0.2">
      <c r="A30" s="3" t="s">
        <v>77</v>
      </c>
      <c r="B30" s="8">
        <v>1072</v>
      </c>
      <c r="C30" s="8">
        <v>1047</v>
      </c>
      <c r="D30" s="8">
        <v>1024</v>
      </c>
      <c r="E30" s="8">
        <v>1014</v>
      </c>
      <c r="F30" s="8">
        <v>999</v>
      </c>
      <c r="G30" s="8">
        <v>977</v>
      </c>
      <c r="H30" s="8">
        <v>960</v>
      </c>
      <c r="I30" s="8">
        <v>939</v>
      </c>
      <c r="J30" s="8">
        <v>920</v>
      </c>
      <c r="K30" s="8">
        <f>J30</f>
        <v>920</v>
      </c>
      <c r="L30" s="8">
        <f t="shared" si="8"/>
        <v>920</v>
      </c>
      <c r="M30" s="8">
        <f t="shared" si="8"/>
        <v>920</v>
      </c>
    </row>
    <row r="31" spans="1:16" ht="15" customHeight="1" x14ac:dyDescent="0.2">
      <c r="A31" s="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 spans="1:16" ht="15" customHeight="1" x14ac:dyDescent="0.2">
      <c r="A32" s="3" t="s">
        <v>128</v>
      </c>
      <c r="B32" s="8">
        <f>B19+B17</f>
        <v>1380</v>
      </c>
      <c r="C32" s="8">
        <f t="shared" ref="C32:J32" si="9">C19+C17</f>
        <v>1438</v>
      </c>
      <c r="D32" s="8">
        <f t="shared" si="9"/>
        <v>1454</v>
      </c>
      <c r="E32" s="8">
        <f t="shared" si="9"/>
        <v>1491</v>
      </c>
      <c r="F32" s="8">
        <f t="shared" si="9"/>
        <v>1596</v>
      </c>
      <c r="G32" s="8">
        <f t="shared" si="9"/>
        <v>1620</v>
      </c>
      <c r="H32" s="8">
        <f t="shared" si="9"/>
        <v>1589</v>
      </c>
      <c r="I32" s="8">
        <f t="shared" si="9"/>
        <v>1591</v>
      </c>
      <c r="J32" s="8">
        <f t="shared" si="9"/>
        <v>1562</v>
      </c>
      <c r="K32" s="8">
        <f t="shared" ref="K32:M32" si="10">K19+K17</f>
        <v>0</v>
      </c>
      <c r="L32" s="8">
        <f t="shared" si="10"/>
        <v>0</v>
      </c>
      <c r="M32" s="8">
        <f t="shared" si="10"/>
        <v>0</v>
      </c>
    </row>
    <row r="33" spans="1:13" ht="15" customHeight="1" x14ac:dyDescent="0.2">
      <c r="A33" s="3" t="s">
        <v>130</v>
      </c>
      <c r="B33" s="8">
        <f>B32-B22+B20</f>
        <v>1100</v>
      </c>
      <c r="C33" s="8">
        <f t="shared" ref="C33:J33" si="11">C32-C22+C20</f>
        <v>1241</v>
      </c>
      <c r="D33" s="8">
        <f t="shared" si="11"/>
        <v>1073</v>
      </c>
      <c r="E33" s="8">
        <f t="shared" si="11"/>
        <v>1171</v>
      </c>
      <c r="F33" s="8">
        <f t="shared" si="11"/>
        <v>1353</v>
      </c>
      <c r="G33" s="8">
        <f t="shared" si="11"/>
        <v>1377</v>
      </c>
      <c r="H33" s="8">
        <f t="shared" si="11"/>
        <v>1317</v>
      </c>
      <c r="I33" s="8">
        <f t="shared" si="11"/>
        <v>1517</v>
      </c>
      <c r="J33" s="8">
        <f t="shared" si="11"/>
        <v>1187</v>
      </c>
      <c r="K33" s="8">
        <f t="shared" ref="K33" si="12">K32-K22+K20</f>
        <v>0</v>
      </c>
      <c r="L33" s="8">
        <f t="shared" ref="L33" si="13">L32-L22+L20</f>
        <v>0</v>
      </c>
      <c r="M33" s="8">
        <f t="shared" ref="M33" si="14">M32-M22+M20</f>
        <v>0</v>
      </c>
    </row>
    <row r="34" spans="1:13" ht="15" customHeight="1" x14ac:dyDescent="0.2">
      <c r="A34" s="3" t="s">
        <v>134</v>
      </c>
      <c r="B34" s="16">
        <f>B33/B30</f>
        <v>1.0261194029850746</v>
      </c>
      <c r="C34" s="16">
        <f t="shared" ref="C34:M34" si="15">C33/C30</f>
        <v>1.1852913085004775</v>
      </c>
      <c r="D34" s="16">
        <f t="shared" si="15"/>
        <v>1.0478515625</v>
      </c>
      <c r="E34" s="16">
        <f t="shared" si="15"/>
        <v>1.1548323471400395</v>
      </c>
      <c r="F34" s="16">
        <f t="shared" si="15"/>
        <v>1.3543543543543544</v>
      </c>
      <c r="G34" s="16">
        <f t="shared" si="15"/>
        <v>1.4094165813715456</v>
      </c>
      <c r="H34" s="16">
        <f t="shared" si="15"/>
        <v>1.371875</v>
      </c>
      <c r="I34" s="16">
        <f t="shared" si="15"/>
        <v>1.6155484558040469</v>
      </c>
      <c r="J34" s="16">
        <f t="shared" si="15"/>
        <v>1.2902173913043478</v>
      </c>
      <c r="K34" s="16">
        <f t="shared" si="15"/>
        <v>0</v>
      </c>
      <c r="L34" s="16">
        <f t="shared" si="15"/>
        <v>0</v>
      </c>
      <c r="M34" s="16">
        <f t="shared" si="15"/>
        <v>0</v>
      </c>
    </row>
    <row r="35" spans="1:13" ht="15" customHeight="1" x14ac:dyDescent="0.2">
      <c r="A35" s="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spans="1:13" ht="15" customHeight="1" x14ac:dyDescent="0.2">
      <c r="A36" s="3" t="s">
        <v>131</v>
      </c>
      <c r="B36" s="14">
        <f>B12/B8</f>
        <v>0.44953890115599426</v>
      </c>
      <c r="C36" s="14">
        <f t="shared" ref="C36:M36" si="16">C12/C8</f>
        <v>0.45757767913760306</v>
      </c>
      <c r="D36" s="14">
        <f t="shared" si="16"/>
        <v>0.46565566458519181</v>
      </c>
      <c r="E36" s="14">
        <f t="shared" si="16"/>
        <v>0.47035620368156827</v>
      </c>
      <c r="F36" s="14">
        <f t="shared" si="16"/>
        <v>0.4769605955589783</v>
      </c>
      <c r="G36" s="14">
        <f t="shared" si="16"/>
        <v>0.46380308880308879</v>
      </c>
      <c r="H36" s="14">
        <f t="shared" si="16"/>
        <v>0.45990257811571816</v>
      </c>
      <c r="I36" s="14">
        <f t="shared" si="16"/>
        <v>0.46496081143384049</v>
      </c>
      <c r="J36" s="14">
        <f t="shared" si="16"/>
        <v>0.45612354842571529</v>
      </c>
      <c r="K36" s="14" t="e">
        <f t="shared" si="16"/>
        <v>#DIV/0!</v>
      </c>
      <c r="L36" s="14" t="e">
        <f t="shared" si="16"/>
        <v>#DIV/0!</v>
      </c>
      <c r="M36" s="14" t="e">
        <f t="shared" si="16"/>
        <v>#DIV/0!</v>
      </c>
    </row>
    <row r="37" spans="1:13" ht="15" customHeight="1" x14ac:dyDescent="0.2">
      <c r="A37" s="3" t="s">
        <v>132</v>
      </c>
      <c r="B37" s="14">
        <f>B32/B8</f>
        <v>0.17924405766982726</v>
      </c>
      <c r="C37" s="14">
        <f t="shared" ref="C37:M37" si="17">C32/C8</f>
        <v>0.18237159162967659</v>
      </c>
      <c r="D37" s="14">
        <f t="shared" si="17"/>
        <v>0.18529374283165542</v>
      </c>
      <c r="E37" s="14">
        <f t="shared" si="17"/>
        <v>0.1782213722208941</v>
      </c>
      <c r="F37" s="14">
        <f t="shared" si="17"/>
        <v>0.20485175202156333</v>
      </c>
      <c r="G37" s="14">
        <f t="shared" si="17"/>
        <v>0.19546332046332046</v>
      </c>
      <c r="H37" s="14">
        <f t="shared" si="17"/>
        <v>0.18878460258999644</v>
      </c>
      <c r="I37" s="14">
        <f t="shared" si="17"/>
        <v>0.18337943752881511</v>
      </c>
      <c r="J37" s="14">
        <f t="shared" si="17"/>
        <v>0.18699868310786544</v>
      </c>
      <c r="K37" s="14" t="e">
        <f t="shared" si="17"/>
        <v>#DIV/0!</v>
      </c>
      <c r="L37" s="14" t="e">
        <f t="shared" si="17"/>
        <v>#DIV/0!</v>
      </c>
      <c r="M37" s="14" t="e">
        <f t="shared" si="17"/>
        <v>#DIV/0!</v>
      </c>
    </row>
    <row r="38" spans="1:13" ht="15" customHeight="1" x14ac:dyDescent="0.2">
      <c r="A38" s="3" t="s">
        <v>133</v>
      </c>
      <c r="B38" s="14">
        <f>B33/B8</f>
        <v>0.14287569814261591</v>
      </c>
      <c r="C38" s="14">
        <f t="shared" ref="C38:M38" si="18">C33/C8</f>
        <v>0.15738744451490172</v>
      </c>
      <c r="D38" s="14">
        <f t="shared" si="18"/>
        <v>0.13674015547342933</v>
      </c>
      <c r="E38" s="14">
        <f t="shared" si="18"/>
        <v>0.13997131245517572</v>
      </c>
      <c r="F38" s="14">
        <f t="shared" si="18"/>
        <v>0.17366191759722757</v>
      </c>
      <c r="G38" s="14">
        <f t="shared" si="18"/>
        <v>0.16614382239382239</v>
      </c>
      <c r="H38" s="14">
        <f t="shared" si="18"/>
        <v>0.15646905073066414</v>
      </c>
      <c r="I38" s="14">
        <f t="shared" si="18"/>
        <v>0.17485016136468418</v>
      </c>
      <c r="J38" s="14">
        <f t="shared" si="18"/>
        <v>0.14210463306596433</v>
      </c>
      <c r="K38" s="14" t="e">
        <f t="shared" si="18"/>
        <v>#DIV/0!</v>
      </c>
      <c r="L38" s="14" t="e">
        <f t="shared" si="18"/>
        <v>#DIV/0!</v>
      </c>
      <c r="M38" s="14" t="e">
        <f t="shared" si="18"/>
        <v>#DIV/0!</v>
      </c>
    </row>
    <row r="39" spans="1:13" ht="15" customHeight="1" x14ac:dyDescent="0.2">
      <c r="A39" s="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 spans="1:13" ht="15" customHeight="1" x14ac:dyDescent="0.2">
      <c r="A40" s="3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5" customHeight="1" x14ac:dyDescent="0.2">
      <c r="A41" s="4" t="s">
        <v>76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ht="15" customHeight="1" x14ac:dyDescent="0.2">
      <c r="A42" s="4" t="s">
        <v>75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ht="15" customHeight="1" x14ac:dyDescent="0.2">
      <c r="A43" s="4" t="s">
        <v>74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ht="15" customHeight="1" x14ac:dyDescent="0.2">
      <c r="A44" s="3" t="s">
        <v>73</v>
      </c>
      <c r="B44" s="8">
        <v>9693</v>
      </c>
      <c r="C44" s="8">
        <v>7701</v>
      </c>
      <c r="D44" s="8">
        <v>7272</v>
      </c>
      <c r="E44" s="8">
        <v>6561</v>
      </c>
      <c r="F44" s="8">
        <v>7449</v>
      </c>
      <c r="G44" s="8">
        <v>6688</v>
      </c>
      <c r="H44" s="8">
        <v>8995</v>
      </c>
      <c r="I44" s="8">
        <v>8049</v>
      </c>
      <c r="J44" s="8">
        <v>6977</v>
      </c>
      <c r="K44" s="8"/>
      <c r="L44" s="8"/>
      <c r="M44" s="8"/>
    </row>
    <row r="45" spans="1:13" ht="15" customHeight="1" x14ac:dyDescent="0.2">
      <c r="A45" s="3" t="s">
        <v>72</v>
      </c>
      <c r="B45" s="8">
        <v>4625</v>
      </c>
      <c r="C45" s="8">
        <v>5915</v>
      </c>
      <c r="D45" s="8">
        <v>4647</v>
      </c>
      <c r="E45" s="8">
        <v>4262</v>
      </c>
      <c r="F45" s="8">
        <v>3762</v>
      </c>
      <c r="G45" s="8">
        <v>3320</v>
      </c>
      <c r="H45" s="8">
        <v>1760</v>
      </c>
      <c r="I45" s="8">
        <v>2373</v>
      </c>
      <c r="J45" s="8">
        <v>2365</v>
      </c>
      <c r="K45" s="8"/>
      <c r="L45" s="8"/>
      <c r="M45" s="8"/>
    </row>
    <row r="46" spans="1:13" ht="15" customHeight="1" x14ac:dyDescent="0.2">
      <c r="A46" s="3" t="s">
        <v>71</v>
      </c>
      <c r="B46" s="8">
        <v>1108</v>
      </c>
      <c r="C46" s="8">
        <v>987</v>
      </c>
      <c r="D46" s="8">
        <v>1038</v>
      </c>
      <c r="E46" s="8">
        <v>984</v>
      </c>
      <c r="F46" s="8">
        <v>1082</v>
      </c>
      <c r="G46" s="8">
        <v>1099</v>
      </c>
      <c r="H46" s="8">
        <v>973</v>
      </c>
      <c r="I46" s="8">
        <v>840</v>
      </c>
      <c r="J46" s="8">
        <v>843</v>
      </c>
      <c r="K46" s="8"/>
      <c r="L46" s="8"/>
      <c r="M46" s="8"/>
    </row>
    <row r="47" spans="1:13" ht="15" customHeight="1" x14ac:dyDescent="0.2">
      <c r="A47" s="3" t="s">
        <v>70</v>
      </c>
      <c r="B47" s="8">
        <v>307</v>
      </c>
      <c r="C47" s="8">
        <v>369</v>
      </c>
      <c r="D47" s="8">
        <v>471</v>
      </c>
      <c r="E47" s="8">
        <v>541</v>
      </c>
      <c r="F47" s="8">
        <v>714</v>
      </c>
      <c r="G47" s="8">
        <v>817</v>
      </c>
      <c r="H47" s="8">
        <v>1404</v>
      </c>
      <c r="I47" s="8">
        <v>1726</v>
      </c>
      <c r="J47" s="8">
        <v>1825</v>
      </c>
      <c r="K47" s="8"/>
      <c r="L47" s="8"/>
      <c r="M47" s="8"/>
    </row>
    <row r="48" spans="1:13" ht="15" customHeight="1" x14ac:dyDescent="0.2">
      <c r="A48" s="3" t="s">
        <v>69</v>
      </c>
      <c r="B48" s="8">
        <v>5202</v>
      </c>
      <c r="C48" s="8">
        <v>5319</v>
      </c>
      <c r="D48" s="8">
        <v>6003</v>
      </c>
      <c r="E48" s="8">
        <v>6422</v>
      </c>
      <c r="F48" s="8">
        <v>6511</v>
      </c>
      <c r="G48" s="8">
        <v>6938</v>
      </c>
      <c r="H48" s="8">
        <v>6396</v>
      </c>
      <c r="I48" s="8">
        <v>6746</v>
      </c>
      <c r="J48" s="8">
        <v>6705</v>
      </c>
      <c r="K48" s="8"/>
      <c r="L48" s="8"/>
      <c r="M48" s="8"/>
    </row>
    <row r="49" spans="1:13" ht="15" customHeight="1" x14ac:dyDescent="0.2">
      <c r="A49" s="3" t="s">
        <v>68</v>
      </c>
      <c r="B49" s="8">
        <v>38353</v>
      </c>
      <c r="C49" s="8">
        <v>38727</v>
      </c>
      <c r="D49" s="8">
        <v>39182</v>
      </c>
      <c r="E49" s="8">
        <v>37671</v>
      </c>
      <c r="F49" s="8">
        <v>39205</v>
      </c>
      <c r="G49" s="8">
        <v>38923</v>
      </c>
      <c r="H49" s="8">
        <v>38668</v>
      </c>
      <c r="I49" s="8">
        <v>38198</v>
      </c>
      <c r="J49" s="8">
        <v>39501</v>
      </c>
      <c r="K49" s="8"/>
      <c r="L49" s="8"/>
      <c r="M49" s="8"/>
    </row>
    <row r="50" spans="1:13" ht="15" customHeight="1" x14ac:dyDescent="0.2">
      <c r="A50" s="3" t="s">
        <v>67</v>
      </c>
      <c r="B50" s="8">
        <v>4418</v>
      </c>
      <c r="C50" s="8">
        <v>3954</v>
      </c>
      <c r="D50" s="8">
        <v>4060</v>
      </c>
      <c r="E50" s="8">
        <v>4651</v>
      </c>
      <c r="F50" s="8">
        <v>1888</v>
      </c>
      <c r="G50" s="8">
        <v>2094</v>
      </c>
      <c r="H50" s="8">
        <v>1980</v>
      </c>
      <c r="I50" s="8">
        <v>1827</v>
      </c>
      <c r="J50" s="8">
        <v>1779</v>
      </c>
      <c r="K50" s="8"/>
      <c r="L50" s="8"/>
      <c r="M50" s="8"/>
    </row>
    <row r="51" spans="1:13" ht="15" customHeight="1" x14ac:dyDescent="0.2">
      <c r="A51" s="4" t="s">
        <v>66</v>
      </c>
      <c r="B51" s="9">
        <f t="shared" ref="B51:J51" si="19">SUM(B44:B50)</f>
        <v>63706</v>
      </c>
      <c r="C51" s="9">
        <f t="shared" si="19"/>
        <v>62972</v>
      </c>
      <c r="D51" s="9">
        <f t="shared" si="19"/>
        <v>62673</v>
      </c>
      <c r="E51" s="9">
        <f t="shared" si="19"/>
        <v>61092</v>
      </c>
      <c r="F51" s="9">
        <f t="shared" si="19"/>
        <v>60611</v>
      </c>
      <c r="G51" s="9">
        <f t="shared" si="19"/>
        <v>59879</v>
      </c>
      <c r="H51" s="9">
        <f t="shared" si="19"/>
        <v>60176</v>
      </c>
      <c r="I51" s="9">
        <f t="shared" si="19"/>
        <v>59759</v>
      </c>
      <c r="J51" s="9">
        <f t="shared" si="19"/>
        <v>59995</v>
      </c>
      <c r="K51" s="9"/>
      <c r="L51" s="9"/>
      <c r="M51" s="9"/>
    </row>
    <row r="52" spans="1:13" ht="15" customHeight="1" x14ac:dyDescent="0.2">
      <c r="A52" s="3" t="s">
        <v>65</v>
      </c>
      <c r="B52" s="8">
        <v>3409</v>
      </c>
      <c r="C52" s="8">
        <v>4653</v>
      </c>
      <c r="D52" s="8">
        <v>4282</v>
      </c>
      <c r="E52" s="8">
        <v>4583</v>
      </c>
      <c r="F52" s="8">
        <v>4613</v>
      </c>
      <c r="G52" s="8">
        <v>3645</v>
      </c>
      <c r="H52" s="8">
        <v>3601</v>
      </c>
      <c r="I52" s="8">
        <v>4330</v>
      </c>
      <c r="J52" s="8">
        <v>4125</v>
      </c>
      <c r="K52" s="8"/>
      <c r="L52" s="8"/>
      <c r="M52" s="8"/>
    </row>
    <row r="53" spans="1:13" ht="15" customHeight="1" x14ac:dyDescent="0.2">
      <c r="A53" s="3" t="s">
        <v>64</v>
      </c>
      <c r="B53" s="8">
        <v>1426</v>
      </c>
      <c r="C53" s="8">
        <v>1459</v>
      </c>
      <c r="D53" s="8">
        <v>1496</v>
      </c>
      <c r="E53" s="8">
        <v>1508</v>
      </c>
      <c r="F53" s="8">
        <v>1537</v>
      </c>
      <c r="G53" s="8">
        <v>1625</v>
      </c>
      <c r="H53" s="8">
        <v>1656</v>
      </c>
      <c r="I53" s="8">
        <v>1700</v>
      </c>
      <c r="J53" s="8">
        <v>1708</v>
      </c>
      <c r="K53" s="8"/>
      <c r="L53" s="8"/>
      <c r="M53" s="8"/>
    </row>
    <row r="54" spans="1:13" ht="15" customHeight="1" x14ac:dyDescent="0.2">
      <c r="A54" s="3" t="s">
        <v>63</v>
      </c>
      <c r="B54" s="8">
        <v>10916</v>
      </c>
      <c r="C54" s="8">
        <v>10816</v>
      </c>
      <c r="D54" s="8">
        <v>10996</v>
      </c>
      <c r="E54" s="8">
        <v>10837</v>
      </c>
      <c r="F54" s="8">
        <v>10910</v>
      </c>
      <c r="G54" s="8">
        <v>10976</v>
      </c>
      <c r="H54" s="8">
        <v>10941</v>
      </c>
      <c r="I54" s="8">
        <v>10864</v>
      </c>
      <c r="J54" s="8">
        <v>10946</v>
      </c>
      <c r="K54" s="8"/>
      <c r="L54" s="8"/>
      <c r="M54" s="8"/>
    </row>
    <row r="55" spans="1:13" ht="15" customHeight="1" x14ac:dyDescent="0.2">
      <c r="A55" s="3" t="s">
        <v>62</v>
      </c>
      <c r="B55" s="8">
        <v>465</v>
      </c>
      <c r="C55" s="8">
        <v>403</v>
      </c>
      <c r="D55" s="8">
        <v>393</v>
      </c>
      <c r="E55" s="8">
        <v>326</v>
      </c>
      <c r="F55" s="8">
        <v>296</v>
      </c>
      <c r="G55" s="8">
        <v>271</v>
      </c>
      <c r="H55" s="8">
        <v>226</v>
      </c>
      <c r="I55" s="8">
        <v>208</v>
      </c>
      <c r="J55" s="8">
        <v>206</v>
      </c>
      <c r="K55" s="8"/>
      <c r="L55" s="8"/>
      <c r="M55" s="8"/>
    </row>
    <row r="56" spans="1:13" ht="15" customHeight="1" x14ac:dyDescent="0.2">
      <c r="A56" s="3" t="s">
        <v>61</v>
      </c>
      <c r="B56" s="8">
        <v>3425</v>
      </c>
      <c r="C56" s="8">
        <v>3713</v>
      </c>
      <c r="D56" s="8">
        <v>3671</v>
      </c>
      <c r="E56" s="8">
        <v>3265</v>
      </c>
      <c r="F56" s="8">
        <v>3307</v>
      </c>
      <c r="G56" s="8">
        <v>3381</v>
      </c>
      <c r="H56" s="8">
        <v>3201</v>
      </c>
      <c r="I56" s="8">
        <v>3312</v>
      </c>
      <c r="J56" s="8">
        <v>3566</v>
      </c>
      <c r="K56" s="8"/>
      <c r="L56" s="8"/>
      <c r="M56" s="8"/>
    </row>
    <row r="57" spans="1:13" ht="15" customHeight="1" x14ac:dyDescent="0.2">
      <c r="A57" s="4" t="s">
        <v>60</v>
      </c>
      <c r="B57" s="9">
        <f t="shared" ref="B57:J57" si="20">B51+SUM(B52:B56)</f>
        <v>83347</v>
      </c>
      <c r="C57" s="9">
        <f t="shared" si="20"/>
        <v>84016</v>
      </c>
      <c r="D57" s="9">
        <f t="shared" si="20"/>
        <v>83511</v>
      </c>
      <c r="E57" s="9">
        <f t="shared" si="20"/>
        <v>81611</v>
      </c>
      <c r="F57" s="9">
        <f t="shared" si="20"/>
        <v>81274</v>
      </c>
      <c r="G57" s="9">
        <f t="shared" si="20"/>
        <v>79777</v>
      </c>
      <c r="H57" s="9">
        <f t="shared" si="20"/>
        <v>79801</v>
      </c>
      <c r="I57" s="9">
        <f t="shared" si="20"/>
        <v>80173</v>
      </c>
      <c r="J57" s="9">
        <f t="shared" si="20"/>
        <v>80546</v>
      </c>
      <c r="K57" s="9"/>
      <c r="L57" s="9"/>
      <c r="M57" s="9"/>
    </row>
    <row r="58" spans="1:13" ht="15" customHeight="1" x14ac:dyDescent="0.2">
      <c r="A58" s="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spans="1:13" ht="15" customHeight="1" x14ac:dyDescent="0.2">
      <c r="A59" s="4" t="s">
        <v>59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</row>
    <row r="60" spans="1:13" ht="15" customHeight="1" x14ac:dyDescent="0.2">
      <c r="A60" s="4" t="s">
        <v>58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</row>
    <row r="61" spans="1:13" ht="15" customHeight="1" x14ac:dyDescent="0.2">
      <c r="A61" s="3" t="s">
        <v>29</v>
      </c>
      <c r="B61" s="8">
        <v>108</v>
      </c>
      <c r="C61" s="8">
        <v>133</v>
      </c>
      <c r="D61" s="8">
        <v>165</v>
      </c>
      <c r="E61" s="8">
        <v>227</v>
      </c>
      <c r="F61" s="8">
        <v>175</v>
      </c>
      <c r="G61" s="8">
        <v>221</v>
      </c>
      <c r="H61" s="8">
        <v>208</v>
      </c>
      <c r="I61" s="8">
        <v>240</v>
      </c>
      <c r="J61" s="8">
        <v>162</v>
      </c>
      <c r="K61" s="8"/>
      <c r="L61" s="8"/>
      <c r="M61" s="8"/>
    </row>
    <row r="62" spans="1:13" ht="15" customHeight="1" x14ac:dyDescent="0.2">
      <c r="A62" s="3" t="s">
        <v>5</v>
      </c>
      <c r="B62" s="8">
        <v>41353</v>
      </c>
      <c r="C62" s="8">
        <v>41727</v>
      </c>
      <c r="D62" s="8">
        <v>41182</v>
      </c>
      <c r="E62" s="8">
        <v>39671</v>
      </c>
      <c r="F62" s="8">
        <v>41205</v>
      </c>
      <c r="G62" s="8">
        <v>40923</v>
      </c>
      <c r="H62" s="8">
        <v>40668</v>
      </c>
      <c r="I62" s="8">
        <v>40198</v>
      </c>
      <c r="J62" s="8">
        <v>41501</v>
      </c>
      <c r="K62" s="8"/>
      <c r="L62" s="8"/>
      <c r="M62" s="8"/>
    </row>
    <row r="63" spans="1:13" ht="15" customHeight="1" x14ac:dyDescent="0.2">
      <c r="A63" s="3" t="s">
        <v>57</v>
      </c>
      <c r="B63" s="8">
        <v>8385</v>
      </c>
      <c r="C63" s="8">
        <v>8853</v>
      </c>
      <c r="D63" s="8">
        <v>8921</v>
      </c>
      <c r="E63" s="8">
        <v>8478</v>
      </c>
      <c r="F63" s="8">
        <v>5242</v>
      </c>
      <c r="G63" s="8">
        <v>3906</v>
      </c>
      <c r="H63" s="8">
        <v>4048</v>
      </c>
      <c r="I63" s="8">
        <v>6005</v>
      </c>
      <c r="J63" s="8">
        <v>5974</v>
      </c>
      <c r="K63" s="8"/>
      <c r="L63" s="8"/>
      <c r="M63" s="8"/>
    </row>
    <row r="64" spans="1:13" ht="15" customHeight="1" x14ac:dyDescent="0.2">
      <c r="A64" s="4" t="s">
        <v>56</v>
      </c>
      <c r="B64" s="9">
        <f t="shared" ref="B64:J64" si="21">SUM(B61:B63)</f>
        <v>49846</v>
      </c>
      <c r="C64" s="9">
        <f t="shared" si="21"/>
        <v>50713</v>
      </c>
      <c r="D64" s="9">
        <f t="shared" si="21"/>
        <v>50268</v>
      </c>
      <c r="E64" s="9">
        <f t="shared" si="21"/>
        <v>48376</v>
      </c>
      <c r="F64" s="9">
        <f t="shared" si="21"/>
        <v>46622</v>
      </c>
      <c r="G64" s="9">
        <f t="shared" si="21"/>
        <v>45050</v>
      </c>
      <c r="H64" s="9">
        <f t="shared" si="21"/>
        <v>44924</v>
      </c>
      <c r="I64" s="9">
        <f t="shared" si="21"/>
        <v>46443</v>
      </c>
      <c r="J64" s="9">
        <f t="shared" si="21"/>
        <v>47637</v>
      </c>
      <c r="K64" s="9"/>
      <c r="L64" s="9"/>
      <c r="M64" s="9"/>
    </row>
    <row r="65" spans="1:13" ht="15" customHeight="1" x14ac:dyDescent="0.2">
      <c r="A65" s="3" t="s">
        <v>55</v>
      </c>
      <c r="B65" s="8">
        <v>3116</v>
      </c>
      <c r="C65" s="8">
        <v>2954</v>
      </c>
      <c r="D65" s="8">
        <v>3093</v>
      </c>
      <c r="E65" s="8">
        <v>2939</v>
      </c>
      <c r="F65" s="8">
        <v>2981</v>
      </c>
      <c r="G65" s="8">
        <v>3230</v>
      </c>
      <c r="H65" s="8">
        <v>3403</v>
      </c>
      <c r="I65" s="8">
        <v>3487</v>
      </c>
      <c r="J65" s="8">
        <v>3476</v>
      </c>
      <c r="K65" s="8"/>
      <c r="L65" s="8"/>
      <c r="M65" s="8"/>
    </row>
    <row r="66" spans="1:13" ht="15" customHeight="1" x14ac:dyDescent="0.2">
      <c r="A66" s="3" t="s">
        <v>54</v>
      </c>
      <c r="B66" s="8">
        <v>9683</v>
      </c>
      <c r="C66" s="8">
        <v>9727</v>
      </c>
      <c r="D66" s="8">
        <v>9976</v>
      </c>
      <c r="E66" s="8">
        <v>9879</v>
      </c>
      <c r="F66" s="8">
        <v>11417</v>
      </c>
      <c r="G66" s="8">
        <v>11296</v>
      </c>
      <c r="H66" s="8">
        <v>11276</v>
      </c>
      <c r="I66" s="8">
        <v>9987</v>
      </c>
      <c r="J66" s="8">
        <v>9409</v>
      </c>
      <c r="K66" s="8"/>
      <c r="L66" s="8"/>
      <c r="M66" s="8"/>
    </row>
    <row r="67" spans="1:13" ht="15" customHeight="1" x14ac:dyDescent="0.2">
      <c r="A67" s="4" t="s">
        <v>53</v>
      </c>
      <c r="B67" s="9">
        <f t="shared" ref="B67:J67" si="22">B64+SUM(B65:B66)</f>
        <v>62645</v>
      </c>
      <c r="C67" s="9">
        <f t="shared" si="22"/>
        <v>63394</v>
      </c>
      <c r="D67" s="9">
        <f t="shared" si="22"/>
        <v>63337</v>
      </c>
      <c r="E67" s="9">
        <f t="shared" si="22"/>
        <v>61194</v>
      </c>
      <c r="F67" s="9">
        <f t="shared" si="22"/>
        <v>61020</v>
      </c>
      <c r="G67" s="9">
        <f t="shared" si="22"/>
        <v>59576</v>
      </c>
      <c r="H67" s="9">
        <f t="shared" si="22"/>
        <v>59603</v>
      </c>
      <c r="I67" s="9">
        <f t="shared" si="22"/>
        <v>59917</v>
      </c>
      <c r="J67" s="9">
        <f t="shared" si="22"/>
        <v>60522</v>
      </c>
      <c r="K67" s="9"/>
      <c r="L67" s="9"/>
      <c r="M67" s="9"/>
    </row>
    <row r="68" spans="1:13" ht="15" customHeight="1" x14ac:dyDescent="0.2">
      <c r="A68" s="4" t="s">
        <v>52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</row>
    <row r="69" spans="1:13" ht="15" customHeight="1" x14ac:dyDescent="0.2">
      <c r="A69" s="3" t="s">
        <v>51</v>
      </c>
      <c r="B69" s="8">
        <v>0</v>
      </c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/>
      <c r="L69" s="8"/>
      <c r="M69" s="8"/>
    </row>
    <row r="70" spans="1:13" ht="15" customHeight="1" x14ac:dyDescent="0.2">
      <c r="A70" s="3" t="s">
        <v>50</v>
      </c>
      <c r="B70" s="8">
        <v>0</v>
      </c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/>
      <c r="L70" s="8"/>
      <c r="M70" s="8"/>
    </row>
    <row r="71" spans="1:13" ht="15" customHeight="1" x14ac:dyDescent="0.2">
      <c r="A71" s="3" t="s">
        <v>49</v>
      </c>
      <c r="B71" s="8">
        <v>-22552</v>
      </c>
      <c r="C71" s="8">
        <v>-24064</v>
      </c>
      <c r="D71" s="8">
        <v>-25851</v>
      </c>
      <c r="E71" s="8">
        <v>-27085</v>
      </c>
      <c r="F71" s="8">
        <v>-28597</v>
      </c>
      <c r="G71" s="8">
        <v>-30111</v>
      </c>
      <c r="H71" s="8">
        <v>-31624</v>
      </c>
      <c r="I71" s="8">
        <v>-33138</v>
      </c>
      <c r="J71" s="8">
        <v>-34651</v>
      </c>
      <c r="K71" s="8"/>
      <c r="L71" s="8"/>
      <c r="M71" s="8"/>
    </row>
    <row r="72" spans="1:13" ht="15" customHeight="1" x14ac:dyDescent="0.2">
      <c r="A72" s="3" t="s">
        <v>48</v>
      </c>
      <c r="B72" s="8">
        <v>19825</v>
      </c>
      <c r="C72" s="8">
        <v>20163</v>
      </c>
      <c r="D72" s="8">
        <v>20426</v>
      </c>
      <c r="E72" s="8">
        <v>20705</v>
      </c>
      <c r="F72" s="8">
        <v>20819</v>
      </c>
      <c r="G72" s="8">
        <v>21136</v>
      </c>
      <c r="H72" s="8">
        <v>21359</v>
      </c>
      <c r="I72" s="8">
        <v>21582</v>
      </c>
      <c r="J72" s="8">
        <v>21735</v>
      </c>
      <c r="K72" s="8"/>
      <c r="L72" s="8"/>
      <c r="M72" s="8"/>
    </row>
    <row r="73" spans="1:13" ht="15" customHeight="1" x14ac:dyDescent="0.2">
      <c r="A73" s="3" t="s">
        <v>47</v>
      </c>
      <c r="B73" s="8">
        <v>24088</v>
      </c>
      <c r="C73" s="8">
        <v>25216</v>
      </c>
      <c r="D73" s="8">
        <v>26226</v>
      </c>
      <c r="E73" s="8">
        <v>27347</v>
      </c>
      <c r="F73" s="8">
        <v>28654</v>
      </c>
      <c r="G73" s="8">
        <v>29915</v>
      </c>
      <c r="H73" s="8">
        <v>31163</v>
      </c>
      <c r="I73" s="8">
        <v>32470</v>
      </c>
      <c r="J73" s="8">
        <v>33453</v>
      </c>
      <c r="K73" s="8"/>
      <c r="L73" s="8"/>
      <c r="M73" s="8"/>
    </row>
    <row r="74" spans="1:13" ht="15" customHeight="1" x14ac:dyDescent="0.2">
      <c r="A74" s="3" t="s">
        <v>46</v>
      </c>
      <c r="B74" s="8">
        <v>-659</v>
      </c>
      <c r="C74" s="8">
        <v>-693</v>
      </c>
      <c r="D74" s="8">
        <v>-627</v>
      </c>
      <c r="E74" s="8">
        <v>-550</v>
      </c>
      <c r="F74" s="8">
        <v>-622</v>
      </c>
      <c r="G74" s="8">
        <v>-739</v>
      </c>
      <c r="H74" s="8">
        <v>-700</v>
      </c>
      <c r="I74" s="8">
        <v>-658</v>
      </c>
      <c r="J74" s="8">
        <v>-513</v>
      </c>
      <c r="K74" s="8"/>
      <c r="L74" s="8"/>
      <c r="M74" s="8"/>
    </row>
    <row r="75" spans="1:13" ht="15" customHeight="1" x14ac:dyDescent="0.2">
      <c r="A75" s="4" t="s">
        <v>45</v>
      </c>
      <c r="B75" s="9">
        <f t="shared" ref="B75:J75" si="23">SUM(B69:B74)</f>
        <v>20702</v>
      </c>
      <c r="C75" s="9">
        <f t="shared" si="23"/>
        <v>20622</v>
      </c>
      <c r="D75" s="9">
        <f t="shared" si="23"/>
        <v>20174</v>
      </c>
      <c r="E75" s="9">
        <f t="shared" si="23"/>
        <v>20417</v>
      </c>
      <c r="F75" s="9">
        <f t="shared" si="23"/>
        <v>20254</v>
      </c>
      <c r="G75" s="9">
        <f t="shared" si="23"/>
        <v>20201</v>
      </c>
      <c r="H75" s="9">
        <f t="shared" si="23"/>
        <v>20198</v>
      </c>
      <c r="I75" s="9">
        <f t="shared" si="23"/>
        <v>20256</v>
      </c>
      <c r="J75" s="9">
        <f t="shared" si="23"/>
        <v>20024</v>
      </c>
      <c r="K75" s="9"/>
      <c r="L75" s="9"/>
      <c r="M75" s="9"/>
    </row>
    <row r="76" spans="1:13" ht="15" customHeight="1" x14ac:dyDescent="0.2">
      <c r="A76" s="4" t="s">
        <v>44</v>
      </c>
      <c r="B76" s="9">
        <f t="shared" ref="B76:J76" si="24">B67+B75</f>
        <v>83347</v>
      </c>
      <c r="C76" s="9">
        <f t="shared" si="24"/>
        <v>84016</v>
      </c>
      <c r="D76" s="9">
        <f t="shared" si="24"/>
        <v>83511</v>
      </c>
      <c r="E76" s="9">
        <f t="shared" si="24"/>
        <v>81611</v>
      </c>
      <c r="F76" s="9">
        <f t="shared" si="24"/>
        <v>81274</v>
      </c>
      <c r="G76" s="9">
        <f t="shared" si="24"/>
        <v>79777</v>
      </c>
      <c r="H76" s="9">
        <f t="shared" si="24"/>
        <v>79801</v>
      </c>
      <c r="I76" s="9">
        <f t="shared" si="24"/>
        <v>80173</v>
      </c>
      <c r="J76" s="9">
        <f t="shared" si="24"/>
        <v>80546</v>
      </c>
      <c r="K76" s="9"/>
      <c r="L76" s="9"/>
      <c r="M76" s="9"/>
    </row>
    <row r="77" spans="1:13" ht="15" customHeight="1" x14ac:dyDescent="0.2">
      <c r="A77" s="4" t="s">
        <v>43</v>
      </c>
      <c r="B77" s="9">
        <f t="shared" ref="B77:J77" si="25">B57-B76</f>
        <v>0</v>
      </c>
      <c r="C77" s="9">
        <f t="shared" si="25"/>
        <v>0</v>
      </c>
      <c r="D77" s="9">
        <f t="shared" si="25"/>
        <v>0</v>
      </c>
      <c r="E77" s="9">
        <f t="shared" si="25"/>
        <v>0</v>
      </c>
      <c r="F77" s="9">
        <f t="shared" si="25"/>
        <v>0</v>
      </c>
      <c r="G77" s="9">
        <f t="shared" si="25"/>
        <v>0</v>
      </c>
      <c r="H77" s="9">
        <f t="shared" si="25"/>
        <v>0</v>
      </c>
      <c r="I77" s="9">
        <f t="shared" si="25"/>
        <v>0</v>
      </c>
      <c r="J77" s="9">
        <f t="shared" si="25"/>
        <v>0</v>
      </c>
      <c r="K77" s="9"/>
      <c r="L77" s="9"/>
      <c r="M77" s="9"/>
    </row>
    <row r="78" spans="1:13" ht="15" customHeight="1" x14ac:dyDescent="0.2">
      <c r="A78" s="3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ht="15" customHeight="1" x14ac:dyDescent="0.2">
      <c r="A79" s="4" t="s">
        <v>42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</row>
    <row r="80" spans="1:13" ht="15" customHeight="1" x14ac:dyDescent="0.2">
      <c r="A80" s="4" t="s">
        <v>41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</row>
    <row r="81" spans="1:13" ht="15" customHeight="1" x14ac:dyDescent="0.2">
      <c r="A81" s="3" t="s">
        <v>40</v>
      </c>
      <c r="B81" s="8">
        <v>888</v>
      </c>
      <c r="C81" s="8">
        <v>1128</v>
      </c>
      <c r="D81" s="8">
        <v>1010</v>
      </c>
      <c r="E81" s="8">
        <v>1121</v>
      </c>
      <c r="F81" s="8">
        <v>1287</v>
      </c>
      <c r="G81" s="8">
        <v>1261</v>
      </c>
      <c r="H81" s="8">
        <v>1248</v>
      </c>
      <c r="I81" s="8">
        <v>1437</v>
      </c>
      <c r="J81" s="8">
        <v>1113</v>
      </c>
      <c r="K81" s="8"/>
      <c r="L81" s="8"/>
      <c r="M81" s="8"/>
    </row>
    <row r="82" spans="1:13" ht="15" customHeight="1" x14ac:dyDescent="0.2">
      <c r="A82" s="3" t="s">
        <v>39</v>
      </c>
      <c r="B82" s="8">
        <v>321</v>
      </c>
      <c r="C82" s="8">
        <v>335</v>
      </c>
      <c r="D82" s="8">
        <v>352</v>
      </c>
      <c r="E82" s="8">
        <v>434</v>
      </c>
      <c r="F82" s="8">
        <v>371</v>
      </c>
      <c r="G82" s="8">
        <v>476</v>
      </c>
      <c r="H82" s="8">
        <v>483</v>
      </c>
      <c r="I82" s="8">
        <v>390</v>
      </c>
      <c r="J82" s="8">
        <v>378</v>
      </c>
      <c r="K82" s="8"/>
      <c r="L82" s="8"/>
      <c r="M82" s="8"/>
    </row>
    <row r="83" spans="1:13" ht="15" customHeight="1" x14ac:dyDescent="0.2">
      <c r="A83" s="3" t="s">
        <v>38</v>
      </c>
      <c r="B83" s="8">
        <v>265</v>
      </c>
      <c r="C83" s="8">
        <v>263</v>
      </c>
      <c r="D83" s="8">
        <v>255</v>
      </c>
      <c r="E83" s="8">
        <v>249</v>
      </c>
      <c r="F83" s="8">
        <v>245</v>
      </c>
      <c r="G83" s="8">
        <v>239</v>
      </c>
      <c r="H83" s="8">
        <v>245</v>
      </c>
      <c r="I83" s="8">
        <v>234</v>
      </c>
      <c r="J83" s="8">
        <v>238</v>
      </c>
      <c r="K83" s="8"/>
      <c r="L83" s="8"/>
      <c r="M83" s="8"/>
    </row>
    <row r="84" spans="1:13" ht="15" customHeight="1" x14ac:dyDescent="0.2">
      <c r="A84" s="3" t="s">
        <v>37</v>
      </c>
      <c r="B84" s="8">
        <v>365</v>
      </c>
      <c r="C84" s="8">
        <v>298</v>
      </c>
      <c r="D84" s="8">
        <v>284</v>
      </c>
      <c r="E84" s="8">
        <v>283</v>
      </c>
      <c r="F84" s="8">
        <v>249</v>
      </c>
      <c r="G84" s="8">
        <v>286</v>
      </c>
      <c r="H84" s="8">
        <v>257</v>
      </c>
      <c r="I84" s="8">
        <v>210</v>
      </c>
      <c r="J84" s="8">
        <v>259</v>
      </c>
      <c r="K84" s="8"/>
      <c r="L84" s="8"/>
      <c r="M84" s="8"/>
    </row>
    <row r="85" spans="1:13" ht="15" customHeight="1" x14ac:dyDescent="0.2">
      <c r="A85" s="3" t="s">
        <v>36</v>
      </c>
      <c r="B85" s="8">
        <v>52</v>
      </c>
      <c r="C85" s="8">
        <v>-23</v>
      </c>
      <c r="D85" s="8">
        <v>-21</v>
      </c>
      <c r="E85" s="8">
        <v>223</v>
      </c>
      <c r="F85" s="8">
        <v>-6</v>
      </c>
      <c r="G85" s="8">
        <v>-83</v>
      </c>
      <c r="H85" s="8">
        <v>182</v>
      </c>
      <c r="I85" s="8">
        <v>124</v>
      </c>
      <c r="J85" s="8">
        <v>-290</v>
      </c>
      <c r="K85" s="8"/>
      <c r="L85" s="8"/>
      <c r="M85" s="8"/>
    </row>
    <row r="86" spans="1:13" ht="15" customHeight="1" x14ac:dyDescent="0.2">
      <c r="A86" s="3" t="s">
        <v>35</v>
      </c>
      <c r="B86" s="8">
        <v>49</v>
      </c>
      <c r="C86" s="8">
        <v>6</v>
      </c>
      <c r="D86" s="8">
        <v>171</v>
      </c>
      <c r="E86" s="8">
        <v>59</v>
      </c>
      <c r="F86" s="8">
        <v>-48</v>
      </c>
      <c r="G86" s="8">
        <v>-11</v>
      </c>
      <c r="H86" s="8">
        <v>-10</v>
      </c>
      <c r="I86" s="8">
        <v>-93</v>
      </c>
      <c r="J86" s="8">
        <v>101</v>
      </c>
      <c r="K86" s="8"/>
      <c r="L86" s="8"/>
      <c r="M86" s="8"/>
    </row>
    <row r="87" spans="1:13" ht="15" customHeight="1" x14ac:dyDescent="0.2">
      <c r="A87" s="3" t="s">
        <v>34</v>
      </c>
      <c r="B87" s="8">
        <v>-75</v>
      </c>
      <c r="C87" s="8">
        <v>-122</v>
      </c>
      <c r="D87" s="8">
        <v>-93</v>
      </c>
      <c r="E87" s="8">
        <v>-45</v>
      </c>
      <c r="F87" s="8">
        <v>-30</v>
      </c>
      <c r="G87" s="8">
        <v>-27</v>
      </c>
      <c r="H87" s="8">
        <v>-20</v>
      </c>
      <c r="I87" s="8">
        <v>-6</v>
      </c>
      <c r="J87" s="8">
        <v>-8</v>
      </c>
      <c r="K87" s="8"/>
      <c r="L87" s="8"/>
      <c r="M87" s="8"/>
    </row>
    <row r="88" spans="1:13" ht="15" customHeight="1" x14ac:dyDescent="0.2">
      <c r="A88" s="3" t="s">
        <v>33</v>
      </c>
      <c r="B88" s="8">
        <v>37</v>
      </c>
      <c r="C88" s="8">
        <v>27</v>
      </c>
      <c r="D88" s="8">
        <v>28</v>
      </c>
      <c r="E88" s="8">
        <v>33</v>
      </c>
      <c r="F88" s="8">
        <v>25</v>
      </c>
      <c r="G88" s="8">
        <v>27</v>
      </c>
      <c r="H88" s="8">
        <v>70</v>
      </c>
      <c r="I88" s="8">
        <v>71</v>
      </c>
      <c r="J88" s="8">
        <v>61</v>
      </c>
      <c r="K88" s="8"/>
      <c r="L88" s="8"/>
      <c r="M88" s="8"/>
    </row>
    <row r="89" spans="1:13" ht="15" customHeight="1" x14ac:dyDescent="0.2">
      <c r="A89" s="3" t="s">
        <v>32</v>
      </c>
      <c r="B89" s="8">
        <v>-5345</v>
      </c>
      <c r="C89" s="8">
        <v>-5720</v>
      </c>
      <c r="D89" s="8">
        <v>-6108</v>
      </c>
      <c r="E89" s="8">
        <v>-7325</v>
      </c>
      <c r="F89" s="8">
        <v>-6629</v>
      </c>
      <c r="G89" s="8">
        <v>-7729</v>
      </c>
      <c r="H89" s="8">
        <v>-9682</v>
      </c>
      <c r="I89" s="8">
        <v>-12690</v>
      </c>
      <c r="J89" s="8">
        <v>-11306</v>
      </c>
      <c r="K89" s="8"/>
      <c r="L89" s="8"/>
      <c r="M89" s="8"/>
    </row>
    <row r="90" spans="1:13" ht="15" customHeight="1" x14ac:dyDescent="0.2">
      <c r="A90" s="3" t="s">
        <v>31</v>
      </c>
      <c r="B90" s="8">
        <v>5232</v>
      </c>
      <c r="C90" s="8">
        <v>5943</v>
      </c>
      <c r="D90" s="8">
        <v>5984</v>
      </c>
      <c r="E90" s="8">
        <v>7193</v>
      </c>
      <c r="F90" s="8">
        <v>6445</v>
      </c>
      <c r="G90" s="8">
        <v>7667</v>
      </c>
      <c r="H90" s="8">
        <v>9048</v>
      </c>
      <c r="I90" s="8">
        <v>12254</v>
      </c>
      <c r="J90" s="8">
        <v>11073</v>
      </c>
      <c r="K90" s="8"/>
      <c r="L90" s="8"/>
      <c r="M90" s="8"/>
    </row>
    <row r="91" spans="1:13" ht="15" customHeight="1" x14ac:dyDescent="0.2">
      <c r="A91" s="3" t="s">
        <v>30</v>
      </c>
      <c r="B91" s="8">
        <v>-39</v>
      </c>
      <c r="C91" s="8">
        <v>121</v>
      </c>
      <c r="D91" s="8">
        <v>-51</v>
      </c>
      <c r="E91" s="8">
        <v>54</v>
      </c>
      <c r="F91" s="8">
        <v>-98</v>
      </c>
      <c r="G91" s="8">
        <v>-17</v>
      </c>
      <c r="H91" s="8">
        <v>126</v>
      </c>
      <c r="I91" s="8">
        <v>133</v>
      </c>
      <c r="J91" s="8">
        <v>-2</v>
      </c>
      <c r="K91" s="8"/>
      <c r="L91" s="8"/>
      <c r="M91" s="8"/>
    </row>
    <row r="92" spans="1:13" ht="15" customHeight="1" x14ac:dyDescent="0.2">
      <c r="A92" s="3" t="s">
        <v>29</v>
      </c>
      <c r="B92" s="8">
        <v>-22</v>
      </c>
      <c r="C92" s="8">
        <v>11</v>
      </c>
      <c r="D92" s="8">
        <v>35</v>
      </c>
      <c r="E92" s="8">
        <v>59</v>
      </c>
      <c r="F92" s="8">
        <v>-52</v>
      </c>
      <c r="G92" s="8">
        <v>2</v>
      </c>
      <c r="H92" s="8">
        <v>44</v>
      </c>
      <c r="I92" s="8">
        <v>10</v>
      </c>
      <c r="J92" s="8">
        <v>-52</v>
      </c>
      <c r="K92" s="8"/>
      <c r="L92" s="8"/>
      <c r="M92" s="8"/>
    </row>
    <row r="93" spans="1:13" ht="15" customHeight="1" x14ac:dyDescent="0.2">
      <c r="A93" s="3" t="s">
        <v>28</v>
      </c>
      <c r="B93" s="8">
        <v>189</v>
      </c>
      <c r="C93" s="8">
        <v>-742</v>
      </c>
      <c r="D93" s="8">
        <v>-232</v>
      </c>
      <c r="E93" s="8">
        <v>56</v>
      </c>
      <c r="F93" s="8">
        <v>-599</v>
      </c>
      <c r="G93" s="8">
        <v>-1193</v>
      </c>
      <c r="H93" s="8">
        <v>-17</v>
      </c>
      <c r="I93" s="8">
        <v>310</v>
      </c>
      <c r="J93" s="8">
        <v>-431</v>
      </c>
      <c r="K93" s="8"/>
      <c r="L93" s="8"/>
      <c r="M93" s="8"/>
    </row>
    <row r="94" spans="1:13" ht="15" customHeight="1" x14ac:dyDescent="0.2">
      <c r="A94" s="4" t="s">
        <v>27</v>
      </c>
      <c r="B94" s="9">
        <f t="shared" ref="B94:J94" si="26">SUM(B81:B93)</f>
        <v>1917</v>
      </c>
      <c r="C94" s="9">
        <f t="shared" si="26"/>
        <v>1525</v>
      </c>
      <c r="D94" s="9">
        <f t="shared" si="26"/>
        <v>1614</v>
      </c>
      <c r="E94" s="9">
        <f t="shared" si="26"/>
        <v>2394</v>
      </c>
      <c r="F94" s="9">
        <f t="shared" si="26"/>
        <v>1160</v>
      </c>
      <c r="G94" s="9">
        <f t="shared" si="26"/>
        <v>898</v>
      </c>
      <c r="H94" s="9">
        <f t="shared" si="26"/>
        <v>1974</v>
      </c>
      <c r="I94" s="9">
        <f t="shared" si="26"/>
        <v>2384</v>
      </c>
      <c r="J94" s="9">
        <f t="shared" si="26"/>
        <v>1134</v>
      </c>
      <c r="K94" s="9"/>
      <c r="L94" s="9"/>
      <c r="M94" s="9"/>
    </row>
    <row r="95" spans="1:13" ht="15" customHeight="1" x14ac:dyDescent="0.2">
      <c r="A95" s="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 spans="1:13" ht="15" customHeight="1" x14ac:dyDescent="0.2">
      <c r="A96" s="4" t="s">
        <v>26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</row>
    <row r="97" spans="1:13" ht="15" customHeight="1" x14ac:dyDescent="0.2">
      <c r="A97" s="3" t="s">
        <v>25</v>
      </c>
      <c r="B97" s="8">
        <v>0</v>
      </c>
      <c r="C97" s="8">
        <v>0</v>
      </c>
      <c r="D97" s="8">
        <v>-299</v>
      </c>
      <c r="E97" s="8">
        <v>-125</v>
      </c>
      <c r="F97" s="8">
        <v>-200</v>
      </c>
      <c r="G97" s="8">
        <v>-1</v>
      </c>
      <c r="H97" s="8">
        <v>0</v>
      </c>
      <c r="I97" s="8">
        <v>0</v>
      </c>
      <c r="J97" s="8">
        <v>0</v>
      </c>
      <c r="K97" s="8"/>
      <c r="L97" s="8"/>
      <c r="M97" s="8"/>
    </row>
    <row r="98" spans="1:13" ht="15" customHeight="1" x14ac:dyDescent="0.2">
      <c r="A98" s="3" t="s">
        <v>24</v>
      </c>
      <c r="B98" s="8">
        <v>0</v>
      </c>
      <c r="C98" s="8">
        <v>0</v>
      </c>
      <c r="D98" s="8">
        <v>226</v>
      </c>
      <c r="E98" s="8">
        <v>111</v>
      </c>
      <c r="F98" s="8">
        <v>87</v>
      </c>
      <c r="G98" s="8">
        <v>201</v>
      </c>
      <c r="H98" s="8">
        <v>0</v>
      </c>
      <c r="I98" s="8">
        <v>0</v>
      </c>
      <c r="J98" s="8">
        <v>0</v>
      </c>
      <c r="K98" s="8"/>
      <c r="L98" s="8"/>
      <c r="M98" s="8"/>
    </row>
    <row r="99" spans="1:13" ht="15" customHeight="1" x14ac:dyDescent="0.2">
      <c r="A99" s="3" t="s">
        <v>23</v>
      </c>
      <c r="B99" s="8">
        <v>-154</v>
      </c>
      <c r="C99" s="8">
        <v>-157</v>
      </c>
      <c r="D99" s="8">
        <v>-169</v>
      </c>
      <c r="E99" s="8">
        <v>-203</v>
      </c>
      <c r="F99" s="8">
        <v>-196</v>
      </c>
      <c r="G99" s="8">
        <v>-206</v>
      </c>
      <c r="H99" s="8">
        <v>-256</v>
      </c>
      <c r="I99" s="8">
        <v>-194</v>
      </c>
      <c r="J99" s="8">
        <v>-231</v>
      </c>
      <c r="K99" s="8"/>
      <c r="L99" s="8"/>
      <c r="M99" s="8"/>
    </row>
    <row r="100" spans="1:13" ht="15" customHeight="1" x14ac:dyDescent="0.2">
      <c r="A100" s="3" t="s">
        <v>22</v>
      </c>
      <c r="B100" s="8">
        <v>0</v>
      </c>
      <c r="C100" s="8">
        <v>0</v>
      </c>
      <c r="D100" s="8">
        <v>0</v>
      </c>
      <c r="E100" s="8">
        <v>1</v>
      </c>
      <c r="F100" s="8">
        <v>2</v>
      </c>
      <c r="G100" s="8">
        <v>1</v>
      </c>
      <c r="H100" s="8">
        <v>0</v>
      </c>
      <c r="I100" s="8">
        <v>0</v>
      </c>
      <c r="J100" s="8">
        <v>8</v>
      </c>
      <c r="K100" s="8"/>
      <c r="L100" s="8"/>
      <c r="M100" s="8"/>
    </row>
    <row r="101" spans="1:13" ht="15" customHeight="1" x14ac:dyDescent="0.2">
      <c r="A101" s="3" t="s">
        <v>21</v>
      </c>
      <c r="B101" s="8">
        <v>-4779</v>
      </c>
      <c r="C101" s="8">
        <v>-5182</v>
      </c>
      <c r="D101" s="8">
        <v>-5413</v>
      </c>
      <c r="E101" s="8">
        <v>-6433</v>
      </c>
      <c r="F101" s="8">
        <v>-5508</v>
      </c>
      <c r="G101" s="8">
        <v>-5982</v>
      </c>
      <c r="H101" s="8">
        <v>-4414</v>
      </c>
      <c r="I101" s="8">
        <v>-4286</v>
      </c>
      <c r="J101" s="8">
        <v>-3865</v>
      </c>
      <c r="K101" s="8"/>
      <c r="L101" s="8"/>
      <c r="M101" s="8"/>
    </row>
    <row r="102" spans="1:13" ht="15" customHeight="1" x14ac:dyDescent="0.2">
      <c r="A102" s="3" t="s">
        <v>20</v>
      </c>
      <c r="B102" s="8">
        <v>4827</v>
      </c>
      <c r="C102" s="8">
        <v>4933</v>
      </c>
      <c r="D102" s="8">
        <v>4945</v>
      </c>
      <c r="E102" s="8">
        <v>5567</v>
      </c>
      <c r="F102" s="8">
        <v>5477</v>
      </c>
      <c r="G102" s="8">
        <v>5733</v>
      </c>
      <c r="H102" s="8">
        <v>4735</v>
      </c>
      <c r="I102" s="8">
        <v>3743</v>
      </c>
      <c r="J102" s="8">
        <v>3754</v>
      </c>
      <c r="K102" s="8"/>
      <c r="L102" s="8"/>
      <c r="M102" s="8"/>
    </row>
    <row r="103" spans="1:13" ht="15" customHeight="1" x14ac:dyDescent="0.2">
      <c r="A103" s="3" t="s">
        <v>19</v>
      </c>
      <c r="B103" s="8">
        <v>-7081</v>
      </c>
      <c r="C103" s="8">
        <v>-8923</v>
      </c>
      <c r="D103" s="8">
        <v>-4815</v>
      </c>
      <c r="E103" s="8">
        <v>-5390</v>
      </c>
      <c r="F103" s="8">
        <v>-5970</v>
      </c>
      <c r="G103" s="8">
        <v>-5594</v>
      </c>
      <c r="H103" s="8">
        <v>-4387</v>
      </c>
      <c r="I103" s="8">
        <v>-4448</v>
      </c>
      <c r="J103" s="8">
        <v>-5923</v>
      </c>
      <c r="K103" s="8"/>
      <c r="L103" s="8"/>
      <c r="M103" s="8"/>
    </row>
    <row r="104" spans="1:13" ht="15" customHeight="1" x14ac:dyDescent="0.2">
      <c r="A104" s="3" t="s">
        <v>18</v>
      </c>
      <c r="B104" s="8">
        <v>9242</v>
      </c>
      <c r="C104" s="8">
        <v>4999</v>
      </c>
      <c r="D104" s="8">
        <v>6938</v>
      </c>
      <c r="E104" s="8">
        <v>5783</v>
      </c>
      <c r="F104" s="8">
        <v>5465</v>
      </c>
      <c r="G104" s="8">
        <v>6130</v>
      </c>
      <c r="H104" s="8">
        <v>7432</v>
      </c>
      <c r="I104" s="8">
        <v>3906</v>
      </c>
      <c r="J104" s="8">
        <v>4521</v>
      </c>
      <c r="K104" s="8"/>
      <c r="L104" s="8"/>
      <c r="M104" s="8"/>
    </row>
    <row r="105" spans="1:13" ht="15" customHeight="1" x14ac:dyDescent="0.2">
      <c r="A105" s="3" t="s">
        <v>17</v>
      </c>
      <c r="B105" s="8">
        <v>-1169</v>
      </c>
      <c r="C105" s="8">
        <v>-198</v>
      </c>
      <c r="D105" s="8">
        <v>1519</v>
      </c>
      <c r="E105" s="8">
        <v>2756</v>
      </c>
      <c r="F105" s="8">
        <v>-2741</v>
      </c>
      <c r="G105" s="8">
        <v>-44</v>
      </c>
      <c r="H105" s="8">
        <v>1553</v>
      </c>
      <c r="I105" s="8">
        <v>929</v>
      </c>
      <c r="J105" s="8">
        <v>-352</v>
      </c>
      <c r="K105" s="8"/>
      <c r="L105" s="8"/>
      <c r="M105" s="8"/>
    </row>
    <row r="106" spans="1:13" ht="15" customHeight="1" x14ac:dyDescent="0.2">
      <c r="A106" s="3" t="s">
        <v>16</v>
      </c>
      <c r="B106" s="8">
        <v>74</v>
      </c>
      <c r="C106" s="8">
        <v>1</v>
      </c>
      <c r="D106" s="8">
        <v>-133</v>
      </c>
      <c r="E106" s="8">
        <v>131</v>
      </c>
      <c r="F106" s="8">
        <v>-53</v>
      </c>
      <c r="G106" s="8">
        <v>-263</v>
      </c>
      <c r="H106" s="8">
        <v>109</v>
      </c>
      <c r="I106" s="8">
        <v>58</v>
      </c>
      <c r="J106" s="8">
        <v>110</v>
      </c>
      <c r="K106" s="8"/>
      <c r="L106" s="8"/>
      <c r="M106" s="8"/>
    </row>
    <row r="107" spans="1:13" ht="15" customHeight="1" x14ac:dyDescent="0.2">
      <c r="A107" s="3" t="s">
        <v>15</v>
      </c>
      <c r="B107" s="8">
        <v>20</v>
      </c>
      <c r="C107" s="8">
        <v>-120</v>
      </c>
      <c r="D107" s="8">
        <v>0</v>
      </c>
      <c r="E107" s="8">
        <v>259</v>
      </c>
      <c r="F107" s="8">
        <v>-20</v>
      </c>
      <c r="G107" s="8">
        <v>5</v>
      </c>
      <c r="H107" s="8">
        <v>0</v>
      </c>
      <c r="I107" s="8">
        <v>-6</v>
      </c>
      <c r="J107" s="8">
        <v>-122</v>
      </c>
      <c r="K107" s="8"/>
      <c r="L107" s="8"/>
      <c r="M107" s="8"/>
    </row>
    <row r="108" spans="1:13" ht="15" customHeight="1" x14ac:dyDescent="0.2">
      <c r="A108" s="4" t="s">
        <v>14</v>
      </c>
      <c r="B108" s="9">
        <f t="shared" ref="B108:J108" si="27">SUM(B97:B107)</f>
        <v>980</v>
      </c>
      <c r="C108" s="9">
        <f t="shared" si="27"/>
        <v>-4647</v>
      </c>
      <c r="D108" s="9">
        <f t="shared" si="27"/>
        <v>2799</v>
      </c>
      <c r="E108" s="9">
        <f t="shared" si="27"/>
        <v>2457</v>
      </c>
      <c r="F108" s="9">
        <f t="shared" si="27"/>
        <v>-3657</v>
      </c>
      <c r="G108" s="9">
        <f t="shared" si="27"/>
        <v>-20</v>
      </c>
      <c r="H108" s="9">
        <f t="shared" si="27"/>
        <v>4772</v>
      </c>
      <c r="I108" s="9">
        <f t="shared" si="27"/>
        <v>-298</v>
      </c>
      <c r="J108" s="9">
        <f t="shared" si="27"/>
        <v>-2100</v>
      </c>
      <c r="K108" s="9"/>
      <c r="L108" s="9"/>
      <c r="M108" s="9"/>
    </row>
    <row r="109" spans="1:13" ht="15" customHeight="1" x14ac:dyDescent="0.2">
      <c r="A109" s="3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 spans="1:13" ht="15" customHeight="1" x14ac:dyDescent="0.2">
      <c r="A110" s="4" t="s">
        <v>13</v>
      </c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</row>
    <row r="111" spans="1:13" ht="15" customHeight="1" x14ac:dyDescent="0.2">
      <c r="A111" s="3" t="s">
        <v>12</v>
      </c>
      <c r="B111" s="8">
        <v>0</v>
      </c>
      <c r="C111" s="8">
        <v>0</v>
      </c>
      <c r="D111" s="8">
        <v>656</v>
      </c>
      <c r="E111" s="8">
        <v>0</v>
      </c>
      <c r="F111" s="8">
        <v>0</v>
      </c>
      <c r="G111" s="8">
        <v>405</v>
      </c>
      <c r="H111" s="8">
        <v>2544</v>
      </c>
      <c r="I111" s="8">
        <v>0</v>
      </c>
      <c r="J111" s="8">
        <v>0</v>
      </c>
      <c r="K111" s="8"/>
      <c r="L111" s="8"/>
      <c r="M111" s="8"/>
    </row>
    <row r="112" spans="1:13" ht="15" customHeight="1" x14ac:dyDescent="0.2">
      <c r="A112" s="3" t="s">
        <v>11</v>
      </c>
      <c r="B112" s="8">
        <v>0</v>
      </c>
      <c r="C112" s="8">
        <v>0</v>
      </c>
      <c r="D112" s="8">
        <v>-656</v>
      </c>
      <c r="E112" s="8">
        <v>0</v>
      </c>
      <c r="F112" s="8">
        <v>0</v>
      </c>
      <c r="G112" s="8">
        <v>-405</v>
      </c>
      <c r="H112" s="8">
        <v>-2544</v>
      </c>
      <c r="I112" s="8">
        <v>0</v>
      </c>
      <c r="J112" s="8">
        <v>0</v>
      </c>
      <c r="K112" s="8"/>
      <c r="L112" s="8"/>
      <c r="M112" s="8"/>
    </row>
    <row r="113" spans="1:13" ht="15" customHeight="1" x14ac:dyDescent="0.2">
      <c r="A113" s="3" t="s">
        <v>10</v>
      </c>
      <c r="B113" s="8">
        <v>0</v>
      </c>
      <c r="C113" s="8">
        <v>55</v>
      </c>
      <c r="D113" s="8">
        <v>0</v>
      </c>
      <c r="E113" s="8">
        <v>40</v>
      </c>
      <c r="F113" s="8">
        <v>0</v>
      </c>
      <c r="G113" s="8">
        <v>74</v>
      </c>
      <c r="H113" s="8">
        <v>0</v>
      </c>
      <c r="I113" s="8">
        <v>43</v>
      </c>
      <c r="J113" s="8">
        <v>0</v>
      </c>
      <c r="K113" s="8"/>
      <c r="L113" s="8"/>
      <c r="M113" s="8"/>
    </row>
    <row r="114" spans="1:13" ht="15" customHeight="1" x14ac:dyDescent="0.2">
      <c r="A114" s="3" t="s">
        <v>9</v>
      </c>
      <c r="B114" s="8">
        <v>-1501</v>
      </c>
      <c r="C114" s="8">
        <v>-1501</v>
      </c>
      <c r="D114" s="8">
        <v>-1776</v>
      </c>
      <c r="E114" s="8">
        <v>-1269</v>
      </c>
      <c r="F114" s="8">
        <v>-1500</v>
      </c>
      <c r="G114" s="8">
        <v>-1551</v>
      </c>
      <c r="H114" s="8">
        <v>-1500</v>
      </c>
      <c r="I114" s="8">
        <v>-1501</v>
      </c>
      <c r="J114" s="8">
        <v>-1500</v>
      </c>
      <c r="K114" s="8"/>
      <c r="L114" s="8"/>
      <c r="M114" s="8"/>
    </row>
    <row r="115" spans="1:13" ht="15" customHeight="1" x14ac:dyDescent="0.2">
      <c r="A115" s="3" t="s">
        <v>8</v>
      </c>
      <c r="B115" s="8">
        <v>-167</v>
      </c>
      <c r="C115" s="8">
        <v>-63</v>
      </c>
      <c r="D115" s="8">
        <v>-41</v>
      </c>
      <c r="E115" s="8">
        <v>-80</v>
      </c>
      <c r="F115" s="8">
        <v>-277</v>
      </c>
      <c r="G115" s="8">
        <v>28</v>
      </c>
      <c r="H115" s="8">
        <v>-68</v>
      </c>
      <c r="I115" s="8">
        <v>-66</v>
      </c>
      <c r="J115" s="8">
        <v>-127</v>
      </c>
      <c r="K115" s="8"/>
      <c r="L115" s="8"/>
      <c r="M115" s="8"/>
    </row>
    <row r="116" spans="1:13" ht="15" customHeight="1" x14ac:dyDescent="0.2">
      <c r="A116" s="3" t="s">
        <v>7</v>
      </c>
      <c r="B116" s="8">
        <v>115</v>
      </c>
      <c r="C116" s="8">
        <v>1299</v>
      </c>
      <c r="D116" s="8">
        <v>132</v>
      </c>
      <c r="E116" s="8">
        <v>0</v>
      </c>
      <c r="F116" s="8">
        <v>1491</v>
      </c>
      <c r="G116" s="8">
        <v>0</v>
      </c>
      <c r="H116" s="8">
        <v>746</v>
      </c>
      <c r="I116" s="8">
        <v>400</v>
      </c>
      <c r="J116" s="8">
        <v>930</v>
      </c>
      <c r="K116" s="8"/>
      <c r="L116" s="8"/>
      <c r="M116" s="8"/>
    </row>
    <row r="117" spans="1:13" ht="15" customHeight="1" x14ac:dyDescent="0.2">
      <c r="A117" s="3" t="s">
        <v>6</v>
      </c>
      <c r="B117" s="8">
        <v>-359</v>
      </c>
      <c r="C117" s="8">
        <v>-52</v>
      </c>
      <c r="D117" s="8">
        <v>0</v>
      </c>
      <c r="E117" s="8">
        <v>-1250</v>
      </c>
      <c r="F117" s="8">
        <v>0</v>
      </c>
      <c r="G117" s="8">
        <v>-1207</v>
      </c>
      <c r="H117" s="8">
        <v>-747</v>
      </c>
      <c r="I117" s="8">
        <v>-201</v>
      </c>
      <c r="J117" s="8">
        <v>-932</v>
      </c>
      <c r="K117" s="8"/>
      <c r="L117" s="8"/>
      <c r="M117" s="8"/>
    </row>
    <row r="118" spans="1:13" ht="15" customHeight="1" x14ac:dyDescent="0.2">
      <c r="A118" s="3" t="s">
        <v>5</v>
      </c>
      <c r="B118" s="8">
        <v>-483</v>
      </c>
      <c r="C118" s="8">
        <v>445</v>
      </c>
      <c r="D118" s="8">
        <v>-733</v>
      </c>
      <c r="E118" s="8">
        <v>-1183</v>
      </c>
      <c r="F118" s="8">
        <v>1417</v>
      </c>
      <c r="G118" s="8">
        <v>-504</v>
      </c>
      <c r="H118" s="8">
        <v>-250</v>
      </c>
      <c r="I118" s="8">
        <v>-489</v>
      </c>
      <c r="J118" s="8">
        <v>1094</v>
      </c>
      <c r="K118" s="8"/>
      <c r="L118" s="8"/>
      <c r="M118" s="8"/>
    </row>
    <row r="119" spans="1:13" ht="15" customHeight="1" x14ac:dyDescent="0.2">
      <c r="A119" s="3" t="s">
        <v>4</v>
      </c>
      <c r="B119" s="8">
        <v>0</v>
      </c>
      <c r="C119" s="8">
        <v>0</v>
      </c>
      <c r="D119" s="8">
        <v>-1</v>
      </c>
      <c r="E119" s="8">
        <v>157</v>
      </c>
      <c r="F119" s="8">
        <v>-135</v>
      </c>
      <c r="G119" s="8">
        <v>-10</v>
      </c>
      <c r="H119" s="8">
        <v>-10</v>
      </c>
      <c r="I119" s="8">
        <v>-5</v>
      </c>
      <c r="J119" s="8">
        <v>108</v>
      </c>
      <c r="K119" s="8"/>
      <c r="L119" s="8"/>
      <c r="M119" s="8"/>
    </row>
    <row r="120" spans="1:13" ht="15" customHeight="1" x14ac:dyDescent="0.2">
      <c r="A120" s="3" t="s">
        <v>3</v>
      </c>
      <c r="B120" s="8">
        <v>0</v>
      </c>
      <c r="C120" s="8">
        <v>0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v>-130</v>
      </c>
      <c r="J120" s="8">
        <v>-130</v>
      </c>
      <c r="K120" s="8"/>
      <c r="L120" s="8"/>
      <c r="M120" s="8"/>
    </row>
    <row r="121" spans="1:13" ht="15" customHeight="1" x14ac:dyDescent="0.2">
      <c r="A121" s="3" t="s">
        <v>2</v>
      </c>
      <c r="B121" s="8">
        <v>33</v>
      </c>
      <c r="C121" s="8">
        <v>17</v>
      </c>
      <c r="D121" s="8">
        <v>-110</v>
      </c>
      <c r="E121" s="8">
        <v>0</v>
      </c>
      <c r="F121" s="8">
        <v>-2</v>
      </c>
      <c r="G121" s="8">
        <v>-4</v>
      </c>
      <c r="H121" s="8">
        <v>0</v>
      </c>
      <c r="I121" s="8">
        <v>0</v>
      </c>
      <c r="J121" s="8">
        <v>-2</v>
      </c>
      <c r="K121" s="8"/>
      <c r="L121" s="8"/>
      <c r="M121" s="8"/>
    </row>
    <row r="122" spans="1:13" ht="15" customHeight="1" x14ac:dyDescent="0.2">
      <c r="A122" s="4" t="s">
        <v>1</v>
      </c>
      <c r="B122" s="9">
        <f t="shared" ref="B122:J122" si="28">SUM(B111:B121)</f>
        <v>-2362</v>
      </c>
      <c r="C122" s="9">
        <f t="shared" si="28"/>
        <v>200</v>
      </c>
      <c r="D122" s="9">
        <f t="shared" si="28"/>
        <v>-2529</v>
      </c>
      <c r="E122" s="9">
        <f t="shared" si="28"/>
        <v>-3585</v>
      </c>
      <c r="F122" s="9">
        <f t="shared" si="28"/>
        <v>994</v>
      </c>
      <c r="G122" s="9">
        <f t="shared" si="28"/>
        <v>-3174</v>
      </c>
      <c r="H122" s="9">
        <f t="shared" si="28"/>
        <v>-1829</v>
      </c>
      <c r="I122" s="9">
        <f t="shared" si="28"/>
        <v>-1949</v>
      </c>
      <c r="J122" s="9">
        <f t="shared" si="28"/>
        <v>-559</v>
      </c>
      <c r="K122" s="9"/>
      <c r="L122" s="9"/>
      <c r="M122" s="9"/>
    </row>
    <row r="123" spans="1:13" ht="15" customHeight="1" x14ac:dyDescent="0.2">
      <c r="A123" s="3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 spans="1:13" ht="15" customHeight="1" x14ac:dyDescent="0.2">
      <c r="A124" s="4" t="s">
        <v>0</v>
      </c>
      <c r="B124" s="9">
        <f t="shared" ref="B124:J124" si="29">B94+B99</f>
        <v>1763</v>
      </c>
      <c r="C124" s="9">
        <f t="shared" si="29"/>
        <v>1368</v>
      </c>
      <c r="D124" s="9">
        <f t="shared" si="29"/>
        <v>1445</v>
      </c>
      <c r="E124" s="9">
        <f t="shared" si="29"/>
        <v>2191</v>
      </c>
      <c r="F124" s="9">
        <f t="shared" si="29"/>
        <v>964</v>
      </c>
      <c r="G124" s="9">
        <f t="shared" si="29"/>
        <v>692</v>
      </c>
      <c r="H124" s="9">
        <f t="shared" si="29"/>
        <v>1718</v>
      </c>
      <c r="I124" s="9">
        <f t="shared" si="29"/>
        <v>2190</v>
      </c>
      <c r="J124" s="9">
        <f t="shared" si="29"/>
        <v>903</v>
      </c>
      <c r="K124" s="9"/>
      <c r="L124" s="9"/>
      <c r="M124" s="9"/>
    </row>
    <row r="125" spans="1:13" ht="15" customHeight="1" x14ac:dyDescent="0.2">
      <c r="A125" s="3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ht="15" customHeight="1" x14ac:dyDescent="0.2">
      <c r="A126" s="4" t="s">
        <v>120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</row>
    <row r="127" spans="1:13" ht="15" customHeight="1" x14ac:dyDescent="0.2">
      <c r="A127" s="3" t="s">
        <v>119</v>
      </c>
      <c r="B127" s="8">
        <v>427</v>
      </c>
      <c r="C127" s="8">
        <v>429</v>
      </c>
      <c r="D127" s="8">
        <v>432</v>
      </c>
      <c r="E127" s="8">
        <v>434</v>
      </c>
      <c r="F127" s="8">
        <v>436</v>
      </c>
      <c r="G127" s="8">
        <v>438</v>
      </c>
      <c r="H127" s="8">
        <v>438</v>
      </c>
      <c r="I127" s="8">
        <v>439</v>
      </c>
      <c r="J127" s="8">
        <v>439</v>
      </c>
      <c r="K127" s="8">
        <f>J127+0.5</f>
        <v>439.5</v>
      </c>
      <c r="L127" s="8">
        <f t="shared" ref="L127:M127" si="30">K127+0.5</f>
        <v>440</v>
      </c>
      <c r="M127" s="8">
        <v>440.7</v>
      </c>
    </row>
    <row r="128" spans="1:13" ht="15" customHeight="1" x14ac:dyDescent="0.2">
      <c r="A128" s="3" t="s">
        <v>118</v>
      </c>
      <c r="B128" s="8">
        <v>6505</v>
      </c>
      <c r="C128" s="8">
        <v>6580</v>
      </c>
      <c r="D128" s="8">
        <v>6631</v>
      </c>
      <c r="E128" s="8">
        <v>6619</v>
      </c>
      <c r="F128" s="8">
        <v>6045</v>
      </c>
      <c r="G128" s="8">
        <v>6226</v>
      </c>
      <c r="H128" s="8">
        <v>6331</v>
      </c>
      <c r="I128" s="8">
        <v>6754</v>
      </c>
      <c r="J128" s="8">
        <v>6475</v>
      </c>
      <c r="K128" s="8">
        <v>6500</v>
      </c>
      <c r="L128" s="8">
        <v>6650</v>
      </c>
      <c r="M128" s="8">
        <v>7000</v>
      </c>
    </row>
    <row r="129" spans="1:13" ht="15" customHeight="1" x14ac:dyDescent="0.2">
      <c r="A129" s="3" t="s">
        <v>117</v>
      </c>
      <c r="B129" s="12">
        <v>60</v>
      </c>
      <c r="C129" s="12">
        <v>60.9</v>
      </c>
      <c r="D129" s="12">
        <v>61.4</v>
      </c>
      <c r="E129" s="12">
        <v>60.6</v>
      </c>
      <c r="F129" s="12">
        <v>59.4</v>
      </c>
      <c r="G129" s="12">
        <v>58.3</v>
      </c>
      <c r="H129" s="12">
        <v>57.6</v>
      </c>
      <c r="I129" s="12">
        <v>57.7</v>
      </c>
      <c r="J129" s="12">
        <v>58.7</v>
      </c>
      <c r="K129" s="12">
        <v>58.4</v>
      </c>
      <c r="L129" s="12">
        <v>58.2</v>
      </c>
      <c r="M129" s="12">
        <v>58.6</v>
      </c>
    </row>
    <row r="130" spans="1:13" ht="15" customHeight="1" x14ac:dyDescent="0.2">
      <c r="A130" s="3" t="s">
        <v>116</v>
      </c>
      <c r="B130" s="8">
        <v>403860</v>
      </c>
      <c r="C130" s="8">
        <v>416814</v>
      </c>
      <c r="D130" s="8">
        <v>422641</v>
      </c>
      <c r="E130" s="8">
        <v>437836</v>
      </c>
      <c r="F130" s="8">
        <v>417208</v>
      </c>
      <c r="G130" s="8">
        <v>443547</v>
      </c>
      <c r="H130" s="8">
        <v>458088</v>
      </c>
      <c r="I130" s="8">
        <v>475135</v>
      </c>
      <c r="J130" s="8">
        <v>463955</v>
      </c>
      <c r="K130" s="8"/>
      <c r="L130" s="8"/>
      <c r="M130" s="8"/>
    </row>
    <row r="131" spans="1:13" ht="15" customHeight="1" x14ac:dyDescent="0.2">
      <c r="A131" s="3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ht="15" customHeight="1" x14ac:dyDescent="0.2">
      <c r="A132" s="3" t="s">
        <v>115</v>
      </c>
      <c r="B132" s="13">
        <v>9.7000000000000003E-3</v>
      </c>
      <c r="C132" s="13">
        <v>9.4999999999999998E-3</v>
      </c>
      <c r="D132" s="13">
        <v>9.1000000000000004E-3</v>
      </c>
      <c r="E132" s="13">
        <v>9.1000000000000004E-3</v>
      </c>
      <c r="F132" s="13">
        <v>8.8999999999999999E-3</v>
      </c>
      <c r="G132" s="13">
        <v>8.8999999999999999E-3</v>
      </c>
      <c r="H132" s="13">
        <v>8.8999999999999999E-3</v>
      </c>
      <c r="I132" s="13">
        <v>8.8999999999999999E-3</v>
      </c>
      <c r="J132" s="13">
        <v>8.9999999999999993E-3</v>
      </c>
      <c r="K132" s="13"/>
      <c r="L132" s="13"/>
      <c r="M132" s="13"/>
    </row>
    <row r="133" spans="1:13" ht="15" customHeight="1" x14ac:dyDescent="0.2">
      <c r="A133" s="3" t="s">
        <v>114</v>
      </c>
      <c r="B133" s="13">
        <v>8.0000000000000004E-4</v>
      </c>
      <c r="C133" s="13">
        <v>8.0000000000000004E-4</v>
      </c>
      <c r="D133" s="13">
        <v>8.0000000000000004E-4</v>
      </c>
      <c r="E133" s="13">
        <v>1E-3</v>
      </c>
      <c r="F133" s="13">
        <v>8.9999999999999998E-4</v>
      </c>
      <c r="G133" s="13">
        <v>1.1000000000000001E-3</v>
      </c>
      <c r="H133" s="13">
        <v>1.1000000000000001E-3</v>
      </c>
      <c r="I133" s="13">
        <v>8.0000000000000004E-4</v>
      </c>
      <c r="J133" s="13">
        <v>8.0000000000000004E-4</v>
      </c>
      <c r="K133" s="13"/>
      <c r="L133" s="13"/>
      <c r="M133" s="13"/>
    </row>
    <row r="134" spans="1:13" ht="15" customHeight="1" x14ac:dyDescent="0.2">
      <c r="A134" s="3" t="s">
        <v>113</v>
      </c>
      <c r="B134" s="14">
        <v>0.45</v>
      </c>
      <c r="C134" s="14">
        <v>0.45800000000000002</v>
      </c>
      <c r="D134" s="14">
        <v>0.46600000000000003</v>
      </c>
      <c r="E134" s="14">
        <v>0.47</v>
      </c>
      <c r="F134" s="14">
        <v>0.47699999999999998</v>
      </c>
      <c r="G134" s="14">
        <v>0.46400000000000002</v>
      </c>
      <c r="H134" s="14">
        <v>0.46</v>
      </c>
      <c r="I134" s="14">
        <v>0.46500000000000002</v>
      </c>
      <c r="J134" s="14">
        <v>0.45612354842571529</v>
      </c>
      <c r="K134" s="14"/>
      <c r="L134" s="14"/>
      <c r="M134" s="14"/>
    </row>
    <row r="135" spans="1:13" ht="15" customHeight="1" x14ac:dyDescent="0.2">
      <c r="A135" s="3" t="s">
        <v>112</v>
      </c>
      <c r="B135" s="8">
        <v>3461</v>
      </c>
      <c r="C135" s="8">
        <v>3608</v>
      </c>
      <c r="D135" s="8">
        <v>3654</v>
      </c>
      <c r="E135" s="8">
        <v>3935</v>
      </c>
      <c r="F135" s="8">
        <v>3716</v>
      </c>
      <c r="G135" s="8">
        <v>3844</v>
      </c>
      <c r="H135" s="8">
        <v>3871</v>
      </c>
      <c r="I135" s="8">
        <v>4034</v>
      </c>
      <c r="J135" s="8">
        <v>3810</v>
      </c>
      <c r="K135" s="8"/>
      <c r="L135" s="8"/>
      <c r="M135" s="8"/>
    </row>
    <row r="136" spans="1:13" ht="15" customHeight="1" x14ac:dyDescent="0.2">
      <c r="A136" s="3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ht="15" customHeight="1" x14ac:dyDescent="0.2">
      <c r="A137" s="4" t="s">
        <v>111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</row>
    <row r="138" spans="1:13" ht="15" customHeight="1" x14ac:dyDescent="0.2">
      <c r="A138" s="3" t="s">
        <v>110</v>
      </c>
      <c r="B138" s="15">
        <v>0.12</v>
      </c>
      <c r="C138" s="15">
        <v>0.12</v>
      </c>
      <c r="D138" s="15">
        <v>0.12</v>
      </c>
      <c r="E138" s="15" t="s">
        <v>121</v>
      </c>
      <c r="F138" s="15">
        <v>0.12</v>
      </c>
      <c r="G138" s="15">
        <v>0.12</v>
      </c>
      <c r="H138" s="15">
        <v>0.12</v>
      </c>
      <c r="I138" s="15" t="s">
        <v>121</v>
      </c>
      <c r="J138" s="15" t="s">
        <v>121</v>
      </c>
      <c r="K138" s="15"/>
      <c r="L138" s="15"/>
      <c r="M138" s="15"/>
    </row>
    <row r="139" spans="1:13" ht="15" customHeight="1" x14ac:dyDescent="0.2">
      <c r="A139" s="3" t="s">
        <v>109</v>
      </c>
      <c r="B139" s="15" t="s">
        <v>121</v>
      </c>
      <c r="C139" s="15" t="s">
        <v>121</v>
      </c>
      <c r="D139" s="15" t="s">
        <v>121</v>
      </c>
      <c r="E139" s="15" t="s">
        <v>121</v>
      </c>
      <c r="F139" s="15">
        <v>0.35</v>
      </c>
      <c r="G139" s="15" t="s">
        <v>121</v>
      </c>
      <c r="H139" s="15" t="s">
        <v>121</v>
      </c>
      <c r="I139" s="15" t="s">
        <v>121</v>
      </c>
      <c r="J139" s="15">
        <v>0.35</v>
      </c>
      <c r="K139" s="15"/>
      <c r="L139" s="15"/>
      <c r="M139" s="15"/>
    </row>
    <row r="140" spans="1:13" ht="15" customHeight="1" x14ac:dyDescent="0.2">
      <c r="A140" s="3" t="s">
        <v>108</v>
      </c>
      <c r="B140" s="13" t="s">
        <v>121</v>
      </c>
      <c r="C140" s="13" t="s">
        <v>121</v>
      </c>
      <c r="D140" s="13" t="s">
        <v>121</v>
      </c>
      <c r="E140" s="13" t="s">
        <v>121</v>
      </c>
      <c r="F140" s="13">
        <v>6.9999999999999999E-4</v>
      </c>
      <c r="G140" s="13" t="s">
        <v>121</v>
      </c>
      <c r="H140" s="13" t="s">
        <v>121</v>
      </c>
      <c r="I140" s="13" t="s">
        <v>121</v>
      </c>
      <c r="J140" s="13">
        <v>5.9999999999999995E-4</v>
      </c>
      <c r="K140" s="13"/>
      <c r="L140" s="13"/>
      <c r="M140" s="13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Tomohawk WR</dc:creator>
  <cp:lastModifiedBy>Tomohawk WR</cp:lastModifiedBy>
  <dcterms:created xsi:type="dcterms:W3CDTF">2026-07-23T22:11:04Z</dcterms:created>
  <dcterms:modified xsi:type="dcterms:W3CDTF">2026-07-24T13:45:51Z</dcterms:modified>
</cp:coreProperties>
</file>