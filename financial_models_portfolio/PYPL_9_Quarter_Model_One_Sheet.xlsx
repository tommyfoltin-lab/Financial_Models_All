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my\Downloads\PYPL\"/>
    </mc:Choice>
  </mc:AlternateContent>
  <xr:revisionPtr revIDLastSave="0" documentId="13_ncr:1_{DCDA6CA9-DFF6-4135-983A-617039EC612C}" xr6:coauthVersionLast="47" xr6:coauthVersionMax="47" xr10:uidLastSave="{00000000-0000-0000-0000-000000000000}"/>
  <bookViews>
    <workbookView xWindow="-120" yWindow="-120" windowWidth="29040" windowHeight="15720" xr2:uid="{C04121F2-0500-4C6B-9FE7-330D81199E1E}"/>
  </bookViews>
  <sheets>
    <sheet name="Financ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33" i="1" l="1" a="1"/>
  <c r="U133" i="1" a="1"/>
  <c r="T133" i="1" a="1"/>
  <c r="S133" i="1" a="1"/>
  <c r="R133" i="1" a="1"/>
  <c r="S132" i="1" a="1"/>
  <c r="T132" i="1" a="1"/>
  <c r="U132" i="1" a="1"/>
  <c r="V132" i="1" a="1"/>
  <c r="R132" i="1" a="1"/>
  <c r="L132" i="1" a="1"/>
  <c r="M132" i="1" a="1"/>
  <c r="K132" i="1" a="1"/>
  <c r="S138" i="1" a="1"/>
  <c r="T138" i="1" a="1"/>
  <c r="U138" i="1" a="1"/>
  <c r="V138" i="1" a="1"/>
  <c r="R138" i="1" a="1"/>
  <c r="S130" i="1"/>
  <c r="T130" i="1"/>
  <c r="U130" i="1"/>
  <c r="V130" i="1"/>
  <c r="R130" i="1"/>
  <c r="S129" i="1"/>
  <c r="T129" i="1"/>
  <c r="T13" i="1" s="1" a="1"/>
  <c r="U129" i="1"/>
  <c r="U13" i="1" s="1" a="1"/>
  <c r="V129" i="1"/>
  <c r="V13" i="1" s="1" a="1"/>
  <c r="R129" i="1"/>
  <c r="T15" i="1"/>
  <c r="U15" i="1"/>
  <c r="V15" i="1"/>
  <c r="L129" i="1"/>
  <c r="L15" i="1" s="1"/>
  <c r="M129" i="1"/>
  <c r="M15" i="1" s="1"/>
  <c r="K129" i="1"/>
  <c r="L130" i="1"/>
  <c r="M130" i="1"/>
  <c r="K130" i="1"/>
  <c r="S16" i="1" a="1"/>
  <c r="T16" i="1" a="1"/>
  <c r="U16" i="1" a="1"/>
  <c r="V16" i="1" a="1"/>
  <c r="R16" i="1" a="1"/>
  <c r="S19" i="1" a="1"/>
  <c r="T19" i="1" a="1"/>
  <c r="U19" i="1" a="1"/>
  <c r="V19" i="1" a="1"/>
  <c r="R19" i="1" a="1"/>
  <c r="S28" i="1" a="1"/>
  <c r="S29" i="1" s="1" a="1"/>
  <c r="T28" i="1" a="1"/>
  <c r="T29" i="1" s="1" a="1"/>
  <c r="U28" i="1" a="1"/>
  <c r="U29" i="1" s="1" a="1"/>
  <c r="V28" i="1" a="1"/>
  <c r="V29" i="1" s="1" a="1"/>
  <c r="R28" i="1" a="1"/>
  <c r="R29" i="1" s="1" a="1"/>
  <c r="S134" i="1"/>
  <c r="T134" i="1"/>
  <c r="U134" i="1"/>
  <c r="V134" i="1"/>
  <c r="R134" i="1"/>
  <c r="S135" i="1"/>
  <c r="T135" i="1"/>
  <c r="U135" i="1"/>
  <c r="V135" i="1"/>
  <c r="R135" i="1"/>
  <c r="L16" i="1" a="1"/>
  <c r="M16" i="1" a="1"/>
  <c r="K16" i="1" a="1"/>
  <c r="Q16" i="1" s="1"/>
  <c r="L19" i="1"/>
  <c r="M19" i="1"/>
  <c r="K19" i="1"/>
  <c r="L28" i="1" a="1"/>
  <c r="L29" i="1" s="1" a="1"/>
  <c r="M28" i="1" a="1"/>
  <c r="M29" i="1" s="1" a="1"/>
  <c r="K28" i="1" a="1"/>
  <c r="L138" i="1"/>
  <c r="M138" i="1"/>
  <c r="K138" i="1"/>
  <c r="L133" i="1"/>
  <c r="M133" i="1"/>
  <c r="K133" i="1"/>
  <c r="L134" i="1"/>
  <c r="M134" i="1"/>
  <c r="K134" i="1"/>
  <c r="L135" i="1"/>
  <c r="M135" i="1"/>
  <c r="K135" i="1"/>
  <c r="P132" i="1"/>
  <c r="O132" i="1"/>
  <c r="P130" i="1"/>
  <c r="O130" i="1"/>
  <c r="P129" i="1"/>
  <c r="O129" i="1"/>
  <c r="O29" i="1"/>
  <c r="O28" i="1"/>
  <c r="P29" i="1"/>
  <c r="P28" i="1"/>
  <c r="C17" i="1"/>
  <c r="D17" i="1"/>
  <c r="E17" i="1"/>
  <c r="F17" i="1"/>
  <c r="G17" i="1"/>
  <c r="H17" i="1"/>
  <c r="I17" i="1"/>
  <c r="J17" i="1"/>
  <c r="B17" i="1"/>
  <c r="C11" i="1"/>
  <c r="D11" i="1"/>
  <c r="E11" i="1"/>
  <c r="E37" i="1" s="1"/>
  <c r="F11" i="1"/>
  <c r="G11" i="1"/>
  <c r="G37" i="1" s="1"/>
  <c r="H11" i="1"/>
  <c r="H37" i="1" s="1"/>
  <c r="I11" i="1"/>
  <c r="I37" i="1" s="1"/>
  <c r="J11" i="1"/>
  <c r="J37" i="1" s="1"/>
  <c r="B11" i="1"/>
  <c r="P9" i="1"/>
  <c r="P10" i="1"/>
  <c r="P12" i="1"/>
  <c r="P13" i="1"/>
  <c r="P14" i="1"/>
  <c r="P15" i="1"/>
  <c r="P16" i="1"/>
  <c r="P19" i="1"/>
  <c r="P21" i="1"/>
  <c r="P7" i="1"/>
  <c r="O21" i="1"/>
  <c r="O19" i="1"/>
  <c r="O16" i="1"/>
  <c r="O15" i="1"/>
  <c r="O14" i="1"/>
  <c r="O13" i="1"/>
  <c r="O12" i="1"/>
  <c r="O10" i="1"/>
  <c r="O9" i="1"/>
  <c r="O7" i="1"/>
  <c r="J124" i="1"/>
  <c r="J110" i="1"/>
  <c r="J96" i="1"/>
  <c r="J126" i="1" s="1"/>
  <c r="J77" i="1"/>
  <c r="J66" i="1"/>
  <c r="J69" i="1" s="1"/>
  <c r="J53" i="1"/>
  <c r="J59" i="1" s="1"/>
  <c r="I124" i="1"/>
  <c r="I110" i="1"/>
  <c r="I96" i="1"/>
  <c r="I126" i="1" s="1"/>
  <c r="I77" i="1"/>
  <c r="I66" i="1"/>
  <c r="I69" i="1" s="1"/>
  <c r="I53" i="1"/>
  <c r="I59" i="1" s="1"/>
  <c r="H124" i="1"/>
  <c r="H110" i="1"/>
  <c r="H96" i="1"/>
  <c r="H126" i="1" s="1"/>
  <c r="H77" i="1"/>
  <c r="H66" i="1"/>
  <c r="H69" i="1" s="1"/>
  <c r="H53" i="1"/>
  <c r="H59" i="1" s="1"/>
  <c r="G124" i="1"/>
  <c r="G110" i="1"/>
  <c r="G96" i="1"/>
  <c r="G126" i="1" s="1"/>
  <c r="G77" i="1"/>
  <c r="G66" i="1"/>
  <c r="G69" i="1" s="1"/>
  <c r="G53" i="1"/>
  <c r="G59" i="1" s="1"/>
  <c r="F124" i="1"/>
  <c r="F110" i="1"/>
  <c r="F96" i="1"/>
  <c r="F126" i="1" s="1"/>
  <c r="F77" i="1"/>
  <c r="F66" i="1"/>
  <c r="F69" i="1" s="1"/>
  <c r="F53" i="1"/>
  <c r="F59" i="1" s="1"/>
  <c r="E124" i="1"/>
  <c r="E110" i="1"/>
  <c r="E96" i="1"/>
  <c r="E126" i="1" s="1"/>
  <c r="E77" i="1"/>
  <c r="E66" i="1"/>
  <c r="E69" i="1" s="1"/>
  <c r="E53" i="1"/>
  <c r="E59" i="1" s="1"/>
  <c r="D124" i="1"/>
  <c r="D110" i="1"/>
  <c r="D96" i="1"/>
  <c r="D126" i="1" s="1"/>
  <c r="D77" i="1"/>
  <c r="D66" i="1"/>
  <c r="D69" i="1" s="1"/>
  <c r="D53" i="1"/>
  <c r="D59" i="1" s="1"/>
  <c r="C124" i="1"/>
  <c r="C110" i="1"/>
  <c r="C96" i="1"/>
  <c r="C126" i="1" s="1"/>
  <c r="C77" i="1"/>
  <c r="C66" i="1"/>
  <c r="C69" i="1" s="1"/>
  <c r="C53" i="1"/>
  <c r="C59" i="1" s="1"/>
  <c r="B124" i="1"/>
  <c r="B110" i="1"/>
  <c r="B96" i="1"/>
  <c r="B126" i="1" s="1"/>
  <c r="B77" i="1"/>
  <c r="B66" i="1"/>
  <c r="B69" i="1" s="1"/>
  <c r="B53" i="1"/>
  <c r="B59" i="1" s="1"/>
  <c r="R15" i="1" l="1"/>
  <c r="R13" i="1" a="1"/>
  <c r="Q19" i="1"/>
  <c r="J78" i="1"/>
  <c r="J79" i="1" s="1"/>
  <c r="S15" i="1"/>
  <c r="S13" i="1" a="1"/>
  <c r="K15" i="1"/>
  <c r="Q15" i="1" s="1"/>
  <c r="K131" i="1"/>
  <c r="L131" i="1"/>
  <c r="M131" i="1"/>
  <c r="Q131" i="1" s="1"/>
  <c r="S131" i="1"/>
  <c r="T131" i="1"/>
  <c r="U131" i="1"/>
  <c r="V131" i="1"/>
  <c r="R131" i="1"/>
  <c r="F78" i="1"/>
  <c r="F79" i="1" s="1"/>
  <c r="Q28" i="1"/>
  <c r="K29" i="1" a="1"/>
  <c r="Q29" i="1" s="1"/>
  <c r="U12" i="1" a="1"/>
  <c r="U14" i="1"/>
  <c r="V12" i="1" a="1"/>
  <c r="V14" i="1"/>
  <c r="R12" i="1" a="1"/>
  <c r="R14" i="1"/>
  <c r="L13" i="1" a="1"/>
  <c r="Q129" i="1"/>
  <c r="Q138" i="1" s="1"/>
  <c r="M13" i="1" a="1"/>
  <c r="K13" i="1" a="1"/>
  <c r="L12" i="1" a="1"/>
  <c r="L14" i="1"/>
  <c r="M12" i="1" a="1"/>
  <c r="M14" i="1"/>
  <c r="Q130" i="1"/>
  <c r="K12" i="1" a="1"/>
  <c r="K14" i="1"/>
  <c r="C78" i="1"/>
  <c r="C79" i="1" s="1"/>
  <c r="P131" i="1"/>
  <c r="O131" i="1"/>
  <c r="P135" i="1"/>
  <c r="P134" i="1"/>
  <c r="O134" i="1"/>
  <c r="O135" i="1"/>
  <c r="P138" i="1"/>
  <c r="P133" i="1"/>
  <c r="O138" i="1"/>
  <c r="C18" i="1"/>
  <c r="C37" i="1"/>
  <c r="D18" i="1"/>
  <c r="D37" i="1"/>
  <c r="P11" i="1"/>
  <c r="F37" i="1"/>
  <c r="O11" i="1"/>
  <c r="B37" i="1"/>
  <c r="E18" i="1"/>
  <c r="F18" i="1"/>
  <c r="F31" i="1" s="1"/>
  <c r="G18" i="1"/>
  <c r="H18" i="1"/>
  <c r="I18" i="1"/>
  <c r="J18" i="1"/>
  <c r="B18" i="1"/>
  <c r="B31" i="1" s="1"/>
  <c r="I78" i="1"/>
  <c r="I79" i="1" s="1"/>
  <c r="D78" i="1"/>
  <c r="D79" i="1" s="1"/>
  <c r="G78" i="1"/>
  <c r="G79" i="1" s="1"/>
  <c r="H78" i="1"/>
  <c r="H79" i="1" s="1"/>
  <c r="P17" i="1"/>
  <c r="O17" i="1"/>
  <c r="E78" i="1"/>
  <c r="E79" i="1" s="1"/>
  <c r="B78" i="1"/>
  <c r="B79" i="1" s="1"/>
  <c r="Q13" i="1" l="1"/>
  <c r="M17" i="1"/>
  <c r="R17" i="1"/>
  <c r="V17" i="1"/>
  <c r="S12" i="1" a="1"/>
  <c r="S14" i="1"/>
  <c r="T12" i="1" a="1"/>
  <c r="T14" i="1"/>
  <c r="U10" i="1"/>
  <c r="U9" i="1"/>
  <c r="U7" i="1"/>
  <c r="V10" i="1"/>
  <c r="V9" i="1"/>
  <c r="V7" i="1"/>
  <c r="V11" i="1" s="1"/>
  <c r="R10" i="1"/>
  <c r="R9" i="1"/>
  <c r="R7" i="1"/>
  <c r="L10" i="1"/>
  <c r="L9" i="1"/>
  <c r="L7" i="1"/>
  <c r="L11" i="1" s="1"/>
  <c r="M10" i="1"/>
  <c r="M9" i="1"/>
  <c r="M7" i="1"/>
  <c r="Q12" i="1"/>
  <c r="K17" i="1"/>
  <c r="K10" i="1"/>
  <c r="K9" i="1"/>
  <c r="K7" i="1"/>
  <c r="Q132" i="1"/>
  <c r="L17" i="1"/>
  <c r="Q14" i="1"/>
  <c r="U17" i="1"/>
  <c r="O133" i="1"/>
  <c r="P37" i="1"/>
  <c r="P137" i="1"/>
  <c r="P136" i="1" s="1"/>
  <c r="O37" i="1"/>
  <c r="O137" i="1"/>
  <c r="O136" i="1" s="1"/>
  <c r="C20" i="1"/>
  <c r="C31" i="1"/>
  <c r="D20" i="1"/>
  <c r="D31" i="1"/>
  <c r="F32" i="1"/>
  <c r="F38" i="1"/>
  <c r="B32" i="1"/>
  <c r="B38" i="1"/>
  <c r="E20" i="1"/>
  <c r="E31" i="1"/>
  <c r="G20" i="1"/>
  <c r="G31" i="1"/>
  <c r="H20" i="1"/>
  <c r="H31" i="1"/>
  <c r="I20" i="1"/>
  <c r="I31" i="1"/>
  <c r="J20" i="1"/>
  <c r="J31" i="1"/>
  <c r="P18" i="1"/>
  <c r="P31" i="1" s="1"/>
  <c r="F20" i="1"/>
  <c r="F40" i="1" s="1"/>
  <c r="O18" i="1"/>
  <c r="O31" i="1" s="1"/>
  <c r="B20" i="1"/>
  <c r="U11" i="1" l="1"/>
  <c r="T17" i="1"/>
  <c r="Q10" i="1"/>
  <c r="Q135" i="1" s="1"/>
  <c r="S40" i="1"/>
  <c r="T40" i="1"/>
  <c r="U40" i="1"/>
  <c r="V40" i="1"/>
  <c r="R40" i="1"/>
  <c r="L40" i="1"/>
  <c r="M40" i="1"/>
  <c r="K40" i="1"/>
  <c r="M11" i="1"/>
  <c r="Q9" i="1"/>
  <c r="Q134" i="1" s="1"/>
  <c r="R11" i="1"/>
  <c r="S17" i="1"/>
  <c r="B40" i="1"/>
  <c r="S10" i="1"/>
  <c r="S9" i="1"/>
  <c r="S7" i="1"/>
  <c r="T10" i="1"/>
  <c r="T9" i="1"/>
  <c r="T7" i="1"/>
  <c r="U137" i="1"/>
  <c r="U136" i="1" s="1"/>
  <c r="U37" i="1"/>
  <c r="U18" i="1"/>
  <c r="V137" i="1"/>
  <c r="V136" i="1" s="1"/>
  <c r="V37" i="1"/>
  <c r="V18" i="1"/>
  <c r="L137" i="1"/>
  <c r="L136" i="1" s="1"/>
  <c r="L37" i="1"/>
  <c r="L18" i="1"/>
  <c r="Q7" i="1"/>
  <c r="Q133" i="1" s="1"/>
  <c r="K11" i="1"/>
  <c r="Q17" i="1"/>
  <c r="C22" i="1"/>
  <c r="C40" i="1"/>
  <c r="D40" i="1"/>
  <c r="D22" i="1"/>
  <c r="C32" i="1"/>
  <c r="C38" i="1"/>
  <c r="D32" i="1"/>
  <c r="D38" i="1"/>
  <c r="E22" i="1"/>
  <c r="E40" i="1"/>
  <c r="G22" i="1"/>
  <c r="G40" i="1"/>
  <c r="H22" i="1"/>
  <c r="H40" i="1"/>
  <c r="I22" i="1"/>
  <c r="I40" i="1"/>
  <c r="J22" i="1"/>
  <c r="J40" i="1"/>
  <c r="P38" i="1"/>
  <c r="P32" i="1"/>
  <c r="O38" i="1"/>
  <c r="O32" i="1"/>
  <c r="F33" i="1"/>
  <c r="F39" i="1"/>
  <c r="B33" i="1"/>
  <c r="B39" i="1"/>
  <c r="E32" i="1"/>
  <c r="E38" i="1"/>
  <c r="G32" i="1"/>
  <c r="G38" i="1"/>
  <c r="H32" i="1"/>
  <c r="H38" i="1"/>
  <c r="I32" i="1"/>
  <c r="I38" i="1"/>
  <c r="J32" i="1"/>
  <c r="J38" i="1"/>
  <c r="P20" i="1"/>
  <c r="F22" i="1"/>
  <c r="O20" i="1"/>
  <c r="B22" i="1"/>
  <c r="C26" i="1" l="1"/>
  <c r="C25" i="1"/>
  <c r="T11" i="1"/>
  <c r="D25" i="1"/>
  <c r="D26" i="1"/>
  <c r="F35" i="1"/>
  <c r="M137" i="1"/>
  <c r="M136" i="1" s="1"/>
  <c r="M37" i="1"/>
  <c r="M18" i="1"/>
  <c r="R18" i="1"/>
  <c r="R137" i="1"/>
  <c r="R136" i="1" s="1"/>
  <c r="R37" i="1"/>
  <c r="S11" i="1"/>
  <c r="S37" i="1" s="1"/>
  <c r="U20" i="1"/>
  <c r="U31" i="1"/>
  <c r="V20" i="1"/>
  <c r="V31" i="1"/>
  <c r="L31" i="1"/>
  <c r="L20" i="1"/>
  <c r="Q11" i="1"/>
  <c r="K137" i="1"/>
  <c r="K136" i="1" s="1"/>
  <c r="K37" i="1"/>
  <c r="K18" i="1"/>
  <c r="C33" i="1"/>
  <c r="C34" i="1" s="1"/>
  <c r="C39" i="1"/>
  <c r="D33" i="1"/>
  <c r="D39" i="1"/>
  <c r="E26" i="1"/>
  <c r="E25" i="1"/>
  <c r="G25" i="1"/>
  <c r="G26" i="1"/>
  <c r="H26" i="1"/>
  <c r="H25" i="1"/>
  <c r="I25" i="1"/>
  <c r="I26" i="1"/>
  <c r="J26" i="1"/>
  <c r="J25" i="1"/>
  <c r="P39" i="1"/>
  <c r="P33" i="1"/>
  <c r="O39" i="1"/>
  <c r="O33" i="1"/>
  <c r="E33" i="1"/>
  <c r="E39" i="1"/>
  <c r="G33" i="1"/>
  <c r="G39" i="1"/>
  <c r="H33" i="1"/>
  <c r="H39" i="1"/>
  <c r="I33" i="1"/>
  <c r="I39" i="1"/>
  <c r="J33" i="1"/>
  <c r="J39" i="1"/>
  <c r="P22" i="1"/>
  <c r="F26" i="1"/>
  <c r="F25" i="1"/>
  <c r="O22" i="1"/>
  <c r="B25" i="1"/>
  <c r="B26" i="1"/>
  <c r="T37" i="1" l="1"/>
  <c r="T18" i="1"/>
  <c r="T137" i="1"/>
  <c r="T136" i="1" s="1"/>
  <c r="D34" i="1"/>
  <c r="R31" i="1"/>
  <c r="R38" i="1" s="1"/>
  <c r="R20" i="1"/>
  <c r="R21" i="1" s="1"/>
  <c r="S18" i="1"/>
  <c r="S137" i="1"/>
  <c r="S136" i="1" s="1"/>
  <c r="M20" i="1"/>
  <c r="M21" i="1" s="1"/>
  <c r="M31" i="1"/>
  <c r="M38" i="1" s="1"/>
  <c r="S31" i="1"/>
  <c r="S20" i="1"/>
  <c r="U21" i="1"/>
  <c r="U38" i="1"/>
  <c r="V21" i="1"/>
  <c r="V38" i="1"/>
  <c r="L38" i="1"/>
  <c r="L21" i="1"/>
  <c r="Q37" i="1"/>
  <c r="Q137" i="1"/>
  <c r="Q136" i="1" s="1"/>
  <c r="Q18" i="1"/>
  <c r="Q31" i="1" s="1"/>
  <c r="K31" i="1"/>
  <c r="K20" i="1"/>
  <c r="P34" i="1"/>
  <c r="I35" i="1"/>
  <c r="I34" i="1"/>
  <c r="G34" i="1"/>
  <c r="G35" i="1"/>
  <c r="H34" i="1"/>
  <c r="H35" i="1"/>
  <c r="J34" i="1"/>
  <c r="J35" i="1"/>
  <c r="E34" i="1"/>
  <c r="F34" i="1"/>
  <c r="P26" i="1"/>
  <c r="P25" i="1"/>
  <c r="O25" i="1"/>
  <c r="O26" i="1"/>
  <c r="T31" i="1" l="1"/>
  <c r="T20" i="1"/>
  <c r="V22" i="1"/>
  <c r="V32" i="1"/>
  <c r="U22" i="1"/>
  <c r="U32" i="1"/>
  <c r="R32" i="1"/>
  <c r="R22" i="1"/>
  <c r="M22" i="1"/>
  <c r="M32" i="1"/>
  <c r="S38" i="1"/>
  <c r="S21" i="1"/>
  <c r="T21" i="1"/>
  <c r="T38" i="1"/>
  <c r="Q38" i="1"/>
  <c r="K38" i="1"/>
  <c r="Q20" i="1"/>
  <c r="K21" i="1"/>
  <c r="L32" i="1"/>
  <c r="L22" i="1"/>
  <c r="V26" i="1" l="1"/>
  <c r="V25" i="1"/>
  <c r="V39" i="1"/>
  <c r="V33" i="1"/>
  <c r="U25" i="1"/>
  <c r="U26" i="1"/>
  <c r="U33" i="1"/>
  <c r="U39" i="1"/>
  <c r="S32" i="1"/>
  <c r="S22" i="1"/>
  <c r="T22" i="1"/>
  <c r="T32" i="1"/>
  <c r="R33" i="1"/>
  <c r="R39" i="1"/>
  <c r="R26" i="1"/>
  <c r="R25" i="1"/>
  <c r="M26" i="1"/>
  <c r="M25" i="1"/>
  <c r="M39" i="1"/>
  <c r="M33" i="1"/>
  <c r="M35" i="1" s="1"/>
  <c r="L33" i="1"/>
  <c r="L39" i="1"/>
  <c r="L25" i="1"/>
  <c r="L26" i="1"/>
  <c r="Q21" i="1"/>
  <c r="K32" i="1"/>
  <c r="K22" i="1"/>
  <c r="S33" i="1" l="1"/>
  <c r="S39" i="1"/>
  <c r="S25" i="1"/>
  <c r="S26" i="1"/>
  <c r="T26" i="1"/>
  <c r="T25" i="1"/>
  <c r="V35" i="1"/>
  <c r="V34" i="1"/>
  <c r="T33" i="1"/>
  <c r="U34" i="1" s="1"/>
  <c r="T39" i="1"/>
  <c r="M34" i="1"/>
  <c r="L35" i="1"/>
  <c r="Q32" i="1"/>
  <c r="Q40" i="1"/>
  <c r="K33" i="1"/>
  <c r="L34" i="1" s="1"/>
  <c r="K39" i="1"/>
  <c r="K25" i="1"/>
  <c r="K26" i="1"/>
  <c r="Q22" i="1"/>
  <c r="S35" i="1" l="1"/>
  <c r="S34" i="1"/>
  <c r="T35" i="1"/>
  <c r="T34" i="1"/>
  <c r="U35" i="1"/>
  <c r="Q39" i="1"/>
  <c r="Q33" i="1"/>
  <c r="K35" i="1"/>
  <c r="K34" i="1"/>
  <c r="Q25" i="1"/>
  <c r="Q26" i="1"/>
  <c r="R34" i="1" l="1"/>
  <c r="R35" i="1"/>
  <c r="Q34" i="1"/>
  <c r="Q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Tomohawk WR</author>
  </authors>
  <commentList>
    <comment ref="A6" authorId="0" shapeId="0" xr:uid="{42CE9D96-79C9-450A-897F-C911DFB7A351}">
      <text>
        <r>
          <rPr>
            <b/>
            <sz val="9"/>
            <color indexed="81"/>
            <rFont val="Tahoma"/>
            <charset val="1"/>
          </rPr>
          <t>Sources by quarter, Q1 2024 through Q1 2026: 982e1c04-12f4-4e5a-86b8-5c0d65c9e8ca.xls; caf58e59-72a0-4135-b806-7f195440851a.xls; c7d87eb8-1e48-4d60-a682-15852ef27197.xls; 6cd88af2-7b9a-4385-9714-af446301f7ba.xls; c9562009-c132-4b5d-a2b5-d8b9ae9221ed.xls; 956cd7fa-6dd5-4a25-9607-198ea58392b1.xls; e7739643-ffd8-4864-b7e9-48e503ce410c.xls; 9cb31356-83d7-4b4b-a0e5-57c033c6cc24.xls; 512bb28e-ac58-4bf5-86e4-5337a2a915b2.xls. Income statement values are direct three-month filing values.</t>
        </r>
      </text>
    </comment>
    <comment ref="K7" authorId="0" shapeId="0" xr:uid="{358A0266-267A-45D3-BAC9-897367E11669}">
      <text>
        <r>
          <rPr>
            <b/>
            <sz val="9"/>
            <color indexed="81"/>
            <rFont val="Tahoma"/>
            <family val="2"/>
          </rPr>
          <t>Q2-Q4 2026 and FY2027-FY2031 are rebuilt entirely from statistically selected operating drivers. No forecast output is hardcoded and no analyst consensus or management guidance is used.</t>
        </r>
      </text>
    </comment>
    <comment ref="R7" authorId="0" shapeId="0" xr:uid="{0E824B91-B7EB-4229-97A5-3BA76928B824}">
      <text>
        <r>
          <rPr>
            <b/>
            <sz val="9"/>
            <color indexed="81"/>
            <rFont val="Tahoma"/>
            <family val="2"/>
          </rPr>
          <t>Annual revenue is transaction revenue plus OVAS: TPV x statistically forecast take rate + statistically forecast active accounts x annual OVAS per account. Annual cells aggregate the quarterly driver processes; no annual growth rate is imposed.</t>
        </r>
      </text>
    </comment>
    <comment ref="K9" authorId="0" shapeId="0" xr:uid="{2608ADF4-7B8F-4D4F-B36F-65D017DD9179}">
      <text>
        <r>
          <rPr>
            <b/>
            <sz val="9"/>
            <color indexed="81"/>
            <rFont val="Tahoma"/>
            <charset val="1"/>
          </rPr>
          <t>Transaction expense is derived mechanically as forecast TPV multiplied by the statistically selected transaction expense rate; no dollar expense is independently assumed.</t>
        </r>
      </text>
    </comment>
    <comment ref="R9" authorId="0" shapeId="0" xr:uid="{8A08FEA6-692F-4206-858A-51A49827DB1D}">
      <text>
        <r>
          <rPr>
            <b/>
            <sz val="9"/>
            <color indexed="81"/>
            <rFont val="Tahoma"/>
            <charset val="1"/>
          </rPr>
          <t>Annual transaction expense is annual TPV multiplied by the selected expense-rate process. Because that selected rate is constant, this exactly sums the four quarterly expense forecasts.</t>
        </r>
      </text>
    </comment>
    <comment ref="K10" authorId="0" shapeId="0" xr:uid="{5598680B-028F-4A6C-B1EC-B695221EDAC9}">
      <text>
        <r>
          <rPr>
            <b/>
            <sz val="9"/>
            <color indexed="81"/>
            <rFont val="Tahoma"/>
            <charset val="1"/>
          </rPr>
          <t>Transaction and credit losses are derived mechanically as forecast TPV multiplied by the statistically selected pooled historical loss rate.</t>
        </r>
      </text>
    </comment>
    <comment ref="R10" authorId="0" shapeId="0" xr:uid="{E3D4BFAF-37DA-4073-BF61-9DE44B005DE8}">
      <text>
        <r>
          <rPr>
            <b/>
            <sz val="9"/>
            <color indexed="81"/>
            <rFont val="Tahoma"/>
            <charset val="1"/>
          </rPr>
          <t>Annual transaction and credit losses equal annual TPV multiplied by the selected pooled historical loss rate, exactly summing the four quarterly forecasts.</t>
        </r>
      </text>
    </comment>
    <comment ref="K12" authorId="0" shapeId="0" xr:uid="{E83554E1-F7BC-460D-9B3D-41D44BEF067D}">
      <text>
        <r>
          <rPr>
            <b/>
            <sz val="9"/>
            <color indexed="81"/>
            <rFont val="Tahoma"/>
            <charset val="1"/>
          </rPr>
          <t>Customer support: transactions x pooled mean support cost per transaction. The pooled mean had the lowest rolling 1-to-4-quarter RMSE (0.00213).</t>
        </r>
      </text>
    </comment>
    <comment ref="R12" authorId="0" shapeId="0" xr:uid="{55DEC394-7E4E-4B91-A88D-D322EF1BEBEA}">
      <text>
        <r>
          <rPr>
            <b/>
            <sz val="9"/>
            <color indexed="81"/>
            <rFont val="Tahoma"/>
            <charset val="1"/>
          </rPr>
          <t>Annual support equals annual transactions x the selected pooled mean unit cost.</t>
        </r>
      </text>
    </comment>
    <comment ref="K13" authorId="0" shapeId="0" xr:uid="{9D5EA4AB-C499-42EC-851E-E7DEC132CED1}">
      <text>
        <r>
          <rPr>
            <b/>
            <sz val="9"/>
            <color indexed="81"/>
            <rFont val="Tahoma"/>
            <charset val="1"/>
          </rPr>
          <t>Sales and marketing: active accounts x seasonal spend per account. Seasonal-naive had the lowest rolling 1-to-4-quarter RMSE (0.123).</t>
        </r>
      </text>
    </comment>
    <comment ref="R13" authorId="0" shapeId="0" xr:uid="{12394566-E60E-4640-A649-2B83CCF99A14}">
      <text>
        <r>
          <rPr>
            <b/>
            <sz val="9"/>
            <color indexed="81"/>
            <rFont val="Tahoma"/>
            <charset val="1"/>
          </rPr>
          <t>Annual sales and marketing equals active accounts x the four-quarter selected seasonal spend pattern.</t>
        </r>
      </text>
    </comment>
    <comment ref="K14" authorId="0" shapeId="0" xr:uid="{5DD1086C-443D-4E52-9E43-8DA90794B975}">
      <text>
        <r>
          <rPr>
            <b/>
            <sz val="9"/>
            <color indexed="81"/>
            <rFont val="Tahoma"/>
            <charset val="1"/>
          </rPr>
          <t>Technology: transactions x last observed technology cost per transaction. Last observation had the lowest rolling 1-to-4-quarter RMSE (0.00394).</t>
        </r>
      </text>
    </comment>
    <comment ref="R14" authorId="0" shapeId="0" xr:uid="{398FAF66-7281-49E0-8BB7-665FEE6BC52B}">
      <text>
        <r>
          <rPr>
            <b/>
            <sz val="9"/>
            <color indexed="81"/>
            <rFont val="Tahoma"/>
            <charset val="1"/>
          </rPr>
          <t>Annual technology equals annual transactions x selected last unit cost.</t>
        </r>
      </text>
    </comment>
    <comment ref="K15" authorId="0" shapeId="0" xr:uid="{96CD1379-6934-42EF-AA8A-C8406F419096}">
      <text>
        <r>
          <rPr>
            <b/>
            <sz val="9"/>
            <color indexed="81"/>
            <rFont val="Tahoma"/>
            <charset val="1"/>
          </rPr>
          <t>G&amp;A: active accounts x last observed G&amp;A cost per account. Last observation had the lowest rolling 1-to-4-quarter RMSE (0.0654), narrowly ahead of the median.</t>
        </r>
      </text>
    </comment>
    <comment ref="R15" authorId="0" shapeId="0" xr:uid="{21D7CF43-DB11-4571-9312-D4B0B43AA9DA}">
      <text>
        <r>
          <rPr>
            <b/>
            <sz val="9"/>
            <color indexed="81"/>
            <rFont val="Tahoma"/>
            <charset val="1"/>
          </rPr>
          <t>Annual G&amp;A equals four quarters of active accounts x selected last unit cost.</t>
        </r>
      </text>
    </comment>
    <comment ref="K16" authorId="0" shapeId="0" xr:uid="{B646DF63-4ADA-4A9B-B072-0DFF58BF576A}">
      <text>
        <r>
          <rPr>
            <b/>
            <sz val="9"/>
            <color indexed="81"/>
            <rFont val="Tahoma"/>
            <charset val="1"/>
          </rPr>
          <t>Restructuring: seasonal recurrence of the most recent comparable quarters. Seasonal-naive had the lowest rolling 1-to-4-quarter RMSE ($17.4mm).</t>
        </r>
      </text>
    </comment>
    <comment ref="R16" authorId="0" shapeId="0" xr:uid="{8D5970A4-7953-4229-958F-1DE17295C41A}">
      <text>
        <r>
          <rPr>
            <b/>
            <sz val="9"/>
            <color indexed="81"/>
            <rFont val="Tahoma"/>
            <charset val="1"/>
          </rPr>
          <t>Annual restructuring sums the four selected seasonal quarterly amounts.</t>
        </r>
      </text>
    </comment>
    <comment ref="K19" authorId="0" shapeId="0" xr:uid="{C7E51B1E-E5B7-4A8E-8714-B40C278181FB}">
      <text>
        <r>
          <rPr>
            <b/>
            <sz val="9"/>
            <color indexed="81"/>
            <rFont val="Tahoma"/>
            <charset val="1"/>
          </rPr>
          <t>Other income: stationary AR(1). It had the lowest rolling 1-to-4-quarter RMSE ($89.5mm).</t>
        </r>
      </text>
    </comment>
    <comment ref="R19" authorId="0" shapeId="0" xr:uid="{EC1FB80E-8FB2-4684-9A2C-913ECCA8259E}">
      <text>
        <r>
          <rPr>
            <b/>
            <sz val="9"/>
            <color indexed="81"/>
            <rFont val="Tahoma"/>
            <charset val="1"/>
          </rPr>
          <t>Annual other income sums four stationary AR(1) quarterly forecasts.</t>
        </r>
      </text>
    </comment>
    <comment ref="K28" authorId="0" shapeId="0" xr:uid="{EE77F056-202F-4BF1-8250-C6D9259E209E}">
      <text>
        <r>
          <rPr>
            <b/>
            <sz val="9"/>
            <color indexed="81"/>
            <rFont val="Tahoma"/>
            <charset val="1"/>
          </rPr>
          <t>Basic shares: log-linear trend on nine actual quarters. It had the lowest rolling 1-to-4-quarter RMSE (4.20mm shares).</t>
        </r>
      </text>
    </comment>
    <comment ref="R28" authorId="0" shapeId="0" xr:uid="{4022014C-0775-48CF-814A-2D3E4E31DD0F}">
      <text>
        <r>
          <rPr>
            <b/>
            <sz val="9"/>
            <color indexed="81"/>
            <rFont val="Tahoma"/>
            <charset val="1"/>
          </rPr>
          <t>Annual basic shares average four log-linear quarterly forecasts.</t>
        </r>
      </text>
    </comment>
    <comment ref="K29" authorId="0" shapeId="0" xr:uid="{52C4B2EC-CA68-461B-860A-D1406B127C26}">
      <text>
        <r>
          <rPr>
            <b/>
            <sz val="9"/>
            <color indexed="81"/>
            <rFont val="Tahoma"/>
            <charset val="1"/>
          </rPr>
          <t>Diluted shares: basic shares plus the historical median dilution spread. Median had the lowest rolling 1-to-4-quarter RMSE (1.38mm shares).</t>
        </r>
      </text>
    </comment>
    <comment ref="R29" authorId="0" shapeId="0" xr:uid="{5E7688C3-5C66-49F7-B1A5-6208C4F4BD5A}">
      <text>
        <r>
          <rPr>
            <b/>
            <sz val="9"/>
            <color indexed="81"/>
            <rFont val="Tahoma"/>
            <charset val="1"/>
          </rPr>
          <t>Annual diluted shares equal basic shares plus the selected median dilution spread.</t>
        </r>
      </text>
    </comment>
    <comment ref="K40" authorId="0" shapeId="0" xr:uid="{60FAB934-0A6F-4F3B-BA48-1B611D47880B}">
      <text>
        <r>
          <rPr>
            <b/>
            <sz val="9"/>
            <color indexed="81"/>
            <rFont val="Tahoma"/>
            <charset val="1"/>
          </rPr>
          <t>ETR uses pooled actual tax expense divided by pooled actual pretax income across the nine quarters. The log-linear time-series candidate was rejected in the adversarial audit because discrete tax items produced a nonstationary extrapolation below the observed economic range.</t>
        </r>
      </text>
    </comment>
    <comment ref="R40" authorId="0" shapeId="0" xr:uid="{160AFCCC-3562-4919-8DE2-BE992C5C41D1}">
      <text>
        <r>
          <rPr>
            <b/>
            <sz val="9"/>
            <color indexed="81"/>
            <rFont val="Tahoma"/>
            <charset val="1"/>
          </rPr>
          <t>Annual ETR uses the pooled nine-quarter weighted estimator. This treats quarterly tax volatility as discrete noise rather than a durable declining operating process.</t>
        </r>
      </text>
    </comment>
    <comment ref="A43" authorId="0" shapeId="0" xr:uid="{A69A37F2-9633-4B25-ADE7-3D9748CEEED4}">
      <text>
        <r>
          <rPr>
            <b/>
            <sz val="9"/>
            <color indexed="81"/>
            <rFont val="Tahoma"/>
            <charset val="1"/>
          </rPr>
          <t>Sources by quarter, Q1 2024 through Q1 2026: 982e1c04-12f4-4e5a-86b8-5c0d65c9e8ca.xls; caf58e59-72a0-4135-b806-7f195440851a.xls; c7d87eb8-1e48-4d60-a682-15852ef27197.xls; 6cd88af2-7b9a-4385-9714-af446301f7ba.xls; c9562009-c132-4b5d-a2b5-d8b9ae9221ed.xls; 956cd7fa-6dd5-4a25-9607-198ea58392b1.xls; e7739643-ffd8-4864-b7e9-48e503ce410c.xls; 9cb31356-83d7-4b4b-a0e5-57c033c6cc24.xls; 512bb28e-ac58-4bf5-86e4-5337a2a915b2.xls. Balance sheet values are direct quarter-end filing values.</t>
        </r>
      </text>
    </comment>
    <comment ref="A81" authorId="0" shapeId="0" xr:uid="{A4E374ED-6C43-4B93-8686-86B110EE6AC1}">
      <text>
        <r>
          <rPr>
            <b/>
            <sz val="9"/>
            <color indexed="81"/>
            <rFont val="Tahoma"/>
            <charset val="1"/>
          </rPr>
          <t>Sources by quarter, Q1 2024 through Q1 2026: 982e1c04-12f4-4e5a-86b8-5c0d65c9e8ca.xls; caf58e59-72a0-4135-b806-7f195440851a.xls; c7d87eb8-1e48-4d60-a682-15852ef27197.xls; 6cd88af2-7b9a-4385-9714-af446301f7ba.xls; c9562009-c132-4b5d-a2b5-d8b9ae9221ed.xls; 956cd7fa-6dd5-4a25-9607-198ea58392b1.xls; e7739643-ffd8-4864-b7e9-48e503ce410c.xls; 9cb31356-83d7-4b4b-a0e5-57c033c6cc24.xls; 512bb28e-ac58-4bf5-86e4-5337a2a915b2.xls. Cash flow Q1/Q4 values are direct three-month figures; Q2/Q3 hardcodes were derived outside the workbook as current YTD less prior YTD.</t>
        </r>
      </text>
    </comment>
    <comment ref="A129" authorId="0" shapeId="0" xr:uid="{39D4AD1F-A1B4-414B-AF34-6B41567F8672}">
      <text>
        <r>
          <rPr>
            <b/>
            <sz val="9"/>
            <color indexed="81"/>
            <rFont val="Tahoma"/>
            <family val="2"/>
          </rPr>
          <t>Sources: 6cd88af2-7b9a-4385-9714-af446301f7ba.xls TABLE10 (Q1-Q4 2024); 9cb31356-83d7-4b4b-a0e5-57c033c6cc24.xls TABLE8 (Q1-Q4 2025); 512bb28e-ac58-4bf5-86e4-5337a2a915b2.xls TABLE50 (Q1 2026).</t>
        </r>
      </text>
    </comment>
    <comment ref="K129" authorId="0" shapeId="0" xr:uid="{F7A2E4B5-3A4C-46F0-AB25-687871F90604}">
      <text>
        <r>
          <rPr>
            <b/>
            <sz val="9"/>
            <color indexed="81"/>
            <rFont val="Tahoma"/>
            <charset val="1"/>
          </rPr>
          <t>Active accounts model: last observation/random walk. It had the lowest rolling 1-to-4-quarter RMSE (1.73mm accounts) across 10 out-of-sample forecast errors. Candidates: last, mean, median, linear, log-linear, stationary AR(1), and seasonal-naive. B:J actuals only.</t>
        </r>
      </text>
    </comment>
    <comment ref="R129" authorId="0" shapeId="0" xr:uid="{11D3DA22-0AAA-49EA-A08E-DE752DF8F49C}">
      <text>
        <r>
          <rPr>
            <b/>
            <sz val="9"/>
            <color indexed="81"/>
            <rFont val="Tahoma"/>
            <charset val="1"/>
          </rPr>
          <t>Annual active accounts use the statistically selected last-observation process.</t>
        </r>
      </text>
    </comment>
    <comment ref="A130" authorId="0" shapeId="0" xr:uid="{7CC7EDFE-1639-445A-B30B-BE52881AB514}">
      <text>
        <r>
          <rPr>
            <b/>
            <sz val="9"/>
            <color indexed="81"/>
            <rFont val="Tahoma"/>
            <family val="2"/>
          </rPr>
          <t>Sources: 6cd88af2-7b9a-4385-9714-af446301f7ba.xls TABLE10 (Q1-Q4 2024); 9cb31356-83d7-4b4b-a0e5-57c033c6cc24.xls TABLE8 (Q1-Q4 2025); 512bb28e-ac58-4bf5-86e4-5337a2a915b2.xls TABLE50 (Q1 2026).</t>
        </r>
      </text>
    </comment>
    <comment ref="K130" authorId="0" shapeId="0" xr:uid="{C26C62BB-692B-4D23-B20D-BB9BE2DAF702}">
      <text>
        <r>
          <rPr>
            <b/>
            <sz val="9"/>
            <color indexed="81"/>
            <rFont val="Tahoma"/>
            <charset val="1"/>
          </rPr>
          <t>Quarterly payment transactions model: historical median. It had the lowest rolling 1-to-4-quarter RMSE (197.5mm transactions).</t>
        </r>
      </text>
    </comment>
    <comment ref="R130" authorId="0" shapeId="0" xr:uid="{C6826B34-0B5C-438B-94F5-3E2B9B5BF5B9}">
      <text>
        <r>
          <rPr>
            <b/>
            <sz val="9"/>
            <color indexed="81"/>
            <rFont val="Tahoma"/>
            <charset val="1"/>
          </rPr>
          <t>Annual payment transactions equal four quarters of the statistically selected quarterly median.</t>
        </r>
      </text>
    </comment>
    <comment ref="A131" authorId="0" shapeId="0" xr:uid="{EF19D52B-3D3F-4320-A794-6C58E986B0E3}">
      <text>
        <r>
          <rPr>
            <b/>
            <sz val="9"/>
            <color indexed="81"/>
            <rFont val="Tahoma"/>
            <family val="2"/>
          </rPr>
          <t>Sources: 6cd88af2-7b9a-4385-9714-af446301f7ba.xls TABLE10 (Q1-Q4 2024); 9cb31356-83d7-4b4b-a0e5-57c033c6cc24.xls TABLE8 (Q1-Q4 2025); 512bb28e-ac58-4bf5-86e4-5337a2a915b2.xls TABLE50 (Q1 2026).</t>
        </r>
      </text>
    </comment>
    <comment ref="K131" authorId="0" shapeId="0" xr:uid="{6D5DBA81-AE4D-4B2C-8A96-A4F091760223}">
      <text>
        <r>
          <rPr>
            <b/>
            <sz val="9"/>
            <color indexed="81"/>
            <rFont val="Tahoma"/>
            <charset val="1"/>
          </rPr>
          <t>TPA is derived, not independently assumed: trailing four-quarter payment transactions divided by active accounts. This preserves the disclosed KPI identity.</t>
        </r>
      </text>
    </comment>
    <comment ref="R131" authorId="0" shapeId="0" xr:uid="{8D325C8C-4331-48AA-9DE4-B5E9E403409B}">
      <text>
        <r>
          <rPr>
            <b/>
            <sz val="9"/>
            <color indexed="81"/>
            <rFont val="Tahoma"/>
            <charset val="1"/>
          </rPr>
          <t>Annual TPA is derived as annual payment transactions divided by year-end active accounts.</t>
        </r>
      </text>
    </comment>
    <comment ref="A132" authorId="0" shapeId="0" xr:uid="{A44E0AE8-2B18-42F5-920F-8B27794F6F6F}">
      <text>
        <r>
          <rPr>
            <b/>
            <sz val="9"/>
            <color indexed="81"/>
            <rFont val="Tahoma"/>
            <family val="2"/>
          </rPr>
          <t>Sources: 6cd88af2-7b9a-4385-9714-af446301f7ba.xls TABLE10 (Q1-Q4 2024); 9cb31356-83d7-4b4b-a0e5-57c033c6cc24.xls TABLE8 (Q1-Q4 2025); 512bb28e-ac58-4bf5-86e4-5337a2a915b2.xls TABLE50 (Q1 2026).</t>
        </r>
      </text>
    </comment>
    <comment ref="K132" authorId="0" shapeId="0" xr:uid="{253DB89B-0301-445A-86A0-739C9B823DAB}">
      <text>
        <r>
          <rPr>
            <b/>
            <sz val="9"/>
            <color indexed="81"/>
            <rFont val="Tahoma"/>
            <charset val="1"/>
          </rPr>
          <t>TPV model: log-linear trend on nine actual quarters. It had the lowest rolling 1-to-4-quarter RMSE ($18.1bn), versus $31.6bn for last observation. Payment transactions are modeled independently; TPV divided by transactions is the implied average payment value.</t>
        </r>
      </text>
    </comment>
    <comment ref="R132" authorId="0" shapeId="0" xr:uid="{0FEA4148-6D4D-4825-B781-BF2BCF2B4A42}">
      <text>
        <r>
          <rPr>
            <b/>
            <sz val="9"/>
            <color indexed="81"/>
            <rFont val="Tahoma"/>
            <charset val="1"/>
          </rPr>
          <t>Annual TPV sums four quarterly log-linear TPV forecasts. The specification was selected by rolling 1-to-4-quarter backtest error, not by a target growth rate.</t>
        </r>
      </text>
    </comment>
    <comment ref="B133" authorId="0" shapeId="0" xr:uid="{0AFAD64C-64BD-432F-8332-0830EDE755E8}">
      <text>
        <r>
          <rPr>
            <b/>
            <sz val="9"/>
            <color indexed="81"/>
            <rFont val="Tahoma"/>
            <family val="2"/>
          </rPr>
          <t>Historical take rate uses company-reported transaction revenue divided by TPV for each of the nine actual quarters. FY2024 source: 6cd88af2...xls TABLE9. FY2025 source: 9cb31356...xls TABLE7. 1Q26 source: https://www.sec.gov/Archives/edgar/data/1633917/000163391726000067/pypl-20260331.htm</t>
        </r>
      </text>
    </comment>
    <comment ref="K133" authorId="0" shapeId="0" xr:uid="{C3F4AF37-A6AC-4C37-B461-A8104F611DF2}">
      <text>
        <r>
          <rPr>
            <b/>
            <sz val="9"/>
            <color indexed="81"/>
            <rFont val="Tahoma"/>
            <charset val="1"/>
          </rPr>
          <t>Transaction take-rate model: linear trend on nine actual quarters. It had the lowest rolling 1-to-4-quarter RMSE (0.0194 percentage points).</t>
        </r>
      </text>
    </comment>
    <comment ref="R133" authorId="0" shapeId="0" xr:uid="{AB0CCE04-E51F-47EC-A0E2-4B4ED944C566}">
      <text>
        <r>
          <rPr>
            <b/>
            <sz val="9"/>
            <color indexed="81"/>
            <rFont val="Tahoma"/>
            <charset val="1"/>
          </rPr>
          <t>Annual take rate is the TPV-weighted average of four quarterly linear-trend forecasts. This makes annual transaction revenue exactly equal to the sum of quarterly TPV times quarterly take rate.</t>
        </r>
      </text>
    </comment>
    <comment ref="A134" authorId="0" shapeId="0" xr:uid="{7CEF8A2A-0AAF-4310-8667-882CAE7151B0}">
      <text>
        <r>
          <rPr>
            <b/>
            <sz val="9"/>
            <color indexed="81"/>
            <rFont val="Tahoma"/>
            <family val="2"/>
          </rPr>
          <t>Sources: Q4 2024 8-K TABLE10; Q4 2025 8-K TABLE8; Q1 2026 10-Q TABLE51.</t>
        </r>
      </text>
    </comment>
    <comment ref="K134" authorId="0" shapeId="0" xr:uid="{E5F53544-1549-4E3F-99EB-3A10D8E6AB81}">
      <text>
        <r>
          <rPr>
            <b/>
            <sz val="9"/>
            <color indexed="81"/>
            <rFont val="Tahoma"/>
            <charset val="1"/>
          </rPr>
          <t>Transaction expense-rate model: last observation/random walk. It had the lowest rolling 1-to-4-quarter RMSE (0.0063 percentage points).</t>
        </r>
      </text>
    </comment>
    <comment ref="R134" authorId="0" shapeId="0" xr:uid="{8AB359A5-ED36-4FA8-A040-63CD42BF19F9}">
      <text>
        <r>
          <rPr>
            <b/>
            <sz val="9"/>
            <color indexed="81"/>
            <rFont val="Tahoma"/>
            <charset val="1"/>
          </rPr>
          <t>Annual transaction expense rate uses the selected last-observation process.</t>
        </r>
      </text>
    </comment>
    <comment ref="A135" authorId="0" shapeId="0" xr:uid="{FAD52193-8942-4EE2-BACB-CF19DECD5E32}">
      <text>
        <r>
          <rPr>
            <b/>
            <sz val="9"/>
            <color indexed="81"/>
            <rFont val="Tahoma"/>
            <family val="2"/>
          </rPr>
          <t>Sources: Q4 2024 8-K TABLE10; Q4 2025 8-K TABLE8; Q1 2026 10-Q TABLE51.</t>
        </r>
      </text>
    </comment>
    <comment ref="K135" authorId="0" shapeId="0" xr:uid="{2AB3F061-7387-47D0-A938-8FAD0DD0130F}">
      <text>
        <r>
          <rPr>
            <b/>
            <sz val="9"/>
            <color indexed="81"/>
            <rFont val="Tahoma"/>
            <charset val="1"/>
          </rPr>
          <t>Transaction and credit loss-rate model: pooled historical mean. It had the lowest rolling 1-to-4-quarter RMSE (0.0151 percentage points).</t>
        </r>
      </text>
    </comment>
    <comment ref="R135" authorId="0" shapeId="0" xr:uid="{7D211C26-E235-43AA-B872-31EF7BF5C166}">
      <text>
        <r>
          <rPr>
            <b/>
            <sz val="9"/>
            <color indexed="81"/>
            <rFont val="Tahoma"/>
            <charset val="1"/>
          </rPr>
          <t>Annual loss rate uses the selected historical-mean process.</t>
        </r>
      </text>
    </comment>
    <comment ref="A136" authorId="0" shapeId="0" xr:uid="{1157FE67-AA34-409B-AF17-9457160B8821}">
      <text>
        <r>
          <rPr>
            <b/>
            <sz val="9"/>
            <color indexed="81"/>
            <rFont val="Tahoma"/>
            <family val="2"/>
          </rPr>
          <t>Reported in Q4 2024 8-K TABLE10 and Q4 2025 8-K TABLE8 through Q4 2025. Q1 2026 is hardcoded after deriving transaction margin dollars divided by net revenues from the Q1 2026 filing.</t>
        </r>
      </text>
    </comment>
    <comment ref="A137" authorId="0" shapeId="0" xr:uid="{476F3594-CADC-4978-B6A2-AD62109BE368}">
      <text>
        <r>
          <rPr>
            <b/>
            <sz val="9"/>
            <color indexed="81"/>
            <rFont val="Tahoma"/>
            <family val="2"/>
          </rPr>
          <t>Hardcoded quarterly amounts derived outside the workbook as net revenues less transaction expense less transaction and credit losses; Q4 reported figures tie to the earnings-release transaction margin dollars.</t>
        </r>
      </text>
    </comment>
    <comment ref="B138" authorId="0" shapeId="0" xr:uid="{7208C16E-7893-4570-9B24-90BDDBCAC9F7}">
      <text>
        <r>
          <rPr>
            <b/>
            <sz val="9"/>
            <color indexed="81"/>
            <rFont val="Tahoma"/>
            <family val="2"/>
          </rPr>
          <t>Historical OVAS per active account uses company-reported OVAS revenue divided by active accounts for each of the nine actual quarters. Same local source tables and 1Q26 SEC filing as the take-rate row.</t>
        </r>
      </text>
    </comment>
    <comment ref="K138" authorId="0" shapeId="0" xr:uid="{C34EB04F-3809-47D4-AB30-081BBDB2F899}">
      <text>
        <r>
          <rPr>
            <b/>
            <sz val="9"/>
            <color indexed="81"/>
            <rFont val="Tahoma"/>
            <charset val="1"/>
          </rPr>
          <t>OVAS per active account model: linear quarterly trend. It had the lowest rolling 1-to-4-quarter RMSE (0.115).</t>
        </r>
      </text>
    </comment>
    <comment ref="O138" authorId="0" shapeId="0" xr:uid="{2E7393AF-6A9E-41AB-97DB-6598B7366339}">
      <text>
        <r>
          <rPr>
            <b/>
            <sz val="9"/>
            <color indexed="81"/>
            <rFont val="Tahoma"/>
            <family val="2"/>
          </rPr>
          <t>Source: PayPal FY2024 source workbook in the PYPL folder. OVAS revenue of $2,955mm divided by 434mm active accounts.</t>
        </r>
      </text>
    </comment>
    <comment ref="P138" authorId="0" shapeId="0" xr:uid="{79BC94BB-4CCA-4D33-98C3-D52226569B9B}">
      <text>
        <r>
          <rPr>
            <b/>
            <sz val="9"/>
            <color indexed="81"/>
            <rFont val="Tahoma"/>
            <family val="2"/>
          </rPr>
          <t>Source: PayPal FY2025 source workbook in the PYPL folder. OVAS revenue of $3,374mm divided by 439mm active accounts.</t>
        </r>
      </text>
    </comment>
    <comment ref="Q138" authorId="0" shapeId="0" xr:uid="{35991893-B9A1-49A9-BD70-B0D6E35F96B5}">
      <text>
        <r>
          <rPr>
            <b/>
            <sz val="9"/>
            <color indexed="81"/>
            <rFont val="Tahoma"/>
            <family val="2"/>
          </rPr>
          <t>Source: nine-quarter model and company-only 2026 KPI forecast. OVAS revenue of $3,519mm divided by 442mm active accounts.</t>
        </r>
      </text>
    </comment>
    <comment ref="R138" authorId="0" shapeId="0" xr:uid="{5C0BCD26-7A58-45F0-AD54-2EE417CD98DE}">
      <text>
        <r>
          <rPr>
            <b/>
            <sz val="9"/>
            <color indexed="81"/>
            <rFont val="Tahoma"/>
            <charset val="1"/>
          </rPr>
          <t>Annual OVAS per account sums four quarterly linear-trend unit forecasts.</t>
        </r>
      </text>
    </comment>
    <comment ref="A140" authorId="0" shapeId="0" xr:uid="{510E60EF-636B-4D36-BB6A-A26BC5D1AB05}">
      <text>
        <r>
          <rPr>
            <b/>
            <sz val="9"/>
            <color indexed="81"/>
            <rFont val="Tahoma"/>
            <family val="2"/>
          </rPr>
          <t>Sources: quarterly 10-Q supplemental TPV tables. Disclosed at 12% for Q1-Q3 2024 and Q1-Q3 2025; Q4 and Q1 2026 were not disclosed on the same basis.</t>
        </r>
      </text>
    </comment>
    <comment ref="A141" authorId="0" shapeId="0" xr:uid="{32653F0E-7878-49C8-A760-89EF4779A82E}">
      <text>
        <r>
          <rPr>
            <b/>
            <sz val="9"/>
            <color indexed="81"/>
            <rFont val="Tahoma"/>
            <family val="2"/>
          </rPr>
          <t>Source: Q1 2026 10-Q TABLE50, which reports 35% for Q1 2026 and the Q1 2025 comparison. This metric is not the same as cross-border TPV.</t>
        </r>
      </text>
    </comment>
    <comment ref="A142" authorId="0" shapeId="0" xr:uid="{C1C5AA43-7AC4-4394-8695-3B382232EE91}">
      <text>
        <r>
          <rPr>
            <b/>
            <sz val="9"/>
            <color indexed="81"/>
            <rFont val="Tahoma"/>
            <family val="2"/>
          </rPr>
          <t>Source: Q1 2026 10-Q TABLE52, which reports 0.06% for Q1 2026 and 0.07% for Q1 2025.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<sst xmlns="http://schemas.openxmlformats.org/spreadsheetml/2006/main" count="166" uniqueCount="144">
  <si>
    <t>Free cash flow</t>
  </si>
  <si>
    <t>Net cash used in financing activities</t>
  </si>
  <si>
    <t>Other financing activities</t>
  </si>
  <si>
    <t>Payments of dividends to stockholders</t>
  </si>
  <si>
    <t>Collateral received related to derivative instruments and reverse repurchase agreements, net</t>
  </si>
  <si>
    <t>Funds payable and amounts due to customers</t>
  </si>
  <si>
    <t>Repayments under financing arrangements</t>
  </si>
  <si>
    <t>Borrowings under financing arrangements</t>
  </si>
  <si>
    <t>Tax withholdings related to net share settlements of equity awards</t>
  </si>
  <si>
    <t>Purchases of treasury stock</t>
  </si>
  <si>
    <t>Proceeds from issuance of common stock</t>
  </si>
  <si>
    <t>Repayments of repurchase agreements</t>
  </si>
  <si>
    <t>Borrowings from repurchase agreements</t>
  </si>
  <si>
    <t>Cash flows from financing activities:</t>
  </si>
  <si>
    <t>Net cash provided by (used in) investing activities</t>
  </si>
  <si>
    <t>Other investing activities</t>
  </si>
  <si>
    <t>Collateral posted related to derivative instruments, net</t>
  </si>
  <si>
    <t>Funds receivable</t>
  </si>
  <si>
    <t>Maturities and sales of investments</t>
  </si>
  <si>
    <t>Purchases of investments</t>
  </si>
  <si>
    <t>Proceeds from repayments and sales of loans receivable, held for investment</t>
  </si>
  <si>
    <t>Purchases and originations of loans receivable</t>
  </si>
  <si>
    <t>Proceeds from sales of property and equipment</t>
  </si>
  <si>
    <t>Purchases of property and equipment</t>
  </si>
  <si>
    <t>Maturities of reverse repurchase agreements</t>
  </si>
  <si>
    <t>Purchases of reverse repurchase agreements</t>
  </si>
  <si>
    <t>Cash flows from investing activities:</t>
  </si>
  <si>
    <t>Net cash provided by operating activities</t>
  </si>
  <si>
    <t>Other operating activities</t>
  </si>
  <si>
    <t>Accounts payable</t>
  </si>
  <si>
    <t>Accounts receivable</t>
  </si>
  <si>
    <t>Proceeds from repayments and sales of loans receivable, held for sale</t>
  </si>
  <si>
    <t>Originations of loans receivable, held for sale</t>
  </si>
  <si>
    <t>Adjustments to loans and interest receivable, held for sale</t>
  </si>
  <si>
    <t>Accretion of discounts on investments, net of amortization of premiums</t>
  </si>
  <si>
    <t>Net (gains) losses on strategic investments</t>
  </si>
  <si>
    <t>Deferred income taxes</t>
  </si>
  <si>
    <t>Stock-based compensation</t>
  </si>
  <si>
    <t>Depreciation and amortization</t>
  </si>
  <si>
    <t>Transaction and credit losses</t>
  </si>
  <si>
    <t>Net income (loss)</t>
  </si>
  <si>
    <t>Cash flows from operating activities:</t>
  </si>
  <si>
    <t>CASH FLOW STATEMENT</t>
  </si>
  <si>
    <t>Balance sheet check</t>
  </si>
  <si>
    <t>Total liabilities and equity</t>
  </si>
  <si>
    <t>Total equity</t>
  </si>
  <si>
    <t>Accumulated other comprehensive income (loss)</t>
  </si>
  <si>
    <t>Retained earnings</t>
  </si>
  <si>
    <t>Additional paid-in-capital</t>
  </si>
  <si>
    <t>Treasury stock at cost</t>
  </si>
  <si>
    <t>Preferred stock</t>
  </si>
  <si>
    <t>Common stock</t>
  </si>
  <si>
    <t>Equity:</t>
  </si>
  <si>
    <t>Total liabilities</t>
  </si>
  <si>
    <t>Long-term debt</t>
  </si>
  <si>
    <t>Other long-term liabilities</t>
  </si>
  <si>
    <t>Total current liabilities</t>
  </si>
  <si>
    <t>Accrued expenses and other current liabilities</t>
  </si>
  <si>
    <t>Current liabilities:</t>
  </si>
  <si>
    <t>LIABILITIES AND EQUITY</t>
  </si>
  <si>
    <t>Total assets</t>
  </si>
  <si>
    <t>Other assets</t>
  </si>
  <si>
    <t>Intangible assets, net</t>
  </si>
  <si>
    <t>Goodwill</t>
  </si>
  <si>
    <t>Property and equipment, net</t>
  </si>
  <si>
    <t>Long-term investments</t>
  </si>
  <si>
    <t>Total current assets</t>
  </si>
  <si>
    <t>Prepaid expenses and other current assets</t>
  </si>
  <si>
    <t>Funds receivable and customer accounts</t>
  </si>
  <si>
    <t>Loans and interest receivable, net</t>
  </si>
  <si>
    <t>Loans and interest receivable, held for sale</t>
  </si>
  <si>
    <t>Accounts receivable, net</t>
  </si>
  <si>
    <t>Short-term investments</t>
  </si>
  <si>
    <t>Cash and cash equivalents</t>
  </si>
  <si>
    <t>Current assets:</t>
  </si>
  <si>
    <t>ASSETS</t>
  </si>
  <si>
    <t>BALANCE SHEET</t>
  </si>
  <si>
    <t>Diluted</t>
  </si>
  <si>
    <t>Basic</t>
  </si>
  <si>
    <t>Weighted average shares:</t>
  </si>
  <si>
    <t>Net income (loss) per share:</t>
  </si>
  <si>
    <t>Income tax expense</t>
  </si>
  <si>
    <t>Income before income taxes</t>
  </si>
  <si>
    <t>Other income (expense), net</t>
  </si>
  <si>
    <t>Operating income</t>
  </si>
  <si>
    <t>Total operating expenses</t>
  </si>
  <si>
    <t>Restructuring and other</t>
  </si>
  <si>
    <t>General and administrative</t>
  </si>
  <si>
    <t>Technology and development</t>
  </si>
  <si>
    <t>Sales and marketing</t>
  </si>
  <si>
    <t>Customer support and operations</t>
  </si>
  <si>
    <t>Transaction expense</t>
  </si>
  <si>
    <t>Operating expenses:</t>
  </si>
  <si>
    <t>Net revenues</t>
  </si>
  <si>
    <t>INCOME STATEMENT</t>
  </si>
  <si>
    <t>Quarter Ended</t>
  </si>
  <si>
    <t>Quarterly Financial Statements</t>
  </si>
  <si>
    <t>PayPal Holdings, Inc.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</si>
  <si>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</si>
  <si>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</si>
  <si>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</si>
  <si>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</si>
  <si>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</si>
  <si>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</si>
  <si>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</si>
  <si>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</si>
  <si>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</si>
  <si>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Transaction loss rate</t>
  </si>
  <si>
    <t>TPV generated outside the U.S.</t>
  </si>
  <si>
    <t>Cross-border TPV</t>
  </si>
  <si>
    <t>ADDITIONAL DISCLOSURES</t>
  </si>
  <si>
    <t>Transaction margin dollars</t>
  </si>
  <si>
    <t>Transaction margin</t>
  </si>
  <si>
    <t>Transaction and credit loss rate</t>
  </si>
  <si>
    <t>Transaction expense rate</t>
  </si>
  <si>
    <t>Total payment volume (TPV)</t>
  </si>
  <si>
    <t>Payment transactions per active account</t>
  </si>
  <si>
    <t>Number of payment transactions</t>
  </si>
  <si>
    <t>Active accounts</t>
  </si>
  <si>
    <t>OPERATING KPIs</t>
  </si>
  <si>
    <t>n/a</t>
  </si>
  <si>
    <t>FY24</t>
  </si>
  <si>
    <t>FY25</t>
  </si>
  <si>
    <t>FY26</t>
  </si>
  <si>
    <t>Q2 2026</t>
  </si>
  <si>
    <t>Q3 2026</t>
  </si>
  <si>
    <t>Q4 2026</t>
  </si>
  <si>
    <t>EBIT</t>
  </si>
  <si>
    <t>Gross profit</t>
  </si>
  <si>
    <t>Adj NI</t>
  </si>
  <si>
    <t>Gross margin</t>
  </si>
  <si>
    <t>EBIT margin</t>
  </si>
  <si>
    <t>Adj margin</t>
  </si>
  <si>
    <t>Adj EPS</t>
  </si>
  <si>
    <t>ETR</t>
  </si>
  <si>
    <t>EPS Growth (sequential)</t>
  </si>
  <si>
    <t>EPS Growth (YoY)</t>
  </si>
  <si>
    <t>FY27</t>
  </si>
  <si>
    <t>FY28</t>
  </si>
  <si>
    <t>FY29</t>
  </si>
  <si>
    <t>FY30</t>
  </si>
  <si>
    <t>FY31</t>
  </si>
  <si>
    <t>Transaction take rate</t>
  </si>
  <si>
    <t>OVAS revenue per active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</si>
</sst>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-"/>
    <numFmt numFmtId="165" formatCode="0.00;\(0.00\);\-"/>
    <numFmt numFmtId="166" formatCode="0.0"/>
    <numFmt numFmtId="167" formatCode="0.0%"/>
  </numFmts>
  <fonts count="8" x14ac:knownFonts="1">
    <font>
      <sz val="12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indexed="81"/>
      <name val="Tahoma"/>
      <charset val="1"/>
    </font>
    <font>
      <b/>
      <sz val="12"/>
      <color theme="1"/>
      <name val="Arial"/>
      <family val="2"/>
    </font>
    <font>
      <b/>
      <sz val="9"/>
      <color indexed="81"/>
      <name val="Tahoma"/>
      <family val="2"/>
    </font>
    <font>
      <sz val="12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/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4" fontId="1" fillId="0" borderId="0" xfId="0" applyNumberFormat="1" applyFont="1"/>
    <xf numFmtId="43" fontId="1" fillId="0" borderId="0" xfId="1" applyFont="1" applyFill="1" applyBorder="1" applyAlignment="1">
      <alignment horizontal="right" vertical="center"/>
    </xf>
    <xf numFmtId="167" fontId="1" fillId="0" borderId="0" xfId="1" applyNumberFormat="1" applyFont="1" applyFill="1" applyBorder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9" fontId="1" fillId="0" borderId="0" xfId="0" applyNumberFormat="1" applyFont="1"/>
    <xf numFmtId="43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A515-287D-4C86-A3ED-73EE3B1E9EC0}">
  <dimension ref="A1:V142"/>
  <sheetViews>
    <sheetView tabSelected="1" zoomScale="90" zoomScaleNormal="90" workbookViewId="0">
      <pane xSplit="1" ySplit="4" topLeftCell="J5" activePane="bottomRight" state="frozenSplit"/>
      <selection pane="topRight" activeCell="B1" sqref="B1"/>
      <selection pane="bottomLeft" activeCell="A5" sqref="A5"/>
      <selection pane="bottomRight" activeCell="K33" sqref="K33"/>
    </sheetView>
  </sheetViews>
  <sheetFormatPr defaultRowHeight="15" x14ac:dyDescent="0.2"/>
  <cols>
    <col min="1" max="1" width="27.77734375" customWidth="1"/>
    <col min="2" max="13" width="13.77734375" customWidth="1"/>
    <col min="14" max="14" width="11.109375" customWidth="1"/>
  </cols>
  <sheetData>
    <row r="1" spans="1:22" ht="15" customHeight="1" x14ac:dyDescent="0.2">
      <c r="A1" s="2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</row>
    <row r="2" spans="1:22" ht="15" customHeight="1" x14ac:dyDescent="0.2">
      <c r="A2" s="2" t="s">
        <v>96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</row>
    <row r="3" spans="1:22" ht="15" customHeight="1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4"/>
      <c r="O3" s="4"/>
      <c r="P3" s="4"/>
      <c r="Q3" s="4"/>
      <c r="R3" s="4"/>
      <c r="S3" s="4"/>
      <c r="T3" s="4"/>
      <c r="U3" s="4"/>
      <c r="V3" s="4"/>
    </row>
    <row r="4" spans="1:22" ht="15" customHeight="1" x14ac:dyDescent="0.2">
      <c r="A4" s="2" t="s">
        <v>95</v>
      </c>
      <c r="B4" s="7" t="s">
        <v>98</v>
      </c>
      <c r="C4" s="7" t="s">
        <v>99</v>
      </c>
      <c r="D4" s="7" t="s">
        <v>100</v>
      </c>
      <c r="E4" s="7" t="s">
        <v>101</v>
      </c>
      <c r="F4" s="7" t="s">
        <v>102</v>
      </c>
      <c r="G4" s="7" t="s">
        <v>103</v>
      </c>
      <c r="H4" s="7" t="s">
        <v>104</v>
      </c>
      <c r="I4" s="7" t="s">
        <v>105</v>
      </c>
      <c r="J4" s="7" t="s">
        <v>106</v>
      </c>
      <c r="K4" s="7" t="s">
        <v>124</v>
      </c>
      <c r="L4" s="7" t="s">
        <v>125</v>
      </c>
      <c r="M4" s="7" t="s">
        <v>126</v>
      </c>
      <c r="N4" s="4"/>
      <c r="O4" s="8" t="s">
        <v>121</v>
      </c>
      <c r="P4" s="8" t="s">
        <v>122</v>
      </c>
      <c r="Q4" s="8" t="s">
        <v>123</v>
      </c>
      <c r="R4" s="8" t="s">
        <v>137</v>
      </c>
      <c r="S4" s="8" t="s">
        <v>138</v>
      </c>
      <c r="T4" s="8" t="s">
        <v>139</v>
      </c>
      <c r="U4" s="8" t="s">
        <v>140</v>
      </c>
      <c r="V4" s="8" t="s">
        <v>141</v>
      </c>
    </row>
    <row r="5" spans="1:22" ht="15" customHeight="1" x14ac:dyDescent="0.2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</row>
    <row r="6" spans="1:22" ht="15" customHeight="1" x14ac:dyDescent="0.2">
      <c r="A6" s="2" t="s">
        <v>94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4"/>
      <c r="O6" s="4"/>
      <c r="P6" s="4"/>
      <c r="Q6" s="4"/>
      <c r="R6" s="4"/>
      <c r="S6" s="4"/>
      <c r="T6" s="4"/>
      <c r="U6" s="4"/>
      <c r="V6" s="4"/>
    </row>
    <row r="7" spans="1:22" s="1" customFormat="1" ht="15" customHeight="1" x14ac:dyDescent="0.25">
      <c r="A7" s="2" t="s">
        <v>93</v>
      </c>
      <c r="B7" s="10">
        <v>7699</v>
      </c>
      <c r="C7" s="10">
        <v>7885</v>
      </c>
      <c r="D7" s="10">
        <v>7847</v>
      </c>
      <c r="E7" s="10">
        <v>8366</v>
      </c>
      <c r="F7" s="10">
        <v>7791</v>
      </c>
      <c r="G7" s="10">
        <v>8288</v>
      </c>
      <c r="H7" s="10">
        <v>8417</v>
      </c>
      <c r="I7" s="10">
        <v>8676</v>
      </c>
      <c r="J7" s="10">
        <v>8353</v>
      </c>
      <c r="K7" s="10">
        <f>K132*K133+K129*K138</f>
        <v>8646.2376865099504</v>
      </c>
      <c r="L7" s="10">
        <f t="shared" ref="L7:M7" si="0">L132*L133+L129*L138</f>
        <v>8745.9751367174504</v>
      </c>
      <c r="M7" s="10">
        <f t="shared" si="0"/>
        <v>8845.9245325624997</v>
      </c>
      <c r="N7" s="11"/>
      <c r="O7" s="10">
        <f>SUM(B7:E7)</f>
        <v>31797</v>
      </c>
      <c r="P7" s="10">
        <f>SUM(F7:I7)</f>
        <v>33172</v>
      </c>
      <c r="Q7" s="10">
        <f>SUM(J7:M7)</f>
        <v>34591.137355789899</v>
      </c>
      <c r="R7" s="10">
        <f>R132*R133+R129*R138</f>
        <v>36386.713491076094</v>
      </c>
      <c r="S7" s="10">
        <f t="shared" ref="S7:V7" si="1">S132*S133+S129*S138</f>
        <v>37997.300414438439</v>
      </c>
      <c r="T7" s="10">
        <f t="shared" si="1"/>
        <v>39610.366695565506</v>
      </c>
      <c r="U7" s="10">
        <f t="shared" si="1"/>
        <v>41218.624159014667</v>
      </c>
      <c r="V7" s="10">
        <f t="shared" si="1"/>
        <v>42813.637774353396</v>
      </c>
    </row>
    <row r="8" spans="1:22" ht="15" customHeight="1" x14ac:dyDescent="0.2">
      <c r="A8" s="2" t="s">
        <v>92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4"/>
      <c r="O8" s="10"/>
      <c r="P8" s="10"/>
      <c r="Q8" s="10"/>
      <c r="R8" s="10"/>
      <c r="S8" s="10"/>
      <c r="T8" s="10"/>
      <c r="U8" s="10"/>
      <c r="V8" s="10"/>
    </row>
    <row r="9" spans="1:22" ht="15" customHeight="1" x14ac:dyDescent="0.2">
      <c r="A9" s="5" t="s">
        <v>91</v>
      </c>
      <c r="B9" s="12">
        <v>3917</v>
      </c>
      <c r="C9" s="12">
        <v>3942</v>
      </c>
      <c r="D9" s="12">
        <v>3841</v>
      </c>
      <c r="E9" s="12">
        <v>3997</v>
      </c>
      <c r="F9" s="12">
        <v>3704</v>
      </c>
      <c r="G9" s="12">
        <v>3968</v>
      </c>
      <c r="H9" s="12">
        <v>4063</v>
      </c>
      <c r="I9" s="12">
        <v>4252</v>
      </c>
      <c r="J9" s="12">
        <v>4165</v>
      </c>
      <c r="K9" s="12">
        <f>K132*K134</f>
        <v>4319.1263105828839</v>
      </c>
      <c r="L9" s="12">
        <f t="shared" ref="L9:M9" si="2">L132*L134</f>
        <v>4400.6384439192871</v>
      </c>
      <c r="M9" s="12">
        <f t="shared" si="2"/>
        <v>4483.6889040845981</v>
      </c>
      <c r="N9" s="4"/>
      <c r="O9" s="12">
        <f>SUM(B9:E9)</f>
        <v>15697</v>
      </c>
      <c r="P9" s="12">
        <f>SUM(F9:I9)</f>
        <v>15987</v>
      </c>
      <c r="Q9" s="12">
        <f t="shared" ref="Q9:Q22" si="3">SUM(J9:M9)</f>
        <v>17368.453658586768</v>
      </c>
      <c r="R9" s="12">
        <f>R132*R134</f>
        <v>18797.054448399816</v>
      </c>
      <c r="S9" s="12">
        <f t="shared" ref="S9:V9" si="4">S132*S134</f>
        <v>20256.711057864763</v>
      </c>
      <c r="T9" s="12">
        <f t="shared" si="4"/>
        <v>21829.715076276323</v>
      </c>
      <c r="U9" s="12">
        <f t="shared" si="4"/>
        <v>23524.868323892515</v>
      </c>
      <c r="V9" s="12">
        <f t="shared" si="4"/>
        <v>25351.656112906188</v>
      </c>
    </row>
    <row r="10" spans="1:22" ht="15" customHeight="1" x14ac:dyDescent="0.2">
      <c r="A10" s="5" t="s">
        <v>39</v>
      </c>
      <c r="B10" s="12">
        <v>321</v>
      </c>
      <c r="C10" s="12">
        <v>335</v>
      </c>
      <c r="D10" s="12">
        <v>352</v>
      </c>
      <c r="E10" s="12">
        <v>434</v>
      </c>
      <c r="F10" s="12">
        <v>371</v>
      </c>
      <c r="G10" s="12">
        <v>476</v>
      </c>
      <c r="H10" s="12">
        <v>483</v>
      </c>
      <c r="I10" s="12">
        <v>390</v>
      </c>
      <c r="J10" s="12">
        <v>378</v>
      </c>
      <c r="K10" s="12">
        <f>K132*K135</f>
        <v>431.91263105828853</v>
      </c>
      <c r="L10" s="12">
        <f t="shared" ref="L10:M10" si="5">L132*L135</f>
        <v>440.0638443919288</v>
      </c>
      <c r="M10" s="12">
        <f t="shared" si="5"/>
        <v>448.36889040845995</v>
      </c>
      <c r="N10" s="4"/>
      <c r="O10" s="12">
        <f>SUM(B10:E10)</f>
        <v>1442</v>
      </c>
      <c r="P10" s="12">
        <f>SUM(F10:I10)</f>
        <v>1720</v>
      </c>
      <c r="Q10" s="12">
        <f t="shared" si="3"/>
        <v>1698.3453658586773</v>
      </c>
      <c r="R10" s="12">
        <f>R132*R135</f>
        <v>1879.7054448399824</v>
      </c>
      <c r="S10" s="12">
        <f t="shared" ref="S10:V10" si="6">S132*S135</f>
        <v>2025.6711057864768</v>
      </c>
      <c r="T10" s="12">
        <f t="shared" si="6"/>
        <v>2182.9715076276329</v>
      </c>
      <c r="U10" s="12">
        <f t="shared" si="6"/>
        <v>2352.486832389252</v>
      </c>
      <c r="V10" s="12">
        <f t="shared" si="6"/>
        <v>2535.1656112906198</v>
      </c>
    </row>
    <row r="11" spans="1:22" s="1" customFormat="1" ht="15" customHeight="1" x14ac:dyDescent="0.25">
      <c r="A11" s="2" t="s">
        <v>128</v>
      </c>
      <c r="B11" s="10">
        <f>B7-B9-B10</f>
        <v>3461</v>
      </c>
      <c r="C11" s="10">
        <f t="shared" ref="C11:J11" si="7">C7-C9-C10</f>
        <v>3608</v>
      </c>
      <c r="D11" s="10">
        <f t="shared" si="7"/>
        <v>3654</v>
      </c>
      <c r="E11" s="10">
        <f t="shared" si="7"/>
        <v>3935</v>
      </c>
      <c r="F11" s="10">
        <f t="shared" si="7"/>
        <v>3716</v>
      </c>
      <c r="G11" s="10">
        <f t="shared" si="7"/>
        <v>3844</v>
      </c>
      <c r="H11" s="10">
        <f t="shared" si="7"/>
        <v>3871</v>
      </c>
      <c r="I11" s="10">
        <f t="shared" si="7"/>
        <v>4034</v>
      </c>
      <c r="J11" s="10">
        <f t="shared" si="7"/>
        <v>3810</v>
      </c>
      <c r="K11" s="10">
        <f>K7-K9-K10</f>
        <v>3895.1987448687778</v>
      </c>
      <c r="L11" s="10">
        <f t="shared" ref="L11:M11" si="8">L7-L9-L10</f>
        <v>3905.2728484062345</v>
      </c>
      <c r="M11" s="10">
        <f t="shared" si="8"/>
        <v>3913.8667380694415</v>
      </c>
      <c r="N11" s="11"/>
      <c r="O11" s="10">
        <f>SUM(B11:E11)</f>
        <v>14658</v>
      </c>
      <c r="P11" s="10">
        <f>SUM(F11:I11)</f>
        <v>15465</v>
      </c>
      <c r="Q11" s="10">
        <f t="shared" si="3"/>
        <v>15524.338331344454</v>
      </c>
      <c r="R11" s="10">
        <f>R7-R9-R10</f>
        <v>15709.953597836295</v>
      </c>
      <c r="S11" s="10">
        <f t="shared" ref="S11:V11" si="9">S7-S9-S10</f>
        <v>15714.918250787199</v>
      </c>
      <c r="T11" s="10">
        <f t="shared" si="9"/>
        <v>15597.68011166155</v>
      </c>
      <c r="U11" s="10">
        <f t="shared" si="9"/>
        <v>15341.269002732901</v>
      </c>
      <c r="V11" s="10">
        <f t="shared" si="9"/>
        <v>14926.816050156587</v>
      </c>
    </row>
    <row r="12" spans="1:22" ht="15" customHeight="1" x14ac:dyDescent="0.2">
      <c r="A12" s="5" t="s">
        <v>90</v>
      </c>
      <c r="B12" s="12">
        <v>454</v>
      </c>
      <c r="C12" s="12">
        <v>436</v>
      </c>
      <c r="D12" s="12">
        <v>427</v>
      </c>
      <c r="E12" s="12">
        <v>451</v>
      </c>
      <c r="F12" s="12">
        <v>398</v>
      </c>
      <c r="G12" s="12">
        <v>413</v>
      </c>
      <c r="H12" s="12">
        <v>447</v>
      </c>
      <c r="I12" s="12">
        <v>446</v>
      </c>
      <c r="J12" s="12">
        <v>446</v>
      </c>
      <c r="K12" s="12" cm="1">
        <f t="array" ref="K12">K130*AVERAGE($B$12:$J$12/$B$130:$J$130)</f>
        <v>438.20573279110386</v>
      </c>
      <c r="L12" s="12" cm="1">
        <f t="array" ref="L12">L130*AVERAGE($B$12:$J$12/$B$130:$J$130)</f>
        <v>438.20573279110386</v>
      </c>
      <c r="M12" s="12" cm="1">
        <f t="array" ref="M12">M130*AVERAGE($B$12:$J$12/$B$130:$J$130)</f>
        <v>438.20573279110386</v>
      </c>
      <c r="N12" s="4"/>
      <c r="O12" s="12">
        <f t="shared" ref="O12:O22" si="10">SUM(B12:E12)</f>
        <v>1768</v>
      </c>
      <c r="P12" s="12">
        <f t="shared" ref="P12:P26" si="11">SUM(F12:I12)</f>
        <v>1704</v>
      </c>
      <c r="Q12" s="12">
        <f t="shared" si="3"/>
        <v>1760.6171983733116</v>
      </c>
      <c r="R12" s="12" cm="1">
        <f t="array" ref="R12">R130*AVERAGE($B$12:$J$12/$B$130:$J$130)</f>
        <v>1752.8229311644154</v>
      </c>
      <c r="S12" s="12" cm="1">
        <f t="array" ref="S12">S130*AVERAGE($B$12:$J$12/$B$130:$J$130)</f>
        <v>1752.8229311644154</v>
      </c>
      <c r="T12" s="12" cm="1">
        <f t="array" ref="T12">T130*AVERAGE($B$12:$J$12/$B$130:$J$130)</f>
        <v>1752.8229311644154</v>
      </c>
      <c r="U12" s="12" cm="1">
        <f t="array" ref="U12">U130*AVERAGE($B$12:$J$12/$B$130:$J$130)</f>
        <v>1752.8229311644154</v>
      </c>
      <c r="V12" s="12" cm="1">
        <f t="array" ref="V12">V130*AVERAGE($B$12:$J$12/$B$130:$J$130)</f>
        <v>1752.8229311644154</v>
      </c>
    </row>
    <row r="13" spans="1:22" ht="15" customHeight="1" x14ac:dyDescent="0.2">
      <c r="A13" s="5" t="s">
        <v>89</v>
      </c>
      <c r="B13" s="12">
        <v>421</v>
      </c>
      <c r="C13" s="12">
        <v>446</v>
      </c>
      <c r="D13" s="12">
        <v>508</v>
      </c>
      <c r="E13" s="12">
        <v>626</v>
      </c>
      <c r="F13" s="12">
        <v>488</v>
      </c>
      <c r="G13" s="12">
        <v>583</v>
      </c>
      <c r="H13" s="12">
        <v>521</v>
      </c>
      <c r="I13" s="12">
        <v>691</v>
      </c>
      <c r="J13" s="12">
        <v>518</v>
      </c>
      <c r="K13" s="12" cm="1">
        <f t="array" ref="K13">K129*INDEX($G$13:$J$13/$G$129:$J$129,1,MOD(COLUMN()-COLUMN($J$1)-1,4)+1)</f>
        <v>584.33105022831057</v>
      </c>
      <c r="L13" s="12" cm="1">
        <f t="array" ref="L13">L129*INDEX($G$13:$J$13/$G$129:$J$129,1,MOD(COLUMN()-COLUMN($J$1)-1,4)+1)</f>
        <v>522.18949771689495</v>
      </c>
      <c r="M13" s="12" cm="1">
        <f t="array" ref="M13">M129*INDEX($G$13:$J$13/$G$129:$J$129,1,MOD(COLUMN()-COLUMN($J$1)-1,4)+1)</f>
        <v>691</v>
      </c>
      <c r="N13" s="4"/>
      <c r="O13" s="12">
        <f t="shared" si="10"/>
        <v>2001</v>
      </c>
      <c r="P13" s="12">
        <f t="shared" si="11"/>
        <v>2283</v>
      </c>
      <c r="Q13" s="12">
        <f t="shared" si="3"/>
        <v>2315.5205479452056</v>
      </c>
      <c r="R13" s="12" cm="1">
        <f t="array" ref="R13">_xlfn.LET(_xlpm.h,_xlfn.SEQUENCE(4,1,4+4*(COLUMN()-COLUMN($R$1)),1),_xlpm.u,INDEX($G$13:$J$13/$G$129:$J$129,1,MOD(_xlpm.h-1,4)+1),R129*SUM(_xlpm.u))</f>
        <v>2315.5205479452056</v>
      </c>
      <c r="S13" s="12" cm="1">
        <f t="array" ref="S13">_xlfn.LET(_xlpm.h,_xlfn.SEQUENCE(4,1,4+4*(COLUMN()-COLUMN($R$1)),1),_xlpm.u,INDEX($G$13:$J$13/$G$129:$J$129,1,MOD(_xlpm.h-1,4)+1),S129*SUM(_xlpm.u))</f>
        <v>2315.5205479452056</v>
      </c>
      <c r="T13" s="12" cm="1">
        <f t="array" ref="T13">_xlfn.LET(_xlpm.h,_xlfn.SEQUENCE(4,1,4+4*(COLUMN()-COLUMN($R$1)),1),_xlpm.u,INDEX($G$13:$J$13/$G$129:$J$129,1,MOD(_xlpm.h-1,4)+1),T129*SUM(_xlpm.u))</f>
        <v>2315.5205479452056</v>
      </c>
      <c r="U13" s="12" cm="1">
        <f t="array" ref="U13">_xlfn.LET(_xlpm.h,_xlfn.SEQUENCE(4,1,4+4*(COLUMN()-COLUMN($R$1)),1),_xlpm.u,INDEX($G$13:$J$13/$G$129:$J$129,1,MOD(_xlpm.h-1,4)+1),U129*SUM(_xlpm.u))</f>
        <v>2315.5205479452056</v>
      </c>
      <c r="V13" s="12" cm="1">
        <f t="array" ref="V13">_xlfn.LET(_xlpm.h,_xlfn.SEQUENCE(4,1,4+4*(COLUMN()-COLUMN($R$1)),1),_xlpm.u,INDEX($G$13:$J$13/$G$129:$J$129,1,MOD(_xlpm.h-1,4)+1),V129*SUM(_xlpm.u))</f>
        <v>2315.5205479452056</v>
      </c>
    </row>
    <row r="14" spans="1:22" ht="15" customHeight="1" x14ac:dyDescent="0.2">
      <c r="A14" s="5" t="s">
        <v>88</v>
      </c>
      <c r="B14" s="12">
        <v>742</v>
      </c>
      <c r="C14" s="12">
        <v>718</v>
      </c>
      <c r="D14" s="12">
        <v>746</v>
      </c>
      <c r="E14" s="12">
        <v>773</v>
      </c>
      <c r="F14" s="12">
        <v>731</v>
      </c>
      <c r="G14" s="12">
        <v>767</v>
      </c>
      <c r="H14" s="12">
        <v>801</v>
      </c>
      <c r="I14" s="12">
        <v>804</v>
      </c>
      <c r="J14" s="12">
        <v>793</v>
      </c>
      <c r="K14" s="12">
        <f>K130*($J$14/$J$130)</f>
        <v>796.67413127413124</v>
      </c>
      <c r="L14" s="12">
        <f t="shared" ref="L14:M14" si="12">L130*($J$14/$J$130)</f>
        <v>796.67413127413124</v>
      </c>
      <c r="M14" s="12">
        <f t="shared" si="12"/>
        <v>796.67413127413124</v>
      </c>
      <c r="N14" s="4"/>
      <c r="O14" s="12">
        <f t="shared" si="10"/>
        <v>2979</v>
      </c>
      <c r="P14" s="12">
        <f t="shared" si="11"/>
        <v>3103</v>
      </c>
      <c r="Q14" s="12">
        <f t="shared" si="3"/>
        <v>3183.0223938223935</v>
      </c>
      <c r="R14" s="12">
        <f>R130*($J$14/$J$130)</f>
        <v>3186.696525096525</v>
      </c>
      <c r="S14" s="12">
        <f t="shared" ref="S14:V14" si="13">S130*($J$14/$J$130)</f>
        <v>3186.696525096525</v>
      </c>
      <c r="T14" s="12">
        <f t="shared" si="13"/>
        <v>3186.696525096525</v>
      </c>
      <c r="U14" s="12">
        <f t="shared" si="13"/>
        <v>3186.696525096525</v>
      </c>
      <c r="V14" s="12">
        <f t="shared" si="13"/>
        <v>3186.696525096525</v>
      </c>
    </row>
    <row r="15" spans="1:22" ht="15" customHeight="1" x14ac:dyDescent="0.2">
      <c r="A15" s="5" t="s">
        <v>87</v>
      </c>
      <c r="B15" s="12">
        <v>464</v>
      </c>
      <c r="C15" s="12">
        <v>570</v>
      </c>
      <c r="D15" s="12">
        <v>519</v>
      </c>
      <c r="E15" s="12">
        <v>594</v>
      </c>
      <c r="F15" s="12">
        <v>503</v>
      </c>
      <c r="G15" s="12">
        <v>461</v>
      </c>
      <c r="H15" s="12">
        <v>513</v>
      </c>
      <c r="I15" s="12">
        <v>502</v>
      </c>
      <c r="J15" s="12">
        <v>491</v>
      </c>
      <c r="K15" s="12">
        <f>K129*($J$15/$J$129)</f>
        <v>491.00000000000006</v>
      </c>
      <c r="L15" s="12">
        <f t="shared" ref="L15:M15" si="14">L129*($J$15/$J$129)</f>
        <v>491.00000000000006</v>
      </c>
      <c r="M15" s="12">
        <f t="shared" si="14"/>
        <v>491.00000000000006</v>
      </c>
      <c r="N15" s="4"/>
      <c r="O15" s="12">
        <f t="shared" si="10"/>
        <v>2147</v>
      </c>
      <c r="P15" s="12">
        <f t="shared" si="11"/>
        <v>1979</v>
      </c>
      <c r="Q15" s="12">
        <f t="shared" si="3"/>
        <v>1964</v>
      </c>
      <c r="R15" s="12">
        <f>R129*COLUMNS($B$1:$E$1)*($J$15/$J$129)</f>
        <v>1964.0000000000002</v>
      </c>
      <c r="S15" s="12">
        <f t="shared" ref="S15:V15" si="15">S129*COLUMNS($B$1:$E$1)*($J$15/$J$129)</f>
        <v>1964.0000000000002</v>
      </c>
      <c r="T15" s="12">
        <f t="shared" si="15"/>
        <v>1964.0000000000002</v>
      </c>
      <c r="U15" s="12">
        <f t="shared" si="15"/>
        <v>1964.0000000000002</v>
      </c>
      <c r="V15" s="12">
        <f t="shared" si="15"/>
        <v>1964.0000000000002</v>
      </c>
    </row>
    <row r="16" spans="1:22" ht="15" customHeight="1" x14ac:dyDescent="0.2">
      <c r="A16" s="5" t="s">
        <v>86</v>
      </c>
      <c r="B16" s="12">
        <v>212</v>
      </c>
      <c r="C16" s="12">
        <v>113</v>
      </c>
      <c r="D16" s="12">
        <v>63</v>
      </c>
      <c r="E16" s="12">
        <v>50</v>
      </c>
      <c r="F16" s="12">
        <v>66</v>
      </c>
      <c r="G16" s="12">
        <v>116</v>
      </c>
      <c r="H16" s="12">
        <v>69</v>
      </c>
      <c r="I16" s="12">
        <v>80</v>
      </c>
      <c r="J16" s="12">
        <v>74</v>
      </c>
      <c r="K16" s="12" cm="1">
        <f t="array" ref="K16">INDEX($G$16:$J$16,1,MOD(COLUMN()-COLUMN($J$1)-1,4)+1)</f>
        <v>116</v>
      </c>
      <c r="L16" s="12" cm="1">
        <f t="array" ref="L16">INDEX($G$16:$J$16,1,MOD(COLUMN()-COLUMN($J$1)-1,4)+1)</f>
        <v>69</v>
      </c>
      <c r="M16" s="12" cm="1">
        <f t="array" ref="M16">INDEX($G$16:$J$16,1,MOD(COLUMN()-COLUMN($J$1)-1,4)+1)</f>
        <v>80</v>
      </c>
      <c r="N16" s="4"/>
      <c r="O16" s="12">
        <f t="shared" si="10"/>
        <v>438</v>
      </c>
      <c r="P16" s="12">
        <f t="shared" si="11"/>
        <v>331</v>
      </c>
      <c r="Q16" s="12">
        <f t="shared" si="3"/>
        <v>339</v>
      </c>
      <c r="R16" s="12" cm="1">
        <f t="array" ref="R16">_xlfn.LET(_xlpm.h,_xlfn.SEQUENCE(4,1,4+4*(COLUMN()-COLUMN($R$1)),1),SUM(INDEX($G$16:$J$16,1,MOD(_xlpm.h-1,4)+1)))</f>
        <v>339</v>
      </c>
      <c r="S16" s="12" cm="1">
        <f t="array" ref="S16">_xlfn.LET(_xlpm.h,_xlfn.SEQUENCE(4,1,4+4*(COLUMN()-COLUMN($R$1)),1),SUM(INDEX($G$16:$J$16,1,MOD(_xlpm.h-1,4)+1)))</f>
        <v>339</v>
      </c>
      <c r="T16" s="12" cm="1">
        <f t="array" ref="T16">_xlfn.LET(_xlpm.h,_xlfn.SEQUENCE(4,1,4+4*(COLUMN()-COLUMN($R$1)),1),SUM(INDEX($G$16:$J$16,1,MOD(_xlpm.h-1,4)+1)))</f>
        <v>339</v>
      </c>
      <c r="U16" s="12" cm="1">
        <f t="array" ref="U16">_xlfn.LET(_xlpm.h,_xlfn.SEQUENCE(4,1,4+4*(COLUMN()-COLUMN($R$1)),1),SUM(INDEX($G$16:$J$16,1,MOD(_xlpm.h-1,4)+1)))</f>
        <v>339</v>
      </c>
      <c r="V16" s="12" cm="1">
        <f t="array" ref="V16">_xlfn.LET(_xlpm.h,_xlfn.SEQUENCE(4,1,4+4*(COLUMN()-COLUMN($R$1)),1),SUM(INDEX($G$16:$J$16,1,MOD(_xlpm.h-1,4)+1)))</f>
        <v>339</v>
      </c>
    </row>
    <row r="17" spans="1:22" ht="15" customHeight="1" x14ac:dyDescent="0.25">
      <c r="A17" s="2" t="s">
        <v>85</v>
      </c>
      <c r="B17" s="10">
        <f>SUM(B12:B16)</f>
        <v>2293</v>
      </c>
      <c r="C17" s="10">
        <f t="shared" ref="C17:J17" si="16">SUM(C12:C16)</f>
        <v>2283</v>
      </c>
      <c r="D17" s="10">
        <f t="shared" si="16"/>
        <v>2263</v>
      </c>
      <c r="E17" s="10">
        <f t="shared" si="16"/>
        <v>2494</v>
      </c>
      <c r="F17" s="10">
        <f t="shared" si="16"/>
        <v>2186</v>
      </c>
      <c r="G17" s="10">
        <f t="shared" si="16"/>
        <v>2340</v>
      </c>
      <c r="H17" s="10">
        <f t="shared" si="16"/>
        <v>2351</v>
      </c>
      <c r="I17" s="10">
        <f t="shared" si="16"/>
        <v>2523</v>
      </c>
      <c r="J17" s="10">
        <f t="shared" si="16"/>
        <v>2322</v>
      </c>
      <c r="K17" s="10">
        <f>SUM(K12:K16)</f>
        <v>2426.2109142935456</v>
      </c>
      <c r="L17" s="10">
        <f t="shared" ref="L17:M17" si="17">SUM(L12:L16)</f>
        <v>2317.0693617821303</v>
      </c>
      <c r="M17" s="10">
        <f t="shared" si="17"/>
        <v>2496.8798640652353</v>
      </c>
      <c r="N17" s="11"/>
      <c r="O17" s="10">
        <f t="shared" si="10"/>
        <v>9333</v>
      </c>
      <c r="P17" s="10">
        <f t="shared" si="11"/>
        <v>9400</v>
      </c>
      <c r="Q17" s="10">
        <f t="shared" si="3"/>
        <v>9562.1601401409116</v>
      </c>
      <c r="R17" s="10">
        <f>SUM(R12:R16)</f>
        <v>9558.0400042061465</v>
      </c>
      <c r="S17" s="10">
        <f t="shared" ref="S17:V17" si="18">SUM(S12:S16)</f>
        <v>9558.0400042061465</v>
      </c>
      <c r="T17" s="10">
        <f t="shared" si="18"/>
        <v>9558.0400042061465</v>
      </c>
      <c r="U17" s="10">
        <f t="shared" si="18"/>
        <v>9558.0400042061465</v>
      </c>
      <c r="V17" s="10">
        <f t="shared" si="18"/>
        <v>9558.0400042061465</v>
      </c>
    </row>
    <row r="18" spans="1:22" ht="15" customHeight="1" x14ac:dyDescent="0.25">
      <c r="A18" s="2" t="s">
        <v>84</v>
      </c>
      <c r="B18" s="10">
        <f>B11-B17</f>
        <v>1168</v>
      </c>
      <c r="C18" s="10">
        <f t="shared" ref="C18:J18" si="19">C11-C17</f>
        <v>1325</v>
      </c>
      <c r="D18" s="10">
        <f t="shared" si="19"/>
        <v>1391</v>
      </c>
      <c r="E18" s="10">
        <f t="shared" si="19"/>
        <v>1441</v>
      </c>
      <c r="F18" s="10">
        <f t="shared" si="19"/>
        <v>1530</v>
      </c>
      <c r="G18" s="10">
        <f t="shared" si="19"/>
        <v>1504</v>
      </c>
      <c r="H18" s="10">
        <f t="shared" si="19"/>
        <v>1520</v>
      </c>
      <c r="I18" s="10">
        <f t="shared" si="19"/>
        <v>1511</v>
      </c>
      <c r="J18" s="10">
        <f t="shared" si="19"/>
        <v>1488</v>
      </c>
      <c r="K18" s="10">
        <f>K11-K17</f>
        <v>1468.9878305752322</v>
      </c>
      <c r="L18" s="10">
        <f t="shared" ref="L18:M18" si="20">L11-L17</f>
        <v>1588.2034866241042</v>
      </c>
      <c r="M18" s="10">
        <f t="shared" si="20"/>
        <v>1416.9868740042061</v>
      </c>
      <c r="N18" s="11"/>
      <c r="O18" s="10">
        <f t="shared" si="10"/>
        <v>5325</v>
      </c>
      <c r="P18" s="10">
        <f t="shared" si="11"/>
        <v>6065</v>
      </c>
      <c r="Q18" s="10">
        <f t="shared" si="3"/>
        <v>5962.1781912035422</v>
      </c>
      <c r="R18" s="10">
        <f>R11-R17</f>
        <v>6151.9135936301482</v>
      </c>
      <c r="S18" s="10">
        <f t="shared" ref="S18:V18" si="21">S11-S17</f>
        <v>6156.8782465810527</v>
      </c>
      <c r="T18" s="10">
        <f t="shared" si="21"/>
        <v>6039.6401074554033</v>
      </c>
      <c r="U18" s="10">
        <f t="shared" si="21"/>
        <v>5783.2289985267544</v>
      </c>
      <c r="V18" s="10">
        <f t="shared" si="21"/>
        <v>5368.7760459504407</v>
      </c>
    </row>
    <row r="19" spans="1:22" ht="15" customHeight="1" x14ac:dyDescent="0.2">
      <c r="A19" s="5" t="s">
        <v>83</v>
      </c>
      <c r="B19" s="12">
        <v>41</v>
      </c>
      <c r="C19" s="12">
        <v>74</v>
      </c>
      <c r="D19" s="12">
        <v>-80</v>
      </c>
      <c r="E19" s="12">
        <v>-31</v>
      </c>
      <c r="F19" s="12">
        <v>73</v>
      </c>
      <c r="G19" s="12">
        <v>25</v>
      </c>
      <c r="H19" s="12">
        <v>13</v>
      </c>
      <c r="I19" s="12">
        <v>116</v>
      </c>
      <c r="J19" s="12">
        <v>-95</v>
      </c>
      <c r="K19" s="12">
        <f>_xlfn.LET(_xlpm.phi,SLOPE($C$19:$J$19,$B$19:$I$19),_xlpm.a,INTERCEPT($C$19:$J$19,$B$19:$I$19),_xlpm.mu,_xlpm.a/(1-_xlpm.phi),_xlpm.h,COLUMN()-COLUMN($J$1),_xlpm.mu+_xlpm.phi^_xlpm.h*($J$19-_xlpm.mu))</f>
        <v>69.570043069070039</v>
      </c>
      <c r="L19" s="12">
        <f t="shared" ref="L19:M19" si="22">_xlfn.LET(_xlpm.phi,SLOPE($C$19:$J$19,$B$19:$I$19),_xlpm.a,INTERCEPT($C$19:$J$19,$B$19:$I$19),_xlpm.mu,_xlpm.a/(1-_xlpm.phi),_xlpm.h,COLUMN()-COLUMN($J$1),_xlpm.mu+_xlpm.phi^_xlpm.h*($J$19-_xlpm.mu))</f>
        <v>-7.0788023214341464</v>
      </c>
      <c r="M19" s="12">
        <f t="shared" si="22"/>
        <v>28.62055942225609</v>
      </c>
      <c r="N19" s="4"/>
      <c r="O19" s="12">
        <f t="shared" si="10"/>
        <v>4</v>
      </c>
      <c r="P19" s="12">
        <f t="shared" si="11"/>
        <v>227</v>
      </c>
      <c r="Q19" s="12">
        <f t="shared" si="3"/>
        <v>-3.8881998301080181</v>
      </c>
      <c r="R19" s="12" cm="1">
        <f t="array" ref="R19">_xlfn.LET(_xlpm.phi,SLOPE($C$19:$J$19,$B$19:$I$19),_xlpm.a,INTERCEPT($C$19:$J$19,$B$19:$I$19),_xlpm.mu,_xlpm.a/(1-_xlpm.phi),_xlpm.h,_xlfn.SEQUENCE(4,1,4+4*(COLUMN()-COLUMN($R$1)),1),SUM(_xlpm.mu+_xlpm.phi^_xlpm.h*($J$19-_xlpm.mu)))</f>
        <v>65.672518289490256</v>
      </c>
      <c r="S19" s="12" cm="1">
        <f t="array" ref="S19">_xlfn.LET(_xlpm.phi,SLOPE($C$19:$J$19,$B$19:$I$19),_xlpm.a,INTERCEPT($C$19:$J$19,$B$19:$I$19),_xlpm.mu,_xlpm.a/(1-_xlpm.phi),_xlpm.h,_xlfn.SEQUENCE(4,1,4+4*(COLUMN()-COLUMN($R$1)),1),SUM(_xlpm.mu+_xlpm.phi^_xlpm.h*($J$19-_xlpm.mu)))</f>
        <v>68.945800079508246</v>
      </c>
      <c r="T19" s="12" cm="1">
        <f t="array" ref="T19">_xlfn.LET(_xlpm.phi,SLOPE($C$19:$J$19,$B$19:$I$19),_xlpm.a,INTERCEPT($C$19:$J$19,$B$19:$I$19),_xlpm.mu,_xlpm.a/(1-_xlpm.phi),_xlpm.h,_xlfn.SEQUENCE(4,1,4+4*(COLUMN()-COLUMN($R$1)),1),SUM(_xlpm.mu+_xlpm.phi^_xlpm.h*($J$19-_xlpm.mu)))</f>
        <v>69.099829163256942</v>
      </c>
      <c r="U19" s="12" cm="1">
        <f t="array" ref="U19">_xlfn.LET(_xlpm.phi,SLOPE($C$19:$J$19,$B$19:$I$19),_xlpm.a,INTERCEPT($C$19:$J$19,$B$19:$I$19),_xlpm.mu,_xlpm.a/(1-_xlpm.phi),_xlpm.h,_xlfn.SEQUENCE(4,1,4+4*(COLUMN()-COLUMN($R$1)),1),SUM(_xlpm.mu+_xlpm.phi^_xlpm.h*($J$19-_xlpm.mu)))</f>
        <v>69.107077228092919</v>
      </c>
      <c r="V19" s="12" cm="1">
        <f t="array" ref="V19">_xlfn.LET(_xlpm.phi,SLOPE($C$19:$J$19,$B$19:$I$19),_xlpm.a,INTERCEPT($C$19:$J$19,$B$19:$I$19),_xlpm.mu,_xlpm.a/(1-_xlpm.phi),_xlpm.h,_xlfn.SEQUENCE(4,1,4+4*(COLUMN()-COLUMN($R$1)),1),SUM(_xlpm.mu+_xlpm.phi^_xlpm.h*($J$19-_xlpm.mu)))</f>
        <v>69.10741829643267</v>
      </c>
    </row>
    <row r="20" spans="1:22" ht="15" customHeight="1" x14ac:dyDescent="0.25">
      <c r="A20" s="2" t="s">
        <v>82</v>
      </c>
      <c r="B20" s="10">
        <f t="shared" ref="B20:J20" si="23">B18+B19</f>
        <v>1209</v>
      </c>
      <c r="C20" s="10">
        <f t="shared" si="23"/>
        <v>1399</v>
      </c>
      <c r="D20" s="10">
        <f t="shared" si="23"/>
        <v>1311</v>
      </c>
      <c r="E20" s="10">
        <f t="shared" si="23"/>
        <v>1410</v>
      </c>
      <c r="F20" s="10">
        <f t="shared" si="23"/>
        <v>1603</v>
      </c>
      <c r="G20" s="10">
        <f t="shared" si="23"/>
        <v>1529</v>
      </c>
      <c r="H20" s="10">
        <f t="shared" si="23"/>
        <v>1533</v>
      </c>
      <c r="I20" s="10">
        <f t="shared" si="23"/>
        <v>1627</v>
      </c>
      <c r="J20" s="10">
        <f t="shared" si="23"/>
        <v>1393</v>
      </c>
      <c r="K20" s="10">
        <f>K18+K19</f>
        <v>1538.5578736443022</v>
      </c>
      <c r="L20" s="10">
        <f t="shared" ref="L20:M20" si="24">L18+L19</f>
        <v>1581.1246843026702</v>
      </c>
      <c r="M20" s="10">
        <f t="shared" si="24"/>
        <v>1445.6074334264622</v>
      </c>
      <c r="N20" s="11"/>
      <c r="O20" s="10">
        <f t="shared" si="10"/>
        <v>5329</v>
      </c>
      <c r="P20" s="10">
        <f t="shared" si="11"/>
        <v>6292</v>
      </c>
      <c r="Q20" s="10">
        <f t="shared" si="3"/>
        <v>5958.2899913734345</v>
      </c>
      <c r="R20" s="10">
        <f>R18+R19</f>
        <v>6217.5861119196388</v>
      </c>
      <c r="S20" s="10">
        <f t="shared" ref="S20:V20" si="25">S18+S19</f>
        <v>6225.8240466605612</v>
      </c>
      <c r="T20" s="10">
        <f t="shared" si="25"/>
        <v>6108.7399366186601</v>
      </c>
      <c r="U20" s="10">
        <f t="shared" si="25"/>
        <v>5852.3360757548471</v>
      </c>
      <c r="V20" s="10">
        <f t="shared" si="25"/>
        <v>5437.8834642468737</v>
      </c>
    </row>
    <row r="21" spans="1:22" ht="15" customHeight="1" x14ac:dyDescent="0.2">
      <c r="A21" s="5" t="s">
        <v>81</v>
      </c>
      <c r="B21" s="12">
        <v>321</v>
      </c>
      <c r="C21" s="12">
        <v>271</v>
      </c>
      <c r="D21" s="12">
        <v>301</v>
      </c>
      <c r="E21" s="12">
        <v>289</v>
      </c>
      <c r="F21" s="12">
        <v>316</v>
      </c>
      <c r="G21" s="12">
        <v>268</v>
      </c>
      <c r="H21" s="12">
        <v>285</v>
      </c>
      <c r="I21" s="12">
        <v>190</v>
      </c>
      <c r="J21" s="12">
        <v>280</v>
      </c>
      <c r="K21" s="12">
        <f>K20*K40</f>
        <v>298.04090974775517</v>
      </c>
      <c r="L21" s="12">
        <f t="shared" ref="L21:M21" si="26">L20*L40</f>
        <v>306.28671654579921</v>
      </c>
      <c r="M21" s="12">
        <f t="shared" si="26"/>
        <v>280.03506528877449</v>
      </c>
      <c r="N21" s="4"/>
      <c r="O21" s="12">
        <f t="shared" si="10"/>
        <v>1182</v>
      </c>
      <c r="P21" s="12">
        <f t="shared" si="11"/>
        <v>1059</v>
      </c>
      <c r="Q21" s="12">
        <f t="shared" si="3"/>
        <v>1164.3626915823288</v>
      </c>
      <c r="R21" s="12">
        <f>R20*R40</f>
        <v>1204.4363445635015</v>
      </c>
      <c r="S21" s="12">
        <f t="shared" ref="S21:V21" si="27">S20*S40</f>
        <v>1206.03215165447</v>
      </c>
      <c r="T21" s="12">
        <f t="shared" si="27"/>
        <v>1183.3512663451393</v>
      </c>
      <c r="U21" s="12">
        <f t="shared" si="27"/>
        <v>1133.6821305500207</v>
      </c>
      <c r="V21" s="12">
        <f t="shared" si="27"/>
        <v>1053.3966661569361</v>
      </c>
    </row>
    <row r="22" spans="1:22" ht="15" customHeight="1" x14ac:dyDescent="0.25">
      <c r="A22" s="2" t="s">
        <v>40</v>
      </c>
      <c r="B22" s="10">
        <f t="shared" ref="B22:J22" si="28">B20-B21</f>
        <v>888</v>
      </c>
      <c r="C22" s="10">
        <f t="shared" si="28"/>
        <v>1128</v>
      </c>
      <c r="D22" s="10">
        <f t="shared" si="28"/>
        <v>1010</v>
      </c>
      <c r="E22" s="10">
        <f t="shared" si="28"/>
        <v>1121</v>
      </c>
      <c r="F22" s="10">
        <f t="shared" si="28"/>
        <v>1287</v>
      </c>
      <c r="G22" s="10">
        <f t="shared" si="28"/>
        <v>1261</v>
      </c>
      <c r="H22" s="10">
        <f t="shared" si="28"/>
        <v>1248</v>
      </c>
      <c r="I22" s="10">
        <f t="shared" si="28"/>
        <v>1437</v>
      </c>
      <c r="J22" s="10">
        <f t="shared" si="28"/>
        <v>1113</v>
      </c>
      <c r="K22" s="10">
        <f>K20-K21</f>
        <v>1240.5169638965469</v>
      </c>
      <c r="L22" s="10">
        <f t="shared" ref="L22:M22" si="29">L20-L21</f>
        <v>1274.837967756871</v>
      </c>
      <c r="M22" s="10">
        <f t="shared" si="29"/>
        <v>1165.5723681376876</v>
      </c>
      <c r="N22" s="11"/>
      <c r="O22" s="10">
        <f t="shared" si="10"/>
        <v>4147</v>
      </c>
      <c r="P22" s="10">
        <f t="shared" si="11"/>
        <v>5233</v>
      </c>
      <c r="Q22" s="10">
        <f t="shared" si="3"/>
        <v>4793.9272997911057</v>
      </c>
      <c r="R22" s="10">
        <f>R20-R21</f>
        <v>5013.1497673561371</v>
      </c>
      <c r="S22" s="10">
        <f t="shared" ref="S22:V22" si="30">S20-S21</f>
        <v>5019.7918950060912</v>
      </c>
      <c r="T22" s="10">
        <f t="shared" si="30"/>
        <v>4925.3886702735208</v>
      </c>
      <c r="U22" s="10">
        <f t="shared" si="30"/>
        <v>4718.6539452048264</v>
      </c>
      <c r="V22" s="10">
        <f t="shared" si="30"/>
        <v>4384.486798089938</v>
      </c>
    </row>
    <row r="23" spans="1:22" ht="15" customHeight="1" x14ac:dyDescent="0.2">
      <c r="A23" s="5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4"/>
      <c r="O23" s="9"/>
      <c r="P23" s="9"/>
      <c r="Q23" s="9"/>
      <c r="R23" s="9"/>
      <c r="S23" s="9"/>
      <c r="T23" s="9"/>
      <c r="U23" s="9"/>
      <c r="V23" s="9"/>
    </row>
    <row r="24" spans="1:22" ht="15" customHeight="1" x14ac:dyDescent="0.2">
      <c r="A24" s="2" t="s">
        <v>80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8"/>
      <c r="P24" s="8"/>
      <c r="Q24" s="8"/>
      <c r="R24" s="8"/>
      <c r="S24" s="8"/>
      <c r="T24" s="8"/>
      <c r="U24" s="8"/>
      <c r="V24" s="8"/>
    </row>
    <row r="25" spans="1:22" ht="15" customHeight="1" x14ac:dyDescent="0.2">
      <c r="A25" s="5" t="s">
        <v>78</v>
      </c>
      <c r="B25" s="13">
        <f>B$22/B28</f>
        <v>0.83458646616541354</v>
      </c>
      <c r="C25" s="13">
        <f t="shared" ref="C25:J26" si="31">C$22/C28</f>
        <v>1.0825335892514396</v>
      </c>
      <c r="D25" s="13">
        <f t="shared" si="31"/>
        <v>0.99507389162561577</v>
      </c>
      <c r="E25" s="13">
        <f t="shared" si="31"/>
        <v>1.1243731193580742</v>
      </c>
      <c r="F25" s="13">
        <f t="shared" si="31"/>
        <v>1.3052738336713996</v>
      </c>
      <c r="G25" s="13">
        <f t="shared" si="31"/>
        <v>1.3013415892672859</v>
      </c>
      <c r="H25" s="13">
        <f t="shared" si="31"/>
        <v>1.3136842105263158</v>
      </c>
      <c r="I25" s="13">
        <f t="shared" si="31"/>
        <v>1.543501611170784</v>
      </c>
      <c r="J25" s="13">
        <f t="shared" si="31"/>
        <v>1.2190580503833517</v>
      </c>
      <c r="K25" s="13">
        <f>K22/K28</f>
        <v>1.3828513184578188</v>
      </c>
      <c r="L25" s="13">
        <f t="shared" ref="L25:M25" si="32">L22/L28</f>
        <v>1.4476691936221509</v>
      </c>
      <c r="M25" s="13">
        <f t="shared" si="32"/>
        <v>1.3483267459074206</v>
      </c>
      <c r="N25" s="4"/>
      <c r="O25" s="13">
        <f>SUM(B25:E25)</f>
        <v>4.0365670664005426</v>
      </c>
      <c r="P25" s="13">
        <f t="shared" si="11"/>
        <v>5.4638012446357855</v>
      </c>
      <c r="Q25" s="13">
        <f>Q22/Q28</f>
        <v>5.3937919901490199</v>
      </c>
      <c r="R25" s="13">
        <f>R22/R28</f>
        <v>6.0726385787510546</v>
      </c>
      <c r="S25" s="13">
        <f t="shared" ref="S25:V25" si="33">S22/S28</f>
        <v>6.5481515081641755</v>
      </c>
      <c r="T25" s="13">
        <f t="shared" si="33"/>
        <v>6.9189431912134625</v>
      </c>
      <c r="U25" s="13">
        <f t="shared" si="33"/>
        <v>7.1381165952111258</v>
      </c>
      <c r="V25" s="13">
        <f t="shared" si="33"/>
        <v>7.1425045752010474</v>
      </c>
    </row>
    <row r="26" spans="1:22" ht="15" customHeight="1" x14ac:dyDescent="0.2">
      <c r="A26" s="5" t="s">
        <v>77</v>
      </c>
      <c r="B26" s="13">
        <f>B$22/B29</f>
        <v>0.82835820895522383</v>
      </c>
      <c r="C26" s="13">
        <f t="shared" si="31"/>
        <v>1.0773638968481376</v>
      </c>
      <c r="D26" s="13">
        <f t="shared" si="31"/>
        <v>0.986328125</v>
      </c>
      <c r="E26" s="13">
        <f t="shared" si="31"/>
        <v>1.1055226824457594</v>
      </c>
      <c r="F26" s="13">
        <f t="shared" si="31"/>
        <v>1.2882882882882882</v>
      </c>
      <c r="G26" s="13">
        <f t="shared" si="31"/>
        <v>1.2906857727737973</v>
      </c>
      <c r="H26" s="13">
        <f t="shared" si="31"/>
        <v>1.3</v>
      </c>
      <c r="I26" s="13">
        <f t="shared" si="31"/>
        <v>1.5303514376996805</v>
      </c>
      <c r="J26" s="13">
        <f t="shared" si="31"/>
        <v>1.2097826086956522</v>
      </c>
      <c r="K26" s="13">
        <f>K22/K29</f>
        <v>1.3706281885670553</v>
      </c>
      <c r="L26" s="13">
        <f t="shared" ref="L26:M26" si="34">L22/L29</f>
        <v>1.4346361425200564</v>
      </c>
      <c r="M26" s="13">
        <f t="shared" si="34"/>
        <v>1.335963274950783</v>
      </c>
      <c r="N26" s="4"/>
      <c r="O26" s="13">
        <f>SUM(B26:E26)</f>
        <v>3.9975729132491207</v>
      </c>
      <c r="P26" s="13">
        <f t="shared" si="11"/>
        <v>5.409325498761766</v>
      </c>
      <c r="Q26" s="13">
        <f>Q22/Q29</f>
        <v>5.3471659944608145</v>
      </c>
      <c r="R26" s="13">
        <f>R22/R29</f>
        <v>6.0143550544600464</v>
      </c>
      <c r="S26" s="13">
        <f t="shared" ref="S26:V26" si="35">S22/S29</f>
        <v>6.480522500314124</v>
      </c>
      <c r="T26" s="13">
        <f t="shared" si="35"/>
        <v>6.8420521705071859</v>
      </c>
      <c r="U26" s="13">
        <f t="shared" si="35"/>
        <v>7.0527643656219743</v>
      </c>
      <c r="V26" s="13">
        <f t="shared" si="35"/>
        <v>7.0506186541086953</v>
      </c>
    </row>
    <row r="27" spans="1:22" ht="15" customHeight="1" x14ac:dyDescent="0.2">
      <c r="A27" s="2" t="s">
        <v>79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4"/>
      <c r="O27" s="4"/>
      <c r="P27" s="4"/>
      <c r="Q27" s="4"/>
      <c r="R27" s="4"/>
      <c r="S27" s="4"/>
      <c r="T27" s="4"/>
      <c r="U27" s="4"/>
      <c r="V27" s="4"/>
    </row>
    <row r="28" spans="1:22" ht="15" customHeight="1" x14ac:dyDescent="0.2">
      <c r="A28" s="5" t="s">
        <v>78</v>
      </c>
      <c r="B28" s="12">
        <v>1064</v>
      </c>
      <c r="C28" s="12">
        <v>1042</v>
      </c>
      <c r="D28" s="12">
        <v>1015</v>
      </c>
      <c r="E28" s="12">
        <v>997</v>
      </c>
      <c r="F28" s="12">
        <v>986</v>
      </c>
      <c r="G28" s="12">
        <v>969</v>
      </c>
      <c r="H28" s="12">
        <v>950</v>
      </c>
      <c r="I28" s="12">
        <v>931</v>
      </c>
      <c r="J28" s="12">
        <v>913</v>
      </c>
      <c r="K28" s="12" cm="1">
        <f t="array" ref="K28">EXP(_xlfn.FORECAST.LINEAR(COLUMN()-COLUMN($A$1),LN($B$28:$J$28),_xlfn.SEQUENCE(9)))</f>
        <v>897.07183074460545</v>
      </c>
      <c r="L28" s="12" cm="1">
        <f t="array" ref="L28">EXP(_xlfn.FORECAST.LINEAR(COLUMN()-COLUMN($A$1),LN($B$28:$J$28),_xlfn.SEQUENCE(9)))</f>
        <v>880.61414401390527</v>
      </c>
      <c r="M28" s="12" cm="1">
        <f t="array" ref="M28">EXP(_xlfn.FORECAST.LINEAR(COLUMN()-COLUMN($A$1),LN($B$28:$J$28),_xlfn.SEQUENCE(9)))</f>
        <v>864.45839013099169</v>
      </c>
      <c r="N28" s="4"/>
      <c r="O28" s="14">
        <f>E28</f>
        <v>997</v>
      </c>
      <c r="P28" s="14">
        <f>I28</f>
        <v>931</v>
      </c>
      <c r="Q28" s="12">
        <f>AVERAGE(J28:M28)</f>
        <v>888.7860912223756</v>
      </c>
      <c r="R28" s="12" cm="1">
        <f t="array" ref="R28">_xlfn.LET(_xlpm.h,_xlfn.SEQUENCE(4,1,4+4*(COLUMN()-COLUMN($R$1)),1),AVERAGE(EXP(_xlfn.FORECAST.LINEAR(9+_xlpm.h,LN($B$28:$J$28),_xlfn.SEQUENCE(9)))))</f>
        <v>825.53073138549598</v>
      </c>
      <c r="S28" s="12" cm="1">
        <f t="array" ref="S28">_xlfn.LET(_xlpm.h,_xlfn.SEQUENCE(4,1,4+4*(COLUMN()-COLUMN($R$1)),1),AVERAGE(EXP(_xlfn.FORECAST.LINEAR(9+_xlpm.h,LN($B$28:$J$28),_xlfn.SEQUENCE(9)))))</f>
        <v>766.59678517631437</v>
      </c>
      <c r="T28" s="12" cm="1">
        <f t="array" ref="T28">_xlfn.LET(_xlpm.h,_xlfn.SEQUENCE(4,1,4+4*(COLUMN()-COLUMN($R$1)),1),AVERAGE(EXP(_xlfn.FORECAST.LINEAR(9+_xlpm.h,LN($B$28:$J$28),_xlfn.SEQUENCE(9)))))</f>
        <v>711.87008393541862</v>
      </c>
      <c r="U28" s="12" cm="1">
        <f t="array" ref="U28">_xlfn.LET(_xlpm.h,_xlfn.SEQUENCE(4,1,4+4*(COLUMN()-COLUMN($R$1)),1),AVERAGE(EXP(_xlfn.FORECAST.LINEAR(9+_xlpm.h,LN($B$28:$J$28),_xlfn.SEQUENCE(9)))))</f>
        <v>661.05027597482967</v>
      </c>
      <c r="V28" s="12" cm="1">
        <f t="array" ref="V28">_xlfn.LET(_xlpm.h,_xlfn.SEQUENCE(4,1,4+4*(COLUMN()-COLUMN($R$1)),1),AVERAGE(EXP(_xlfn.FORECAST.LINEAR(9+_xlpm.h,LN($B$28:$J$28),_xlfn.SEQUENCE(9)))))</f>
        <v>613.85845146154816</v>
      </c>
    </row>
    <row r="29" spans="1:22" ht="15" customHeight="1" x14ac:dyDescent="0.2">
      <c r="A29" s="5" t="s">
        <v>77</v>
      </c>
      <c r="B29" s="12">
        <v>1072</v>
      </c>
      <c r="C29" s="12">
        <v>1047</v>
      </c>
      <c r="D29" s="12">
        <v>1024</v>
      </c>
      <c r="E29" s="12">
        <v>1014</v>
      </c>
      <c r="F29" s="12">
        <v>999</v>
      </c>
      <c r="G29" s="12">
        <v>977</v>
      </c>
      <c r="H29" s="12">
        <v>960</v>
      </c>
      <c r="I29" s="12">
        <v>939</v>
      </c>
      <c r="J29" s="12">
        <v>920</v>
      </c>
      <c r="K29" s="12" cm="1">
        <f t="array" ref="K29">K28+MEDIAN($B$29:$J$29-$B$28:$J$28)</f>
        <v>905.07183074460545</v>
      </c>
      <c r="L29" s="12" cm="1">
        <f t="array" ref="L29">L28+MEDIAN($B$29:$J$29-$B$28:$J$28)</f>
        <v>888.61414401390527</v>
      </c>
      <c r="M29" s="12" cm="1">
        <f t="array" ref="M29">M28+MEDIAN($B$29:$J$29-$B$28:$J$28)</f>
        <v>872.45839013099169</v>
      </c>
      <c r="N29" s="4"/>
      <c r="O29" s="14">
        <f>E29</f>
        <v>1014</v>
      </c>
      <c r="P29" s="14">
        <f>I29</f>
        <v>939</v>
      </c>
      <c r="Q29" s="12">
        <f>AVERAGE(J29:M29)</f>
        <v>896.5360912223756</v>
      </c>
      <c r="R29" s="12" cm="1">
        <f t="array" ref="R29">R28+MEDIAN($B$29:$J$29-$B$28:$J$28)</f>
        <v>833.53073138549598</v>
      </c>
      <c r="S29" s="12" cm="1">
        <f t="array" ref="S29">S28+MEDIAN($B$29:$J$29-$B$28:$J$28)</f>
        <v>774.59678517631437</v>
      </c>
      <c r="T29" s="12" cm="1">
        <f t="array" ref="T29">T28+MEDIAN($B$29:$J$29-$B$28:$J$28)</f>
        <v>719.87008393541862</v>
      </c>
      <c r="U29" s="12" cm="1">
        <f t="array" ref="U29">U28+MEDIAN($B$29:$J$29-$B$28:$J$28)</f>
        <v>669.05027597482967</v>
      </c>
      <c r="V29" s="12" cm="1">
        <f t="array" ref="V29">V28+MEDIAN($B$29:$J$29-$B$28:$J$28)</f>
        <v>621.85845146154816</v>
      </c>
    </row>
    <row r="30" spans="1:22" ht="15" customHeight="1" x14ac:dyDescent="0.2">
      <c r="A30" s="5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4"/>
      <c r="O30" s="4"/>
      <c r="P30" s="4"/>
      <c r="Q30" s="4"/>
      <c r="R30" s="4"/>
      <c r="S30" s="4"/>
      <c r="T30" s="4"/>
      <c r="U30" s="4"/>
      <c r="V30" s="4"/>
    </row>
    <row r="31" spans="1:22" ht="15" customHeight="1" x14ac:dyDescent="0.25">
      <c r="A31" s="2" t="s">
        <v>127</v>
      </c>
      <c r="B31" s="10">
        <f>B18+B16</f>
        <v>1380</v>
      </c>
      <c r="C31" s="10">
        <f t="shared" ref="C31:J31" si="36">C18+C16</f>
        <v>1438</v>
      </c>
      <c r="D31" s="10">
        <f t="shared" si="36"/>
        <v>1454</v>
      </c>
      <c r="E31" s="10">
        <f t="shared" si="36"/>
        <v>1491</v>
      </c>
      <c r="F31" s="10">
        <f t="shared" si="36"/>
        <v>1596</v>
      </c>
      <c r="G31" s="10">
        <f t="shared" si="36"/>
        <v>1620</v>
      </c>
      <c r="H31" s="10">
        <f t="shared" si="36"/>
        <v>1589</v>
      </c>
      <c r="I31" s="10">
        <f t="shared" si="36"/>
        <v>1591</v>
      </c>
      <c r="J31" s="10">
        <f t="shared" si="36"/>
        <v>1562</v>
      </c>
      <c r="K31" s="10">
        <f>K18+K16</f>
        <v>1584.9878305752322</v>
      </c>
      <c r="L31" s="10">
        <f t="shared" ref="L31:M31" si="37">L18+L16</f>
        <v>1657.2034866241042</v>
      </c>
      <c r="M31" s="10">
        <f t="shared" si="37"/>
        <v>1496.9868740042061</v>
      </c>
      <c r="N31" s="11"/>
      <c r="O31" s="10">
        <f t="shared" ref="O31:P31" si="38">O18+O16</f>
        <v>5763</v>
      </c>
      <c r="P31" s="10">
        <f t="shared" si="38"/>
        <v>6396</v>
      </c>
      <c r="Q31" s="10">
        <f>Q18+Q16</f>
        <v>6301.1781912035422</v>
      </c>
      <c r="R31" s="10">
        <f>R18+R16</f>
        <v>6490.9135936301482</v>
      </c>
      <c r="S31" s="10">
        <f t="shared" ref="S31:V31" si="39">S18+S16</f>
        <v>6495.8782465810527</v>
      </c>
      <c r="T31" s="10">
        <f t="shared" si="39"/>
        <v>6378.6401074554033</v>
      </c>
      <c r="U31" s="10">
        <f t="shared" si="39"/>
        <v>6122.2289985267544</v>
      </c>
      <c r="V31" s="10">
        <f t="shared" si="39"/>
        <v>5707.7760459504407</v>
      </c>
    </row>
    <row r="32" spans="1:22" ht="15" customHeight="1" x14ac:dyDescent="0.25">
      <c r="A32" s="2" t="s">
        <v>129</v>
      </c>
      <c r="B32" s="10">
        <f>B31-B21+B19</f>
        <v>1100</v>
      </c>
      <c r="C32" s="10">
        <f t="shared" ref="C32:J32" si="40">C31-C21+C19</f>
        <v>1241</v>
      </c>
      <c r="D32" s="10">
        <f t="shared" si="40"/>
        <v>1073</v>
      </c>
      <c r="E32" s="10">
        <f t="shared" si="40"/>
        <v>1171</v>
      </c>
      <c r="F32" s="10">
        <f t="shared" si="40"/>
        <v>1353</v>
      </c>
      <c r="G32" s="10">
        <f t="shared" si="40"/>
        <v>1377</v>
      </c>
      <c r="H32" s="10">
        <f t="shared" si="40"/>
        <v>1317</v>
      </c>
      <c r="I32" s="10">
        <f t="shared" si="40"/>
        <v>1517</v>
      </c>
      <c r="J32" s="10">
        <f t="shared" si="40"/>
        <v>1187</v>
      </c>
      <c r="K32" s="10">
        <f>K31-K21+K19</f>
        <v>1356.5169638965472</v>
      </c>
      <c r="L32" s="10">
        <f t="shared" ref="L32:M32" si="41">L31-L21+L19</f>
        <v>1343.837967756871</v>
      </c>
      <c r="M32" s="10">
        <f t="shared" si="41"/>
        <v>1245.5723681376876</v>
      </c>
      <c r="N32" s="11"/>
      <c r="O32" s="10">
        <f t="shared" ref="O32" si="42">O31-O21+O19</f>
        <v>4585</v>
      </c>
      <c r="P32" s="10">
        <f t="shared" ref="P32" si="43">P31-P21+P19</f>
        <v>5564</v>
      </c>
      <c r="Q32" s="10">
        <f>Q31-Q21+Q19</f>
        <v>5132.9272997911057</v>
      </c>
      <c r="R32" s="10">
        <f>R31-R21+R19</f>
        <v>5352.1497673561371</v>
      </c>
      <c r="S32" s="10">
        <f t="shared" ref="S32:V32" si="44">S31-S21+S19</f>
        <v>5358.7918950060912</v>
      </c>
      <c r="T32" s="10">
        <f t="shared" si="44"/>
        <v>5264.3886702735208</v>
      </c>
      <c r="U32" s="10">
        <f t="shared" si="44"/>
        <v>5057.6539452048264</v>
      </c>
      <c r="V32" s="10">
        <f t="shared" si="44"/>
        <v>4723.486798089938</v>
      </c>
    </row>
    <row r="33" spans="1:22" ht="15" customHeight="1" x14ac:dyDescent="0.2">
      <c r="A33" s="5" t="s">
        <v>133</v>
      </c>
      <c r="B33" s="15">
        <f>B32/B29</f>
        <v>1.0261194029850746</v>
      </c>
      <c r="C33" s="15">
        <f t="shared" ref="C33:J33" si="45">C32/C29</f>
        <v>1.1852913085004775</v>
      </c>
      <c r="D33" s="15">
        <f t="shared" si="45"/>
        <v>1.0478515625</v>
      </c>
      <c r="E33" s="15">
        <f t="shared" si="45"/>
        <v>1.1548323471400395</v>
      </c>
      <c r="F33" s="15">
        <f t="shared" si="45"/>
        <v>1.3543543543543544</v>
      </c>
      <c r="G33" s="15">
        <f t="shared" si="45"/>
        <v>1.4094165813715456</v>
      </c>
      <c r="H33" s="15">
        <f t="shared" si="45"/>
        <v>1.371875</v>
      </c>
      <c r="I33" s="15">
        <f t="shared" si="45"/>
        <v>1.6155484558040469</v>
      </c>
      <c r="J33" s="15">
        <f t="shared" si="45"/>
        <v>1.2902173913043478</v>
      </c>
      <c r="K33" s="15">
        <f>K32/K29</f>
        <v>1.4987948114356142</v>
      </c>
      <c r="L33" s="15">
        <f t="shared" ref="L33:M33" si="46">L32/L29</f>
        <v>1.512285142893069</v>
      </c>
      <c r="M33" s="15">
        <f t="shared" si="46"/>
        <v>1.4276581923301537</v>
      </c>
      <c r="N33" s="4"/>
      <c r="O33" s="15">
        <f t="shared" ref="O33:P33" si="47">O32/O29</f>
        <v>4.5216962524654836</v>
      </c>
      <c r="P33" s="15">
        <f t="shared" si="47"/>
        <v>5.9254526091586799</v>
      </c>
      <c r="Q33" s="15">
        <f>Q32/Q29</f>
        <v>5.7252879722807961</v>
      </c>
      <c r="R33" s="15">
        <f>R32/R29</f>
        <v>6.4210587154474625</v>
      </c>
      <c r="S33" s="15">
        <f t="shared" ref="S33:V33" si="48">S32/S29</f>
        <v>6.9181695529323921</v>
      </c>
      <c r="T33" s="15">
        <f t="shared" si="48"/>
        <v>7.3129704758585339</v>
      </c>
      <c r="U33" s="15">
        <f t="shared" si="48"/>
        <v>7.5594527449161388</v>
      </c>
      <c r="V33" s="15">
        <f t="shared" si="48"/>
        <v>7.5957587888182125</v>
      </c>
    </row>
    <row r="34" spans="1:22" ht="15" customHeight="1" x14ac:dyDescent="0.2">
      <c r="A34" s="5" t="s">
        <v>135</v>
      </c>
      <c r="B34" s="15"/>
      <c r="C34" s="16">
        <f>C33/B33-1</f>
        <v>0.15512025701137433</v>
      </c>
      <c r="D34" s="16">
        <f t="shared" ref="D34:P34" si="49">D33/C33-1</f>
        <v>-0.11595440295124892</v>
      </c>
      <c r="E34" s="16">
        <f t="shared" si="49"/>
        <v>0.10209536204231173</v>
      </c>
      <c r="F34" s="16">
        <f t="shared" si="49"/>
        <v>0.17277140505150745</v>
      </c>
      <c r="G34" s="16">
        <f t="shared" si="49"/>
        <v>4.065570198830315E-2</v>
      </c>
      <c r="H34" s="16">
        <f t="shared" si="49"/>
        <v>-2.6636256354393706E-2</v>
      </c>
      <c r="I34" s="16">
        <f t="shared" si="49"/>
        <v>0.17762074227174263</v>
      </c>
      <c r="J34" s="16">
        <f t="shared" si="49"/>
        <v>-0.2013749964174143</v>
      </c>
      <c r="K34" s="16">
        <f>K33/J33-1</f>
        <v>0.16166067946147011</v>
      </c>
      <c r="L34" s="16">
        <f t="shared" ref="L34:M34" si="50">L33/K33-1</f>
        <v>9.0007860679295337E-3</v>
      </c>
      <c r="M34" s="16">
        <f t="shared" si="50"/>
        <v>-5.5959652159922824E-2</v>
      </c>
      <c r="N34" s="16"/>
      <c r="O34" s="16"/>
      <c r="P34" s="16">
        <f t="shared" si="49"/>
        <v>0.31044906121851712</v>
      </c>
      <c r="Q34" s="16">
        <f>Q33/P33-1</f>
        <v>-3.3780480594596152E-2</v>
      </c>
      <c r="R34" s="16">
        <f>R33/Q33-1</f>
        <v>0.12152589468604336</v>
      </c>
      <c r="S34" s="16">
        <f t="shared" ref="S34:V34" si="51">S33/R33-1</f>
        <v>7.741882756639562E-2</v>
      </c>
      <c r="T34" s="16">
        <f t="shared" si="51"/>
        <v>5.7067251663237784E-2</v>
      </c>
      <c r="U34" s="16">
        <f t="shared" si="51"/>
        <v>3.3704808445663481E-2</v>
      </c>
      <c r="V34" s="16">
        <f t="shared" si="51"/>
        <v>4.8027344210188616E-3</v>
      </c>
    </row>
    <row r="35" spans="1:22" ht="15" customHeight="1" x14ac:dyDescent="0.2">
      <c r="A35" s="5" t="s">
        <v>136</v>
      </c>
      <c r="B35" s="12"/>
      <c r="C35" s="12"/>
      <c r="D35" s="12"/>
      <c r="E35" s="12"/>
      <c r="F35" s="17">
        <f>F33/B33-1</f>
        <v>0.31987987987987987</v>
      </c>
      <c r="G35" s="17">
        <f t="shared" ref="G35:J35" si="52">G33/C33-1</f>
        <v>0.18908876768413241</v>
      </c>
      <c r="H35" s="17">
        <f t="shared" si="52"/>
        <v>0.30922646784715746</v>
      </c>
      <c r="I35" s="17">
        <f t="shared" si="52"/>
        <v>0.39894631441955908</v>
      </c>
      <c r="J35" s="17">
        <f t="shared" si="52"/>
        <v>-4.7356116841800855E-2</v>
      </c>
      <c r="K35" s="17">
        <f>K33/G33-1</f>
        <v>6.3415055027302047E-2</v>
      </c>
      <c r="L35" s="17">
        <f t="shared" ref="L35:M35" si="53">L33/H33-1</f>
        <v>0.10234907910200941</v>
      </c>
      <c r="M35" s="17">
        <f t="shared" si="53"/>
        <v>-0.11630122439155288</v>
      </c>
      <c r="N35" s="4"/>
      <c r="O35" s="12"/>
      <c r="P35" s="12"/>
      <c r="Q35" s="17">
        <f>Q33/P33-1</f>
        <v>-3.3780480594596152E-2</v>
      </c>
      <c r="R35" s="17">
        <f>R33/Q33-1</f>
        <v>0.12152589468604336</v>
      </c>
      <c r="S35" s="17">
        <f t="shared" ref="S35:V35" si="54">S33/R33-1</f>
        <v>7.741882756639562E-2</v>
      </c>
      <c r="T35" s="17">
        <f t="shared" si="54"/>
        <v>5.7067251663237784E-2</v>
      </c>
      <c r="U35" s="17">
        <f t="shared" si="54"/>
        <v>3.3704808445663481E-2</v>
      </c>
      <c r="V35" s="17">
        <f t="shared" si="54"/>
        <v>4.8027344210188616E-3</v>
      </c>
    </row>
    <row r="36" spans="1:22" ht="15" customHeight="1" x14ac:dyDescent="0.2">
      <c r="A36" s="5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4"/>
      <c r="O36" s="12"/>
      <c r="P36" s="12"/>
      <c r="Q36" s="12"/>
      <c r="R36" s="12"/>
      <c r="S36" s="12"/>
      <c r="T36" s="12"/>
      <c r="U36" s="12"/>
      <c r="V36" s="12"/>
    </row>
    <row r="37" spans="1:22" ht="15" customHeight="1" x14ac:dyDescent="0.2">
      <c r="A37" s="5" t="s">
        <v>130</v>
      </c>
      <c r="B37" s="17">
        <f>B11/B7</f>
        <v>0.44953890115599426</v>
      </c>
      <c r="C37" s="17">
        <f t="shared" ref="C37:J37" si="55">C11/C7</f>
        <v>0.45757767913760306</v>
      </c>
      <c r="D37" s="17">
        <f t="shared" si="55"/>
        <v>0.46565566458519181</v>
      </c>
      <c r="E37" s="17">
        <f t="shared" si="55"/>
        <v>0.47035620368156827</v>
      </c>
      <c r="F37" s="17">
        <f t="shared" si="55"/>
        <v>0.4769605955589783</v>
      </c>
      <c r="G37" s="17">
        <f t="shared" si="55"/>
        <v>0.46380308880308879</v>
      </c>
      <c r="H37" s="17">
        <f t="shared" si="55"/>
        <v>0.45990257811571816</v>
      </c>
      <c r="I37" s="17">
        <f t="shared" si="55"/>
        <v>0.46496081143384049</v>
      </c>
      <c r="J37" s="17">
        <f t="shared" si="55"/>
        <v>0.45612354842571529</v>
      </c>
      <c r="K37" s="17">
        <f>K11/K7</f>
        <v>0.45050794184690901</v>
      </c>
      <c r="L37" s="17">
        <f t="shared" ref="L37:M37" si="56">L11/L7</f>
        <v>0.44652229023737727</v>
      </c>
      <c r="M37" s="17">
        <f t="shared" si="56"/>
        <v>0.44244857885257893</v>
      </c>
      <c r="N37" s="4"/>
      <c r="O37" s="17">
        <f t="shared" ref="O37:P37" si="57">O11/O7</f>
        <v>0.46098688555524103</v>
      </c>
      <c r="P37" s="17">
        <f t="shared" si="57"/>
        <v>0.46620643916556131</v>
      </c>
      <c r="Q37" s="17">
        <f>Q11/Q7</f>
        <v>0.44879525560745909</v>
      </c>
      <c r="R37" s="17">
        <f>R11/R7</f>
        <v>0.43174972649533705</v>
      </c>
      <c r="S37" s="17">
        <f t="shared" ref="S37:V37" si="58">S11/S7</f>
        <v>0.41357986171080069</v>
      </c>
      <c r="T37" s="17">
        <f t="shared" si="58"/>
        <v>0.39377772570350261</v>
      </c>
      <c r="U37" s="17">
        <f t="shared" si="58"/>
        <v>0.37219265115567202</v>
      </c>
      <c r="V37" s="17">
        <f t="shared" si="58"/>
        <v>0.34864629183876966</v>
      </c>
    </row>
    <row r="38" spans="1:22" ht="15" customHeight="1" x14ac:dyDescent="0.2">
      <c r="A38" s="5" t="s">
        <v>131</v>
      </c>
      <c r="B38" s="17">
        <f>B31/B7</f>
        <v>0.17924405766982726</v>
      </c>
      <c r="C38" s="17">
        <f t="shared" ref="C38:J38" si="59">C31/C7</f>
        <v>0.18237159162967659</v>
      </c>
      <c r="D38" s="17">
        <f t="shared" si="59"/>
        <v>0.18529374283165542</v>
      </c>
      <c r="E38" s="17">
        <f t="shared" si="59"/>
        <v>0.1782213722208941</v>
      </c>
      <c r="F38" s="17">
        <f t="shared" si="59"/>
        <v>0.20485175202156333</v>
      </c>
      <c r="G38" s="17">
        <f t="shared" si="59"/>
        <v>0.19546332046332046</v>
      </c>
      <c r="H38" s="17">
        <f t="shared" si="59"/>
        <v>0.18878460258999644</v>
      </c>
      <c r="I38" s="17">
        <f t="shared" si="59"/>
        <v>0.18337943752881511</v>
      </c>
      <c r="J38" s="17">
        <f t="shared" si="59"/>
        <v>0.18699868310786544</v>
      </c>
      <c r="K38" s="17">
        <f>K31/K7</f>
        <v>0.18331532026330538</v>
      </c>
      <c r="L38" s="17">
        <f t="shared" ref="L38:M38" si="60">L31/L7</f>
        <v>0.1894818428727077</v>
      </c>
      <c r="M38" s="17">
        <f t="shared" si="60"/>
        <v>0.16922898997088287</v>
      </c>
      <c r="N38" s="4"/>
      <c r="O38" s="17">
        <f t="shared" ref="O38:P38" si="61">O31/O7</f>
        <v>0.18124351353901311</v>
      </c>
      <c r="P38" s="17">
        <f t="shared" si="61"/>
        <v>0.19281321596527193</v>
      </c>
      <c r="Q38" s="17">
        <f>Q31/Q7</f>
        <v>0.1821616365600319</v>
      </c>
      <c r="R38" s="17">
        <f>R31/R7</f>
        <v>0.17838691574115526</v>
      </c>
      <c r="S38" s="17">
        <f t="shared" ref="S38:V38" si="62">S31/S7</f>
        <v>0.17095630941488438</v>
      </c>
      <c r="T38" s="17">
        <f t="shared" si="62"/>
        <v>0.16103461390498841</v>
      </c>
      <c r="U38" s="17">
        <f t="shared" si="62"/>
        <v>0.1485306490315689</v>
      </c>
      <c r="V38" s="17">
        <f t="shared" si="62"/>
        <v>0.13331677340834522</v>
      </c>
    </row>
    <row r="39" spans="1:22" ht="15" customHeight="1" x14ac:dyDescent="0.2">
      <c r="A39" s="5" t="s">
        <v>132</v>
      </c>
      <c r="B39" s="17">
        <f>B32/B7</f>
        <v>0.14287569814261591</v>
      </c>
      <c r="C39" s="17">
        <f t="shared" ref="C39:J39" si="63">C32/C7</f>
        <v>0.15738744451490172</v>
      </c>
      <c r="D39" s="17">
        <f t="shared" si="63"/>
        <v>0.13674015547342933</v>
      </c>
      <c r="E39" s="17">
        <f t="shared" si="63"/>
        <v>0.13997131245517572</v>
      </c>
      <c r="F39" s="17">
        <f t="shared" si="63"/>
        <v>0.17366191759722757</v>
      </c>
      <c r="G39" s="17">
        <f t="shared" si="63"/>
        <v>0.16614382239382239</v>
      </c>
      <c r="H39" s="17">
        <f t="shared" si="63"/>
        <v>0.15646905073066414</v>
      </c>
      <c r="I39" s="17">
        <f t="shared" si="63"/>
        <v>0.17485016136468418</v>
      </c>
      <c r="J39" s="17">
        <f t="shared" si="63"/>
        <v>0.14210463306596433</v>
      </c>
      <c r="K39" s="17">
        <f>K32/K7</f>
        <v>0.15689101006476083</v>
      </c>
      <c r="L39" s="17">
        <f t="shared" ref="L39:M39" si="64">L32/L7</f>
        <v>0.15365215962199064</v>
      </c>
      <c r="M39" s="17">
        <f t="shared" si="64"/>
        <v>0.14080748298865131</v>
      </c>
      <c r="N39" s="4"/>
      <c r="O39" s="17">
        <f t="shared" ref="O39:P39" si="65">O32/O7</f>
        <v>0.14419599333270433</v>
      </c>
      <c r="P39" s="17">
        <f t="shared" si="65"/>
        <v>0.16773182201856987</v>
      </c>
      <c r="Q39" s="17">
        <f>Q32/Q7</f>
        <v>0.14838850908531781</v>
      </c>
      <c r="R39" s="17">
        <f>R32/R7</f>
        <v>0.14709077170898552</v>
      </c>
      <c r="S39" s="17">
        <f t="shared" ref="S39:V39" si="66">S32/S7</f>
        <v>0.14103085841776869</v>
      </c>
      <c r="T39" s="17">
        <f t="shared" si="66"/>
        <v>0.1329043154468672</v>
      </c>
      <c r="U39" s="17">
        <f t="shared" si="66"/>
        <v>0.12270312385229623</v>
      </c>
      <c r="V39" s="17">
        <f t="shared" si="66"/>
        <v>0.11032668662692902</v>
      </c>
    </row>
    <row r="40" spans="1:22" ht="15" customHeight="1" x14ac:dyDescent="0.2">
      <c r="A40" s="5" t="s">
        <v>134</v>
      </c>
      <c r="B40" s="17">
        <f t="shared" ref="B40:J40" si="67">B21/B20</f>
        <v>0.26550868486352358</v>
      </c>
      <c r="C40" s="17">
        <f t="shared" si="67"/>
        <v>0.1937097927090779</v>
      </c>
      <c r="D40" s="17">
        <f t="shared" si="67"/>
        <v>0.2295957284515637</v>
      </c>
      <c r="E40" s="17">
        <f t="shared" si="67"/>
        <v>0.20496453900709219</v>
      </c>
      <c r="F40" s="17">
        <f t="shared" si="67"/>
        <v>0.19713038053649407</v>
      </c>
      <c r="G40" s="17">
        <f t="shared" si="67"/>
        <v>0.17527795945062133</v>
      </c>
      <c r="H40" s="17">
        <f t="shared" si="67"/>
        <v>0.18590998043052837</v>
      </c>
      <c r="I40" s="17">
        <f t="shared" si="67"/>
        <v>0.11677934849416104</v>
      </c>
      <c r="J40" s="17">
        <f t="shared" si="67"/>
        <v>0.20100502512562815</v>
      </c>
      <c r="K40" s="17">
        <f>SUM($B$21:$J$21)/SUM($B$20:$J$20)</f>
        <v>0.19371446134931611</v>
      </c>
      <c r="L40" s="17">
        <f t="shared" ref="L40:M40" si="68">SUM($B$21:$J$21)/SUM($B$20:$J$20)</f>
        <v>0.19371446134931611</v>
      </c>
      <c r="M40" s="17">
        <f t="shared" si="68"/>
        <v>0.19371446134931611</v>
      </c>
      <c r="N40" s="4"/>
      <c r="O40" s="17">
        <v>0.21</v>
      </c>
      <c r="P40" s="17">
        <v>0.21</v>
      </c>
      <c r="Q40" s="17">
        <f>Q21/Q20</f>
        <v>0.19541893618271736</v>
      </c>
      <c r="R40" s="17">
        <f>SUM($B$21:$J$21)/SUM($B$20:$J$20)</f>
        <v>0.19371446134931611</v>
      </c>
      <c r="S40" s="17">
        <f t="shared" ref="S40:V40" si="69">SUM($B$21:$J$21)/SUM($B$20:$J$20)</f>
        <v>0.19371446134931611</v>
      </c>
      <c r="T40" s="17">
        <f t="shared" si="69"/>
        <v>0.19371446134931611</v>
      </c>
      <c r="U40" s="17">
        <f t="shared" si="69"/>
        <v>0.19371446134931611</v>
      </c>
      <c r="V40" s="17">
        <f t="shared" si="69"/>
        <v>0.19371446134931611</v>
      </c>
    </row>
    <row r="41" spans="1:22" ht="15" customHeight="1" x14ac:dyDescent="0.2">
      <c r="A41" s="5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2">
      <c r="A42" s="5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2">
      <c r="A43" s="2" t="s">
        <v>76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4"/>
      <c r="O43" s="4"/>
      <c r="P43" s="4"/>
      <c r="Q43" s="27"/>
      <c r="R43" s="27"/>
      <c r="S43" s="27"/>
      <c r="T43" s="27"/>
      <c r="U43" s="27"/>
      <c r="V43" s="27"/>
    </row>
    <row r="44" spans="1:22" ht="15" customHeight="1" x14ac:dyDescent="0.2">
      <c r="A44" s="2" t="s">
        <v>75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4"/>
      <c r="O44" s="4"/>
      <c r="P44" s="26"/>
      <c r="Q44" s="4"/>
      <c r="R44" s="4"/>
      <c r="S44" s="4"/>
      <c r="T44" s="4"/>
      <c r="U44" s="4"/>
      <c r="V44" s="27"/>
    </row>
    <row r="45" spans="1:22" ht="15" customHeight="1" x14ac:dyDescent="0.2">
      <c r="A45" s="2" t="s">
        <v>74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4"/>
      <c r="O45" s="4"/>
      <c r="P45" s="26"/>
      <c r="Q45" s="4"/>
      <c r="R45" s="4"/>
      <c r="S45" s="4"/>
      <c r="T45" s="4"/>
      <c r="U45" s="4"/>
      <c r="V45" s="4"/>
    </row>
    <row r="46" spans="1:22" ht="15" customHeight="1" x14ac:dyDescent="0.2">
      <c r="A46" s="5" t="s">
        <v>73</v>
      </c>
      <c r="B46" s="12">
        <v>9693</v>
      </c>
      <c r="C46" s="12">
        <v>7701</v>
      </c>
      <c r="D46" s="12">
        <v>7272</v>
      </c>
      <c r="E46" s="12">
        <v>6561</v>
      </c>
      <c r="F46" s="12">
        <v>7449</v>
      </c>
      <c r="G46" s="12">
        <v>6688</v>
      </c>
      <c r="H46" s="12">
        <v>8995</v>
      </c>
      <c r="I46" s="12">
        <v>8049</v>
      </c>
      <c r="J46" s="12">
        <v>6977</v>
      </c>
      <c r="K46" s="12"/>
      <c r="L46" s="12"/>
      <c r="M46" s="12"/>
      <c r="N46" s="4"/>
      <c r="O46" s="4"/>
      <c r="P46" s="27"/>
      <c r="Q46" s="4"/>
      <c r="R46" s="4"/>
      <c r="S46" s="4"/>
      <c r="T46" s="4"/>
      <c r="U46" s="4"/>
      <c r="V46" s="4"/>
    </row>
    <row r="47" spans="1:22" ht="15" customHeight="1" x14ac:dyDescent="0.2">
      <c r="A47" s="5" t="s">
        <v>72</v>
      </c>
      <c r="B47" s="12">
        <v>4625</v>
      </c>
      <c r="C47" s="12">
        <v>5915</v>
      </c>
      <c r="D47" s="12">
        <v>4647</v>
      </c>
      <c r="E47" s="12">
        <v>4262</v>
      </c>
      <c r="F47" s="12">
        <v>3762</v>
      </c>
      <c r="G47" s="12">
        <v>3320</v>
      </c>
      <c r="H47" s="12">
        <v>1760</v>
      </c>
      <c r="I47" s="12">
        <v>2373</v>
      </c>
      <c r="J47" s="12">
        <v>2365</v>
      </c>
      <c r="K47" s="12"/>
      <c r="L47" s="12"/>
      <c r="M47" s="12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2">
      <c r="A48" s="5" t="s">
        <v>71</v>
      </c>
      <c r="B48" s="12">
        <v>1108</v>
      </c>
      <c r="C48" s="12">
        <v>987</v>
      </c>
      <c r="D48" s="12">
        <v>1038</v>
      </c>
      <c r="E48" s="12">
        <v>984</v>
      </c>
      <c r="F48" s="12">
        <v>1082</v>
      </c>
      <c r="G48" s="12">
        <v>1099</v>
      </c>
      <c r="H48" s="12">
        <v>973</v>
      </c>
      <c r="I48" s="12">
        <v>840</v>
      </c>
      <c r="J48" s="12">
        <v>843</v>
      </c>
      <c r="K48" s="12"/>
      <c r="L48" s="12"/>
      <c r="M48" s="12"/>
      <c r="N48" s="4"/>
      <c r="O48" s="4"/>
      <c r="P48" s="4"/>
      <c r="Q48" s="4"/>
      <c r="R48" s="4"/>
      <c r="S48" s="4"/>
      <c r="T48" s="4"/>
      <c r="U48" s="4"/>
      <c r="V48" s="4"/>
    </row>
    <row r="49" spans="1:22" ht="15" customHeight="1" x14ac:dyDescent="0.2">
      <c r="A49" s="5" t="s">
        <v>70</v>
      </c>
      <c r="B49" s="12">
        <v>307</v>
      </c>
      <c r="C49" s="12">
        <v>369</v>
      </c>
      <c r="D49" s="12">
        <v>471</v>
      </c>
      <c r="E49" s="12">
        <v>541</v>
      </c>
      <c r="F49" s="12">
        <v>714</v>
      </c>
      <c r="G49" s="12">
        <v>817</v>
      </c>
      <c r="H49" s="12">
        <v>1404</v>
      </c>
      <c r="I49" s="12">
        <v>1726</v>
      </c>
      <c r="J49" s="12">
        <v>1825</v>
      </c>
      <c r="K49" s="12"/>
      <c r="L49" s="12"/>
      <c r="M49" s="12"/>
      <c r="N49" s="4"/>
      <c r="O49" s="4"/>
      <c r="P49" s="4"/>
      <c r="Q49" s="4"/>
      <c r="R49" s="4"/>
      <c r="S49" s="4"/>
      <c r="T49" s="4"/>
      <c r="U49" s="4"/>
      <c r="V49" s="4"/>
    </row>
    <row r="50" spans="1:22" ht="15" customHeight="1" x14ac:dyDescent="0.2">
      <c r="A50" s="5" t="s">
        <v>69</v>
      </c>
      <c r="B50" s="12">
        <v>5202</v>
      </c>
      <c r="C50" s="12">
        <v>5319</v>
      </c>
      <c r="D50" s="12">
        <v>6003</v>
      </c>
      <c r="E50" s="12">
        <v>6422</v>
      </c>
      <c r="F50" s="12">
        <v>6511</v>
      </c>
      <c r="G50" s="12">
        <v>6938</v>
      </c>
      <c r="H50" s="12">
        <v>6396</v>
      </c>
      <c r="I50" s="12">
        <v>6746</v>
      </c>
      <c r="J50" s="12">
        <v>6705</v>
      </c>
      <c r="K50" s="12"/>
      <c r="L50" s="12"/>
      <c r="M50" s="12"/>
      <c r="N50" s="4"/>
      <c r="O50" s="4"/>
      <c r="P50" s="4"/>
      <c r="Q50" s="4"/>
      <c r="R50" s="4"/>
      <c r="S50" s="4"/>
      <c r="T50" s="4"/>
      <c r="U50" s="4"/>
      <c r="V50" s="4"/>
    </row>
    <row r="51" spans="1:22" ht="15" customHeight="1" x14ac:dyDescent="0.2">
      <c r="A51" s="5" t="s">
        <v>68</v>
      </c>
      <c r="B51" s="12">
        <v>38353</v>
      </c>
      <c r="C51" s="12">
        <v>38727</v>
      </c>
      <c r="D51" s="12">
        <v>39182</v>
      </c>
      <c r="E51" s="12">
        <v>37671</v>
      </c>
      <c r="F51" s="12">
        <v>39205</v>
      </c>
      <c r="G51" s="12">
        <v>38923</v>
      </c>
      <c r="H51" s="12">
        <v>38668</v>
      </c>
      <c r="I51" s="12">
        <v>38198</v>
      </c>
      <c r="J51" s="12">
        <v>39501</v>
      </c>
      <c r="K51" s="12"/>
      <c r="L51" s="12"/>
      <c r="M51" s="12"/>
      <c r="N51" s="4"/>
      <c r="O51" s="4"/>
      <c r="P51" s="4"/>
      <c r="Q51" s="4"/>
      <c r="R51" s="4"/>
      <c r="S51" s="4"/>
      <c r="T51" s="4"/>
      <c r="U51" s="4"/>
      <c r="V51" s="4"/>
    </row>
    <row r="52" spans="1:22" ht="15" customHeight="1" x14ac:dyDescent="0.2">
      <c r="A52" s="5" t="s">
        <v>67</v>
      </c>
      <c r="B52" s="12">
        <v>4418</v>
      </c>
      <c r="C52" s="12">
        <v>3954</v>
      </c>
      <c r="D52" s="12">
        <v>4060</v>
      </c>
      <c r="E52" s="12">
        <v>4651</v>
      </c>
      <c r="F52" s="12">
        <v>1888</v>
      </c>
      <c r="G52" s="12">
        <v>2094</v>
      </c>
      <c r="H52" s="12">
        <v>1980</v>
      </c>
      <c r="I52" s="12">
        <v>1827</v>
      </c>
      <c r="J52" s="12">
        <v>1779</v>
      </c>
      <c r="K52" s="12"/>
      <c r="L52" s="12"/>
      <c r="M52" s="12"/>
      <c r="N52" s="4"/>
      <c r="O52" s="4"/>
      <c r="P52" s="4"/>
      <c r="Q52" s="4"/>
      <c r="R52" s="4"/>
      <c r="S52" s="4"/>
      <c r="T52" s="4"/>
      <c r="U52" s="4"/>
      <c r="V52" s="4"/>
    </row>
    <row r="53" spans="1:22" ht="15" customHeight="1" x14ac:dyDescent="0.2">
      <c r="A53" s="2" t="s">
        <v>66</v>
      </c>
      <c r="B53" s="10">
        <f t="shared" ref="B53:J53" si="70">SUM(B46:B52)</f>
        <v>63706</v>
      </c>
      <c r="C53" s="10">
        <f t="shared" si="70"/>
        <v>62972</v>
      </c>
      <c r="D53" s="10">
        <f t="shared" si="70"/>
        <v>62673</v>
      </c>
      <c r="E53" s="10">
        <f t="shared" si="70"/>
        <v>61092</v>
      </c>
      <c r="F53" s="10">
        <f t="shared" si="70"/>
        <v>60611</v>
      </c>
      <c r="G53" s="10">
        <f t="shared" si="70"/>
        <v>59879</v>
      </c>
      <c r="H53" s="10">
        <f t="shared" si="70"/>
        <v>60176</v>
      </c>
      <c r="I53" s="10">
        <f t="shared" si="70"/>
        <v>59759</v>
      </c>
      <c r="J53" s="10">
        <f t="shared" si="70"/>
        <v>59995</v>
      </c>
      <c r="K53" s="10"/>
      <c r="L53" s="10"/>
      <c r="M53" s="10"/>
      <c r="N53" s="4"/>
      <c r="O53" s="4"/>
      <c r="P53" s="4"/>
      <c r="Q53" s="4"/>
      <c r="R53" s="4"/>
      <c r="S53" s="4"/>
      <c r="T53" s="4"/>
      <c r="U53" s="4"/>
      <c r="V53" s="4"/>
    </row>
    <row r="54" spans="1:22" ht="15" customHeight="1" x14ac:dyDescent="0.2">
      <c r="A54" s="5" t="s">
        <v>65</v>
      </c>
      <c r="B54" s="12">
        <v>3409</v>
      </c>
      <c r="C54" s="12">
        <v>4653</v>
      </c>
      <c r="D54" s="12">
        <v>4282</v>
      </c>
      <c r="E54" s="12">
        <v>4583</v>
      </c>
      <c r="F54" s="12">
        <v>4613</v>
      </c>
      <c r="G54" s="12">
        <v>3645</v>
      </c>
      <c r="H54" s="12">
        <v>3601</v>
      </c>
      <c r="I54" s="12">
        <v>4330</v>
      </c>
      <c r="J54" s="12">
        <v>4125</v>
      </c>
      <c r="K54" s="12"/>
      <c r="L54" s="12"/>
      <c r="M54" s="12"/>
      <c r="N54" s="4"/>
      <c r="O54" s="4"/>
      <c r="P54" s="4"/>
      <c r="Q54" s="4"/>
      <c r="R54" s="4"/>
      <c r="S54" s="4"/>
      <c r="T54" s="4"/>
      <c r="U54" s="4"/>
      <c r="V54" s="4"/>
    </row>
    <row r="55" spans="1:22" ht="15" customHeight="1" x14ac:dyDescent="0.2">
      <c r="A55" s="5" t="s">
        <v>64</v>
      </c>
      <c r="B55" s="12">
        <v>1426</v>
      </c>
      <c r="C55" s="12">
        <v>1459</v>
      </c>
      <c r="D55" s="12">
        <v>1496</v>
      </c>
      <c r="E55" s="12">
        <v>1508</v>
      </c>
      <c r="F55" s="12">
        <v>1537</v>
      </c>
      <c r="G55" s="12">
        <v>1625</v>
      </c>
      <c r="H55" s="12">
        <v>1656</v>
      </c>
      <c r="I55" s="12">
        <v>1700</v>
      </c>
      <c r="J55" s="12">
        <v>1708</v>
      </c>
      <c r="K55" s="12"/>
      <c r="L55" s="12"/>
      <c r="M55" s="12"/>
      <c r="N55" s="4"/>
      <c r="O55" s="4"/>
      <c r="P55" s="4"/>
      <c r="Q55" s="4"/>
      <c r="R55" s="4"/>
      <c r="S55" s="4"/>
      <c r="T55" s="4"/>
      <c r="U55" s="4"/>
      <c r="V55" s="4"/>
    </row>
    <row r="56" spans="1:22" ht="15" customHeight="1" x14ac:dyDescent="0.2">
      <c r="A56" s="5" t="s">
        <v>63</v>
      </c>
      <c r="B56" s="12">
        <v>10916</v>
      </c>
      <c r="C56" s="12">
        <v>10816</v>
      </c>
      <c r="D56" s="12">
        <v>10996</v>
      </c>
      <c r="E56" s="12">
        <v>10837</v>
      </c>
      <c r="F56" s="12">
        <v>10910</v>
      </c>
      <c r="G56" s="12">
        <v>10976</v>
      </c>
      <c r="H56" s="12">
        <v>10941</v>
      </c>
      <c r="I56" s="12">
        <v>10864</v>
      </c>
      <c r="J56" s="12">
        <v>10946</v>
      </c>
      <c r="K56" s="12"/>
      <c r="L56" s="12"/>
      <c r="M56" s="12"/>
      <c r="N56" s="4"/>
      <c r="O56" s="4"/>
      <c r="P56" s="4"/>
      <c r="Q56" s="4"/>
      <c r="R56" s="4"/>
      <c r="S56" s="4"/>
      <c r="T56" s="4"/>
      <c r="U56" s="4"/>
      <c r="V56" s="4"/>
    </row>
    <row r="57" spans="1:22" ht="15" customHeight="1" x14ac:dyDescent="0.2">
      <c r="A57" s="5" t="s">
        <v>62</v>
      </c>
      <c r="B57" s="12">
        <v>465</v>
      </c>
      <c r="C57" s="12">
        <v>403</v>
      </c>
      <c r="D57" s="12">
        <v>393</v>
      </c>
      <c r="E57" s="12">
        <v>326</v>
      </c>
      <c r="F57" s="12">
        <v>296</v>
      </c>
      <c r="G57" s="12">
        <v>271</v>
      </c>
      <c r="H57" s="12">
        <v>226</v>
      </c>
      <c r="I57" s="12">
        <v>208</v>
      </c>
      <c r="J57" s="12">
        <v>206</v>
      </c>
      <c r="K57" s="12"/>
      <c r="L57" s="12"/>
      <c r="M57" s="12"/>
      <c r="N57" s="4"/>
      <c r="O57" s="4"/>
      <c r="P57" s="4"/>
      <c r="Q57" s="4"/>
      <c r="R57" s="4"/>
      <c r="S57" s="4"/>
      <c r="T57" s="4"/>
      <c r="U57" s="4"/>
      <c r="V57" s="4"/>
    </row>
    <row r="58" spans="1:22" ht="15" customHeight="1" x14ac:dyDescent="0.2">
      <c r="A58" s="5" t="s">
        <v>61</v>
      </c>
      <c r="B58" s="12">
        <v>3425</v>
      </c>
      <c r="C58" s="12">
        <v>3713</v>
      </c>
      <c r="D58" s="12">
        <v>3671</v>
      </c>
      <c r="E58" s="12">
        <v>3265</v>
      </c>
      <c r="F58" s="12">
        <v>3307</v>
      </c>
      <c r="G58" s="12">
        <v>3381</v>
      </c>
      <c r="H58" s="12">
        <v>3201</v>
      </c>
      <c r="I58" s="12">
        <v>3312</v>
      </c>
      <c r="J58" s="12">
        <v>3566</v>
      </c>
      <c r="K58" s="12"/>
      <c r="L58" s="12"/>
      <c r="M58" s="12"/>
      <c r="N58" s="4"/>
      <c r="O58" s="4"/>
      <c r="P58" s="4"/>
      <c r="Q58" s="4"/>
      <c r="R58" s="4"/>
      <c r="S58" s="4"/>
      <c r="T58" s="4"/>
      <c r="U58" s="4"/>
      <c r="V58" s="4"/>
    </row>
    <row r="59" spans="1:22" ht="15" customHeight="1" x14ac:dyDescent="0.2">
      <c r="A59" s="2" t="s">
        <v>60</v>
      </c>
      <c r="B59" s="10">
        <f t="shared" ref="B59:J59" si="71">B53+SUM(B54:B58)</f>
        <v>83347</v>
      </c>
      <c r="C59" s="10">
        <f t="shared" si="71"/>
        <v>84016</v>
      </c>
      <c r="D59" s="10">
        <f t="shared" si="71"/>
        <v>83511</v>
      </c>
      <c r="E59" s="10">
        <f t="shared" si="71"/>
        <v>81611</v>
      </c>
      <c r="F59" s="10">
        <f t="shared" si="71"/>
        <v>81274</v>
      </c>
      <c r="G59" s="10">
        <f t="shared" si="71"/>
        <v>79777</v>
      </c>
      <c r="H59" s="10">
        <f t="shared" si="71"/>
        <v>79801</v>
      </c>
      <c r="I59" s="10">
        <f t="shared" si="71"/>
        <v>80173</v>
      </c>
      <c r="J59" s="10">
        <f t="shared" si="71"/>
        <v>80546</v>
      </c>
      <c r="K59" s="10"/>
      <c r="L59" s="10"/>
      <c r="M59" s="10"/>
      <c r="N59" s="4"/>
      <c r="O59" s="4"/>
      <c r="P59" s="4"/>
      <c r="Q59" s="4"/>
      <c r="R59" s="4"/>
      <c r="S59" s="4"/>
      <c r="T59" s="4"/>
      <c r="U59" s="4"/>
      <c r="V59" s="4"/>
    </row>
    <row r="60" spans="1:22" ht="15" customHeight="1" x14ac:dyDescent="0.2">
      <c r="A60" s="5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4"/>
      <c r="O60" s="4"/>
      <c r="P60" s="4"/>
      <c r="Q60" s="4"/>
      <c r="R60" s="4"/>
      <c r="S60" s="4"/>
      <c r="T60" s="4"/>
      <c r="U60" s="4"/>
      <c r="V60" s="4"/>
    </row>
    <row r="61" spans="1:22" ht="15" customHeight="1" x14ac:dyDescent="0.2">
      <c r="A61" s="2" t="s">
        <v>59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4"/>
      <c r="O61" s="4"/>
      <c r="P61" s="4"/>
      <c r="Q61" s="4"/>
      <c r="R61" s="4"/>
      <c r="S61" s="4"/>
      <c r="T61" s="4"/>
      <c r="U61" s="4"/>
      <c r="V61" s="4"/>
    </row>
    <row r="62" spans="1:22" ht="15" customHeight="1" x14ac:dyDescent="0.2">
      <c r="A62" s="2" t="s">
        <v>58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4"/>
      <c r="O62" s="4"/>
      <c r="P62" s="4"/>
      <c r="Q62" s="4"/>
      <c r="R62" s="4"/>
      <c r="S62" s="4"/>
      <c r="T62" s="4"/>
      <c r="U62" s="4"/>
      <c r="V62" s="4"/>
    </row>
    <row r="63" spans="1:22" ht="15" customHeight="1" x14ac:dyDescent="0.2">
      <c r="A63" s="5" t="s">
        <v>29</v>
      </c>
      <c r="B63" s="12">
        <v>108</v>
      </c>
      <c r="C63" s="12">
        <v>133</v>
      </c>
      <c r="D63" s="12">
        <v>165</v>
      </c>
      <c r="E63" s="12">
        <v>227</v>
      </c>
      <c r="F63" s="12">
        <v>175</v>
      </c>
      <c r="G63" s="12">
        <v>221</v>
      </c>
      <c r="H63" s="12">
        <v>208</v>
      </c>
      <c r="I63" s="12">
        <v>240</v>
      </c>
      <c r="J63" s="12">
        <v>162</v>
      </c>
      <c r="K63" s="12"/>
      <c r="L63" s="12"/>
      <c r="M63" s="12"/>
      <c r="N63" s="4"/>
      <c r="O63" s="4"/>
      <c r="P63" s="4"/>
      <c r="Q63" s="4"/>
      <c r="R63" s="4"/>
      <c r="S63" s="4"/>
      <c r="T63" s="4"/>
      <c r="U63" s="4"/>
      <c r="V63" s="4"/>
    </row>
    <row r="64" spans="1:22" ht="15" customHeight="1" x14ac:dyDescent="0.2">
      <c r="A64" s="5" t="s">
        <v>5</v>
      </c>
      <c r="B64" s="12">
        <v>41353</v>
      </c>
      <c r="C64" s="12">
        <v>41727</v>
      </c>
      <c r="D64" s="12">
        <v>41182</v>
      </c>
      <c r="E64" s="12">
        <v>39671</v>
      </c>
      <c r="F64" s="12">
        <v>41205</v>
      </c>
      <c r="G64" s="12">
        <v>40923</v>
      </c>
      <c r="H64" s="12">
        <v>40668</v>
      </c>
      <c r="I64" s="12">
        <v>40198</v>
      </c>
      <c r="J64" s="12">
        <v>41501</v>
      </c>
      <c r="K64" s="12"/>
      <c r="L64" s="12"/>
      <c r="M64" s="12"/>
      <c r="N64" s="4"/>
      <c r="O64" s="4"/>
      <c r="P64" s="4"/>
      <c r="Q64" s="4"/>
      <c r="R64" s="4"/>
      <c r="S64" s="4"/>
      <c r="T64" s="4"/>
      <c r="U64" s="4"/>
      <c r="V64" s="4"/>
    </row>
    <row r="65" spans="1:22" ht="15" customHeight="1" x14ac:dyDescent="0.2">
      <c r="A65" s="5" t="s">
        <v>57</v>
      </c>
      <c r="B65" s="12">
        <v>8385</v>
      </c>
      <c r="C65" s="12">
        <v>8853</v>
      </c>
      <c r="D65" s="12">
        <v>8921</v>
      </c>
      <c r="E65" s="12">
        <v>8478</v>
      </c>
      <c r="F65" s="12">
        <v>5242</v>
      </c>
      <c r="G65" s="12">
        <v>3906</v>
      </c>
      <c r="H65" s="12">
        <v>4048</v>
      </c>
      <c r="I65" s="12">
        <v>6005</v>
      </c>
      <c r="J65" s="12">
        <v>5974</v>
      </c>
      <c r="K65" s="12"/>
      <c r="L65" s="12"/>
      <c r="M65" s="12"/>
      <c r="N65" s="4"/>
      <c r="O65" s="4"/>
      <c r="P65" s="4"/>
      <c r="Q65" s="4"/>
      <c r="R65" s="4"/>
      <c r="S65" s="4"/>
      <c r="T65" s="4"/>
      <c r="U65" s="4"/>
      <c r="V65" s="4"/>
    </row>
    <row r="66" spans="1:22" ht="15" customHeight="1" x14ac:dyDescent="0.2">
      <c r="A66" s="2" t="s">
        <v>56</v>
      </c>
      <c r="B66" s="10">
        <f t="shared" ref="B66:J66" si="72">SUM(B63:B65)</f>
        <v>49846</v>
      </c>
      <c r="C66" s="10">
        <f t="shared" si="72"/>
        <v>50713</v>
      </c>
      <c r="D66" s="10">
        <f t="shared" si="72"/>
        <v>50268</v>
      </c>
      <c r="E66" s="10">
        <f t="shared" si="72"/>
        <v>48376</v>
      </c>
      <c r="F66" s="10">
        <f t="shared" si="72"/>
        <v>46622</v>
      </c>
      <c r="G66" s="10">
        <f t="shared" si="72"/>
        <v>45050</v>
      </c>
      <c r="H66" s="10">
        <f t="shared" si="72"/>
        <v>44924</v>
      </c>
      <c r="I66" s="10">
        <f t="shared" si="72"/>
        <v>46443</v>
      </c>
      <c r="J66" s="10">
        <f t="shared" si="72"/>
        <v>47637</v>
      </c>
      <c r="K66" s="10"/>
      <c r="L66" s="10"/>
      <c r="M66" s="10"/>
      <c r="N66" s="4"/>
      <c r="O66" s="4"/>
      <c r="P66" s="4"/>
      <c r="Q66" s="4"/>
      <c r="R66" s="4"/>
      <c r="S66" s="4"/>
      <c r="T66" s="4"/>
      <c r="U66" s="4"/>
      <c r="V66" s="4"/>
    </row>
    <row r="67" spans="1:22" ht="15" customHeight="1" x14ac:dyDescent="0.2">
      <c r="A67" s="5" t="s">
        <v>55</v>
      </c>
      <c r="B67" s="12">
        <v>3116</v>
      </c>
      <c r="C67" s="12">
        <v>2954</v>
      </c>
      <c r="D67" s="12">
        <v>3093</v>
      </c>
      <c r="E67" s="12">
        <v>2939</v>
      </c>
      <c r="F67" s="12">
        <v>2981</v>
      </c>
      <c r="G67" s="12">
        <v>3230</v>
      </c>
      <c r="H67" s="12">
        <v>3403</v>
      </c>
      <c r="I67" s="12">
        <v>3487</v>
      </c>
      <c r="J67" s="12">
        <v>3476</v>
      </c>
      <c r="K67" s="12"/>
      <c r="L67" s="12"/>
      <c r="M67" s="12"/>
      <c r="N67" s="4"/>
      <c r="O67" s="4"/>
      <c r="P67" s="4"/>
      <c r="Q67" s="4"/>
      <c r="R67" s="4"/>
      <c r="S67" s="4"/>
      <c r="T67" s="4"/>
      <c r="U67" s="4"/>
      <c r="V67" s="4"/>
    </row>
    <row r="68" spans="1:22" ht="15" customHeight="1" x14ac:dyDescent="0.2">
      <c r="A68" s="5" t="s">
        <v>54</v>
      </c>
      <c r="B68" s="12">
        <v>9683</v>
      </c>
      <c r="C68" s="12">
        <v>9727</v>
      </c>
      <c r="D68" s="12">
        <v>9976</v>
      </c>
      <c r="E68" s="12">
        <v>9879</v>
      </c>
      <c r="F68" s="12">
        <v>11417</v>
      </c>
      <c r="G68" s="12">
        <v>11296</v>
      </c>
      <c r="H68" s="12">
        <v>11276</v>
      </c>
      <c r="I68" s="12">
        <v>9987</v>
      </c>
      <c r="J68" s="12">
        <v>9409</v>
      </c>
      <c r="K68" s="12"/>
      <c r="L68" s="12"/>
      <c r="M68" s="12"/>
      <c r="N68" s="4"/>
      <c r="O68" s="4"/>
      <c r="P68" s="4"/>
      <c r="Q68" s="4"/>
      <c r="R68" s="4"/>
      <c r="S68" s="4"/>
      <c r="T68" s="4"/>
      <c r="U68" s="4"/>
      <c r="V68" s="4"/>
    </row>
    <row r="69" spans="1:22" ht="15" customHeight="1" x14ac:dyDescent="0.2">
      <c r="A69" s="2" t="s">
        <v>53</v>
      </c>
      <c r="B69" s="10">
        <f t="shared" ref="B69:J69" si="73">B66+SUM(B67:B68)</f>
        <v>62645</v>
      </c>
      <c r="C69" s="10">
        <f t="shared" si="73"/>
        <v>63394</v>
      </c>
      <c r="D69" s="10">
        <f t="shared" si="73"/>
        <v>63337</v>
      </c>
      <c r="E69" s="10">
        <f t="shared" si="73"/>
        <v>61194</v>
      </c>
      <c r="F69" s="10">
        <f t="shared" si="73"/>
        <v>61020</v>
      </c>
      <c r="G69" s="10">
        <f t="shared" si="73"/>
        <v>59576</v>
      </c>
      <c r="H69" s="10">
        <f t="shared" si="73"/>
        <v>59603</v>
      </c>
      <c r="I69" s="10">
        <f t="shared" si="73"/>
        <v>59917</v>
      </c>
      <c r="J69" s="10">
        <f t="shared" si="73"/>
        <v>60522</v>
      </c>
      <c r="K69" s="10"/>
      <c r="L69" s="10"/>
      <c r="M69" s="10"/>
      <c r="N69" s="4"/>
      <c r="O69" s="4"/>
      <c r="P69" s="4"/>
      <c r="Q69" s="4"/>
      <c r="R69" s="4"/>
      <c r="S69" s="4"/>
      <c r="T69" s="4"/>
      <c r="U69" s="4"/>
      <c r="V69" s="4"/>
    </row>
    <row r="70" spans="1:22" ht="15" customHeight="1" x14ac:dyDescent="0.2">
      <c r="A70" s="2" t="s">
        <v>52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4"/>
      <c r="O70" s="4"/>
      <c r="P70" s="4"/>
      <c r="Q70" s="4"/>
      <c r="R70" s="4"/>
      <c r="S70" s="4"/>
      <c r="T70" s="4"/>
      <c r="U70" s="4"/>
      <c r="V70" s="4"/>
    </row>
    <row r="71" spans="1:22" ht="15" customHeight="1" x14ac:dyDescent="0.2">
      <c r="A71" s="5" t="s">
        <v>51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/>
      <c r="L71" s="12"/>
      <c r="M71" s="12"/>
      <c r="N71" s="4"/>
      <c r="O71" s="4"/>
      <c r="P71" s="4"/>
      <c r="Q71" s="4"/>
      <c r="R71" s="4"/>
      <c r="S71" s="4"/>
      <c r="T71" s="4"/>
      <c r="U71" s="4"/>
      <c r="V71" s="4"/>
    </row>
    <row r="72" spans="1:22" ht="15" customHeight="1" x14ac:dyDescent="0.2">
      <c r="A72" s="5" t="s">
        <v>50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/>
      <c r="L72" s="12"/>
      <c r="M72" s="12"/>
      <c r="N72" s="4"/>
      <c r="O72" s="4"/>
      <c r="P72" s="4"/>
      <c r="Q72" s="4"/>
      <c r="R72" s="4"/>
      <c r="S72" s="4"/>
      <c r="T72" s="4"/>
      <c r="U72" s="4"/>
      <c r="V72" s="4"/>
    </row>
    <row r="73" spans="1:22" ht="15" customHeight="1" x14ac:dyDescent="0.2">
      <c r="A73" s="5" t="s">
        <v>49</v>
      </c>
      <c r="B73" s="12">
        <v>-22552</v>
      </c>
      <c r="C73" s="12">
        <v>-24064</v>
      </c>
      <c r="D73" s="12">
        <v>-25851</v>
      </c>
      <c r="E73" s="12">
        <v>-27085</v>
      </c>
      <c r="F73" s="12">
        <v>-28597</v>
      </c>
      <c r="G73" s="12">
        <v>-30111</v>
      </c>
      <c r="H73" s="12">
        <v>-31624</v>
      </c>
      <c r="I73" s="12">
        <v>-33138</v>
      </c>
      <c r="J73" s="12">
        <v>-34651</v>
      </c>
      <c r="K73" s="12"/>
      <c r="L73" s="12"/>
      <c r="M73" s="12"/>
      <c r="N73" s="4"/>
      <c r="O73" s="4"/>
      <c r="P73" s="4"/>
      <c r="Q73" s="4"/>
      <c r="R73" s="4"/>
      <c r="S73" s="4"/>
      <c r="T73" s="4"/>
      <c r="U73" s="4"/>
      <c r="V73" s="4"/>
    </row>
    <row r="74" spans="1:22" ht="15" customHeight="1" x14ac:dyDescent="0.2">
      <c r="A74" s="5" t="s">
        <v>48</v>
      </c>
      <c r="B74" s="12">
        <v>19825</v>
      </c>
      <c r="C74" s="12">
        <v>20163</v>
      </c>
      <c r="D74" s="12">
        <v>20426</v>
      </c>
      <c r="E74" s="12">
        <v>20705</v>
      </c>
      <c r="F74" s="12">
        <v>20819</v>
      </c>
      <c r="G74" s="12">
        <v>21136</v>
      </c>
      <c r="H74" s="12">
        <v>21359</v>
      </c>
      <c r="I74" s="12">
        <v>21582</v>
      </c>
      <c r="J74" s="12">
        <v>21735</v>
      </c>
      <c r="K74" s="12"/>
      <c r="L74" s="12"/>
      <c r="M74" s="12"/>
      <c r="N74" s="4"/>
      <c r="O74" s="4"/>
      <c r="P74" s="4"/>
      <c r="Q74" s="4"/>
      <c r="R74" s="4"/>
      <c r="S74" s="4"/>
      <c r="T74" s="4"/>
      <c r="U74" s="4"/>
      <c r="V74" s="4"/>
    </row>
    <row r="75" spans="1:22" ht="15" customHeight="1" x14ac:dyDescent="0.2">
      <c r="A75" s="5" t="s">
        <v>47</v>
      </c>
      <c r="B75" s="12">
        <v>24088</v>
      </c>
      <c r="C75" s="12">
        <v>25216</v>
      </c>
      <c r="D75" s="12">
        <v>26226</v>
      </c>
      <c r="E75" s="12">
        <v>27347</v>
      </c>
      <c r="F75" s="12">
        <v>28654</v>
      </c>
      <c r="G75" s="12">
        <v>29915</v>
      </c>
      <c r="H75" s="12">
        <v>31163</v>
      </c>
      <c r="I75" s="12">
        <v>32470</v>
      </c>
      <c r="J75" s="12">
        <v>33453</v>
      </c>
      <c r="K75" s="12"/>
      <c r="L75" s="12"/>
      <c r="M75" s="12"/>
      <c r="N75" s="4"/>
      <c r="O75" s="4"/>
      <c r="P75" s="4"/>
      <c r="Q75" s="4"/>
      <c r="R75" s="4"/>
      <c r="S75" s="4"/>
      <c r="T75" s="4"/>
      <c r="U75" s="4"/>
      <c r="V75" s="4"/>
    </row>
    <row r="76" spans="1:22" ht="15" customHeight="1" x14ac:dyDescent="0.2">
      <c r="A76" s="5" t="s">
        <v>46</v>
      </c>
      <c r="B76" s="12">
        <v>-659</v>
      </c>
      <c r="C76" s="12">
        <v>-693</v>
      </c>
      <c r="D76" s="12">
        <v>-627</v>
      </c>
      <c r="E76" s="12">
        <v>-550</v>
      </c>
      <c r="F76" s="12">
        <v>-622</v>
      </c>
      <c r="G76" s="12">
        <v>-739</v>
      </c>
      <c r="H76" s="12">
        <v>-700</v>
      </c>
      <c r="I76" s="12">
        <v>-658</v>
      </c>
      <c r="J76" s="12">
        <v>-513</v>
      </c>
      <c r="K76" s="12"/>
      <c r="L76" s="12"/>
      <c r="M76" s="12"/>
      <c r="N76" s="4"/>
      <c r="O76" s="4"/>
      <c r="P76" s="4"/>
      <c r="Q76" s="4"/>
      <c r="R76" s="4"/>
      <c r="S76" s="4"/>
      <c r="T76" s="4"/>
      <c r="U76" s="4"/>
      <c r="V76" s="4"/>
    </row>
    <row r="77" spans="1:22" ht="15" customHeight="1" x14ac:dyDescent="0.2">
      <c r="A77" s="2" t="s">
        <v>45</v>
      </c>
      <c r="B77" s="10">
        <f t="shared" ref="B77:J77" si="74">SUM(B71:B76)</f>
        <v>20702</v>
      </c>
      <c r="C77" s="10">
        <f t="shared" si="74"/>
        <v>20622</v>
      </c>
      <c r="D77" s="10">
        <f t="shared" si="74"/>
        <v>20174</v>
      </c>
      <c r="E77" s="10">
        <f t="shared" si="74"/>
        <v>20417</v>
      </c>
      <c r="F77" s="10">
        <f t="shared" si="74"/>
        <v>20254</v>
      </c>
      <c r="G77" s="10">
        <f t="shared" si="74"/>
        <v>20201</v>
      </c>
      <c r="H77" s="10">
        <f t="shared" si="74"/>
        <v>20198</v>
      </c>
      <c r="I77" s="10">
        <f t="shared" si="74"/>
        <v>20256</v>
      </c>
      <c r="J77" s="10">
        <f t="shared" si="74"/>
        <v>20024</v>
      </c>
      <c r="K77" s="10"/>
      <c r="L77" s="10"/>
      <c r="M77" s="10"/>
      <c r="N77" s="4"/>
      <c r="O77" s="4"/>
      <c r="P77" s="4"/>
      <c r="Q77" s="4"/>
      <c r="R77" s="4"/>
      <c r="S77" s="4"/>
      <c r="T77" s="4"/>
      <c r="U77" s="4"/>
      <c r="V77" s="4"/>
    </row>
    <row r="78" spans="1:22" ht="15" customHeight="1" x14ac:dyDescent="0.2">
      <c r="A78" s="2" t="s">
        <v>44</v>
      </c>
      <c r="B78" s="10">
        <f t="shared" ref="B78:J78" si="75">B69+B77</f>
        <v>83347</v>
      </c>
      <c r="C78" s="10">
        <f t="shared" si="75"/>
        <v>84016</v>
      </c>
      <c r="D78" s="10">
        <f t="shared" si="75"/>
        <v>83511</v>
      </c>
      <c r="E78" s="10">
        <f t="shared" si="75"/>
        <v>81611</v>
      </c>
      <c r="F78" s="10">
        <f t="shared" si="75"/>
        <v>81274</v>
      </c>
      <c r="G78" s="10">
        <f t="shared" si="75"/>
        <v>79777</v>
      </c>
      <c r="H78" s="10">
        <f t="shared" si="75"/>
        <v>79801</v>
      </c>
      <c r="I78" s="10">
        <f t="shared" si="75"/>
        <v>80173</v>
      </c>
      <c r="J78" s="10">
        <f t="shared" si="75"/>
        <v>80546</v>
      </c>
      <c r="K78" s="10"/>
      <c r="L78" s="10"/>
      <c r="M78" s="10"/>
      <c r="N78" s="4"/>
      <c r="O78" s="4"/>
      <c r="P78" s="4"/>
      <c r="Q78" s="4"/>
      <c r="R78" s="4"/>
      <c r="S78" s="4"/>
      <c r="T78" s="4"/>
      <c r="U78" s="4"/>
      <c r="V78" s="4"/>
    </row>
    <row r="79" spans="1:22" ht="15" customHeight="1" x14ac:dyDescent="0.2">
      <c r="A79" s="2" t="s">
        <v>43</v>
      </c>
      <c r="B79" s="10">
        <f t="shared" ref="B79:J79" si="76">B59-B78</f>
        <v>0</v>
      </c>
      <c r="C79" s="10">
        <f t="shared" si="76"/>
        <v>0</v>
      </c>
      <c r="D79" s="10">
        <f t="shared" si="76"/>
        <v>0</v>
      </c>
      <c r="E79" s="10">
        <f t="shared" si="76"/>
        <v>0</v>
      </c>
      <c r="F79" s="10">
        <f t="shared" si="76"/>
        <v>0</v>
      </c>
      <c r="G79" s="10">
        <f t="shared" si="76"/>
        <v>0</v>
      </c>
      <c r="H79" s="10">
        <f t="shared" si="76"/>
        <v>0</v>
      </c>
      <c r="I79" s="10">
        <f t="shared" si="76"/>
        <v>0</v>
      </c>
      <c r="J79" s="10">
        <f t="shared" si="76"/>
        <v>0</v>
      </c>
      <c r="K79" s="10"/>
      <c r="L79" s="10"/>
      <c r="M79" s="10"/>
      <c r="N79" s="4"/>
      <c r="O79" s="4"/>
      <c r="P79" s="4"/>
      <c r="Q79" s="4"/>
      <c r="R79" s="4"/>
      <c r="S79" s="4"/>
      <c r="T79" s="4"/>
      <c r="U79" s="4"/>
      <c r="V79" s="4"/>
    </row>
    <row r="80" spans="1:22" ht="15" customHeight="1" x14ac:dyDescent="0.2">
      <c r="A80" s="5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4"/>
      <c r="O80" s="4"/>
      <c r="P80" s="4"/>
      <c r="Q80" s="4"/>
      <c r="R80" s="4"/>
      <c r="S80" s="4"/>
      <c r="T80" s="4"/>
      <c r="U80" s="4"/>
      <c r="V80" s="4"/>
    </row>
    <row r="81" spans="1:22" ht="15" customHeight="1" x14ac:dyDescent="0.2">
      <c r="A81" s="2" t="s">
        <v>42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4"/>
      <c r="O81" s="4"/>
      <c r="P81" s="4"/>
      <c r="Q81" s="4"/>
      <c r="R81" s="4"/>
      <c r="S81" s="4"/>
      <c r="T81" s="4"/>
      <c r="U81" s="4"/>
      <c r="V81" s="4"/>
    </row>
    <row r="82" spans="1:22" ht="15" customHeight="1" x14ac:dyDescent="0.2">
      <c r="A82" s="2" t="s">
        <v>41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4"/>
      <c r="O82" s="4"/>
      <c r="P82" s="4"/>
      <c r="Q82" s="4"/>
      <c r="R82" s="4"/>
      <c r="S82" s="4"/>
      <c r="T82" s="4"/>
      <c r="U82" s="4"/>
      <c r="V82" s="4"/>
    </row>
    <row r="83" spans="1:22" ht="15" customHeight="1" x14ac:dyDescent="0.2">
      <c r="A83" s="5" t="s">
        <v>40</v>
      </c>
      <c r="B83" s="12">
        <v>888</v>
      </c>
      <c r="C83" s="12">
        <v>1128</v>
      </c>
      <c r="D83" s="12">
        <v>1010</v>
      </c>
      <c r="E83" s="12">
        <v>1121</v>
      </c>
      <c r="F83" s="12">
        <v>1287</v>
      </c>
      <c r="G83" s="12">
        <v>1261</v>
      </c>
      <c r="H83" s="12">
        <v>1248</v>
      </c>
      <c r="I83" s="12">
        <v>1437</v>
      </c>
      <c r="J83" s="12">
        <v>1113</v>
      </c>
      <c r="K83" s="12"/>
      <c r="L83" s="12"/>
      <c r="M83" s="12"/>
      <c r="N83" s="4"/>
      <c r="O83" s="4"/>
      <c r="P83" s="4"/>
      <c r="Q83" s="4"/>
      <c r="R83" s="4"/>
      <c r="S83" s="4"/>
      <c r="T83" s="4"/>
      <c r="U83" s="4"/>
      <c r="V83" s="4"/>
    </row>
    <row r="84" spans="1:22" ht="15" customHeight="1" x14ac:dyDescent="0.2">
      <c r="A84" s="5" t="s">
        <v>39</v>
      </c>
      <c r="B84" s="12">
        <v>321</v>
      </c>
      <c r="C84" s="12">
        <v>335</v>
      </c>
      <c r="D84" s="12">
        <v>352</v>
      </c>
      <c r="E84" s="12">
        <v>434</v>
      </c>
      <c r="F84" s="12">
        <v>371</v>
      </c>
      <c r="G84" s="12">
        <v>476</v>
      </c>
      <c r="H84" s="12">
        <v>483</v>
      </c>
      <c r="I84" s="12">
        <v>390</v>
      </c>
      <c r="J84" s="12">
        <v>378</v>
      </c>
      <c r="K84" s="12"/>
      <c r="L84" s="12"/>
      <c r="M84" s="12"/>
      <c r="N84" s="4"/>
      <c r="O84" s="4"/>
      <c r="P84" s="4"/>
      <c r="Q84" s="4"/>
      <c r="R84" s="4"/>
      <c r="S84" s="4"/>
      <c r="T84" s="4"/>
      <c r="U84" s="4"/>
      <c r="V84" s="4"/>
    </row>
    <row r="85" spans="1:22" ht="15" customHeight="1" x14ac:dyDescent="0.2">
      <c r="A85" s="5" t="s">
        <v>38</v>
      </c>
      <c r="B85" s="12">
        <v>265</v>
      </c>
      <c r="C85" s="12">
        <v>263</v>
      </c>
      <c r="D85" s="12">
        <v>255</v>
      </c>
      <c r="E85" s="12">
        <v>249</v>
      </c>
      <c r="F85" s="12">
        <v>245</v>
      </c>
      <c r="G85" s="12">
        <v>239</v>
      </c>
      <c r="H85" s="12">
        <v>245</v>
      </c>
      <c r="I85" s="12">
        <v>234</v>
      </c>
      <c r="J85" s="12">
        <v>238</v>
      </c>
      <c r="K85" s="12"/>
      <c r="L85" s="12"/>
      <c r="M85" s="12"/>
      <c r="N85" s="4"/>
      <c r="O85" s="4"/>
      <c r="P85" s="4"/>
      <c r="Q85" s="4"/>
      <c r="R85" s="4"/>
      <c r="S85" s="4"/>
      <c r="T85" s="4"/>
      <c r="U85" s="4"/>
      <c r="V85" s="4"/>
    </row>
    <row r="86" spans="1:22" ht="15" customHeight="1" x14ac:dyDescent="0.2">
      <c r="A86" s="5" t="s">
        <v>37</v>
      </c>
      <c r="B86" s="12">
        <v>365</v>
      </c>
      <c r="C86" s="12">
        <v>298</v>
      </c>
      <c r="D86" s="12">
        <v>284</v>
      </c>
      <c r="E86" s="12">
        <v>283</v>
      </c>
      <c r="F86" s="12">
        <v>249</v>
      </c>
      <c r="G86" s="12">
        <v>286</v>
      </c>
      <c r="H86" s="12">
        <v>257</v>
      </c>
      <c r="I86" s="12">
        <v>210</v>
      </c>
      <c r="J86" s="12">
        <v>259</v>
      </c>
      <c r="K86" s="12"/>
      <c r="L86" s="12"/>
      <c r="M86" s="12"/>
      <c r="N86" s="4"/>
      <c r="O86" s="4"/>
      <c r="P86" s="4"/>
      <c r="Q86" s="4"/>
      <c r="R86" s="4"/>
      <c r="S86" s="4"/>
      <c r="T86" s="4"/>
      <c r="U86" s="4"/>
      <c r="V86" s="4"/>
    </row>
    <row r="87" spans="1:22" ht="15" customHeight="1" x14ac:dyDescent="0.2">
      <c r="A87" s="5" t="s">
        <v>36</v>
      </c>
      <c r="B87" s="12">
        <v>52</v>
      </c>
      <c r="C87" s="12">
        <v>-23</v>
      </c>
      <c r="D87" s="12">
        <v>-21</v>
      </c>
      <c r="E87" s="12">
        <v>223</v>
      </c>
      <c r="F87" s="12">
        <v>-6</v>
      </c>
      <c r="G87" s="12">
        <v>-83</v>
      </c>
      <c r="H87" s="12">
        <v>182</v>
      </c>
      <c r="I87" s="12">
        <v>124</v>
      </c>
      <c r="J87" s="12">
        <v>-290</v>
      </c>
      <c r="K87" s="12"/>
      <c r="L87" s="12"/>
      <c r="M87" s="12"/>
      <c r="N87" s="4"/>
      <c r="O87" s="4"/>
      <c r="P87" s="4"/>
      <c r="Q87" s="4"/>
      <c r="R87" s="4"/>
      <c r="S87" s="4"/>
      <c r="T87" s="4"/>
      <c r="U87" s="4"/>
      <c r="V87" s="4"/>
    </row>
    <row r="88" spans="1:22" ht="15" customHeight="1" x14ac:dyDescent="0.2">
      <c r="A88" s="5" t="s">
        <v>35</v>
      </c>
      <c r="B88" s="12">
        <v>49</v>
      </c>
      <c r="C88" s="12">
        <v>6</v>
      </c>
      <c r="D88" s="12">
        <v>171</v>
      </c>
      <c r="E88" s="12">
        <v>59</v>
      </c>
      <c r="F88" s="12">
        <v>-48</v>
      </c>
      <c r="G88" s="12">
        <v>-11</v>
      </c>
      <c r="H88" s="12">
        <v>-10</v>
      </c>
      <c r="I88" s="12">
        <v>-93</v>
      </c>
      <c r="J88" s="12">
        <v>101</v>
      </c>
      <c r="K88" s="12"/>
      <c r="L88" s="12"/>
      <c r="M88" s="12"/>
      <c r="N88" s="4"/>
      <c r="O88" s="4"/>
      <c r="P88" s="4"/>
      <c r="Q88" s="4"/>
      <c r="R88" s="4"/>
      <c r="S88" s="4"/>
      <c r="T88" s="4"/>
      <c r="U88" s="4"/>
      <c r="V88" s="4"/>
    </row>
    <row r="89" spans="1:22" ht="15" customHeight="1" x14ac:dyDescent="0.2">
      <c r="A89" s="5" t="s">
        <v>34</v>
      </c>
      <c r="B89" s="12">
        <v>-75</v>
      </c>
      <c r="C89" s="12">
        <v>-122</v>
      </c>
      <c r="D89" s="12">
        <v>-93</v>
      </c>
      <c r="E89" s="12">
        <v>-45</v>
      </c>
      <c r="F89" s="12">
        <v>-30</v>
      </c>
      <c r="G89" s="12">
        <v>-27</v>
      </c>
      <c r="H89" s="12">
        <v>-20</v>
      </c>
      <c r="I89" s="12">
        <v>-6</v>
      </c>
      <c r="J89" s="12">
        <v>-8</v>
      </c>
      <c r="K89" s="12"/>
      <c r="L89" s="12"/>
      <c r="M89" s="12"/>
      <c r="N89" s="4"/>
      <c r="O89" s="4"/>
      <c r="P89" s="4"/>
      <c r="Q89" s="4"/>
      <c r="R89" s="4"/>
      <c r="S89" s="4"/>
      <c r="T89" s="4"/>
      <c r="U89" s="4"/>
      <c r="V89" s="4"/>
    </row>
    <row r="90" spans="1:22" ht="15" customHeight="1" x14ac:dyDescent="0.2">
      <c r="A90" s="5" t="s">
        <v>33</v>
      </c>
      <c r="B90" s="12">
        <v>37</v>
      </c>
      <c r="C90" s="12">
        <v>27</v>
      </c>
      <c r="D90" s="12">
        <v>28</v>
      </c>
      <c r="E90" s="12">
        <v>33</v>
      </c>
      <c r="F90" s="12">
        <v>25</v>
      </c>
      <c r="G90" s="12">
        <v>27</v>
      </c>
      <c r="H90" s="12">
        <v>70</v>
      </c>
      <c r="I90" s="12">
        <v>71</v>
      </c>
      <c r="J90" s="12">
        <v>61</v>
      </c>
      <c r="K90" s="12"/>
      <c r="L90" s="12"/>
      <c r="M90" s="12"/>
      <c r="N90" s="4"/>
      <c r="O90" s="4"/>
      <c r="P90" s="4"/>
      <c r="Q90" s="4"/>
      <c r="R90" s="4"/>
      <c r="S90" s="4"/>
      <c r="T90" s="4"/>
      <c r="U90" s="4"/>
      <c r="V90" s="4"/>
    </row>
    <row r="91" spans="1:22" ht="15" customHeight="1" x14ac:dyDescent="0.2">
      <c r="A91" s="5" t="s">
        <v>32</v>
      </c>
      <c r="B91" s="12">
        <v>-5345</v>
      </c>
      <c r="C91" s="12">
        <v>-5720</v>
      </c>
      <c r="D91" s="12">
        <v>-6108</v>
      </c>
      <c r="E91" s="12">
        <v>-7325</v>
      </c>
      <c r="F91" s="12">
        <v>-6629</v>
      </c>
      <c r="G91" s="12">
        <v>-7729</v>
      </c>
      <c r="H91" s="12">
        <v>-9682</v>
      </c>
      <c r="I91" s="12">
        <v>-12690</v>
      </c>
      <c r="J91" s="12">
        <v>-11306</v>
      </c>
      <c r="K91" s="12"/>
      <c r="L91" s="12"/>
      <c r="M91" s="12"/>
      <c r="N91" s="4"/>
      <c r="O91" s="4"/>
      <c r="P91" s="4"/>
      <c r="Q91" s="4"/>
      <c r="R91" s="4"/>
      <c r="S91" s="4"/>
      <c r="T91" s="4"/>
      <c r="U91" s="4"/>
      <c r="V91" s="4"/>
    </row>
    <row r="92" spans="1:22" ht="15" customHeight="1" x14ac:dyDescent="0.2">
      <c r="A92" s="5" t="s">
        <v>31</v>
      </c>
      <c r="B92" s="12">
        <v>5232</v>
      </c>
      <c r="C92" s="12">
        <v>5943</v>
      </c>
      <c r="D92" s="12">
        <v>5984</v>
      </c>
      <c r="E92" s="12">
        <v>7193</v>
      </c>
      <c r="F92" s="12">
        <v>6445</v>
      </c>
      <c r="G92" s="12">
        <v>7667</v>
      </c>
      <c r="H92" s="12">
        <v>9048</v>
      </c>
      <c r="I92" s="12">
        <v>12254</v>
      </c>
      <c r="J92" s="12">
        <v>11073</v>
      </c>
      <c r="K92" s="12"/>
      <c r="L92" s="12"/>
      <c r="M92" s="12"/>
      <c r="N92" s="4"/>
      <c r="O92" s="4"/>
      <c r="P92" s="4"/>
      <c r="Q92" s="4"/>
      <c r="R92" s="4"/>
      <c r="S92" s="4"/>
      <c r="T92" s="4"/>
      <c r="U92" s="4"/>
      <c r="V92" s="4"/>
    </row>
    <row r="93" spans="1:22" ht="15" customHeight="1" x14ac:dyDescent="0.2">
      <c r="A93" s="5" t="s">
        <v>30</v>
      </c>
      <c r="B93" s="12">
        <v>-39</v>
      </c>
      <c r="C93" s="12">
        <v>121</v>
      </c>
      <c r="D93" s="12">
        <v>-51</v>
      </c>
      <c r="E93" s="12">
        <v>54</v>
      </c>
      <c r="F93" s="12">
        <v>-98</v>
      </c>
      <c r="G93" s="12">
        <v>-17</v>
      </c>
      <c r="H93" s="12">
        <v>126</v>
      </c>
      <c r="I93" s="12">
        <v>133</v>
      </c>
      <c r="J93" s="12">
        <v>-2</v>
      </c>
      <c r="K93" s="12"/>
      <c r="L93" s="12"/>
      <c r="M93" s="12"/>
      <c r="N93" s="4"/>
      <c r="O93" s="4"/>
      <c r="P93" s="4"/>
      <c r="Q93" s="4"/>
      <c r="R93" s="4"/>
      <c r="S93" s="4"/>
      <c r="T93" s="4"/>
      <c r="U93" s="4"/>
      <c r="V93" s="4"/>
    </row>
    <row r="94" spans="1:22" ht="15" customHeight="1" x14ac:dyDescent="0.2">
      <c r="A94" s="5" t="s">
        <v>29</v>
      </c>
      <c r="B94" s="12">
        <v>-22</v>
      </c>
      <c r="C94" s="12">
        <v>11</v>
      </c>
      <c r="D94" s="12">
        <v>35</v>
      </c>
      <c r="E94" s="12">
        <v>59</v>
      </c>
      <c r="F94" s="12">
        <v>-52</v>
      </c>
      <c r="G94" s="12">
        <v>2</v>
      </c>
      <c r="H94" s="12">
        <v>44</v>
      </c>
      <c r="I94" s="12">
        <v>10</v>
      </c>
      <c r="J94" s="12">
        <v>-52</v>
      </c>
      <c r="K94" s="12"/>
      <c r="L94" s="12"/>
      <c r="M94" s="12"/>
      <c r="N94" s="4"/>
      <c r="O94" s="4"/>
      <c r="P94" s="4"/>
      <c r="Q94" s="4"/>
      <c r="R94" s="4"/>
      <c r="S94" s="4"/>
      <c r="T94" s="4"/>
      <c r="U94" s="4"/>
      <c r="V94" s="4"/>
    </row>
    <row r="95" spans="1:22" ht="15" customHeight="1" x14ac:dyDescent="0.2">
      <c r="A95" s="5" t="s">
        <v>28</v>
      </c>
      <c r="B95" s="12">
        <v>189</v>
      </c>
      <c r="C95" s="12">
        <v>-742</v>
      </c>
      <c r="D95" s="12">
        <v>-232</v>
      </c>
      <c r="E95" s="12">
        <v>56</v>
      </c>
      <c r="F95" s="12">
        <v>-599</v>
      </c>
      <c r="G95" s="12">
        <v>-1193</v>
      </c>
      <c r="H95" s="12">
        <v>-17</v>
      </c>
      <c r="I95" s="12">
        <v>310</v>
      </c>
      <c r="J95" s="12">
        <v>-431</v>
      </c>
      <c r="K95" s="12"/>
      <c r="L95" s="12"/>
      <c r="M95" s="12"/>
      <c r="N95" s="4"/>
      <c r="O95" s="4"/>
      <c r="P95" s="4"/>
      <c r="Q95" s="4"/>
      <c r="R95" s="4"/>
      <c r="S95" s="4"/>
      <c r="T95" s="4"/>
      <c r="U95" s="4"/>
      <c r="V95" s="4"/>
    </row>
    <row r="96" spans="1:22" ht="15" customHeight="1" x14ac:dyDescent="0.2">
      <c r="A96" s="2" t="s">
        <v>27</v>
      </c>
      <c r="B96" s="10">
        <f t="shared" ref="B96:J96" si="77">SUM(B83:B95)</f>
        <v>1917</v>
      </c>
      <c r="C96" s="10">
        <f t="shared" si="77"/>
        <v>1525</v>
      </c>
      <c r="D96" s="10">
        <f t="shared" si="77"/>
        <v>1614</v>
      </c>
      <c r="E96" s="10">
        <f t="shared" si="77"/>
        <v>2394</v>
      </c>
      <c r="F96" s="10">
        <f t="shared" si="77"/>
        <v>1160</v>
      </c>
      <c r="G96" s="10">
        <f t="shared" si="77"/>
        <v>898</v>
      </c>
      <c r="H96" s="10">
        <f t="shared" si="77"/>
        <v>1974</v>
      </c>
      <c r="I96" s="10">
        <f t="shared" si="77"/>
        <v>2384</v>
      </c>
      <c r="J96" s="10">
        <f t="shared" si="77"/>
        <v>1134</v>
      </c>
      <c r="K96" s="10"/>
      <c r="L96" s="10"/>
      <c r="M96" s="10"/>
      <c r="N96" s="4"/>
      <c r="O96" s="4"/>
      <c r="P96" s="4"/>
      <c r="Q96" s="4"/>
      <c r="R96" s="4"/>
      <c r="S96" s="4"/>
      <c r="T96" s="4"/>
      <c r="U96" s="4"/>
      <c r="V96" s="4"/>
    </row>
    <row r="97" spans="1:22" ht="15" customHeight="1" x14ac:dyDescent="0.2">
      <c r="A97" s="5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4"/>
      <c r="O97" s="4"/>
      <c r="P97" s="4"/>
      <c r="Q97" s="4"/>
      <c r="R97" s="4"/>
      <c r="S97" s="4"/>
      <c r="T97" s="4"/>
      <c r="U97" s="4"/>
      <c r="V97" s="4"/>
    </row>
    <row r="98" spans="1:22" ht="15" customHeight="1" x14ac:dyDescent="0.2">
      <c r="A98" s="2" t="s">
        <v>26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4"/>
      <c r="O98" s="4"/>
      <c r="P98" s="4"/>
      <c r="Q98" s="4"/>
      <c r="R98" s="4"/>
      <c r="S98" s="4"/>
      <c r="T98" s="4"/>
      <c r="U98" s="4"/>
      <c r="V98" s="4"/>
    </row>
    <row r="99" spans="1:22" ht="15" customHeight="1" x14ac:dyDescent="0.2">
      <c r="A99" s="5" t="s">
        <v>25</v>
      </c>
      <c r="B99" s="12">
        <v>0</v>
      </c>
      <c r="C99" s="12">
        <v>0</v>
      </c>
      <c r="D99" s="12">
        <v>-299</v>
      </c>
      <c r="E99" s="12">
        <v>-125</v>
      </c>
      <c r="F99" s="12">
        <v>-200</v>
      </c>
      <c r="G99" s="12">
        <v>-1</v>
      </c>
      <c r="H99" s="12">
        <v>0</v>
      </c>
      <c r="I99" s="12">
        <v>0</v>
      </c>
      <c r="J99" s="12">
        <v>0</v>
      </c>
      <c r="K99" s="12"/>
      <c r="L99" s="12"/>
      <c r="M99" s="12"/>
      <c r="N99" s="4"/>
      <c r="O99" s="4"/>
      <c r="P99" s="4"/>
      <c r="Q99" s="4"/>
      <c r="R99" s="4"/>
      <c r="S99" s="4"/>
      <c r="T99" s="4"/>
      <c r="U99" s="4"/>
      <c r="V99" s="4"/>
    </row>
    <row r="100" spans="1:22" ht="15" customHeight="1" x14ac:dyDescent="0.2">
      <c r="A100" s="5" t="s">
        <v>24</v>
      </c>
      <c r="B100" s="12">
        <v>0</v>
      </c>
      <c r="C100" s="12">
        <v>0</v>
      </c>
      <c r="D100" s="12">
        <v>226</v>
      </c>
      <c r="E100" s="12">
        <v>111</v>
      </c>
      <c r="F100" s="12">
        <v>87</v>
      </c>
      <c r="G100" s="12">
        <v>201</v>
      </c>
      <c r="H100" s="12">
        <v>0</v>
      </c>
      <c r="I100" s="12">
        <v>0</v>
      </c>
      <c r="J100" s="12">
        <v>0</v>
      </c>
      <c r="K100" s="12"/>
      <c r="L100" s="12"/>
      <c r="M100" s="12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5" customHeight="1" x14ac:dyDescent="0.2">
      <c r="A101" s="5" t="s">
        <v>23</v>
      </c>
      <c r="B101" s="12">
        <v>-154</v>
      </c>
      <c r="C101" s="12">
        <v>-157</v>
      </c>
      <c r="D101" s="12">
        <v>-169</v>
      </c>
      <c r="E101" s="12">
        <v>-203</v>
      </c>
      <c r="F101" s="12">
        <v>-196</v>
      </c>
      <c r="G101" s="12">
        <v>-206</v>
      </c>
      <c r="H101" s="12">
        <v>-256</v>
      </c>
      <c r="I101" s="12">
        <v>-194</v>
      </c>
      <c r="J101" s="12">
        <v>-231</v>
      </c>
      <c r="K101" s="12"/>
      <c r="L101" s="12"/>
      <c r="M101" s="12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5" customHeight="1" x14ac:dyDescent="0.2">
      <c r="A102" s="5" t="s">
        <v>22</v>
      </c>
      <c r="B102" s="12">
        <v>0</v>
      </c>
      <c r="C102" s="12">
        <v>0</v>
      </c>
      <c r="D102" s="12">
        <v>0</v>
      </c>
      <c r="E102" s="12">
        <v>1</v>
      </c>
      <c r="F102" s="12">
        <v>2</v>
      </c>
      <c r="G102" s="12">
        <v>1</v>
      </c>
      <c r="H102" s="12">
        <v>0</v>
      </c>
      <c r="I102" s="12">
        <v>0</v>
      </c>
      <c r="J102" s="12">
        <v>8</v>
      </c>
      <c r="K102" s="12"/>
      <c r="L102" s="12"/>
      <c r="M102" s="12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5" customHeight="1" x14ac:dyDescent="0.2">
      <c r="A103" s="5" t="s">
        <v>21</v>
      </c>
      <c r="B103" s="12">
        <v>-4779</v>
      </c>
      <c r="C103" s="12">
        <v>-5182</v>
      </c>
      <c r="D103" s="12">
        <v>-5413</v>
      </c>
      <c r="E103" s="12">
        <v>-6433</v>
      </c>
      <c r="F103" s="12">
        <v>-5508</v>
      </c>
      <c r="G103" s="12">
        <v>-5982</v>
      </c>
      <c r="H103" s="12">
        <v>-4414</v>
      </c>
      <c r="I103" s="12">
        <v>-4286</v>
      </c>
      <c r="J103" s="12">
        <v>-3865</v>
      </c>
      <c r="K103" s="12"/>
      <c r="L103" s="12"/>
      <c r="M103" s="12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5" customHeight="1" x14ac:dyDescent="0.2">
      <c r="A104" s="5" t="s">
        <v>20</v>
      </c>
      <c r="B104" s="12">
        <v>4827</v>
      </c>
      <c r="C104" s="12">
        <v>4933</v>
      </c>
      <c r="D104" s="12">
        <v>4945</v>
      </c>
      <c r="E104" s="12">
        <v>5567</v>
      </c>
      <c r="F104" s="12">
        <v>5477</v>
      </c>
      <c r="G104" s="12">
        <v>5733</v>
      </c>
      <c r="H104" s="12">
        <v>4735</v>
      </c>
      <c r="I104" s="12">
        <v>3743</v>
      </c>
      <c r="J104" s="12">
        <v>3754</v>
      </c>
      <c r="K104" s="12"/>
      <c r="L104" s="12"/>
      <c r="M104" s="12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5" customHeight="1" x14ac:dyDescent="0.2">
      <c r="A105" s="5" t="s">
        <v>19</v>
      </c>
      <c r="B105" s="12">
        <v>-7081</v>
      </c>
      <c r="C105" s="12">
        <v>-8923</v>
      </c>
      <c r="D105" s="12">
        <v>-4815</v>
      </c>
      <c r="E105" s="12">
        <v>-5390</v>
      </c>
      <c r="F105" s="12">
        <v>-5970</v>
      </c>
      <c r="G105" s="12">
        <v>-5594</v>
      </c>
      <c r="H105" s="12">
        <v>-4387</v>
      </c>
      <c r="I105" s="12">
        <v>-4448</v>
      </c>
      <c r="J105" s="12">
        <v>-5923</v>
      </c>
      <c r="K105" s="12"/>
      <c r="L105" s="12"/>
      <c r="M105" s="12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5" customHeight="1" x14ac:dyDescent="0.2">
      <c r="A106" s="5" t="s">
        <v>18</v>
      </c>
      <c r="B106" s="12">
        <v>9242</v>
      </c>
      <c r="C106" s="12">
        <v>4999</v>
      </c>
      <c r="D106" s="12">
        <v>6938</v>
      </c>
      <c r="E106" s="12">
        <v>5783</v>
      </c>
      <c r="F106" s="12">
        <v>5465</v>
      </c>
      <c r="G106" s="12">
        <v>6130</v>
      </c>
      <c r="H106" s="12">
        <v>7432</v>
      </c>
      <c r="I106" s="12">
        <v>3906</v>
      </c>
      <c r="J106" s="12">
        <v>4521</v>
      </c>
      <c r="K106" s="12"/>
      <c r="L106" s="12"/>
      <c r="M106" s="12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5" customHeight="1" x14ac:dyDescent="0.2">
      <c r="A107" s="5" t="s">
        <v>17</v>
      </c>
      <c r="B107" s="12">
        <v>-1169</v>
      </c>
      <c r="C107" s="12">
        <v>-198</v>
      </c>
      <c r="D107" s="12">
        <v>1519</v>
      </c>
      <c r="E107" s="12">
        <v>2756</v>
      </c>
      <c r="F107" s="12">
        <v>-2741</v>
      </c>
      <c r="G107" s="12">
        <v>-44</v>
      </c>
      <c r="H107" s="12">
        <v>1553</v>
      </c>
      <c r="I107" s="12">
        <v>929</v>
      </c>
      <c r="J107" s="12">
        <v>-352</v>
      </c>
      <c r="K107" s="12"/>
      <c r="L107" s="12"/>
      <c r="M107" s="12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5" customHeight="1" x14ac:dyDescent="0.2">
      <c r="A108" s="5" t="s">
        <v>16</v>
      </c>
      <c r="B108" s="12">
        <v>74</v>
      </c>
      <c r="C108" s="12">
        <v>1</v>
      </c>
      <c r="D108" s="12">
        <v>-133</v>
      </c>
      <c r="E108" s="12">
        <v>131</v>
      </c>
      <c r="F108" s="12">
        <v>-53</v>
      </c>
      <c r="G108" s="12">
        <v>-263</v>
      </c>
      <c r="H108" s="12">
        <v>109</v>
      </c>
      <c r="I108" s="12">
        <v>58</v>
      </c>
      <c r="J108" s="12">
        <v>110</v>
      </c>
      <c r="K108" s="12"/>
      <c r="L108" s="12"/>
      <c r="M108" s="12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5" customHeight="1" x14ac:dyDescent="0.2">
      <c r="A109" s="5" t="s">
        <v>15</v>
      </c>
      <c r="B109" s="12">
        <v>20</v>
      </c>
      <c r="C109" s="12">
        <v>-120</v>
      </c>
      <c r="D109" s="12">
        <v>0</v>
      </c>
      <c r="E109" s="12">
        <v>259</v>
      </c>
      <c r="F109" s="12">
        <v>-20</v>
      </c>
      <c r="G109" s="12">
        <v>5</v>
      </c>
      <c r="H109" s="12">
        <v>0</v>
      </c>
      <c r="I109" s="12">
        <v>-6</v>
      </c>
      <c r="J109" s="12">
        <v>-122</v>
      </c>
      <c r="K109" s="12"/>
      <c r="L109" s="12"/>
      <c r="M109" s="12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5" customHeight="1" x14ac:dyDescent="0.2">
      <c r="A110" s="2" t="s">
        <v>14</v>
      </c>
      <c r="B110" s="10">
        <f t="shared" ref="B110:J110" si="78">SUM(B99:B109)</f>
        <v>980</v>
      </c>
      <c r="C110" s="10">
        <f t="shared" si="78"/>
        <v>-4647</v>
      </c>
      <c r="D110" s="10">
        <f t="shared" si="78"/>
        <v>2799</v>
      </c>
      <c r="E110" s="10">
        <f t="shared" si="78"/>
        <v>2457</v>
      </c>
      <c r="F110" s="10">
        <f t="shared" si="78"/>
        <v>-3657</v>
      </c>
      <c r="G110" s="10">
        <f t="shared" si="78"/>
        <v>-20</v>
      </c>
      <c r="H110" s="10">
        <f t="shared" si="78"/>
        <v>4772</v>
      </c>
      <c r="I110" s="10">
        <f t="shared" si="78"/>
        <v>-298</v>
      </c>
      <c r="J110" s="10">
        <f t="shared" si="78"/>
        <v>-2100</v>
      </c>
      <c r="K110" s="10"/>
      <c r="L110" s="10"/>
      <c r="M110" s="10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5" customHeight="1" x14ac:dyDescent="0.2">
      <c r="A111" s="5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5" customHeight="1" x14ac:dyDescent="0.2">
      <c r="A112" s="2" t="s">
        <v>13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5" customHeight="1" x14ac:dyDescent="0.2">
      <c r="A113" s="5" t="s">
        <v>12</v>
      </c>
      <c r="B113" s="12">
        <v>0</v>
      </c>
      <c r="C113" s="12">
        <v>0</v>
      </c>
      <c r="D113" s="12">
        <v>656</v>
      </c>
      <c r="E113" s="12">
        <v>0</v>
      </c>
      <c r="F113" s="12">
        <v>0</v>
      </c>
      <c r="G113" s="12">
        <v>405</v>
      </c>
      <c r="H113" s="12">
        <v>2544</v>
      </c>
      <c r="I113" s="12">
        <v>0</v>
      </c>
      <c r="J113" s="12">
        <v>0</v>
      </c>
      <c r="K113" s="12"/>
      <c r="L113" s="12"/>
      <c r="M113" s="12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5" customHeight="1" x14ac:dyDescent="0.2">
      <c r="A114" s="5" t="s">
        <v>11</v>
      </c>
      <c r="B114" s="12">
        <v>0</v>
      </c>
      <c r="C114" s="12">
        <v>0</v>
      </c>
      <c r="D114" s="12">
        <v>-656</v>
      </c>
      <c r="E114" s="12">
        <v>0</v>
      </c>
      <c r="F114" s="12">
        <v>0</v>
      </c>
      <c r="G114" s="12">
        <v>-405</v>
      </c>
      <c r="H114" s="12">
        <v>-2544</v>
      </c>
      <c r="I114" s="12">
        <v>0</v>
      </c>
      <c r="J114" s="12">
        <v>0</v>
      </c>
      <c r="K114" s="12"/>
      <c r="L114" s="12"/>
      <c r="M114" s="12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5" customHeight="1" x14ac:dyDescent="0.2">
      <c r="A115" s="5" t="s">
        <v>10</v>
      </c>
      <c r="B115" s="12">
        <v>0</v>
      </c>
      <c r="C115" s="12">
        <v>55</v>
      </c>
      <c r="D115" s="12">
        <v>0</v>
      </c>
      <c r="E115" s="12">
        <v>40</v>
      </c>
      <c r="F115" s="12">
        <v>0</v>
      </c>
      <c r="G115" s="12">
        <v>74</v>
      </c>
      <c r="H115" s="12">
        <v>0</v>
      </c>
      <c r="I115" s="12">
        <v>43</v>
      </c>
      <c r="J115" s="12">
        <v>0</v>
      </c>
      <c r="K115" s="12"/>
      <c r="L115" s="12"/>
      <c r="M115" s="12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5" customHeight="1" x14ac:dyDescent="0.2">
      <c r="A116" s="5" t="s">
        <v>9</v>
      </c>
      <c r="B116" s="12">
        <v>-1501</v>
      </c>
      <c r="C116" s="12">
        <v>-1501</v>
      </c>
      <c r="D116" s="12">
        <v>-1776</v>
      </c>
      <c r="E116" s="12">
        <v>-1269</v>
      </c>
      <c r="F116" s="12">
        <v>-1500</v>
      </c>
      <c r="G116" s="12">
        <v>-1551</v>
      </c>
      <c r="H116" s="12">
        <v>-1500</v>
      </c>
      <c r="I116" s="12">
        <v>-1501</v>
      </c>
      <c r="J116" s="12">
        <v>-1500</v>
      </c>
      <c r="K116" s="12"/>
      <c r="L116" s="12"/>
      <c r="M116" s="12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5" customHeight="1" x14ac:dyDescent="0.2">
      <c r="A117" s="5" t="s">
        <v>8</v>
      </c>
      <c r="B117" s="12">
        <v>-167</v>
      </c>
      <c r="C117" s="12">
        <v>-63</v>
      </c>
      <c r="D117" s="12">
        <v>-41</v>
      </c>
      <c r="E117" s="12">
        <v>-80</v>
      </c>
      <c r="F117" s="12">
        <v>-277</v>
      </c>
      <c r="G117" s="12">
        <v>28</v>
      </c>
      <c r="H117" s="12">
        <v>-68</v>
      </c>
      <c r="I117" s="12">
        <v>-66</v>
      </c>
      <c r="J117" s="12">
        <v>-127</v>
      </c>
      <c r="K117" s="12"/>
      <c r="L117" s="12"/>
      <c r="M117" s="12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5" customHeight="1" x14ac:dyDescent="0.2">
      <c r="A118" s="5" t="s">
        <v>7</v>
      </c>
      <c r="B118" s="12">
        <v>115</v>
      </c>
      <c r="C118" s="12">
        <v>1299</v>
      </c>
      <c r="D118" s="12">
        <v>132</v>
      </c>
      <c r="E118" s="12">
        <v>0</v>
      </c>
      <c r="F118" s="12">
        <v>1491</v>
      </c>
      <c r="G118" s="12">
        <v>0</v>
      </c>
      <c r="H118" s="12">
        <v>746</v>
      </c>
      <c r="I118" s="12">
        <v>400</v>
      </c>
      <c r="J118" s="12">
        <v>930</v>
      </c>
      <c r="K118" s="12"/>
      <c r="L118" s="12"/>
      <c r="M118" s="12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5" customHeight="1" x14ac:dyDescent="0.2">
      <c r="A119" s="5" t="s">
        <v>6</v>
      </c>
      <c r="B119" s="12">
        <v>-359</v>
      </c>
      <c r="C119" s="12">
        <v>-52</v>
      </c>
      <c r="D119" s="12">
        <v>0</v>
      </c>
      <c r="E119" s="12">
        <v>-1250</v>
      </c>
      <c r="F119" s="12">
        <v>0</v>
      </c>
      <c r="G119" s="12">
        <v>-1207</v>
      </c>
      <c r="H119" s="12">
        <v>-747</v>
      </c>
      <c r="I119" s="12">
        <v>-201</v>
      </c>
      <c r="J119" s="12">
        <v>-932</v>
      </c>
      <c r="K119" s="12"/>
      <c r="L119" s="12"/>
      <c r="M119" s="12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5" customHeight="1" x14ac:dyDescent="0.2">
      <c r="A120" s="5" t="s">
        <v>5</v>
      </c>
      <c r="B120" s="12">
        <v>-483</v>
      </c>
      <c r="C120" s="12">
        <v>445</v>
      </c>
      <c r="D120" s="12">
        <v>-733</v>
      </c>
      <c r="E120" s="12">
        <v>-1183</v>
      </c>
      <c r="F120" s="12">
        <v>1417</v>
      </c>
      <c r="G120" s="12">
        <v>-504</v>
      </c>
      <c r="H120" s="12">
        <v>-250</v>
      </c>
      <c r="I120" s="12">
        <v>-489</v>
      </c>
      <c r="J120" s="12">
        <v>1094</v>
      </c>
      <c r="K120" s="12"/>
      <c r="L120" s="12"/>
      <c r="M120" s="12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5" customHeight="1" x14ac:dyDescent="0.2">
      <c r="A121" s="5" t="s">
        <v>4</v>
      </c>
      <c r="B121" s="12">
        <v>0</v>
      </c>
      <c r="C121" s="12">
        <v>0</v>
      </c>
      <c r="D121" s="12">
        <v>-1</v>
      </c>
      <c r="E121" s="12">
        <v>157</v>
      </c>
      <c r="F121" s="12">
        <v>-135</v>
      </c>
      <c r="G121" s="12">
        <v>-10</v>
      </c>
      <c r="H121" s="12">
        <v>-10</v>
      </c>
      <c r="I121" s="12">
        <v>-5</v>
      </c>
      <c r="J121" s="12">
        <v>108</v>
      </c>
      <c r="K121" s="12"/>
      <c r="L121" s="12"/>
      <c r="M121" s="12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5" customHeight="1" x14ac:dyDescent="0.2">
      <c r="A122" s="5" t="s">
        <v>3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-130</v>
      </c>
      <c r="J122" s="12">
        <v>-130</v>
      </c>
      <c r="K122" s="12"/>
      <c r="L122" s="12"/>
      <c r="M122" s="12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5" customHeight="1" x14ac:dyDescent="0.2">
      <c r="A123" s="5" t="s">
        <v>2</v>
      </c>
      <c r="B123" s="12">
        <v>33</v>
      </c>
      <c r="C123" s="12">
        <v>17</v>
      </c>
      <c r="D123" s="12">
        <v>-110</v>
      </c>
      <c r="E123" s="12">
        <v>0</v>
      </c>
      <c r="F123" s="12">
        <v>-2</v>
      </c>
      <c r="G123" s="12">
        <v>-4</v>
      </c>
      <c r="H123" s="12">
        <v>0</v>
      </c>
      <c r="I123" s="12">
        <v>0</v>
      </c>
      <c r="J123" s="12">
        <v>-2</v>
      </c>
      <c r="K123" s="12"/>
      <c r="L123" s="12"/>
      <c r="M123" s="12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5" customHeight="1" x14ac:dyDescent="0.2">
      <c r="A124" s="2" t="s">
        <v>1</v>
      </c>
      <c r="B124" s="10">
        <f t="shared" ref="B124:J124" si="79">SUM(B113:B123)</f>
        <v>-2362</v>
      </c>
      <c r="C124" s="10">
        <f t="shared" si="79"/>
        <v>200</v>
      </c>
      <c r="D124" s="10">
        <f t="shared" si="79"/>
        <v>-2529</v>
      </c>
      <c r="E124" s="10">
        <f t="shared" si="79"/>
        <v>-3585</v>
      </c>
      <c r="F124" s="10">
        <f t="shared" si="79"/>
        <v>994</v>
      </c>
      <c r="G124" s="10">
        <f t="shared" si="79"/>
        <v>-3174</v>
      </c>
      <c r="H124" s="10">
        <f t="shared" si="79"/>
        <v>-1829</v>
      </c>
      <c r="I124" s="10">
        <f t="shared" si="79"/>
        <v>-1949</v>
      </c>
      <c r="J124" s="10">
        <f t="shared" si="79"/>
        <v>-559</v>
      </c>
      <c r="K124" s="10"/>
      <c r="L124" s="10"/>
      <c r="M124" s="10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5" customHeight="1" x14ac:dyDescent="0.2">
      <c r="A125" s="5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5" customHeight="1" x14ac:dyDescent="0.2">
      <c r="A126" s="2" t="s">
        <v>0</v>
      </c>
      <c r="B126" s="10">
        <f t="shared" ref="B126:J126" si="80">B96+B101</f>
        <v>1763</v>
      </c>
      <c r="C126" s="10">
        <f t="shared" si="80"/>
        <v>1368</v>
      </c>
      <c r="D126" s="10">
        <f t="shared" si="80"/>
        <v>1445</v>
      </c>
      <c r="E126" s="10">
        <f t="shared" si="80"/>
        <v>2191</v>
      </c>
      <c r="F126" s="10">
        <f t="shared" si="80"/>
        <v>964</v>
      </c>
      <c r="G126" s="10">
        <f t="shared" si="80"/>
        <v>692</v>
      </c>
      <c r="H126" s="10">
        <f t="shared" si="80"/>
        <v>1718</v>
      </c>
      <c r="I126" s="10">
        <f t="shared" si="80"/>
        <v>2190</v>
      </c>
      <c r="J126" s="10">
        <f t="shared" si="80"/>
        <v>903</v>
      </c>
      <c r="K126" s="10"/>
      <c r="L126" s="10"/>
      <c r="M126" s="10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5" customHeight="1" x14ac:dyDescent="0.2">
      <c r="A127" s="5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5" customHeight="1" x14ac:dyDescent="0.2">
      <c r="A128" s="2" t="s">
        <v>119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5" customHeight="1" x14ac:dyDescent="0.2">
      <c r="A129" s="5" t="s">
        <v>118</v>
      </c>
      <c r="B129" s="12">
        <v>427</v>
      </c>
      <c r="C129" s="12">
        <v>429</v>
      </c>
      <c r="D129" s="12">
        <v>432</v>
      </c>
      <c r="E129" s="12">
        <v>434</v>
      </c>
      <c r="F129" s="12">
        <v>436</v>
      </c>
      <c r="G129" s="12">
        <v>438</v>
      </c>
      <c r="H129" s="12">
        <v>438</v>
      </c>
      <c r="I129" s="12">
        <v>439</v>
      </c>
      <c r="J129" s="18">
        <v>439</v>
      </c>
      <c r="K129" s="18">
        <f>$J$129</f>
        <v>439</v>
      </c>
      <c r="L129" s="18">
        <f t="shared" ref="L129:M129" si="81">$J$129</f>
        <v>439</v>
      </c>
      <c r="M129" s="18">
        <f t="shared" si="81"/>
        <v>439</v>
      </c>
      <c r="N129" s="22"/>
      <c r="O129" s="22">
        <f>E129</f>
        <v>434</v>
      </c>
      <c r="P129" s="22">
        <f>I129</f>
        <v>439</v>
      </c>
      <c r="Q129" s="22">
        <f>M129</f>
        <v>439</v>
      </c>
      <c r="R129" s="22">
        <f>$J$129</f>
        <v>439</v>
      </c>
      <c r="S129" s="22">
        <f t="shared" ref="S129:V129" si="82">$J$129</f>
        <v>439</v>
      </c>
      <c r="T129" s="22">
        <f t="shared" si="82"/>
        <v>439</v>
      </c>
      <c r="U129" s="22">
        <f t="shared" si="82"/>
        <v>439</v>
      </c>
      <c r="V129" s="22">
        <f t="shared" si="82"/>
        <v>439</v>
      </c>
    </row>
    <row r="130" spans="1:22" ht="15" customHeight="1" x14ac:dyDescent="0.2">
      <c r="A130" s="5" t="s">
        <v>117</v>
      </c>
      <c r="B130" s="12">
        <v>6505</v>
      </c>
      <c r="C130" s="12">
        <v>6580</v>
      </c>
      <c r="D130" s="12">
        <v>6631</v>
      </c>
      <c r="E130" s="12">
        <v>6619</v>
      </c>
      <c r="F130" s="12">
        <v>6045</v>
      </c>
      <c r="G130" s="12">
        <v>6226</v>
      </c>
      <c r="H130" s="12">
        <v>6331</v>
      </c>
      <c r="I130" s="12">
        <v>6754</v>
      </c>
      <c r="J130" s="12">
        <v>6475</v>
      </c>
      <c r="K130" s="12">
        <f>MEDIAN($B$130:$J$130)</f>
        <v>6505</v>
      </c>
      <c r="L130" s="12">
        <f t="shared" ref="L130:M130" si="83">MEDIAN($B$130:$J$130)</f>
        <v>6505</v>
      </c>
      <c r="M130" s="12">
        <f t="shared" si="83"/>
        <v>6505</v>
      </c>
      <c r="N130" s="23"/>
      <c r="O130" s="23">
        <f>SUM(B130:E130)</f>
        <v>26335</v>
      </c>
      <c r="P130" s="23">
        <f>SUM(F130:I130)</f>
        <v>25356</v>
      </c>
      <c r="Q130" s="23">
        <f>SUM(J130:M130)</f>
        <v>25990</v>
      </c>
      <c r="R130" s="23">
        <f>COLUMNS($B$1:$E$1)*MEDIAN($B$130:$J$130)</f>
        <v>26020</v>
      </c>
      <c r="S130" s="23">
        <f t="shared" ref="S130:V130" si="84">COLUMNS($B$1:$E$1)*MEDIAN($B$130:$J$130)</f>
        <v>26020</v>
      </c>
      <c r="T130" s="23">
        <f t="shared" si="84"/>
        <v>26020</v>
      </c>
      <c r="U130" s="23">
        <f t="shared" si="84"/>
        <v>26020</v>
      </c>
      <c r="V130" s="23">
        <f t="shared" si="84"/>
        <v>26020</v>
      </c>
    </row>
    <row r="131" spans="1:22" ht="15" customHeight="1" x14ac:dyDescent="0.2">
      <c r="A131" s="5" t="s">
        <v>116</v>
      </c>
      <c r="B131" s="18">
        <v>60</v>
      </c>
      <c r="C131" s="18">
        <v>60.9</v>
      </c>
      <c r="D131" s="18">
        <v>61.4</v>
      </c>
      <c r="E131" s="18">
        <v>60.6</v>
      </c>
      <c r="F131" s="18">
        <v>59.4</v>
      </c>
      <c r="G131" s="18">
        <v>58.3</v>
      </c>
      <c r="H131" s="18">
        <v>57.6</v>
      </c>
      <c r="I131" s="18">
        <v>57.7</v>
      </c>
      <c r="J131" s="18">
        <v>58.7</v>
      </c>
      <c r="K131" s="18">
        <f>SUM(H130:K130)/K129</f>
        <v>59.373576309794991</v>
      </c>
      <c r="L131" s="18">
        <f t="shared" ref="L131:M131" si="85">SUM(I130:L130)/L129</f>
        <v>59.769931662870157</v>
      </c>
      <c r="M131" s="18">
        <f t="shared" si="85"/>
        <v>59.202733485193619</v>
      </c>
      <c r="N131" s="22"/>
      <c r="O131" s="22">
        <f>O130/O129</f>
        <v>60.679723502304149</v>
      </c>
      <c r="P131" s="22">
        <f t="shared" ref="P131" si="86">P130/P129</f>
        <v>57.758542141230066</v>
      </c>
      <c r="Q131" s="22">
        <f>M131</f>
        <v>59.202733485193619</v>
      </c>
      <c r="R131" s="22">
        <f>R130/R129</f>
        <v>59.271070615034169</v>
      </c>
      <c r="S131" s="22">
        <f t="shared" ref="S131:V131" si="87">S130/S129</f>
        <v>59.271070615034169</v>
      </c>
      <c r="T131" s="22">
        <f t="shared" si="87"/>
        <v>59.271070615034169</v>
      </c>
      <c r="U131" s="22">
        <f t="shared" si="87"/>
        <v>59.271070615034169</v>
      </c>
      <c r="V131" s="22">
        <f t="shared" si="87"/>
        <v>59.271070615034169</v>
      </c>
    </row>
    <row r="132" spans="1:22" ht="15" customHeight="1" x14ac:dyDescent="0.2">
      <c r="A132" s="5" t="s">
        <v>115</v>
      </c>
      <c r="B132" s="12">
        <v>403860</v>
      </c>
      <c r="C132" s="12">
        <v>416814</v>
      </c>
      <c r="D132" s="12">
        <v>422641</v>
      </c>
      <c r="E132" s="12">
        <v>437836</v>
      </c>
      <c r="F132" s="12">
        <v>417208</v>
      </c>
      <c r="G132" s="12">
        <v>443547</v>
      </c>
      <c r="H132" s="12">
        <v>458088</v>
      </c>
      <c r="I132" s="12">
        <v>475135</v>
      </c>
      <c r="J132" s="12">
        <v>463955</v>
      </c>
      <c r="K132" s="12" cm="1">
        <f t="array" ref="K132">EXP(_xlfn.FORECAST.LINEAR(COLUMN()-COLUMN($A$1),LN($B$132:$J$132),_xlfn.SEQUENCE(9)))</f>
        <v>479902.92339809827</v>
      </c>
      <c r="L132" s="12" cm="1">
        <f t="array" ref="L132">EXP(_xlfn.FORECAST.LINEAR(COLUMN()-COLUMN($A$1),LN($B$132:$J$132),_xlfn.SEQUENCE(9)))</f>
        <v>488959.82710214303</v>
      </c>
      <c r="M132" s="12" cm="1">
        <f t="array" ref="M132">EXP(_xlfn.FORECAST.LINEAR(COLUMN()-COLUMN($A$1),LN($B$132:$J$132),_xlfn.SEQUENCE(9)))</f>
        <v>498187.65600939986</v>
      </c>
      <c r="N132" s="23"/>
      <c r="O132" s="23">
        <f>SUM(B132:E132)</f>
        <v>1681151</v>
      </c>
      <c r="P132" s="23">
        <f>SUM(F132:I132)</f>
        <v>1793978</v>
      </c>
      <c r="Q132" s="23">
        <f>SUM(J132:M132)</f>
        <v>1931005.4065096411</v>
      </c>
      <c r="R132" s="23" cm="1">
        <f t="array" ref="R132">_xlfn.LET(_xlpm.h,_xlfn.SEQUENCE(4,1,4+4*(COLUMN()-COLUMN($R$1)),1),SUM(EXP(_xlfn.FORECAST.LINEAR(9+_xlpm.h,LN($B$132:$J$132),_xlfn.SEQUENCE(9)))))</f>
        <v>2088561.6053777577</v>
      </c>
      <c r="S132" s="23" cm="1">
        <f t="array" ref="S132">_xlfn.LET(_xlpm.h,_xlfn.SEQUENCE(4,1,4+4*(COLUMN()-COLUMN($R$1)),1),SUM(EXP(_xlfn.FORECAST.LINEAR(9+_xlpm.h,LN($B$132:$J$132),_xlfn.SEQUENCE(9)))))</f>
        <v>2250745.673096085</v>
      </c>
      <c r="T132" s="23" cm="1">
        <f t="array" ref="T132">_xlfn.LET(_xlpm.h,_xlfn.SEQUENCE(4,1,4+4*(COLUMN()-COLUMN($R$1)),1),SUM(EXP(_xlfn.FORECAST.LINEAR(9+_xlpm.h,LN($B$132:$J$132),_xlfn.SEQUENCE(9)))))</f>
        <v>2425523.8973640362</v>
      </c>
      <c r="U132" s="23" cm="1">
        <f t="array" ref="U132">_xlfn.LET(_xlpm.h,_xlfn.SEQUENCE(4,1,4+4*(COLUMN()-COLUMN($R$1)),1),SUM(EXP(_xlfn.FORECAST.LINEAR(9+_xlpm.h,LN($B$132:$J$132),_xlfn.SEQUENCE(9)))))</f>
        <v>2613874.2582102795</v>
      </c>
      <c r="V132" s="23" cm="1">
        <f t="array" ref="V132">_xlfn.LET(_xlpm.h,_xlfn.SEQUENCE(4,1,4+4*(COLUMN()-COLUMN($R$1)),1),SUM(EXP(_xlfn.FORECAST.LINEAR(9+_xlpm.h,LN($B$132:$J$132),_xlfn.SEQUENCE(9)))))</f>
        <v>2816850.6792117991</v>
      </c>
    </row>
    <row r="133" spans="1:22" ht="15" customHeight="1" x14ac:dyDescent="0.2">
      <c r="A133" s="5" t="s">
        <v>142</v>
      </c>
      <c r="B133" s="17">
        <v>1.7416926657752685E-2</v>
      </c>
      <c r="C133" s="17">
        <v>1.7161131823787108E-2</v>
      </c>
      <c r="D133" s="17">
        <v>1.672104694054765E-2</v>
      </c>
      <c r="E133" s="17">
        <v>1.7330690030056915E-2</v>
      </c>
      <c r="F133" s="17">
        <v>1.6816551935725108E-2</v>
      </c>
      <c r="G133" s="17">
        <v>1.6776125190791507E-2</v>
      </c>
      <c r="H133" s="17">
        <v>1.6420425769721102E-2</v>
      </c>
      <c r="I133" s="17">
        <v>1.6456375556420808E-2</v>
      </c>
      <c r="J133" s="17">
        <v>1.6167516246187671E-2</v>
      </c>
      <c r="K133" s="17">
        <f>_xlfn.FORECAST.LINEAR(COLUMN()-COLUMN($A$1),$B$133:$J$133,_xlfn.SEQUENCE(9))</f>
        <v>1.6118444658781386E-2</v>
      </c>
      <c r="L133" s="17">
        <f t="shared" ref="L133:M133" si="88">_xlfn.FORECAST.LINEAR(COLUMN()-COLUMN($A$1),$B$133:$J$133,_xlfn.SEQUENCE(9))</f>
        <v>1.5980649364960093E-2</v>
      </c>
      <c r="M133" s="17">
        <f t="shared" si="88"/>
        <v>1.5842854071138803E-2</v>
      </c>
      <c r="N133" s="24"/>
      <c r="O133" s="24">
        <f>(O7-O129*O138)/O132</f>
        <v>1.7156103169792599E-2</v>
      </c>
      <c r="P133" s="24">
        <f t="shared" ref="P133" si="89">(P7-P129*P138)/P132</f>
        <v>1.6610014169627499E-2</v>
      </c>
      <c r="Q133" s="24">
        <f>(Q7-Q129*Q138)/Q132</f>
        <v>1.6024242341703476E-2</v>
      </c>
      <c r="R133" s="24" cm="1">
        <f t="array" ref="R133">_xlfn.LET(_xlpm.h,_xlfn.SEQUENCE(4,1,4+4*(COLUMN()-COLUMN($R$1)),1),_xlpm.v,EXP(_xlfn.FORECAST.LINEAR(9+_xlpm.h,LN($B$132:$J$132),_xlfn.SEQUENCE(9))),_xlpm.r,_xlfn.FORECAST.LINEAR(9+_xlpm.h,$B$133:$J$133,_xlfn.SEQUENCE(9)),SUM(_xlpm.v*_xlpm.r)/SUM(_xlpm.v))</f>
        <v>1.5495145794661994E-2</v>
      </c>
      <c r="S133" s="24" cm="1">
        <f t="array" ref="S133">_xlfn.LET(_xlpm.h,_xlfn.SEQUENCE(4,1,4+4*(COLUMN()-COLUMN($R$1)),1),_xlpm.v,EXP(_xlfn.FORECAST.LINEAR(9+_xlpm.h,LN($B$132:$J$132),_xlfn.SEQUENCE(9))),_xlpm.r,_xlfn.FORECAST.LINEAR(9+_xlpm.h,$B$133:$J$133,_xlfn.SEQUENCE(9)),SUM(_xlpm.v*_xlpm.r)/SUM(_xlpm.v))</f>
        <v>1.4943964619376826E-2</v>
      </c>
      <c r="T133" s="24" cm="1">
        <f t="array" ref="T133">_xlfn.LET(_xlpm.h,_xlfn.SEQUENCE(4,1,4+4*(COLUMN()-COLUMN($R$1)),1),_xlpm.v,EXP(_xlfn.FORECAST.LINEAR(9+_xlpm.h,LN($B$132:$J$132),_xlfn.SEQUENCE(9))),_xlpm.r,_xlfn.FORECAST.LINEAR(9+_xlpm.h,$B$133:$J$133,_xlfn.SEQUENCE(9)),SUM(_xlpm.v*_xlpm.r)/SUM(_xlpm.v))</f>
        <v>1.4392783444091667E-2</v>
      </c>
      <c r="U133" s="24" cm="1">
        <f t="array" ref="U133">_xlfn.LET(_xlpm.h,_xlfn.SEQUENCE(4,1,4+4*(COLUMN()-COLUMN($R$1)),1),_xlpm.v,EXP(_xlfn.FORECAST.LINEAR(9+_xlpm.h,LN($B$132:$J$132),_xlfn.SEQUENCE(9))),_xlpm.r,_xlfn.FORECAST.LINEAR(9+_xlpm.h,$B$133:$J$133,_xlfn.SEQUENCE(9)),SUM(_xlpm.v*_xlpm.r)/SUM(_xlpm.v))</f>
        <v>1.3841602268806501E-2</v>
      </c>
      <c r="V133" s="24" cm="1">
        <f t="array" ref="V133">_xlfn.LET(_xlpm.h,_xlfn.SEQUENCE(4,1,4+4*(COLUMN()-COLUMN($R$1)),1),_xlpm.v,EXP(_xlfn.FORECAST.LINEAR(9+_xlpm.h,LN($B$132:$J$132),_xlfn.SEQUENCE(9))),_xlpm.r,_xlfn.FORECAST.LINEAR(9+_xlpm.h,$B$133:$J$133,_xlfn.SEQUENCE(9)),SUM(_xlpm.v*_xlpm.r)/SUM(_xlpm.v))</f>
        <v>1.3290421093521337E-2</v>
      </c>
    </row>
    <row r="134" spans="1:22" ht="15" customHeight="1" x14ac:dyDescent="0.2">
      <c r="A134" s="5" t="s">
        <v>114</v>
      </c>
      <c r="B134" s="17">
        <v>9.7000000000000003E-3</v>
      </c>
      <c r="C134" s="17">
        <v>9.4999999999999998E-3</v>
      </c>
      <c r="D134" s="17">
        <v>9.1000000000000004E-3</v>
      </c>
      <c r="E134" s="17">
        <v>9.1000000000000004E-3</v>
      </c>
      <c r="F134" s="17">
        <v>8.8999999999999999E-3</v>
      </c>
      <c r="G134" s="17">
        <v>8.8999999999999999E-3</v>
      </c>
      <c r="H134" s="17">
        <v>8.8999999999999999E-3</v>
      </c>
      <c r="I134" s="17">
        <v>8.8999999999999999E-3</v>
      </c>
      <c r="J134" s="17">
        <v>8.9999999999999993E-3</v>
      </c>
      <c r="K134" s="17">
        <f>$J$134</f>
        <v>8.9999999999999993E-3</v>
      </c>
      <c r="L134" s="17">
        <f t="shared" ref="L134:M134" si="90">$J$134</f>
        <v>8.9999999999999993E-3</v>
      </c>
      <c r="M134" s="17">
        <f t="shared" si="90"/>
        <v>8.9999999999999993E-3</v>
      </c>
      <c r="N134" s="24"/>
      <c r="O134" s="24">
        <f>O9/O132</f>
        <v>9.3370553864584437E-3</v>
      </c>
      <c r="P134" s="24">
        <f t="shared" ref="P134" si="91">P9/P132</f>
        <v>8.911480519828003E-3</v>
      </c>
      <c r="Q134" s="24">
        <f>Q9/Q132</f>
        <v>8.9945132209551127E-3</v>
      </c>
      <c r="R134" s="24">
        <f>$J$134</f>
        <v>8.9999999999999993E-3</v>
      </c>
      <c r="S134" s="24">
        <f t="shared" ref="S134:V134" si="92">$J$134</f>
        <v>8.9999999999999993E-3</v>
      </c>
      <c r="T134" s="24">
        <f t="shared" si="92"/>
        <v>8.9999999999999993E-3</v>
      </c>
      <c r="U134" s="24">
        <f t="shared" si="92"/>
        <v>8.9999999999999993E-3</v>
      </c>
      <c r="V134" s="24">
        <f t="shared" si="92"/>
        <v>8.9999999999999993E-3</v>
      </c>
    </row>
    <row r="135" spans="1:22" ht="15" customHeight="1" x14ac:dyDescent="0.2">
      <c r="A135" s="5" t="s">
        <v>113</v>
      </c>
      <c r="B135" s="17">
        <v>8.0000000000000004E-4</v>
      </c>
      <c r="C135" s="17">
        <v>8.0000000000000004E-4</v>
      </c>
      <c r="D135" s="17">
        <v>8.0000000000000004E-4</v>
      </c>
      <c r="E135" s="17">
        <v>1E-3</v>
      </c>
      <c r="F135" s="17">
        <v>8.9999999999999998E-4</v>
      </c>
      <c r="G135" s="17">
        <v>1.1000000000000001E-3</v>
      </c>
      <c r="H135" s="17">
        <v>1.1000000000000001E-3</v>
      </c>
      <c r="I135" s="17">
        <v>8.0000000000000004E-4</v>
      </c>
      <c r="J135" s="17">
        <v>8.0000000000000004E-4</v>
      </c>
      <c r="K135" s="17">
        <f>AVERAGE($B$135:$J$135)</f>
        <v>9.0000000000000019E-4</v>
      </c>
      <c r="L135" s="17">
        <f t="shared" ref="L135:M135" si="93">AVERAGE($B$135:$J$135)</f>
        <v>9.0000000000000019E-4</v>
      </c>
      <c r="M135" s="17">
        <f t="shared" si="93"/>
        <v>9.0000000000000019E-4</v>
      </c>
      <c r="N135" s="24"/>
      <c r="O135" s="24">
        <f>O10/O132</f>
        <v>8.5774567543308125E-4</v>
      </c>
      <c r="P135" s="24">
        <f t="shared" ref="P135" si="94">P10/P132</f>
        <v>9.587631509416503E-4</v>
      </c>
      <c r="Q135" s="24">
        <f>Q10/Q132</f>
        <v>8.7951352188521067E-4</v>
      </c>
      <c r="R135" s="24">
        <f>AVERAGE($B$135:$J$135)</f>
        <v>9.0000000000000019E-4</v>
      </c>
      <c r="S135" s="24">
        <f t="shared" ref="S135:V135" si="95">AVERAGE($B$135:$J$135)</f>
        <v>9.0000000000000019E-4</v>
      </c>
      <c r="T135" s="24">
        <f t="shared" si="95"/>
        <v>9.0000000000000019E-4</v>
      </c>
      <c r="U135" s="24">
        <f t="shared" si="95"/>
        <v>9.0000000000000019E-4</v>
      </c>
      <c r="V135" s="24">
        <f t="shared" si="95"/>
        <v>9.0000000000000019E-4</v>
      </c>
    </row>
    <row r="136" spans="1:22" ht="15" customHeight="1" x14ac:dyDescent="0.2">
      <c r="A136" s="5" t="s">
        <v>112</v>
      </c>
      <c r="B136" s="17">
        <v>0.45</v>
      </c>
      <c r="C136" s="17">
        <v>0.45800000000000002</v>
      </c>
      <c r="D136" s="17">
        <v>0.46600000000000003</v>
      </c>
      <c r="E136" s="17">
        <v>0.47</v>
      </c>
      <c r="F136" s="17">
        <v>0.47699999999999998</v>
      </c>
      <c r="G136" s="17">
        <v>0.46400000000000002</v>
      </c>
      <c r="H136" s="17">
        <v>0.46</v>
      </c>
      <c r="I136" s="17">
        <v>0.46500000000000002</v>
      </c>
      <c r="J136" s="17">
        <v>0.45612354842571529</v>
      </c>
      <c r="K136" s="17">
        <f>K137/K7</f>
        <v>0.45050794184690901</v>
      </c>
      <c r="L136" s="17">
        <f t="shared" ref="L136:M136" si="96">L137/L7</f>
        <v>0.44652229023737727</v>
      </c>
      <c r="M136" s="17">
        <f t="shared" si="96"/>
        <v>0.44244857885257893</v>
      </c>
      <c r="N136" s="24"/>
      <c r="O136" s="24">
        <f>O137/O7</f>
        <v>0.46098688555524103</v>
      </c>
      <c r="P136" s="24">
        <f t="shared" ref="P136" si="97">P137/P7</f>
        <v>0.46620643916556131</v>
      </c>
      <c r="Q136" s="24">
        <f>Q137/Q7</f>
        <v>0.44879525560745909</v>
      </c>
      <c r="R136" s="24">
        <f>R137/R7</f>
        <v>0.43174972649533705</v>
      </c>
      <c r="S136" s="24">
        <f t="shared" ref="S136:V136" si="98">S137/S7</f>
        <v>0.41357986171080069</v>
      </c>
      <c r="T136" s="24">
        <f t="shared" si="98"/>
        <v>0.39377772570350261</v>
      </c>
      <c r="U136" s="24">
        <f t="shared" si="98"/>
        <v>0.37219265115567202</v>
      </c>
      <c r="V136" s="24">
        <f t="shared" si="98"/>
        <v>0.34864629183876966</v>
      </c>
    </row>
    <row r="137" spans="1:22" ht="15" customHeight="1" x14ac:dyDescent="0.2">
      <c r="A137" s="5" t="s">
        <v>111</v>
      </c>
      <c r="B137" s="12">
        <v>3461</v>
      </c>
      <c r="C137" s="12">
        <v>3608</v>
      </c>
      <c r="D137" s="12">
        <v>3654</v>
      </c>
      <c r="E137" s="12">
        <v>3935</v>
      </c>
      <c r="F137" s="12">
        <v>3716</v>
      </c>
      <c r="G137" s="12">
        <v>3844</v>
      </c>
      <c r="H137" s="12">
        <v>3871</v>
      </c>
      <c r="I137" s="12">
        <v>4034</v>
      </c>
      <c r="J137" s="12">
        <v>3810</v>
      </c>
      <c r="K137" s="12">
        <f>K11</f>
        <v>3895.1987448687778</v>
      </c>
      <c r="L137" s="12">
        <f t="shared" ref="L137:M137" si="99">L11</f>
        <v>3905.2728484062345</v>
      </c>
      <c r="M137" s="12">
        <f t="shared" si="99"/>
        <v>3913.8667380694415</v>
      </c>
      <c r="N137" s="23"/>
      <c r="O137" s="23">
        <f>O11</f>
        <v>14658</v>
      </c>
      <c r="P137" s="23">
        <f t="shared" ref="P137" si="100">P11</f>
        <v>15465</v>
      </c>
      <c r="Q137" s="23">
        <f>Q11</f>
        <v>15524.338331344454</v>
      </c>
      <c r="R137" s="23">
        <f>R11</f>
        <v>15709.953597836295</v>
      </c>
      <c r="S137" s="23">
        <f t="shared" ref="S137:V137" si="101">S11</f>
        <v>15714.918250787199</v>
      </c>
      <c r="T137" s="23">
        <f t="shared" si="101"/>
        <v>15597.68011166155</v>
      </c>
      <c r="U137" s="23">
        <f t="shared" si="101"/>
        <v>15341.269002732901</v>
      </c>
      <c r="V137" s="23">
        <f t="shared" si="101"/>
        <v>14926.816050156587</v>
      </c>
    </row>
    <row r="138" spans="1:22" ht="15" customHeight="1" x14ac:dyDescent="0.2">
      <c r="A138" s="5" t="s">
        <v>143</v>
      </c>
      <c r="B138" s="21">
        <v>1.5573770491803278</v>
      </c>
      <c r="C138" s="21">
        <v>1.7062937062937062</v>
      </c>
      <c r="D138" s="21">
        <v>1.8055555555555556</v>
      </c>
      <c r="E138" s="21">
        <v>1.792626728110599</v>
      </c>
      <c r="F138" s="21">
        <v>1.7775229357798166</v>
      </c>
      <c r="G138" s="21">
        <v>1.9337899543378996</v>
      </c>
      <c r="H138" s="21">
        <v>2.0433789954337898</v>
      </c>
      <c r="I138" s="21">
        <v>1.9521640091116172</v>
      </c>
      <c r="J138" s="21">
        <v>1.9407744874715263</v>
      </c>
      <c r="K138" s="21">
        <f>_xlfn.FORECAST.LINEAR(COLUMN()-COLUMN($A$1),$B$138:$J$138,_xlfn.SEQUENCE(9))</f>
        <v>2.0750546107751733</v>
      </c>
      <c r="L138" s="21">
        <f t="shared" ref="L138:M138" si="102">_xlfn.FORECAST.LINEAR(COLUMN()-COLUMN($A$1),$B$138:$J$138,_xlfn.SEQUENCE(9))</f>
        <v>2.1231881235685446</v>
      </c>
      <c r="M138" s="21">
        <f t="shared" si="102"/>
        <v>2.1713216363619163</v>
      </c>
      <c r="N138" s="25"/>
      <c r="O138" s="25">
        <f>2955/O129</f>
        <v>6.8087557603686637</v>
      </c>
      <c r="P138" s="25">
        <f>3374/P129</f>
        <v>7.6856492027334848</v>
      </c>
      <c r="Q138" s="25">
        <f>SUMPRODUCT(J129:M129,J138:M138)/Q129</f>
        <v>8.3103388581771611</v>
      </c>
      <c r="R138" s="25" cm="1">
        <f t="array" ref="R138">_xlfn.LET(_xlpm.h,_xlfn.SEQUENCE(4,1,4+4*(COLUMN()-COLUMN($R$1)),1),SUM(_xlfn.FORECAST.LINEAR(9+_xlpm.h,$B$138:$J$138,_xlfn.SEQUENCE(9))))</f>
        <v>9.1666216733813819</v>
      </c>
      <c r="S138" s="25" cm="1">
        <f t="array" ref="S138">_xlfn.LET(_xlpm.h,_xlfn.SEQUENCE(4,1,4+4*(COLUMN()-COLUMN($R$1)),1),SUM(_xlfn.FORECAST.LINEAR(9+_xlpm.h,$B$138:$J$138,_xlfn.SEQUENCE(9))))</f>
        <v>9.9367578780753263</v>
      </c>
      <c r="T138" s="25" cm="1">
        <f t="array" ref="T138">_xlfn.LET(_xlpm.h,_xlfn.SEQUENCE(4,1,4+4*(COLUMN()-COLUMN($R$1)),1),SUM(_xlfn.FORECAST.LINEAR(9+_xlpm.h,$B$138:$J$138,_xlfn.SEQUENCE(9))))</f>
        <v>10.706894082769272</v>
      </c>
      <c r="U138" s="25" cm="1">
        <f t="array" ref="U138">_xlfn.LET(_xlpm.h,_xlfn.SEQUENCE(4,1,4+4*(COLUMN()-COLUMN($R$1)),1),SUM(_xlfn.FORECAST.LINEAR(9+_xlpm.h,$B$138:$J$138,_xlfn.SEQUENCE(9))))</f>
        <v>11.477030287463219</v>
      </c>
      <c r="V138" s="25" cm="1">
        <f t="array" ref="V138">_xlfn.LET(_xlpm.h,_xlfn.SEQUENCE(4,1,4+4*(COLUMN()-COLUMN($R$1)),1),SUM(_xlfn.FORECAST.LINEAR(9+_xlpm.h,$B$138:$J$138,_xlfn.SEQUENCE(9))))</f>
        <v>12.247166492157165</v>
      </c>
    </row>
    <row r="139" spans="1:22" ht="15" customHeight="1" x14ac:dyDescent="0.2">
      <c r="A139" s="2" t="s">
        <v>110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5" customHeight="1" x14ac:dyDescent="0.2">
      <c r="A140" s="5" t="s">
        <v>109</v>
      </c>
      <c r="B140" s="20">
        <v>0.12</v>
      </c>
      <c r="C140" s="20">
        <v>0.12</v>
      </c>
      <c r="D140" s="20">
        <v>0.12</v>
      </c>
      <c r="E140" s="20" t="s">
        <v>120</v>
      </c>
      <c r="F140" s="20">
        <v>0.12</v>
      </c>
      <c r="G140" s="20">
        <v>0.12</v>
      </c>
      <c r="H140" s="20">
        <v>0.12</v>
      </c>
      <c r="I140" s="20" t="s">
        <v>120</v>
      </c>
      <c r="J140" s="20" t="s">
        <v>120</v>
      </c>
      <c r="K140" s="20"/>
      <c r="L140" s="20"/>
      <c r="M140" s="20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5" customHeight="1" x14ac:dyDescent="0.2">
      <c r="A141" s="5" t="s">
        <v>108</v>
      </c>
      <c r="B141" s="20" t="s">
        <v>120</v>
      </c>
      <c r="C141" s="20" t="s">
        <v>120</v>
      </c>
      <c r="D141" s="20" t="s">
        <v>120</v>
      </c>
      <c r="E141" s="20" t="s">
        <v>120</v>
      </c>
      <c r="F141" s="20">
        <v>0.35</v>
      </c>
      <c r="G141" s="20" t="s">
        <v>120</v>
      </c>
      <c r="H141" s="20" t="s">
        <v>120</v>
      </c>
      <c r="I141" s="20" t="s">
        <v>120</v>
      </c>
      <c r="J141" s="20">
        <v>0.35</v>
      </c>
      <c r="K141" s="20"/>
      <c r="L141" s="20"/>
      <c r="M141" s="20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5" customHeight="1" x14ac:dyDescent="0.2">
      <c r="A142" s="5" t="s">
        <v>107</v>
      </c>
      <c r="B142" s="19" t="s">
        <v>120</v>
      </c>
      <c r="C142" s="19" t="s">
        <v>120</v>
      </c>
      <c r="D142" s="19" t="s">
        <v>120</v>
      </c>
      <c r="E142" s="19" t="s">
        <v>120</v>
      </c>
      <c r="F142" s="19">
        <v>6.9999999999999999E-4</v>
      </c>
      <c r="G142" s="19" t="s">
        <v>120</v>
      </c>
      <c r="H142" s="19" t="s">
        <v>120</v>
      </c>
      <c r="I142" s="19" t="s">
        <v>120</v>
      </c>
      <c r="J142" s="19">
        <v>5.9999999999999995E-4</v>
      </c>
      <c r="K142" s="19"/>
      <c r="L142" s="19"/>
      <c r="M142" s="19"/>
      <c r="N142" s="4"/>
      <c r="O142" s="4"/>
      <c r="P142" s="4"/>
      <c r="Q142" s="4"/>
      <c r="R142" s="4"/>
      <c r="S142" s="4"/>
      <c r="T142" s="4"/>
      <c r="U142" s="4"/>
      <c r="V142" s="4"/>
    </row>
  </sheetData>
  <phoneticPr fontId="7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Tomohawk WR</dc:creator>
  <cp:lastModifiedBy>Tomohawk WR</cp:lastModifiedBy>
  <dcterms:created xsi:type="dcterms:W3CDTF">2026-07-23T22:11:04Z</dcterms:created>
  <dcterms:modified xsi:type="dcterms:W3CDTF">2026-07-28T17:08:45Z</dcterms:modified>
</cp:coreProperties>
</file>