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ommy\Downloads\Everpure\"/>
    </mc:Choice>
  </mc:AlternateContent>
  <xr:revisionPtr revIDLastSave="0" documentId="13_ncr:1_{1967B535-95C2-4684-81D3-976EAB0E7BB2}" xr6:coauthVersionLast="47" xr6:coauthVersionMax="47" xr10:uidLastSave="{00000000-0000-0000-0000-000000000000}"/>
  <bookViews>
    <workbookView xWindow="0" yWindow="1440" windowWidth="28800" windowHeight="14040" xr2:uid="{00000000-000D-0000-FFFF-FFFF00000000}"/>
  </bookViews>
  <sheets>
    <sheet name="Cover" sheetId="1" r:id="rId1"/>
    <sheet name="Historicals" sheetId="2" r:id="rId2"/>
    <sheet name="Assumptions" sheetId="3" r:id="rId3"/>
    <sheet name="Revenue_Build" sheetId="4" r:id="rId4"/>
    <sheet name="Forecast" sheetId="5" r:id="rId5"/>
    <sheet name="DCF" sheetId="6" r:id="rId6"/>
    <sheet name="Comp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7" l="1"/>
  <c r="F16" i="7"/>
  <c r="E16" i="7"/>
  <c r="D16" i="7"/>
  <c r="C16" i="7"/>
  <c r="B16" i="7"/>
  <c r="B5" i="7"/>
  <c r="B37" i="6"/>
  <c r="B25" i="6"/>
  <c r="B23" i="6"/>
  <c r="B11" i="6"/>
  <c r="B9" i="6"/>
  <c r="B8" i="6"/>
  <c r="B6" i="6"/>
  <c r="B5" i="6"/>
  <c r="B4" i="6"/>
  <c r="F54" i="5"/>
  <c r="E54" i="5"/>
  <c r="D54" i="5"/>
  <c r="C54" i="5"/>
  <c r="B54" i="5"/>
  <c r="F53" i="5"/>
  <c r="E53" i="5"/>
  <c r="D53" i="5"/>
  <c r="C53" i="5"/>
  <c r="B53" i="5"/>
  <c r="F52" i="5"/>
  <c r="E52" i="5"/>
  <c r="D52" i="5"/>
  <c r="C52" i="5"/>
  <c r="B52" i="5"/>
  <c r="F44" i="5"/>
  <c r="E44" i="5"/>
  <c r="D44" i="5"/>
  <c r="C44" i="5"/>
  <c r="B44" i="5"/>
  <c r="F34" i="5"/>
  <c r="E34" i="5"/>
  <c r="D34" i="5"/>
  <c r="C34" i="5"/>
  <c r="B34" i="5"/>
  <c r="F33" i="5"/>
  <c r="E33" i="5"/>
  <c r="D33" i="5"/>
  <c r="C33" i="5"/>
  <c r="B33" i="5"/>
  <c r="F32" i="5"/>
  <c r="E32" i="5"/>
  <c r="D32" i="5"/>
  <c r="C32" i="5"/>
  <c r="B32" i="5"/>
  <c r="F31" i="5"/>
  <c r="E31" i="5"/>
  <c r="D31" i="5"/>
  <c r="C31" i="5"/>
  <c r="B31" i="5"/>
  <c r="F30" i="5"/>
  <c r="E30" i="5"/>
  <c r="D30" i="5"/>
  <c r="C30" i="5"/>
  <c r="B30" i="5"/>
  <c r="F25" i="5"/>
  <c r="E25" i="5"/>
  <c r="D25" i="5"/>
  <c r="C25" i="5"/>
  <c r="B25" i="5"/>
  <c r="F23" i="5"/>
  <c r="E23" i="5"/>
  <c r="D23" i="5"/>
  <c r="C23" i="5"/>
  <c r="B23" i="5"/>
  <c r="F20" i="5"/>
  <c r="E20" i="5"/>
  <c r="D20" i="5"/>
  <c r="C20" i="5"/>
  <c r="B20" i="5"/>
  <c r="F16" i="5"/>
  <c r="E16" i="5"/>
  <c r="D16" i="5"/>
  <c r="C16" i="5"/>
  <c r="B16" i="5"/>
  <c r="F14" i="5"/>
  <c r="E14" i="5"/>
  <c r="D14" i="5"/>
  <c r="C14" i="5"/>
  <c r="B14" i="5"/>
  <c r="F8" i="5"/>
  <c r="E8" i="5"/>
  <c r="D8" i="5"/>
  <c r="C8" i="5"/>
  <c r="B8" i="5"/>
  <c r="F7" i="5"/>
  <c r="E7" i="5"/>
  <c r="D7" i="5"/>
  <c r="C7" i="5"/>
  <c r="B7" i="5"/>
  <c r="F14" i="4"/>
  <c r="E14" i="4"/>
  <c r="D14" i="4"/>
  <c r="C14" i="4"/>
  <c r="B14" i="4"/>
  <c r="F12" i="4"/>
  <c r="E12" i="4"/>
  <c r="D12" i="4"/>
  <c r="C12" i="4"/>
  <c r="B12" i="4"/>
  <c r="B11" i="4"/>
  <c r="F8" i="4"/>
  <c r="E8" i="4"/>
  <c r="D8" i="4"/>
  <c r="C8" i="4"/>
  <c r="B8" i="4"/>
  <c r="F5" i="4"/>
  <c r="E5" i="4"/>
  <c r="D5" i="4"/>
  <c r="C5" i="4"/>
  <c r="B5" i="4"/>
  <c r="B4" i="4"/>
  <c r="F41" i="2"/>
  <c r="E41" i="2"/>
  <c r="D41" i="2"/>
  <c r="C41" i="2"/>
  <c r="B41" i="2"/>
  <c r="F40" i="2"/>
  <c r="E40" i="2"/>
  <c r="D40" i="2"/>
  <c r="C40" i="2"/>
  <c r="B40" i="2"/>
  <c r="C39" i="2"/>
  <c r="F33" i="2"/>
  <c r="E33" i="2"/>
  <c r="D33" i="2"/>
  <c r="C33" i="2"/>
  <c r="B33" i="2"/>
  <c r="F30" i="2"/>
  <c r="E30" i="2"/>
  <c r="D30" i="2"/>
  <c r="C30" i="2"/>
  <c r="B30" i="2"/>
  <c r="F29" i="2"/>
  <c r="E29" i="2"/>
  <c r="D29" i="2"/>
  <c r="C29" i="2"/>
  <c r="B29" i="2"/>
  <c r="B6" i="4" l="1"/>
  <c r="B13" i="4"/>
  <c r="F39" i="2"/>
  <c r="E39" i="2"/>
  <c r="D39" i="2"/>
  <c r="B39" i="2"/>
  <c r="F31" i="2"/>
  <c r="E31" i="2"/>
  <c r="D31" i="2"/>
  <c r="C31" i="2"/>
  <c r="B31" i="2"/>
  <c r="B6" i="7"/>
  <c r="B12" i="6"/>
  <c r="B10" i="6"/>
  <c r="B7" i="6"/>
  <c r="C4" i="4" l="1"/>
  <c r="B7" i="4"/>
  <c r="B9" i="4" s="1"/>
  <c r="B5" i="5" s="1"/>
  <c r="C11" i="4"/>
  <c r="C13" i="4" s="1"/>
  <c r="B15" i="4"/>
  <c r="F32" i="2"/>
  <c r="F34" i="2"/>
  <c r="E32" i="2"/>
  <c r="E34" i="2"/>
  <c r="D32" i="2"/>
  <c r="D34" i="2"/>
  <c r="C32" i="2"/>
  <c r="C34" i="2"/>
  <c r="B32" i="2"/>
  <c r="B34" i="2"/>
  <c r="C6" i="4"/>
  <c r="D4" i="4" s="1"/>
  <c r="C7" i="4"/>
  <c r="C9" i="4" s="1"/>
  <c r="C5" i="5" s="1"/>
  <c r="C10" i="5" s="1"/>
  <c r="B13" i="6"/>
  <c r="B10" i="5" l="1"/>
  <c r="C15" i="4"/>
  <c r="D11" i="4"/>
  <c r="D13" i="4" s="1"/>
  <c r="B17" i="4"/>
  <c r="B4" i="5"/>
  <c r="B9" i="5" s="1"/>
  <c r="F35" i="2"/>
  <c r="F36" i="2"/>
  <c r="E35" i="2"/>
  <c r="E36" i="2"/>
  <c r="D35" i="2"/>
  <c r="D36" i="2"/>
  <c r="C35" i="2"/>
  <c r="C36" i="2"/>
  <c r="B35" i="2"/>
  <c r="B36" i="2"/>
  <c r="D6" i="4"/>
  <c r="E4" i="4" s="1"/>
  <c r="B11" i="5" l="1"/>
  <c r="C17" i="4"/>
  <c r="C4" i="5"/>
  <c r="C9" i="5" s="1"/>
  <c r="C11" i="5" s="1"/>
  <c r="E11" i="4"/>
  <c r="E13" i="4" s="1"/>
  <c r="D15" i="4"/>
  <c r="B18" i="4"/>
  <c r="B6" i="5"/>
  <c r="F37" i="2"/>
  <c r="F38" i="2"/>
  <c r="E37" i="2"/>
  <c r="E38" i="2"/>
  <c r="D37" i="2"/>
  <c r="D38" i="2"/>
  <c r="C37" i="2"/>
  <c r="C38" i="2"/>
  <c r="B37" i="2"/>
  <c r="B38" i="2"/>
  <c r="E7" i="4"/>
  <c r="E9" i="4" s="1"/>
  <c r="E5" i="5" s="1"/>
  <c r="E10" i="5" s="1"/>
  <c r="E6" i="4"/>
  <c r="F4" i="4" s="1"/>
  <c r="D7" i="4"/>
  <c r="D9" i="4" s="1"/>
  <c r="D5" i="5" s="1"/>
  <c r="D10" i="5" s="1"/>
  <c r="B36" i="5" l="1"/>
  <c r="B38" i="5"/>
  <c r="C18" i="4"/>
  <c r="C6" i="5"/>
  <c r="C36" i="5"/>
  <c r="C38" i="5"/>
  <c r="E15" i="4"/>
  <c r="F11" i="4"/>
  <c r="F13" i="4" s="1"/>
  <c r="F15" i="4" s="1"/>
  <c r="D17" i="4"/>
  <c r="D4" i="5"/>
  <c r="D9" i="5" s="1"/>
  <c r="D11" i="5" s="1"/>
  <c r="B7" i="7"/>
  <c r="B12" i="7" s="1"/>
  <c r="B35" i="5"/>
  <c r="B37" i="5"/>
  <c r="B39" i="5"/>
  <c r="B12" i="5"/>
  <c r="B13" i="5" s="1"/>
  <c r="B15" i="5"/>
  <c r="B21" i="5"/>
  <c r="B17" i="5"/>
  <c r="B45" i="5"/>
  <c r="B56" i="5" s="1"/>
  <c r="B61" i="5"/>
  <c r="B20" i="7"/>
  <c r="B21" i="7" s="1"/>
  <c r="B22" i="7" s="1"/>
  <c r="B47" i="6" s="1"/>
  <c r="F6" i="4"/>
  <c r="B18" i="5" l="1"/>
  <c r="C35" i="5"/>
  <c r="C37" i="5"/>
  <c r="C39" i="5"/>
  <c r="C12" i="5"/>
  <c r="C13" i="5" s="1"/>
  <c r="C15" i="5"/>
  <c r="C21" i="5"/>
  <c r="C45" i="5"/>
  <c r="C17" i="5"/>
  <c r="C61" i="5"/>
  <c r="E17" i="4"/>
  <c r="E4" i="5"/>
  <c r="E9" i="5" s="1"/>
  <c r="E11" i="5" s="1"/>
  <c r="F17" i="4"/>
  <c r="F4" i="5"/>
  <c r="F9" i="5" s="1"/>
  <c r="F11" i="5" s="1"/>
  <c r="D18" i="4"/>
  <c r="D6" i="5"/>
  <c r="D36" i="5"/>
  <c r="D38" i="5"/>
  <c r="B19" i="5"/>
  <c r="B22" i="5"/>
  <c r="B8" i="7" s="1"/>
  <c r="C12" i="7" s="1"/>
  <c r="B46" i="5"/>
  <c r="B47" i="5" s="1"/>
  <c r="B17" i="6" s="1"/>
  <c r="B19" i="6" s="1"/>
  <c r="B62" i="5"/>
  <c r="B40" i="5"/>
  <c r="B41" i="5" s="1"/>
  <c r="F7" i="4"/>
  <c r="F9" i="4" s="1"/>
  <c r="F5" i="5" s="1"/>
  <c r="F10" i="5" s="1"/>
  <c r="B24" i="5" l="1"/>
  <c r="C40" i="5"/>
  <c r="C41" i="5" s="1"/>
  <c r="E18" i="4"/>
  <c r="E6" i="5"/>
  <c r="E36" i="5"/>
  <c r="E38" i="5"/>
  <c r="F18" i="4"/>
  <c r="F6" i="5"/>
  <c r="F36" i="5"/>
  <c r="F38" i="5"/>
  <c r="D35" i="5"/>
  <c r="D37" i="5"/>
  <c r="D39" i="5"/>
  <c r="D12" i="5"/>
  <c r="D13" i="5" s="1"/>
  <c r="D15" i="5"/>
  <c r="D18" i="5" s="1"/>
  <c r="D21" i="5"/>
  <c r="D17" i="5"/>
  <c r="D45" i="5"/>
  <c r="D61" i="5"/>
  <c r="C18" i="5"/>
  <c r="C56" i="5"/>
  <c r="B26" i="5" l="1"/>
  <c r="E35" i="5"/>
  <c r="E37" i="5"/>
  <c r="E39" i="5"/>
  <c r="E12" i="5"/>
  <c r="E13" i="5" s="1"/>
  <c r="E21" i="5"/>
  <c r="E17" i="5"/>
  <c r="E15" i="5"/>
  <c r="E18" i="5" s="1"/>
  <c r="E45" i="5"/>
  <c r="E61" i="5"/>
  <c r="F35" i="5"/>
  <c r="F37" i="5"/>
  <c r="F39" i="5"/>
  <c r="F12" i="5"/>
  <c r="F13" i="5" s="1"/>
  <c r="F21" i="5"/>
  <c r="F15" i="5"/>
  <c r="F61" i="5"/>
  <c r="F17" i="5"/>
  <c r="F45" i="5"/>
  <c r="D19" i="5"/>
  <c r="D22" i="5"/>
  <c r="D24" i="5"/>
  <c r="D46" i="5"/>
  <c r="C22" i="5"/>
  <c r="C19" i="5"/>
  <c r="C46" i="5"/>
  <c r="C47" i="5" s="1"/>
  <c r="C17" i="6" s="1"/>
  <c r="C19" i="6" s="1"/>
  <c r="C24" i="5"/>
  <c r="C62" i="5"/>
  <c r="D56" i="5"/>
  <c r="B27" i="5"/>
  <c r="D40" i="5"/>
  <c r="D41" i="5" s="1"/>
  <c r="F18" i="5" l="1"/>
  <c r="E19" i="5"/>
  <c r="E22" i="5"/>
  <c r="E24" i="5"/>
  <c r="E46" i="5"/>
  <c r="E47" i="5" s="1"/>
  <c r="E17" i="6" s="1"/>
  <c r="E19" i="6" s="1"/>
  <c r="F19" i="5"/>
  <c r="F22" i="5"/>
  <c r="B24" i="6" s="1"/>
  <c r="B28" i="6" s="1"/>
  <c r="D26" i="5"/>
  <c r="D27" i="5"/>
  <c r="D48" i="5" s="1"/>
  <c r="D49" i="5" s="1"/>
  <c r="C26" i="5"/>
  <c r="E56" i="5"/>
  <c r="D62" i="5"/>
  <c r="B57" i="5"/>
  <c r="B48" i="5"/>
  <c r="D47" i="5"/>
  <c r="D17" i="6" s="1"/>
  <c r="D19" i="6" s="1"/>
  <c r="E40" i="5"/>
  <c r="E41" i="5" s="1"/>
  <c r="F40" i="5"/>
  <c r="F41" i="5" s="1"/>
  <c r="F46" i="5" l="1"/>
  <c r="F47" i="5" s="1"/>
  <c r="F17" i="6" s="1"/>
  <c r="F24" i="5"/>
  <c r="E26" i="5"/>
  <c r="E27" i="5"/>
  <c r="E48" i="5" s="1"/>
  <c r="E49" i="5" s="1"/>
  <c r="B29" i="6"/>
  <c r="F56" i="5"/>
  <c r="F62" i="5" s="1"/>
  <c r="E62" i="5"/>
  <c r="B63" i="5"/>
  <c r="B49" i="5"/>
  <c r="B55" i="5"/>
  <c r="C27" i="5"/>
  <c r="C48" i="5" s="1"/>
  <c r="C49" i="5" s="1"/>
  <c r="B30" i="6" l="1"/>
  <c r="F19" i="6"/>
  <c r="B20" i="6" s="1"/>
  <c r="B26" i="6"/>
  <c r="F26" i="5"/>
  <c r="F27" i="5"/>
  <c r="F48" i="5" s="1"/>
  <c r="F49" i="5" s="1"/>
  <c r="B27" i="6"/>
  <c r="C55" i="5"/>
  <c r="B58" i="5"/>
  <c r="B64" i="5"/>
  <c r="C57" i="5"/>
  <c r="B31" i="6" l="1"/>
  <c r="B35" i="6"/>
  <c r="B39" i="6" s="1"/>
  <c r="B43" i="6" s="1"/>
  <c r="B34" i="6"/>
  <c r="D55" i="5"/>
  <c r="C58" i="5"/>
  <c r="C64" i="5"/>
  <c r="B36" i="6"/>
  <c r="B40" i="6" s="1"/>
  <c r="B44" i="6" s="1"/>
  <c r="B48" i="6" s="1"/>
  <c r="C63" i="5"/>
  <c r="D57" i="5"/>
  <c r="B38" i="6" l="1"/>
  <c r="B42" i="6" s="1"/>
  <c r="E55" i="5"/>
  <c r="D58" i="5"/>
  <c r="D64" i="5"/>
  <c r="B50" i="6"/>
  <c r="B10" i="1"/>
  <c r="B12" i="1" s="1"/>
  <c r="E57" i="5"/>
  <c r="D63" i="5"/>
  <c r="F55" i="5" l="1"/>
  <c r="E58" i="5"/>
  <c r="E64" i="5"/>
  <c r="F57" i="5"/>
  <c r="F63" i="5" s="1"/>
  <c r="E63" i="5"/>
  <c r="F58" i="5" l="1"/>
  <c r="F64" i="5"/>
</calcChain>
</file>

<file path=xl/sharedStrings.xml><?xml version="1.0" encoding="utf-8"?>
<sst xmlns="http://schemas.openxmlformats.org/spreadsheetml/2006/main" count="299" uniqueCount="265">
  <si>
    <t>Everpure, Inc. (NYSE: PSTG) — Equity Research Financial Model</t>
  </si>
  <si>
    <t>Ticker / Exchange</t>
  </si>
  <si>
    <t>PSTG / NYSE</t>
  </si>
  <si>
    <t>Legal name</t>
  </si>
  <si>
    <t>Everpure, Inc. (formerly Pure Storage, Inc.)</t>
  </si>
  <si>
    <t>Fiscal year end</t>
  </si>
  <si>
    <t>Saturday/Sunday nearest Jan 31 (52/53-week fiscal year)</t>
  </si>
  <si>
    <t>Units</t>
  </si>
  <si>
    <t>USD millions unless noted; per-share in USD</t>
  </si>
  <si>
    <t>Build date</t>
  </si>
  <si>
    <t>2026-06-18</t>
  </si>
  <si>
    <t>Model version</t>
  </si>
  <si>
    <t>1.0</t>
  </si>
  <si>
    <t>Rating</t>
  </si>
  <si>
    <t>SELL</t>
  </si>
  <si>
    <t>Price target</t>
  </si>
  <si>
    <t>Current price (as-of Jun 18, 2026)</t>
  </si>
  <si>
    <t>Implied return</t>
  </si>
  <si>
    <t>Color convention</t>
  </si>
  <si>
    <t>Blue font</t>
  </si>
  <si>
    <t>Hardcoded input (historical actual or forecast assumption)</t>
  </si>
  <si>
    <t>Black font</t>
  </si>
  <si>
    <t>Formula referencing same sheet</t>
  </si>
  <si>
    <t>Green font</t>
  </si>
  <si>
    <t>Formula referencing another sheet</t>
  </si>
  <si>
    <t>Red font</t>
  </si>
  <si>
    <t>Check / cross-check cell</t>
  </si>
  <si>
    <t>Historicals — Everpure, Inc. ($M, GAAP unless noted) — sourced 10-K FY2025/FY2026; FY22-24 from data export, cross-checked</t>
  </si>
  <si>
    <t>Fiscal Year</t>
  </si>
  <si>
    <t>FY2022</t>
  </si>
  <si>
    <t>FY2023</t>
  </si>
  <si>
    <t>FY2024</t>
  </si>
  <si>
    <t>FY2025</t>
  </si>
  <si>
    <t>FY2026</t>
  </si>
  <si>
    <t>Product revenue</t>
  </si>
  <si>
    <t>Subscription revenue</t>
  </si>
  <si>
    <t>Product COGS</t>
  </si>
  <si>
    <t>Subscription COGS</t>
  </si>
  <si>
    <t>R&amp;D</t>
  </si>
  <si>
    <t>S&amp;M</t>
  </si>
  <si>
    <t>G&amp;A</t>
  </si>
  <si>
    <t>Other income (expense), net</t>
  </si>
  <si>
    <t>Income tax expense</t>
  </si>
  <si>
    <t>Stock-based compensation (total)</t>
  </si>
  <si>
    <t>D&amp;A</t>
  </si>
  <si>
    <t>Capex</t>
  </si>
  <si>
    <t>Accounts receivable</t>
  </si>
  <si>
    <t>Inventory</t>
  </si>
  <si>
    <t>Prepaid + other current assets</t>
  </si>
  <si>
    <t>Accounts payable</t>
  </si>
  <si>
    <t>Deferred revenue (total)</t>
  </si>
  <si>
    <t>Cash + ST investments</t>
  </si>
  <si>
    <t>Total debt</t>
  </si>
  <si>
    <t>Net PP&amp;E</t>
  </si>
  <si>
    <t>Retained earnings / (accumulated deficit)</t>
  </si>
  <si>
    <t>Diluted weighted-avg shares</t>
  </si>
  <si>
    <t>Subscription ARR (FYE)</t>
  </si>
  <si>
    <t>Subscription NDR</t>
  </si>
  <si>
    <t>Remaining performance obligations (RPO)</t>
  </si>
  <si>
    <t>Total revenue</t>
  </si>
  <si>
    <t>Total COGS</t>
  </si>
  <si>
    <t>Gross profit</t>
  </si>
  <si>
    <t>Gross margin %</t>
  </si>
  <si>
    <t>Total opex</t>
  </si>
  <si>
    <t>GAAP operating income</t>
  </si>
  <si>
    <t>Operating margin %</t>
  </si>
  <si>
    <t>Pretax income</t>
  </si>
  <si>
    <t>Net income</t>
  </si>
  <si>
    <t>Effective tax rate %</t>
  </si>
  <si>
    <t>SBC % of revenue</t>
  </si>
  <si>
    <t>Net operating working capital</t>
  </si>
  <si>
    <t>Net cash (debt)</t>
  </si>
  <si>
    <t>Assumptions — forecast inputs (HARDCODED ONLY — drives all forecast tabs by formula)</t>
  </si>
  <si>
    <t>ID / Driver</t>
  </si>
  <si>
    <t>FY2027E</t>
  </si>
  <si>
    <t>FY2028E</t>
  </si>
  <si>
    <t>FY2029E</t>
  </si>
  <si>
    <t>FY2030E</t>
  </si>
  <si>
    <t>FY2031E</t>
  </si>
  <si>
    <t>Rationale (basis for the assumption)</t>
  </si>
  <si>
    <t>A.REV.ARR.GROWTH — Subscription ARR YoY growth</t>
  </si>
  <si>
    <t>Decelerating from FY26's 16% as NDR continues its observed 117%-&gt;113% decline on a larger base; company framed FY27 ARR growth as 'high-teens' on the Q1 FY27 call</t>
  </si>
  <si>
    <t>A.REV.ARR.RECOG — ARR-to-subscription-revenue recognition ratio</t>
  </si>
  <si>
    <t>Calibrated to historical FY25 (0.886) and FY26 (0.879) ratios of reported subscription revenue to FYE ARR</t>
  </si>
  <si>
    <t>A.REV.CORE.GROWTH — Core enterprise product revenue growth</t>
  </si>
  <si>
    <t>Enterprise flash-refresh cycle + DirectFlash density/ASP uplift from AI-driven larger configs; decelerating as base scales</t>
  </si>
  <si>
    <t>A.REV.HYPER — Hyperscaler product revenue ($M, Lower Confidence — not separately disclosed by company)</t>
  </si>
  <si>
    <t>Back-solved residual so total revenue ties exactly to the company's raised FY27 guidance midpoint ($4.46B) and the report's assumed growth glide path, given Core (15%/15%/13%/10%/10% growth off FY26 actual) and Subscription (ARR-average x recognition-ratio method) are built independently above. Not a disclosed company figure.</t>
  </si>
  <si>
    <t>A.COGS.PRODUCT.GM — Product gross margin (GAAP)</t>
  </si>
  <si>
    <t>Compresses from FY26's 67% on the 2026 NAND shortage (TrendForce: 95% QoQ Q1 CY26, 70-75% QoQ Q2 CY26); recovers as new fab capacity arrives late 2027/2028</t>
  </si>
  <si>
    <t>A.COGS.SUB.GM — Subscription gross margin (GAAP)</t>
  </si>
  <si>
    <t>Less NAND-exposed (service/support cost base more fixed); modest efficiency gains as Evergreen scales</t>
  </si>
  <si>
    <t>A.OPEX.NONGAAP.OPMARGIN — Non-GAAP operating margin</t>
  </si>
  <si>
    <t>FY27 midpoint ties to company-raised guidance ($820-860M / $4.41-4.51B revenue); FY28-31 assume continued opex leverage</t>
  </si>
  <si>
    <t>A.OPEX.SBC.PCT — SBC % of revenue</t>
  </si>
  <si>
    <t>Gradual normalization from FY26's 13.2%, consistent with multi-year SBC dilution-management commentary</t>
  </si>
  <si>
    <t>A.PPE.CAPEX.PCT — Capex % of revenue</t>
  </si>
  <si>
    <t>Elevated near-term for hyperscaler infrastructure scale-up (10-K), normalizing thereafter</t>
  </si>
  <si>
    <t>A.PPE.DA.PCT — D&amp;A % of revenue</t>
  </si>
  <si>
    <t>Held near FY26 actual of 4.0% of revenue</t>
  </si>
  <si>
    <t>A.TAX.RATE — Effective tax rate</t>
  </si>
  <si>
    <t>FY26 actual 16.1% was depressed by OBBBA Section 174 R&amp;D-capitalization repeal; normalizing upward</t>
  </si>
  <si>
    <t>A.OI.OTHER — Other income, net ($M)</t>
  </si>
  <si>
    <t>Normalized interest income on cash balance; FY26's $109.5M was inflated by a one-time equity-security gain</t>
  </si>
  <si>
    <t>A.WC.DSO — Days sales outstanding</t>
  </si>
  <si>
    <t>FY26 actual 94 days (AR grew 39% vs 16% revenue — flagged in report); assumed gradual normalization</t>
  </si>
  <si>
    <t>A.WC.DPO — Days payable outstanding</t>
  </si>
  <si>
    <t>Held at FY26 actual</t>
  </si>
  <si>
    <t>A.WC.DIO_DAYS — Days inventory outstanding (applied to COGS)</t>
  </si>
  <si>
    <t>Held at FY26 actual (75.9/1084.9*365)</t>
  </si>
  <si>
    <t>A.WC.PREPAID_PCT — Prepaid+other CA % of revenue</t>
  </si>
  <si>
    <t>FY26 actual 9.7%, gradual decline with scale</t>
  </si>
  <si>
    <t>A.WC.DEFREV_PCT — Deferred revenue % of revenue</t>
  </si>
  <si>
    <t>Rising from FY26's 60.8% as RPO/deferred revenue continues outgrowing revenue (RPO +40% YoY vs revenue +16% in FY26, per 10-K)</t>
  </si>
  <si>
    <t>A.FIN.BUYBACK — Share buybacks ($M)</t>
  </si>
  <si>
    <t>Approximate continuation of FY26 pace ($342.5M) funded from FCF; company has $329.0M remaining authorization at FYE26 plus likely future board increases</t>
  </si>
  <si>
    <t>A.FIN.EQUITY_ISSU — ESPP + option exercise proceeds ($M)</t>
  </si>
  <si>
    <t>Roughly flat vs FY26 actual ($56.0M ESPP + $18.4M options = $74.4M)</t>
  </si>
  <si>
    <t>A.FIN.TAX_WITHHOLD — Tax withholding on vesting equity ($M)</t>
  </si>
  <si>
    <t>Modest growth from FY26's $271.7M, tracking SBC/headcount growth</t>
  </si>
  <si>
    <t>A.WACC.RF — Risk-free rate (10Y UST)</t>
  </si>
  <si>
    <t>Market close Jun 17, 2026 (TradingEconomics; Advisor Perspectives Treasury Yields Snapshot)</t>
  </si>
  <si>
    <t>A.WACC.BETA — Beta (5yr)</t>
  </si>
  <si>
    <t>Barchart PSTG quote page</t>
  </si>
  <si>
    <t>A.WACC.ERP — Equity risk premium</t>
  </si>
  <si>
    <t>Damodaran implied ERP, January 2026 data update (2026 ERP edition, SSRN)</t>
  </si>
  <si>
    <t>A.WACC.KD_PRETAX — Pretax cost of debt</t>
  </si>
  <si>
    <t>SOFR (~4.3-4.5%) + Credit Facility margin of 0.875-1.50% per 10-K</t>
  </si>
  <si>
    <t>A.WACC.WD — Weight of debt (book value)</t>
  </si>
  <si>
    <t>$216.1M book debt / ($24.79B market cap + $216.1M debt)</t>
  </si>
  <si>
    <t>A.DCF.TERMINAL_G — Terminal growth rate (Gordon)</t>
  </si>
  <si>
    <t>Below long-run nominal GDP (~4%); reflects eventual maturity of enterprise storage TAM</t>
  </si>
  <si>
    <t>A.DCF.EXIT_MULT — Terminal exit multiple (EV/EBITDA)</t>
  </si>
  <si>
    <t>Below current peer average (~17x: NetApp 16.2x, Dell 21.2x, HPE 14.0x), reflecting Everpure's smaller scale/single-segment risk at the terminal year</t>
  </si>
  <si>
    <t>Revenue Build — Q x P decomposition (formulas reference Assumptions + prior-period actuals)</t>
  </si>
  <si>
    <t>Line</t>
  </si>
  <si>
    <t>Subscription ARR, beginning</t>
  </si>
  <si>
    <t>ARR growth % (driver, from Assumptions)</t>
  </si>
  <si>
    <t>Subscription ARR, ending</t>
  </si>
  <si>
    <t>Average ARR</t>
  </si>
  <si>
    <t>ARR-to-revenue recognition ratio (Assumptions)</t>
  </si>
  <si>
    <t>Core enterprise product revenue, prior period</t>
  </si>
  <si>
    <t>Core product growth % (driver, from Assumptions)</t>
  </si>
  <si>
    <t>Core enterprise product revenue</t>
  </si>
  <si>
    <t>Hyperscaler product revenue (Lower Confidence — Assumptions)</t>
  </si>
  <si>
    <t>Total product revenue</t>
  </si>
  <si>
    <t>TOTAL REVENUE</t>
  </si>
  <si>
    <t>Total revenue growth %</t>
  </si>
  <si>
    <t>Forecast — Income Statement, Working Capital, Cash/PP&amp;E/Retained-Earnings Roll-forward, FCFF</t>
  </si>
  <si>
    <t>Product gross margin % (Assumptions)</t>
  </si>
  <si>
    <t>Subscription gross margin % (Assumptions)</t>
  </si>
  <si>
    <t>Blended gross margin %</t>
  </si>
  <si>
    <t>Non-GAAP operating margin % (Assumptions)</t>
  </si>
  <si>
    <t>Non-GAAP operating income</t>
  </si>
  <si>
    <t>SBC % of revenue (Assumptions)</t>
  </si>
  <si>
    <t>Stock-based compensation</t>
  </si>
  <si>
    <t>GAAP operating income (EBIT)</t>
  </si>
  <si>
    <t>GAAP operating margin %</t>
  </si>
  <si>
    <t>D&amp;A % of revenue (Assumptions)</t>
  </si>
  <si>
    <t>EBITDA</t>
  </si>
  <si>
    <t>Other income, net (Assumptions)</t>
  </si>
  <si>
    <t>Tax rate (Assumptions)</t>
  </si>
  <si>
    <t>Working Capital Schedule</t>
  </si>
  <si>
    <t>DSO days (Assumptions)</t>
  </si>
  <si>
    <t>DPO days (Assumptions)</t>
  </si>
  <si>
    <t>DIO days (Assumptions)</t>
  </si>
  <si>
    <t>Prepaid % of revenue (Assumptions)</t>
  </si>
  <si>
    <t>Deferred revenue % of revenue (Assumptions)</t>
  </si>
  <si>
    <t>Deferred revenue</t>
  </si>
  <si>
    <t>Net operating working capital (NWC)</t>
  </si>
  <si>
    <t>Change in NWC (this period - prior)</t>
  </si>
  <si>
    <t>Free Cash Flow Build</t>
  </si>
  <si>
    <t>Capex % of revenue (Assumptions)</t>
  </si>
  <si>
    <t>NOPAT (EBIT x (1-tax))</t>
  </si>
  <si>
    <t>FCFF (valuation basis — SBC NOT added back)</t>
  </si>
  <si>
    <t>Reported operating cash flow (NI+D&amp;A+SBC-dNWC)</t>
  </si>
  <si>
    <t>Reported free cash flow</t>
  </si>
  <si>
    <t>Balance Sheet Roll-forward &amp; Checks</t>
  </si>
  <si>
    <t>Buyback $ (Assumptions)</t>
  </si>
  <si>
    <t>Equity issuance proceeds (Assumptions)</t>
  </si>
  <si>
    <t>Tax withholding on equity (Assumptions)</t>
  </si>
  <si>
    <t>Cash + ST investments, ending</t>
  </si>
  <si>
    <t>Net PP&amp;E, ending</t>
  </si>
  <si>
    <t>Retained earnings, ending</t>
  </si>
  <si>
    <t>Net cash (debt), ending</t>
  </si>
  <si>
    <t>CHECKS (must read TRUE)</t>
  </si>
  <si>
    <t>CHECK: Revenue ties IS = Revenue_Build</t>
  </si>
  <si>
    <t>CHECK: Net PP&amp;E roll consistent (&gt;=0)</t>
  </si>
  <si>
    <t>CHECK: RE(t) = RE(t-1) + NI(t)</t>
  </si>
  <si>
    <t>CHECK: Cash &gt;= 0 (no unmodeled financing gap)</t>
  </si>
  <si>
    <t>DCF — WACC build (CAPM), FCFF discounting, terminal value cross-check, price target</t>
  </si>
  <si>
    <t>WACC Build</t>
  </si>
  <si>
    <t>Risk-free rate (10Y UST)</t>
  </si>
  <si>
    <t>Jun 17, 2026 close</t>
  </si>
  <si>
    <t>Beta (5yr)</t>
  </si>
  <si>
    <t>Equity risk premium</t>
  </si>
  <si>
    <t>Damodaran implied ERP, Jan 2026</t>
  </si>
  <si>
    <t>Cost of equity (Ke) = Rf + Beta x ERP</t>
  </si>
  <si>
    <t>Pretax cost of debt</t>
  </si>
  <si>
    <t>Tax rate (FY27E, for after-tax Kd)</t>
  </si>
  <si>
    <t>After-tax cost of debt</t>
  </si>
  <si>
    <t>Weight of debt (book value)</t>
  </si>
  <si>
    <t>Weight of equity</t>
  </si>
  <si>
    <t>WACC</t>
  </si>
  <si>
    <t>FCFF Discounting (mid-year convention)</t>
  </si>
  <si>
    <t>Fiscal year</t>
  </si>
  <si>
    <t>FCFF</t>
  </si>
  <si>
    <t>Discount period (mid-year)</t>
  </si>
  <si>
    <t>PV of FCFF</t>
  </si>
  <si>
    <t>Sum PV of explicit FCFF (FY27-31)</t>
  </si>
  <si>
    <t>Terminal Value — two methods, cross-checked</t>
  </si>
  <si>
    <t>Terminal growth rate g (Gordon)</t>
  </si>
  <si>
    <t>FY31E EBITDA</t>
  </si>
  <si>
    <t>Terminal exit multiple (EV/EBITDA)</t>
  </si>
  <si>
    <t>TV (Gordon) = FCFF31 x (1+g) / (WACC-g)</t>
  </si>
  <si>
    <t>PV (TV, Gordon)</t>
  </si>
  <si>
    <t>TV (Exit multiple) = EBITDA31 x multiple</t>
  </si>
  <si>
    <t>PV (TV, Exit multiple)</t>
  </si>
  <si>
    <t>Cross-check: implied g from exit-multiple TV</t>
  </si>
  <si>
    <t>Solve TV_exit = FCFF31*(1+g)/(WACC-g) for g algebraically: g=(TV*WACC - FCFF31)/(TV+FCFF31)</t>
  </si>
  <si>
    <t>Cross-check: implied exit multiple from Gordon TV</t>
  </si>
  <si>
    <t>Enterprise Value -&gt; Equity Value -&gt; Price Target</t>
  </si>
  <si>
    <t>EV (Gordon method)</t>
  </si>
  <si>
    <t>EV (Exit-multiple method)</t>
  </si>
  <si>
    <t>EV (Blended average)</t>
  </si>
  <si>
    <t>Net cash (Q1 FY27, most recent reported)</t>
  </si>
  <si>
    <t>10-K/10-Q ; held at FY26 level as a conservative proxy for the most recent balance sheet</t>
  </si>
  <si>
    <t>Equity value (Gordon)</t>
  </si>
  <si>
    <t>Equity value (Exit multiple)</t>
  </si>
  <si>
    <t>Equity value (Blended)</t>
  </si>
  <si>
    <t>Diluted shares outstanding (Q1 FY27 10-Q)</t>
  </si>
  <si>
    <t>Implied price/share (Gordon)</t>
  </si>
  <si>
    <t>Implied price/share (Exit multiple)</t>
  </si>
  <si>
    <t>DCF price/share (blended)</t>
  </si>
  <si>
    <t>Reconciliation -&gt; Price Target</t>
  </si>
  <si>
    <t>Comps cross-check price/share</t>
  </si>
  <si>
    <t>PRICE TARGET (60% DCF / 40% comps)</t>
  </si>
  <si>
    <t>Current price (Jun 18, 2026)</t>
  </si>
  <si>
    <t>Comparable Companies — cross-check ONLY (does not set the price target)</t>
  </si>
  <si>
    <t>Everpure current market data</t>
  </si>
  <si>
    <t>Shares outstanding (basic)</t>
  </si>
  <si>
    <t>stockanalysis.com, Jun 18 2026</t>
  </si>
  <si>
    <t>Market cap (basic shares x current price)</t>
  </si>
  <si>
    <t>EV = Market cap + total debt - net cash</t>
  </si>
  <si>
    <t>EV / NTM revenue (FY27E)</t>
  </si>
  <si>
    <t>EV / NTM EBITDA, GAAP (FY27E)</t>
  </si>
  <si>
    <t>Peer comparison</t>
  </si>
  <si>
    <t>Company</t>
  </si>
  <si>
    <t>EV/Revenue</t>
  </si>
  <si>
    <t>EV/EBITDA</t>
  </si>
  <si>
    <t>P/E</t>
  </si>
  <si>
    <t>Rev growth (3yr fwd)</t>
  </si>
  <si>
    <t>Gross margin</t>
  </si>
  <si>
    <t>Op margin</t>
  </si>
  <si>
    <t>Everpure (PSTG) — current</t>
  </si>
  <si>
    <t>NetApp (NTAP)</t>
  </si>
  <si>
    <t>Dell Technologies (DELL)</t>
  </si>
  <si>
    <t>HPE</t>
  </si>
  <si>
    <t>Peer average (NTAP/DELL/HPE)</t>
  </si>
  <si>
    <t>Cross-check: comps-implied price</t>
  </si>
  <si>
    <t>Chosen EV/Revenue multiple (growth/quality-adjusted)</t>
  </si>
  <si>
    <t>Above peer average (~2.89x) given Everpure's superior gross margin/growth; below a pure-SaaS multiple given hardware mix and NAND-cycle risk</t>
  </si>
  <si>
    <t>Implied EV = multiple x FY27E revenue</t>
  </si>
  <si>
    <t>Implied equity value = EV + net cash</t>
  </si>
  <si>
    <t>COMPS-IMPLIED PRICE/SHARE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</si>
</sst>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"/>
    <numFmt numFmtId="165" formatCode="0.0%"/>
    <numFmt numFmtId="166" formatCode="#,##0.0"/>
    <numFmt numFmtId="167" formatCode="0.0"/>
    <numFmt numFmtId="168" formatCode="0.0&quot;x&quot;"/>
    <numFmt numFmtId="169" formatCode="0.00&quot;x&quot;"/>
  </numFmts>
  <fonts count="27" x14ac:knownFonts="1">
    <font>
      <sz val="11"/>
      <color theme="1"/>
      <name val="Calibri"/>
      <family val="2"/>
      <scheme val="minor"/>
    </font>
    <font>
      <b/>
      <sz val="14"/>
      <color rgb="FF0B3D5C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1F4E78"/>
      <name val="Calibri"/>
    </font>
    <font>
      <sz val="11"/>
      <color rgb="FF000000"/>
      <name val="Calibri"/>
    </font>
    <font>
      <i/>
      <sz val="9"/>
      <color rgb="FF555555"/>
      <name val="Calibri"/>
    </font>
    <font>
      <b/>
      <sz val="14"/>
      <color rgb="FF0B3D5C"/>
      <name val="Calibri"/>
    </font>
    <font>
      <b/>
      <sz val="11"/>
      <color rgb="FFFFFFFF"/>
      <name val="Calibri"/>
    </font>
    <font>
      <sz val="11"/>
      <color rgb="FF006100"/>
      <name val="Calibri"/>
    </font>
    <font>
      <sz val="11"/>
      <color rgb="FF000000"/>
      <name val="Calibri"/>
    </font>
    <font>
      <b/>
      <sz val="11"/>
      <name val="Calibri"/>
    </font>
    <font>
      <b/>
      <sz val="11"/>
      <color rgb="FF0B3D5C"/>
      <name val="Calibri"/>
    </font>
    <font>
      <b/>
      <sz val="11"/>
      <color rgb="FFC00000"/>
      <name val="Calibri"/>
    </font>
    <font>
      <b/>
      <sz val="14"/>
      <color rgb="FF0B3D5C"/>
      <name val="Calibri"/>
    </font>
    <font>
      <b/>
      <sz val="11"/>
      <color rgb="FF0B3D5C"/>
      <name val="Calibri"/>
    </font>
    <font>
      <sz val="11"/>
      <color rgb="FF006100"/>
      <name val="Calibri"/>
    </font>
    <font>
      <i/>
      <sz val="9"/>
      <color rgb="FF555555"/>
      <name val="Calibri"/>
    </font>
    <font>
      <sz val="11"/>
      <color rgb="FF000000"/>
      <name val="Calibri"/>
    </font>
    <font>
      <b/>
      <sz val="11"/>
      <color rgb="FFFFFFFF"/>
      <name val="Calibri"/>
    </font>
    <font>
      <sz val="11"/>
      <color rgb="FF1F4E78"/>
      <name val="Calibri"/>
    </font>
    <font>
      <b/>
      <sz val="11"/>
      <name val="Calibri"/>
    </font>
    <font>
      <b/>
      <sz val="11"/>
      <color rgb="FFC00000"/>
      <name val="Calibri"/>
    </font>
    <font>
      <b/>
      <sz val="12"/>
      <color rgb="FFC00000"/>
      <name val="Calibri"/>
    </font>
    <font>
      <sz val="11"/>
      <color rgb="FF1F4E78"/>
      <name val="Calibri"/>
    </font>
    <font>
      <sz val="11"/>
      <color rgb="FF0061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D5C"/>
      </patternFill>
    </fill>
    <fill>
      <patternFill patternType="solid">
        <fgColor rgb="FF0B3D5C"/>
      </patternFill>
    </fill>
    <fill>
      <patternFill patternType="solid">
        <fgColor rgb="FF0B3D5C"/>
      </patternFill>
    </fill>
  </fills>
  <borders count="4">
    <border>
      <left/>
      <right/>
      <top/>
      <bottom/>
      <diagonal/>
    </border>
    <border>
      <left style="thin">
        <color rgb="FF9FB3BF"/>
      </left>
      <right style="thin">
        <color rgb="FF9FB3BF"/>
      </right>
      <top style="thin">
        <color rgb="FF9FB3BF"/>
      </top>
      <bottom style="thin">
        <color rgb="FF9FB3BF"/>
      </bottom>
      <diagonal/>
    </border>
    <border>
      <left style="thin">
        <color rgb="FF9FB3BF"/>
      </left>
      <right style="thin">
        <color rgb="FF9FB3BF"/>
      </right>
      <top style="thin">
        <color rgb="FF9FB3BF"/>
      </top>
      <bottom style="thin">
        <color rgb="FF9FB3BF"/>
      </bottom>
      <diagonal/>
    </border>
    <border>
      <left style="thin">
        <color rgb="FF9FB3BF"/>
      </left>
      <right style="thin">
        <color rgb="FF9FB3BF"/>
      </right>
      <top style="thin">
        <color rgb="FF9FB3BF"/>
      </top>
      <bottom style="thin">
        <color rgb="FF9FB3BF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166" fontId="4" fillId="0" borderId="0" xfId="0" applyNumberFormat="1" applyFont="1"/>
    <xf numFmtId="166" fontId="5" fillId="0" borderId="0" xfId="0" applyNumberFormat="1" applyFont="1"/>
    <xf numFmtId="165" fontId="5" fillId="0" borderId="0" xfId="0" applyNumberFormat="1" applyFont="1"/>
    <xf numFmtId="0" fontId="0" fillId="0" borderId="0" xfId="0" applyAlignment="1">
      <alignment wrapText="1"/>
    </xf>
    <xf numFmtId="165" fontId="4" fillId="0" borderId="0" xfId="0" applyNumberFormat="1" applyFont="1"/>
    <xf numFmtId="0" fontId="6" fillId="0" borderId="0" xfId="0" applyFont="1" applyAlignment="1">
      <alignment wrapText="1"/>
    </xf>
    <xf numFmtId="2" fontId="4" fillId="0" borderId="0" xfId="0" applyNumberFormat="1" applyFont="1"/>
    <xf numFmtId="3" fontId="4" fillId="0" borderId="0" xfId="0" applyNumberFormat="1" applyFont="1"/>
    <xf numFmtId="1" fontId="4" fillId="0" borderId="0" xfId="0" applyNumberFormat="1" applyFont="1"/>
    <xf numFmtId="167" fontId="4" fillId="0" borderId="0" xfId="0" applyNumberFormat="1" applyFont="1"/>
    <xf numFmtId="10" fontId="4" fillId="0" borderId="0" xfId="0" applyNumberFormat="1" applyFont="1"/>
    <xf numFmtId="168" fontId="4" fillId="0" borderId="0" xfId="0" applyNumberFormat="1" applyFont="1"/>
    <xf numFmtId="166" fontId="0" fillId="0" borderId="0" xfId="0" applyNumberFormat="1"/>
    <xf numFmtId="0" fontId="7" fillId="0" borderId="0" xfId="0" applyFont="1"/>
    <xf numFmtId="0" fontId="8" fillId="3" borderId="0" xfId="0" applyFont="1" applyFill="1"/>
    <xf numFmtId="0" fontId="8" fillId="3" borderId="2" xfId="0" applyFont="1" applyFill="1" applyBorder="1" applyAlignment="1">
      <alignment horizontal="center"/>
    </xf>
    <xf numFmtId="166" fontId="9" fillId="0" borderId="0" xfId="0" applyNumberFormat="1" applyFont="1"/>
    <xf numFmtId="166" fontId="10" fillId="0" borderId="0" xfId="0" applyNumberFormat="1" applyFont="1"/>
    <xf numFmtId="165" fontId="9" fillId="0" borderId="0" xfId="0" applyNumberFormat="1" applyFont="1"/>
    <xf numFmtId="166" fontId="11" fillId="0" borderId="0" xfId="0" applyNumberFormat="1" applyFont="1"/>
    <xf numFmtId="165" fontId="10" fillId="0" borderId="0" xfId="0" applyNumberFormat="1" applyFont="1"/>
    <xf numFmtId="0" fontId="11" fillId="0" borderId="0" xfId="0" applyFont="1"/>
    <xf numFmtId="0" fontId="12" fillId="0" borderId="0" xfId="0" applyFont="1"/>
    <xf numFmtId="167" fontId="9" fillId="0" borderId="0" xfId="0" applyNumberFormat="1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10" fontId="16" fillId="0" borderId="0" xfId="0" applyNumberFormat="1" applyFont="1"/>
    <xf numFmtId="0" fontId="17" fillId="0" borderId="0" xfId="0" applyFont="1"/>
    <xf numFmtId="2" fontId="16" fillId="0" borderId="0" xfId="0" applyNumberFormat="1" applyFont="1"/>
    <xf numFmtId="10" fontId="18" fillId="0" borderId="0" xfId="0" applyNumberFormat="1" applyFont="1"/>
    <xf numFmtId="10" fontId="15" fillId="0" borderId="0" xfId="0" applyNumberFormat="1" applyFont="1"/>
    <xf numFmtId="0" fontId="19" fillId="4" borderId="0" xfId="0" applyFont="1" applyFill="1"/>
    <xf numFmtId="0" fontId="19" fillId="4" borderId="3" xfId="0" applyFont="1" applyFill="1" applyBorder="1" applyAlignment="1">
      <alignment horizontal="center"/>
    </xf>
    <xf numFmtId="166" fontId="16" fillId="0" borderId="0" xfId="0" applyNumberFormat="1" applyFont="1"/>
    <xf numFmtId="167" fontId="20" fillId="0" borderId="0" xfId="0" applyNumberFormat="1" applyFont="1"/>
    <xf numFmtId="166" fontId="18" fillId="0" borderId="0" xfId="0" applyNumberFormat="1" applyFont="1"/>
    <xf numFmtId="0" fontId="21" fillId="0" borderId="0" xfId="0" applyFont="1"/>
    <xf numFmtId="166" fontId="21" fillId="0" borderId="0" xfId="0" applyNumberFormat="1" applyFont="1"/>
    <xf numFmtId="168" fontId="16" fillId="0" borderId="0" xfId="0" applyNumberFormat="1" applyFont="1"/>
    <xf numFmtId="10" fontId="22" fillId="0" borderId="0" xfId="0" applyNumberFormat="1" applyFont="1"/>
    <xf numFmtId="168" fontId="22" fillId="0" borderId="0" xfId="0" applyNumberFormat="1" applyFont="1"/>
    <xf numFmtId="166" fontId="20" fillId="0" borderId="0" xfId="0" applyNumberFormat="1" applyFont="1"/>
    <xf numFmtId="164" fontId="18" fillId="0" borderId="0" xfId="0" applyNumberFormat="1" applyFont="1"/>
    <xf numFmtId="164" fontId="15" fillId="0" borderId="0" xfId="0" applyNumberFormat="1" applyFont="1"/>
    <xf numFmtId="164" fontId="16" fillId="0" borderId="0" xfId="0" applyNumberFormat="1" applyFont="1"/>
    <xf numFmtId="164" fontId="23" fillId="0" borderId="0" xfId="0" applyNumberFormat="1" applyFont="1"/>
    <xf numFmtId="164" fontId="20" fillId="0" borderId="0" xfId="0" applyNumberFormat="1" applyFont="1"/>
    <xf numFmtId="165" fontId="22" fillId="0" borderId="0" xfId="0" applyNumberFormat="1" applyFont="1"/>
    <xf numFmtId="169" fontId="20" fillId="0" borderId="0" xfId="0" applyNumberFormat="1" applyFont="1"/>
    <xf numFmtId="165" fontId="20" fillId="0" borderId="0" xfId="0" applyNumberFormat="1" applyFont="1"/>
    <xf numFmtId="169" fontId="21" fillId="0" borderId="0" xfId="0" applyNumberFormat="1" applyFont="1"/>
    <xf numFmtId="165" fontId="21" fillId="0" borderId="0" xfId="0" applyNumberFormat="1" applyFont="1"/>
    <xf numFmtId="169" fontId="16" fillId="0" borderId="0" xfId="0" applyNumberFormat="1" applyFont="1"/>
    <xf numFmtId="168" fontId="20" fillId="0" borderId="0" xfId="0" applyNumberFormat="1" applyFont="1"/>
    <xf numFmtId="0" fontId="17" fillId="0" borderId="0" xfId="0" applyFont="1" applyAlignment="1">
      <alignment wrapText="1"/>
    </xf>
    <xf numFmtId="164" fontId="24" fillId="0" borderId="0" xfId="0" applyNumberFormat="1" applyFont="1"/>
    <xf numFmtId="164" fontId="25" fillId="0" borderId="0" xfId="0" applyNumberFormat="1" applyFont="1"/>
    <xf numFmtId="165" fontId="2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/>
  </sheetViews>
  <sheetFormatPr defaultRowHeight="15" x14ac:dyDescent="0.25"/>
  <cols>
    <col min="1" max="1" width="28" customWidth="1"/>
    <col min="2" max="2" width="60" customWidth="1"/>
  </cols>
  <sheetData>
    <row r="1" spans="1:2" ht="18.75" customHeight="1" x14ac:dyDescent="0.3">
      <c r="A1" s="1" t="s">
        <v>0</v>
      </c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 t="s">
        <v>10</v>
      </c>
    </row>
    <row r="8" spans="1:2" x14ac:dyDescent="0.25">
      <c r="A8" s="2" t="s">
        <v>11</v>
      </c>
      <c r="B8" s="62" t="s">
        <v>12</v>
      </c>
    </row>
    <row r="9" spans="1:2" x14ac:dyDescent="0.25">
      <c r="A9" s="2" t="s">
        <v>13</v>
      </c>
      <c r="B9" s="3" t="s">
        <v>14</v>
      </c>
    </row>
    <row r="10" spans="1:2" x14ac:dyDescent="0.25">
      <c r="A10" s="2" t="s">
        <v>15</v>
      </c>
      <c r="B10" s="63">
        <f>DCF!B48</f>
        <v>47.660043111832124</v>
      </c>
    </row>
    <row r="11" spans="1:2" x14ac:dyDescent="0.25">
      <c r="A11" s="2" t="s">
        <v>16</v>
      </c>
      <c r="B11">
        <v>74.569999999999993</v>
      </c>
    </row>
    <row r="12" spans="1:2" x14ac:dyDescent="0.25">
      <c r="A12" s="2" t="s">
        <v>17</v>
      </c>
      <c r="B12" s="64">
        <f>Cover!B10/Cover!B11-1</f>
        <v>-0.36086840402531672</v>
      </c>
    </row>
    <row r="13" spans="1:2" x14ac:dyDescent="0.25">
      <c r="A13" s="2"/>
    </row>
    <row r="14" spans="1:2" x14ac:dyDescent="0.25">
      <c r="A14" s="2" t="s">
        <v>18</v>
      </c>
    </row>
    <row r="15" spans="1:2" x14ac:dyDescent="0.25">
      <c r="A15" s="2" t="s">
        <v>19</v>
      </c>
      <c r="B15" t="s">
        <v>20</v>
      </c>
    </row>
    <row r="16" spans="1:2" x14ac:dyDescent="0.25">
      <c r="A16" s="2" t="s">
        <v>21</v>
      </c>
      <c r="B16" t="s">
        <v>22</v>
      </c>
    </row>
    <row r="17" spans="1:2" x14ac:dyDescent="0.25">
      <c r="A17" s="2" t="s">
        <v>23</v>
      </c>
      <c r="B17" t="s">
        <v>24</v>
      </c>
    </row>
    <row r="18" spans="1:2" x14ac:dyDescent="0.25">
      <c r="A18" s="2" t="s">
        <v>25</v>
      </c>
      <c r="B18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4" customWidth="1"/>
    <col min="2" max="6" width="12" customWidth="1"/>
  </cols>
  <sheetData>
    <row r="1" spans="1:6" ht="18.75" customHeight="1" x14ac:dyDescent="0.3">
      <c r="A1" s="1" t="s">
        <v>27</v>
      </c>
    </row>
    <row r="3" spans="1:6" x14ac:dyDescent="0.25">
      <c r="A3" s="4" t="s">
        <v>28</v>
      </c>
      <c r="B3" s="5" t="s">
        <v>29</v>
      </c>
      <c r="C3" s="5" t="s">
        <v>30</v>
      </c>
      <c r="D3" s="5" t="s">
        <v>31</v>
      </c>
      <c r="E3" s="5" t="s">
        <v>32</v>
      </c>
      <c r="F3" s="5" t="s">
        <v>33</v>
      </c>
    </row>
    <row r="4" spans="1:6" x14ac:dyDescent="0.25">
      <c r="A4" t="s">
        <v>34</v>
      </c>
      <c r="B4" s="6">
        <v>1442.3</v>
      </c>
      <c r="C4" s="6">
        <v>1792.2</v>
      </c>
      <c r="D4" s="6">
        <v>1622.9</v>
      </c>
      <c r="E4" s="6">
        <v>1699.5</v>
      </c>
      <c r="F4" s="6">
        <v>1971.7</v>
      </c>
    </row>
    <row r="5" spans="1:6" x14ac:dyDescent="0.25">
      <c r="A5" t="s">
        <v>35</v>
      </c>
      <c r="B5" s="6">
        <v>738.5</v>
      </c>
      <c r="C5" s="6">
        <v>961.3</v>
      </c>
      <c r="D5" s="6">
        <v>1207.8</v>
      </c>
      <c r="E5" s="6">
        <v>1468.7</v>
      </c>
      <c r="F5" s="6">
        <v>1691.2</v>
      </c>
    </row>
    <row r="6" spans="1:6" x14ac:dyDescent="0.25">
      <c r="A6" t="s">
        <v>36</v>
      </c>
      <c r="B6" s="6"/>
      <c r="C6" s="6"/>
      <c r="D6" s="6"/>
      <c r="E6" s="6">
        <v>575.29999999999995</v>
      </c>
      <c r="F6" s="6">
        <v>651.4</v>
      </c>
    </row>
    <row r="7" spans="1:6" x14ac:dyDescent="0.25">
      <c r="A7" t="s">
        <v>37</v>
      </c>
      <c r="B7" s="6"/>
      <c r="C7" s="6"/>
      <c r="D7" s="6"/>
      <c r="E7" s="6">
        <v>380.1</v>
      </c>
      <c r="F7" s="6">
        <v>433.4</v>
      </c>
    </row>
    <row r="8" spans="1:6" x14ac:dyDescent="0.25">
      <c r="A8" t="s">
        <v>38</v>
      </c>
      <c r="B8" s="6">
        <v>581.9</v>
      </c>
      <c r="C8" s="6">
        <v>692.5</v>
      </c>
      <c r="D8" s="6">
        <v>736.8</v>
      </c>
      <c r="E8" s="6">
        <v>804.4</v>
      </c>
      <c r="F8" s="6">
        <v>963.3</v>
      </c>
    </row>
    <row r="9" spans="1:6" x14ac:dyDescent="0.25">
      <c r="A9" t="s">
        <v>39</v>
      </c>
      <c r="B9" s="6"/>
      <c r="C9" s="6"/>
      <c r="D9" s="6"/>
      <c r="E9" s="6">
        <v>1020.9</v>
      </c>
      <c r="F9" s="6">
        <v>1181.5</v>
      </c>
    </row>
    <row r="10" spans="1:6" x14ac:dyDescent="0.25">
      <c r="A10" t="s">
        <v>40</v>
      </c>
      <c r="B10" s="6"/>
      <c r="C10" s="6"/>
      <c r="D10" s="6"/>
      <c r="E10" s="6">
        <v>286.2</v>
      </c>
      <c r="F10" s="6">
        <v>318.39999999999998</v>
      </c>
    </row>
    <row r="11" spans="1:6" x14ac:dyDescent="0.25">
      <c r="A11" t="s">
        <v>41</v>
      </c>
      <c r="B11" s="6">
        <v>30.1</v>
      </c>
      <c r="C11" s="6"/>
      <c r="D11" s="6"/>
      <c r="E11" s="6">
        <v>62.6</v>
      </c>
      <c r="F11" s="6">
        <v>109.5</v>
      </c>
    </row>
    <row r="12" spans="1:6" x14ac:dyDescent="0.25">
      <c r="A12" t="s">
        <v>42</v>
      </c>
      <c r="B12" s="6">
        <v>14.8</v>
      </c>
      <c r="C12" s="6">
        <v>18.7</v>
      </c>
      <c r="D12" s="6">
        <v>29.3</v>
      </c>
      <c r="E12" s="6">
        <v>41.1</v>
      </c>
      <c r="F12" s="6">
        <v>36.1</v>
      </c>
    </row>
    <row r="13" spans="1:6" x14ac:dyDescent="0.25">
      <c r="A13" t="s">
        <v>43</v>
      </c>
      <c r="B13" s="6">
        <v>287</v>
      </c>
      <c r="C13" s="6"/>
      <c r="D13" s="6">
        <v>331.4</v>
      </c>
      <c r="E13" s="6">
        <v>421.3</v>
      </c>
      <c r="F13" s="6">
        <v>481.7</v>
      </c>
    </row>
    <row r="14" spans="1:6" x14ac:dyDescent="0.25">
      <c r="A14" t="s">
        <v>44</v>
      </c>
      <c r="B14" s="6">
        <v>83.2</v>
      </c>
      <c r="C14" s="6">
        <v>100.4</v>
      </c>
      <c r="D14" s="6">
        <v>124.4</v>
      </c>
      <c r="E14" s="6">
        <v>126.7</v>
      </c>
      <c r="F14" s="6">
        <v>147.80000000000001</v>
      </c>
    </row>
    <row r="15" spans="1:6" x14ac:dyDescent="0.25">
      <c r="A15" t="s">
        <v>45</v>
      </c>
      <c r="B15" s="6">
        <v>102.3</v>
      </c>
      <c r="C15" s="6"/>
      <c r="D15" s="6">
        <v>195.2</v>
      </c>
      <c r="E15" s="6">
        <v>226.7</v>
      </c>
      <c r="F15" s="6">
        <v>264.3</v>
      </c>
    </row>
    <row r="16" spans="1:6" x14ac:dyDescent="0.25">
      <c r="A16" t="s">
        <v>46</v>
      </c>
      <c r="B16" s="6">
        <v>542.1</v>
      </c>
      <c r="C16" s="6"/>
      <c r="D16" s="6">
        <v>662.2</v>
      </c>
      <c r="E16" s="6">
        <v>680.9</v>
      </c>
      <c r="F16" s="6">
        <v>944.8</v>
      </c>
    </row>
    <row r="17" spans="1:6" x14ac:dyDescent="0.25">
      <c r="A17" t="s">
        <v>47</v>
      </c>
      <c r="B17" s="6">
        <v>38.9</v>
      </c>
      <c r="C17" s="6"/>
      <c r="D17" s="6">
        <v>42.7</v>
      </c>
      <c r="E17" s="6">
        <v>42.8</v>
      </c>
      <c r="F17" s="6">
        <v>75.900000000000006</v>
      </c>
    </row>
    <row r="18" spans="1:6" x14ac:dyDescent="0.25">
      <c r="A18" t="s">
        <v>48</v>
      </c>
      <c r="B18" s="6">
        <v>187.3</v>
      </c>
      <c r="C18" s="6"/>
      <c r="D18" s="6">
        <v>252.5</v>
      </c>
      <c r="E18" s="6">
        <v>222.5</v>
      </c>
      <c r="F18" s="6">
        <v>356</v>
      </c>
    </row>
    <row r="19" spans="1:6" x14ac:dyDescent="0.25">
      <c r="A19" t="s">
        <v>49</v>
      </c>
      <c r="B19" s="6">
        <v>70.7</v>
      </c>
      <c r="C19" s="6"/>
      <c r="D19" s="6">
        <v>82.8</v>
      </c>
      <c r="E19" s="6">
        <v>112.4</v>
      </c>
      <c r="F19" s="6">
        <v>153.30000000000001</v>
      </c>
    </row>
    <row r="20" spans="1:6" x14ac:dyDescent="0.25">
      <c r="A20" t="s">
        <v>50</v>
      </c>
      <c r="B20" s="6">
        <v>1079.9000000000001</v>
      </c>
      <c r="C20" s="6"/>
      <c r="D20" s="6">
        <v>1594.5</v>
      </c>
      <c r="E20" s="6">
        <v>1795.3</v>
      </c>
      <c r="F20" s="6">
        <v>2227.5</v>
      </c>
    </row>
    <row r="21" spans="1:6" x14ac:dyDescent="0.25">
      <c r="A21" t="s">
        <v>51</v>
      </c>
      <c r="B21" s="6">
        <v>1423.8</v>
      </c>
      <c r="C21" s="6"/>
      <c r="D21" s="6">
        <v>1540.7</v>
      </c>
      <c r="E21" s="6">
        <v>1534.4</v>
      </c>
      <c r="F21" s="6">
        <v>1555</v>
      </c>
    </row>
    <row r="22" spans="1:6" x14ac:dyDescent="0.25">
      <c r="A22" t="s">
        <v>52</v>
      </c>
      <c r="B22" s="6">
        <v>915.4</v>
      </c>
      <c r="C22" s="6"/>
      <c r="D22" s="6">
        <v>267.89999999999998</v>
      </c>
      <c r="E22" s="6">
        <v>280.8</v>
      </c>
      <c r="F22" s="6">
        <v>216.1</v>
      </c>
    </row>
    <row r="23" spans="1:6" x14ac:dyDescent="0.25">
      <c r="A23" t="s">
        <v>53</v>
      </c>
      <c r="B23" s="6"/>
      <c r="C23" s="6"/>
      <c r="D23" s="6"/>
      <c r="E23" s="6">
        <v>461.7</v>
      </c>
      <c r="F23" s="6">
        <v>587</v>
      </c>
    </row>
    <row r="24" spans="1:6" x14ac:dyDescent="0.25">
      <c r="A24" t="s">
        <v>54</v>
      </c>
      <c r="B24" s="6">
        <v>-1708.3</v>
      </c>
      <c r="C24" s="6"/>
      <c r="D24" s="6">
        <v>-1475.8</v>
      </c>
      <c r="E24" s="6">
        <v>-1369</v>
      </c>
      <c r="F24" s="6">
        <v>-1180.8</v>
      </c>
    </row>
    <row r="25" spans="1:6" x14ac:dyDescent="0.25">
      <c r="A25" t="s">
        <v>55</v>
      </c>
      <c r="B25" s="6">
        <v>285.89999999999998</v>
      </c>
      <c r="C25" s="6">
        <v>332.6</v>
      </c>
      <c r="D25" s="6">
        <v>332.6</v>
      </c>
      <c r="E25" s="6">
        <v>342.7</v>
      </c>
      <c r="F25" s="6">
        <v>343</v>
      </c>
    </row>
    <row r="26" spans="1:6" x14ac:dyDescent="0.25">
      <c r="A26" t="s">
        <v>56</v>
      </c>
      <c r="B26" s="6">
        <v>848.8</v>
      </c>
      <c r="C26" s="6">
        <v>1101.3</v>
      </c>
      <c r="D26" s="6">
        <v>1373.5</v>
      </c>
      <c r="E26" s="6">
        <v>1657.8</v>
      </c>
      <c r="F26" s="6">
        <v>1924.3</v>
      </c>
    </row>
    <row r="27" spans="1:6" x14ac:dyDescent="0.25">
      <c r="A27" t="s">
        <v>57</v>
      </c>
      <c r="B27" s="6"/>
      <c r="C27" s="6"/>
      <c r="D27" s="6"/>
      <c r="E27" s="6">
        <v>1.17</v>
      </c>
      <c r="F27" s="6">
        <v>1.1299999999999999</v>
      </c>
    </row>
    <row r="28" spans="1:6" x14ac:dyDescent="0.25">
      <c r="A28" t="s">
        <v>58</v>
      </c>
      <c r="B28" s="6"/>
      <c r="C28" s="6"/>
      <c r="D28" s="6"/>
      <c r="E28" s="6"/>
      <c r="F28" s="6">
        <v>3700</v>
      </c>
    </row>
    <row r="29" spans="1:6" x14ac:dyDescent="0.25">
      <c r="A29" t="s">
        <v>59</v>
      </c>
      <c r="B29" s="7">
        <f>B4+B5</f>
        <v>2180.8000000000002</v>
      </c>
      <c r="C29" s="7">
        <f>C4+C5</f>
        <v>2753.5</v>
      </c>
      <c r="D29" s="7">
        <f>D4+D5</f>
        <v>2830.7</v>
      </c>
      <c r="E29" s="7">
        <f>E4+E5</f>
        <v>3168.2</v>
      </c>
      <c r="F29" s="7">
        <f>F4+F5</f>
        <v>3662.9</v>
      </c>
    </row>
    <row r="30" spans="1:6" x14ac:dyDescent="0.25">
      <c r="A30" t="s">
        <v>60</v>
      </c>
      <c r="B30" s="7" t="str">
        <f>IF(AND(B6&lt;&gt;"",B7&lt;&gt;""),B6+B7,"")</f>
        <v/>
      </c>
      <c r="C30" s="7" t="str">
        <f>IF(AND(C6&lt;&gt;"",C7&lt;&gt;""),C6+C7,"")</f>
        <v/>
      </c>
      <c r="D30" s="7" t="str">
        <f>IF(AND(D6&lt;&gt;"",D7&lt;&gt;""),D6+D7,"")</f>
        <v/>
      </c>
      <c r="E30" s="7">
        <f>IF(AND(E6&lt;&gt;"",E7&lt;&gt;""),E6+E7,"")</f>
        <v>955.4</v>
      </c>
      <c r="F30" s="7">
        <f>IF(AND(F6&lt;&gt;"",F7&lt;&gt;""),F6+F7,"")</f>
        <v>1084.8</v>
      </c>
    </row>
    <row r="31" spans="1:6" x14ac:dyDescent="0.25">
      <c r="A31" t="s">
        <v>61</v>
      </c>
      <c r="B31" s="7" t="str">
        <f>IF(B30&lt;&gt;"",B29-B30,"")</f>
        <v/>
      </c>
      <c r="C31" s="7" t="str">
        <f>IF(C30&lt;&gt;"",C29-C30,"")</f>
        <v/>
      </c>
      <c r="D31" s="7" t="str">
        <f>IF(D30&lt;&gt;"",D29-D30,"")</f>
        <v/>
      </c>
      <c r="E31" s="7">
        <f>IF(E30&lt;&gt;"",E29-E30,"")</f>
        <v>2212.7999999999997</v>
      </c>
      <c r="F31" s="7">
        <f>IF(F30&lt;&gt;"",F29-F30,"")</f>
        <v>2578.1000000000004</v>
      </c>
    </row>
    <row r="32" spans="1:6" x14ac:dyDescent="0.25">
      <c r="A32" t="s">
        <v>62</v>
      </c>
      <c r="B32" s="8" t="str">
        <f>IF(B31&lt;&gt;"",B31/B29,"")</f>
        <v/>
      </c>
      <c r="C32" s="8" t="str">
        <f>IF(C31&lt;&gt;"",C31/C29,"")</f>
        <v/>
      </c>
      <c r="D32" s="8" t="str">
        <f>IF(D31&lt;&gt;"",D31/D29,"")</f>
        <v/>
      </c>
      <c r="E32" s="8">
        <f>IF(E31&lt;&gt;"",E31/E29,"")</f>
        <v>0.69844075500284064</v>
      </c>
      <c r="F32" s="8">
        <f>IF(F31&lt;&gt;"",F31/F29,"")</f>
        <v>0.70384121870648952</v>
      </c>
    </row>
    <row r="33" spans="1:6" x14ac:dyDescent="0.25">
      <c r="A33" t="s">
        <v>63</v>
      </c>
      <c r="B33" s="7" t="str">
        <f>IF(AND(B9&lt;&gt;"",B10&lt;&gt;""),B8+B9+B10,"")</f>
        <v/>
      </c>
      <c r="C33" s="7" t="str">
        <f>IF(AND(C9&lt;&gt;"",C10&lt;&gt;""),C8+C9+C10,"")</f>
        <v/>
      </c>
      <c r="D33" s="7" t="str">
        <f>IF(AND(D9&lt;&gt;"",D10&lt;&gt;""),D8+D9+D10,"")</f>
        <v/>
      </c>
      <c r="E33" s="7">
        <f>IF(AND(E9&lt;&gt;"",E10&lt;&gt;""),E8+E9+E10,"")</f>
        <v>2111.5</v>
      </c>
      <c r="F33" s="7">
        <f>IF(AND(F9&lt;&gt;"",F10&lt;&gt;""),F8+F9+F10,"")</f>
        <v>2463.2000000000003</v>
      </c>
    </row>
    <row r="34" spans="1:6" x14ac:dyDescent="0.25">
      <c r="A34" t="s">
        <v>64</v>
      </c>
      <c r="B34" s="7" t="str">
        <f>IF(AND(B31&lt;&gt;"",B33&lt;&gt;""),B31-B33,"")</f>
        <v/>
      </c>
      <c r="C34" s="7" t="str">
        <f>IF(AND(C31&lt;&gt;"",C33&lt;&gt;""),C31-C33,"")</f>
        <v/>
      </c>
      <c r="D34" s="7" t="str">
        <f>IF(AND(D31&lt;&gt;"",D33&lt;&gt;""),D31-D33,"")</f>
        <v/>
      </c>
      <c r="E34" s="7">
        <f>IF(AND(E31&lt;&gt;"",E33&lt;&gt;""),E31-E33,"")</f>
        <v>101.29999999999973</v>
      </c>
      <c r="F34" s="7">
        <f>IF(AND(F31&lt;&gt;"",F33&lt;&gt;""),F31-F33,"")</f>
        <v>114.90000000000009</v>
      </c>
    </row>
    <row r="35" spans="1:6" x14ac:dyDescent="0.25">
      <c r="A35" t="s">
        <v>65</v>
      </c>
      <c r="B35" s="8" t="str">
        <f>IF(B34&lt;&gt;"",B34/B29,"")</f>
        <v/>
      </c>
      <c r="C35" s="8" t="str">
        <f>IF(C34&lt;&gt;"",C34/C29,"")</f>
        <v/>
      </c>
      <c r="D35" s="8" t="str">
        <f>IF(D34&lt;&gt;"",D34/D29,"")</f>
        <v/>
      </c>
      <c r="E35" s="8">
        <f>IF(E34&lt;&gt;"",E34/E29,"")</f>
        <v>3.1973991540937989E-2</v>
      </c>
      <c r="F35" s="8">
        <f>IF(F34&lt;&gt;"",F34/F29,"")</f>
        <v>3.1368587731032814E-2</v>
      </c>
    </row>
    <row r="36" spans="1:6" x14ac:dyDescent="0.25">
      <c r="A36" t="s">
        <v>66</v>
      </c>
      <c r="B36" s="7" t="str">
        <f>IF(AND(B34&lt;&gt;"",B11&lt;&gt;""),B34+B11,"")</f>
        <v/>
      </c>
      <c r="C36" s="7" t="str">
        <f>IF(AND(C34&lt;&gt;"",C11&lt;&gt;""),C34+C11,"")</f>
        <v/>
      </c>
      <c r="D36" s="7" t="str">
        <f>IF(AND(D34&lt;&gt;"",D11&lt;&gt;""),D34+D11,"")</f>
        <v/>
      </c>
      <c r="E36" s="7">
        <f>IF(AND(E34&lt;&gt;"",E11&lt;&gt;""),E34+E11,"")</f>
        <v>163.89999999999972</v>
      </c>
      <c r="F36" s="7">
        <f>IF(AND(F34&lt;&gt;"",F11&lt;&gt;""),F34+F11,"")</f>
        <v>224.40000000000009</v>
      </c>
    </row>
    <row r="37" spans="1:6" x14ac:dyDescent="0.25">
      <c r="A37" t="s">
        <v>67</v>
      </c>
      <c r="B37" s="7" t="str">
        <f>IF(B36&lt;&gt;"",B36-B12,"")</f>
        <v/>
      </c>
      <c r="C37" s="7" t="str">
        <f>IF(C36&lt;&gt;"",C36-C12,"")</f>
        <v/>
      </c>
      <c r="D37" s="7" t="str">
        <f>IF(D36&lt;&gt;"",D36-D12,"")</f>
        <v/>
      </c>
      <c r="E37" s="7">
        <f>IF(E36&lt;&gt;"",E36-E12,"")</f>
        <v>122.79999999999973</v>
      </c>
      <c r="F37" s="7">
        <f>IF(F36&lt;&gt;"",F36-F12,"")</f>
        <v>188.3000000000001</v>
      </c>
    </row>
    <row r="38" spans="1:6" x14ac:dyDescent="0.25">
      <c r="A38" t="s">
        <v>68</v>
      </c>
      <c r="B38" s="8" t="str">
        <f>IF(B36&lt;&gt;"",B12/B36,"")</f>
        <v/>
      </c>
      <c r="C38" s="8" t="str">
        <f>IF(C36&lt;&gt;"",C12/C36,"")</f>
        <v/>
      </c>
      <c r="D38" s="8" t="str">
        <f>IF(D36&lt;&gt;"",D12/D36,"")</f>
        <v/>
      </c>
      <c r="E38" s="8">
        <f>IF(E36&lt;&gt;"",E12/E36,"")</f>
        <v>0.25076266015863374</v>
      </c>
      <c r="F38" s="8">
        <f>IF(F36&lt;&gt;"",F12/F36,"")</f>
        <v>0.16087344028520492</v>
      </c>
    </row>
    <row r="39" spans="1:6" x14ac:dyDescent="0.25">
      <c r="A39" t="s">
        <v>69</v>
      </c>
      <c r="B39" s="8">
        <f>IF(B13&lt;&gt;"",B13/B29,"")</f>
        <v>0.13160308143800439</v>
      </c>
      <c r="C39" s="8" t="str">
        <f>IF(C13&lt;&gt;"",C13/C29,"")</f>
        <v/>
      </c>
      <c r="D39" s="8">
        <f>IF(D13&lt;&gt;"",D13/D29,"")</f>
        <v>0.11707351538488713</v>
      </c>
      <c r="E39" s="8">
        <f>IF(E13&lt;&gt;"",E13/E29,"")</f>
        <v>0.13297771605327949</v>
      </c>
      <c r="F39" s="8">
        <f>IF(F13&lt;&gt;"",F13/F29,"")</f>
        <v>0.1315078216713533</v>
      </c>
    </row>
    <row r="40" spans="1:6" x14ac:dyDescent="0.25">
      <c r="A40" t="s">
        <v>70</v>
      </c>
      <c r="B40" s="7">
        <f>IF(AND(B16&lt;&gt;"",B20&lt;&gt;""),B16+B17+B18-B19-B20,"")</f>
        <v>-382.30000000000018</v>
      </c>
      <c r="C40" s="7" t="str">
        <f>IF(AND(C16&lt;&gt;"",C20&lt;&gt;""),C16+C17+C18-C19-C20,"")</f>
        <v/>
      </c>
      <c r="D40" s="7">
        <f>IF(AND(D16&lt;&gt;"",D20&lt;&gt;""),D16+D17+D18-D19-D20,"")</f>
        <v>-719.89999999999986</v>
      </c>
      <c r="E40" s="7">
        <f>IF(AND(E16&lt;&gt;"",E20&lt;&gt;""),E16+E17+E18-E19-E20,"")</f>
        <v>-961.5</v>
      </c>
      <c r="F40" s="7">
        <f>IF(AND(F16&lt;&gt;"",F20&lt;&gt;""),F16+F17+F18-F19-F20,"")</f>
        <v>-1004.1000000000001</v>
      </c>
    </row>
    <row r="41" spans="1:6" x14ac:dyDescent="0.25">
      <c r="A41" t="s">
        <v>71</v>
      </c>
      <c r="B41" s="7">
        <f>B21-B22</f>
        <v>508.4</v>
      </c>
      <c r="C41" s="7">
        <f>C21-C22</f>
        <v>0</v>
      </c>
      <c r="D41" s="7">
        <f>D21-D22</f>
        <v>1272.8000000000002</v>
      </c>
      <c r="E41" s="7">
        <f>E21-E22</f>
        <v>1253.6000000000001</v>
      </c>
      <c r="F41" s="7">
        <f>F21-F22</f>
        <v>1338.9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6" width="11" customWidth="1"/>
    <col min="7" max="7" width="46" customWidth="1"/>
  </cols>
  <sheetData>
    <row r="1" spans="1:7" ht="18.75" customHeight="1" x14ac:dyDescent="0.3">
      <c r="A1" s="1" t="s">
        <v>72</v>
      </c>
    </row>
    <row r="3" spans="1:7" x14ac:dyDescent="0.25">
      <c r="A3" s="4" t="s">
        <v>73</v>
      </c>
      <c r="B3" s="5" t="s">
        <v>74</v>
      </c>
      <c r="C3" s="5" t="s">
        <v>75</v>
      </c>
      <c r="D3" s="5" t="s">
        <v>76</v>
      </c>
      <c r="E3" s="5" t="s">
        <v>77</v>
      </c>
      <c r="F3" s="5" t="s">
        <v>78</v>
      </c>
      <c r="G3" s="5" t="s">
        <v>79</v>
      </c>
    </row>
    <row r="4" spans="1:7" ht="30" customHeight="1" x14ac:dyDescent="0.25">
      <c r="A4" s="9" t="s">
        <v>80</v>
      </c>
      <c r="B4" s="10">
        <v>0.18</v>
      </c>
      <c r="C4" s="10">
        <v>0.17399999999999999</v>
      </c>
      <c r="D4" s="10">
        <v>0.15</v>
      </c>
      <c r="E4" s="10">
        <v>0.13200000000000001</v>
      </c>
      <c r="F4" s="10">
        <v>0.111</v>
      </c>
      <c r="G4" s="11" t="s">
        <v>81</v>
      </c>
    </row>
    <row r="5" spans="1:7" ht="30" customHeight="1" x14ac:dyDescent="0.25">
      <c r="A5" s="9" t="s">
        <v>82</v>
      </c>
      <c r="B5" s="12">
        <v>0.88</v>
      </c>
      <c r="C5" s="12">
        <v>0.88</v>
      </c>
      <c r="D5" s="12">
        <v>0.89</v>
      </c>
      <c r="E5" s="12">
        <v>0.89</v>
      </c>
      <c r="F5" s="12">
        <v>0.9</v>
      </c>
      <c r="G5" s="11" t="s">
        <v>83</v>
      </c>
    </row>
    <row r="6" spans="1:7" ht="30" customHeight="1" x14ac:dyDescent="0.25">
      <c r="A6" s="9" t="s">
        <v>84</v>
      </c>
      <c r="B6" s="10">
        <v>0.15</v>
      </c>
      <c r="C6" s="10">
        <v>0.15</v>
      </c>
      <c r="D6" s="10">
        <v>0.13</v>
      </c>
      <c r="E6" s="10">
        <v>0.1</v>
      </c>
      <c r="F6" s="10">
        <v>0.1</v>
      </c>
      <c r="G6" s="11" t="s">
        <v>85</v>
      </c>
    </row>
    <row r="7" spans="1:7" ht="30" customHeight="1" x14ac:dyDescent="0.25">
      <c r="A7" s="9" t="s">
        <v>86</v>
      </c>
      <c r="B7" s="13">
        <v>346.7</v>
      </c>
      <c r="C7" s="13">
        <v>527.4</v>
      </c>
      <c r="D7" s="13">
        <v>764.1</v>
      </c>
      <c r="E7" s="13">
        <v>1113.3</v>
      </c>
      <c r="F7" s="13">
        <v>1490.9</v>
      </c>
      <c r="G7" s="11" t="s">
        <v>87</v>
      </c>
    </row>
    <row r="8" spans="1:7" ht="30" customHeight="1" x14ac:dyDescent="0.25">
      <c r="A8" s="9" t="s">
        <v>88</v>
      </c>
      <c r="B8" s="10">
        <v>0.64</v>
      </c>
      <c r="C8" s="10">
        <v>0.65500000000000003</v>
      </c>
      <c r="D8" s="10">
        <v>0.67</v>
      </c>
      <c r="E8" s="10">
        <v>0.68</v>
      </c>
      <c r="F8" s="10">
        <v>0.68500000000000005</v>
      </c>
      <c r="G8" s="11" t="s">
        <v>89</v>
      </c>
    </row>
    <row r="9" spans="1:7" ht="30" customHeight="1" x14ac:dyDescent="0.25">
      <c r="A9" s="9" t="s">
        <v>90</v>
      </c>
      <c r="B9" s="10">
        <v>0.74</v>
      </c>
      <c r="C9" s="10">
        <v>0.745</v>
      </c>
      <c r="D9" s="10">
        <v>0.75</v>
      </c>
      <c r="E9" s="10">
        <v>0.755</v>
      </c>
      <c r="F9" s="10">
        <v>0.76</v>
      </c>
      <c r="G9" s="11" t="s">
        <v>91</v>
      </c>
    </row>
    <row r="10" spans="1:7" ht="30" customHeight="1" x14ac:dyDescent="0.25">
      <c r="A10" s="9" t="s">
        <v>92</v>
      </c>
      <c r="B10" s="10">
        <v>0.188</v>
      </c>
      <c r="C10" s="10">
        <v>0.20499999999999999</v>
      </c>
      <c r="D10" s="10">
        <v>0.22</v>
      </c>
      <c r="E10" s="10">
        <v>0.23</v>
      </c>
      <c r="F10" s="10">
        <v>0.23499999999999999</v>
      </c>
      <c r="G10" s="11" t="s">
        <v>93</v>
      </c>
    </row>
    <row r="11" spans="1:7" ht="30" customHeight="1" x14ac:dyDescent="0.25">
      <c r="A11" s="9" t="s">
        <v>94</v>
      </c>
      <c r="B11" s="10">
        <v>0.12</v>
      </c>
      <c r="C11" s="10">
        <v>0.11</v>
      </c>
      <c r="D11" s="10">
        <v>0.105</v>
      </c>
      <c r="E11" s="10">
        <v>0.1</v>
      </c>
      <c r="F11" s="10">
        <v>9.5000000000000001E-2</v>
      </c>
      <c r="G11" s="11" t="s">
        <v>95</v>
      </c>
    </row>
    <row r="12" spans="1:7" ht="30" customHeight="1" x14ac:dyDescent="0.25">
      <c r="A12" s="9" t="s">
        <v>96</v>
      </c>
      <c r="B12" s="10">
        <v>7.4999999999999997E-2</v>
      </c>
      <c r="C12" s="10">
        <v>7.2999999999999995E-2</v>
      </c>
      <c r="D12" s="10">
        <v>7.0000000000000007E-2</v>
      </c>
      <c r="E12" s="10">
        <v>6.8000000000000005E-2</v>
      </c>
      <c r="F12" s="10">
        <v>6.5000000000000002E-2</v>
      </c>
      <c r="G12" s="11" t="s">
        <v>97</v>
      </c>
    </row>
    <row r="13" spans="1:7" ht="30" customHeight="1" x14ac:dyDescent="0.25">
      <c r="A13" s="9" t="s">
        <v>98</v>
      </c>
      <c r="B13" s="10">
        <v>0.04</v>
      </c>
      <c r="C13" s="10">
        <v>3.9E-2</v>
      </c>
      <c r="D13" s="10">
        <v>3.7999999999999999E-2</v>
      </c>
      <c r="E13" s="10">
        <v>3.6999999999999998E-2</v>
      </c>
      <c r="F13" s="10">
        <v>3.5999999999999997E-2</v>
      </c>
      <c r="G13" s="11" t="s">
        <v>99</v>
      </c>
    </row>
    <row r="14" spans="1:7" ht="30" customHeight="1" x14ac:dyDescent="0.25">
      <c r="A14" s="9" t="s">
        <v>100</v>
      </c>
      <c r="B14" s="10">
        <v>0.18</v>
      </c>
      <c r="C14" s="10">
        <v>0.19</v>
      </c>
      <c r="D14" s="10">
        <v>0.2</v>
      </c>
      <c r="E14" s="10">
        <v>0.21</v>
      </c>
      <c r="F14" s="10">
        <v>0.21</v>
      </c>
      <c r="G14" s="11" t="s">
        <v>101</v>
      </c>
    </row>
    <row r="15" spans="1:7" ht="30" customHeight="1" x14ac:dyDescent="0.25">
      <c r="A15" s="9" t="s">
        <v>102</v>
      </c>
      <c r="B15" s="13">
        <v>50</v>
      </c>
      <c r="C15" s="13">
        <v>55</v>
      </c>
      <c r="D15" s="13">
        <v>60</v>
      </c>
      <c r="E15" s="13">
        <v>65</v>
      </c>
      <c r="F15" s="13">
        <v>70</v>
      </c>
      <c r="G15" s="11" t="s">
        <v>103</v>
      </c>
    </row>
    <row r="16" spans="1:7" ht="30" customHeight="1" x14ac:dyDescent="0.25">
      <c r="A16" s="9" t="s">
        <v>104</v>
      </c>
      <c r="B16" s="14">
        <v>94</v>
      </c>
      <c r="C16" s="14">
        <v>92</v>
      </c>
      <c r="D16" s="14">
        <v>90</v>
      </c>
      <c r="E16" s="14">
        <v>88</v>
      </c>
      <c r="F16" s="14">
        <v>86</v>
      </c>
      <c r="G16" s="11" t="s">
        <v>105</v>
      </c>
    </row>
    <row r="17" spans="1:7" ht="30" customHeight="1" x14ac:dyDescent="0.25">
      <c r="A17" s="9" t="s">
        <v>106</v>
      </c>
      <c r="B17" s="14">
        <v>52</v>
      </c>
      <c r="C17" s="14">
        <v>52</v>
      </c>
      <c r="D17" s="14">
        <v>52</v>
      </c>
      <c r="E17" s="14">
        <v>52</v>
      </c>
      <c r="F17" s="14">
        <v>52</v>
      </c>
      <c r="G17" s="11" t="s">
        <v>107</v>
      </c>
    </row>
    <row r="18" spans="1:7" ht="30" customHeight="1" x14ac:dyDescent="0.25">
      <c r="A18" s="9" t="s">
        <v>108</v>
      </c>
      <c r="B18" s="15">
        <v>25.5</v>
      </c>
      <c r="C18" s="15">
        <v>25.5</v>
      </c>
      <c r="D18" s="15">
        <v>25.5</v>
      </c>
      <c r="E18" s="15">
        <v>25.5</v>
      </c>
      <c r="F18" s="15">
        <v>25.5</v>
      </c>
      <c r="G18" s="11" t="s">
        <v>109</v>
      </c>
    </row>
    <row r="19" spans="1:7" ht="30" customHeight="1" x14ac:dyDescent="0.25">
      <c r="A19" s="9" t="s">
        <v>110</v>
      </c>
      <c r="B19" s="10">
        <v>9.7000000000000003E-2</v>
      </c>
      <c r="C19" s="10">
        <v>9.5000000000000001E-2</v>
      </c>
      <c r="D19" s="10">
        <v>9.2999999999999999E-2</v>
      </c>
      <c r="E19" s="10">
        <v>9.0999999999999998E-2</v>
      </c>
      <c r="F19" s="10">
        <v>0.09</v>
      </c>
      <c r="G19" s="11" t="s">
        <v>111</v>
      </c>
    </row>
    <row r="20" spans="1:7" ht="30" customHeight="1" x14ac:dyDescent="0.25">
      <c r="A20" s="9" t="s">
        <v>112</v>
      </c>
      <c r="B20" s="10">
        <v>0.61499999999999999</v>
      </c>
      <c r="C20" s="10">
        <v>0.625</v>
      </c>
      <c r="D20" s="10">
        <v>0.63500000000000001</v>
      </c>
      <c r="E20" s="10">
        <v>0.64500000000000002</v>
      </c>
      <c r="F20" s="10">
        <v>0.65</v>
      </c>
      <c r="G20" s="11" t="s">
        <v>113</v>
      </c>
    </row>
    <row r="21" spans="1:7" ht="30" customHeight="1" x14ac:dyDescent="0.25">
      <c r="A21" s="9" t="s">
        <v>114</v>
      </c>
      <c r="B21" s="13">
        <v>300</v>
      </c>
      <c r="C21" s="13">
        <v>300</v>
      </c>
      <c r="D21" s="13">
        <v>300</v>
      </c>
      <c r="E21" s="13">
        <v>300</v>
      </c>
      <c r="F21" s="13">
        <v>300</v>
      </c>
      <c r="G21" s="11" t="s">
        <v>115</v>
      </c>
    </row>
    <row r="22" spans="1:7" ht="30" customHeight="1" x14ac:dyDescent="0.25">
      <c r="A22" s="9" t="s">
        <v>116</v>
      </c>
      <c r="B22" s="13">
        <v>60</v>
      </c>
      <c r="C22" s="13">
        <v>60</v>
      </c>
      <c r="D22" s="13">
        <v>60</v>
      </c>
      <c r="E22" s="13">
        <v>60</v>
      </c>
      <c r="F22" s="13">
        <v>60</v>
      </c>
      <c r="G22" s="11" t="s">
        <v>117</v>
      </c>
    </row>
    <row r="23" spans="1:7" ht="30" customHeight="1" x14ac:dyDescent="0.25">
      <c r="A23" s="9" t="s">
        <v>118</v>
      </c>
      <c r="B23" s="13">
        <v>280</v>
      </c>
      <c r="C23" s="13">
        <v>290</v>
      </c>
      <c r="D23" s="13">
        <v>300</v>
      </c>
      <c r="E23" s="13">
        <v>310</v>
      </c>
      <c r="F23" s="13">
        <v>320</v>
      </c>
      <c r="G23" s="11" t="s">
        <v>119</v>
      </c>
    </row>
    <row r="24" spans="1:7" ht="30" customHeight="1" x14ac:dyDescent="0.25">
      <c r="A24" s="9" t="s">
        <v>120</v>
      </c>
      <c r="B24" s="16">
        <v>4.4900000000000002E-2</v>
      </c>
      <c r="C24" s="16">
        <v>4.4900000000000002E-2</v>
      </c>
      <c r="D24" s="16">
        <v>4.4900000000000002E-2</v>
      </c>
      <c r="E24" s="16">
        <v>4.4900000000000002E-2</v>
      </c>
      <c r="F24" s="16">
        <v>4.4900000000000002E-2</v>
      </c>
      <c r="G24" s="11" t="s">
        <v>121</v>
      </c>
    </row>
    <row r="25" spans="1:7" ht="30" customHeight="1" x14ac:dyDescent="0.25">
      <c r="A25" s="9" t="s">
        <v>122</v>
      </c>
      <c r="B25" s="12">
        <v>1.33</v>
      </c>
      <c r="C25" s="12">
        <v>1.33</v>
      </c>
      <c r="D25" s="12">
        <v>1.33</v>
      </c>
      <c r="E25" s="12">
        <v>1.33</v>
      </c>
      <c r="F25" s="12">
        <v>1.33</v>
      </c>
      <c r="G25" s="11" t="s">
        <v>123</v>
      </c>
    </row>
    <row r="26" spans="1:7" ht="30" customHeight="1" x14ac:dyDescent="0.25">
      <c r="A26" s="9" t="s">
        <v>124</v>
      </c>
      <c r="B26" s="16">
        <v>4.2299999999999997E-2</v>
      </c>
      <c r="C26" s="16">
        <v>4.2299999999999997E-2</v>
      </c>
      <c r="D26" s="16">
        <v>4.2299999999999997E-2</v>
      </c>
      <c r="E26" s="16">
        <v>4.2299999999999997E-2</v>
      </c>
      <c r="F26" s="16">
        <v>4.2299999999999997E-2</v>
      </c>
      <c r="G26" s="11" t="s">
        <v>125</v>
      </c>
    </row>
    <row r="27" spans="1:7" ht="30" customHeight="1" x14ac:dyDescent="0.25">
      <c r="A27" s="9" t="s">
        <v>126</v>
      </c>
      <c r="B27" s="10">
        <v>5.3999999999999999E-2</v>
      </c>
      <c r="C27" s="10">
        <v>5.3999999999999999E-2</v>
      </c>
      <c r="D27" s="10">
        <v>5.3999999999999999E-2</v>
      </c>
      <c r="E27" s="10">
        <v>5.3999999999999999E-2</v>
      </c>
      <c r="F27" s="10">
        <v>5.3999999999999999E-2</v>
      </c>
      <c r="G27" s="11" t="s">
        <v>127</v>
      </c>
    </row>
    <row r="28" spans="1:7" ht="30" customHeight="1" x14ac:dyDescent="0.25">
      <c r="A28" s="9" t="s">
        <v>128</v>
      </c>
      <c r="B28" s="10">
        <v>8.9999999999999993E-3</v>
      </c>
      <c r="C28" s="10">
        <v>8.9999999999999993E-3</v>
      </c>
      <c r="D28" s="10">
        <v>8.9999999999999993E-3</v>
      </c>
      <c r="E28" s="10">
        <v>8.9999999999999993E-3</v>
      </c>
      <c r="F28" s="10">
        <v>8.9999999999999993E-3</v>
      </c>
      <c r="G28" s="11" t="s">
        <v>129</v>
      </c>
    </row>
    <row r="29" spans="1:7" ht="30" customHeight="1" x14ac:dyDescent="0.25">
      <c r="A29" s="9" t="s">
        <v>130</v>
      </c>
      <c r="B29" s="10">
        <v>0.03</v>
      </c>
      <c r="C29" s="10">
        <v>0.03</v>
      </c>
      <c r="D29" s="10">
        <v>0.03</v>
      </c>
      <c r="E29" s="10">
        <v>0.03</v>
      </c>
      <c r="F29" s="10">
        <v>0.03</v>
      </c>
      <c r="G29" s="11" t="s">
        <v>131</v>
      </c>
    </row>
    <row r="30" spans="1:7" ht="30" customHeight="1" x14ac:dyDescent="0.25">
      <c r="A30" s="9" t="s">
        <v>132</v>
      </c>
      <c r="B30" s="17">
        <v>13</v>
      </c>
      <c r="C30" s="17">
        <v>13</v>
      </c>
      <c r="D30" s="17">
        <v>13</v>
      </c>
      <c r="E30" s="17">
        <v>13</v>
      </c>
      <c r="F30" s="17">
        <v>13</v>
      </c>
      <c r="G30" s="11" t="s">
        <v>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6" width="13" customWidth="1"/>
  </cols>
  <sheetData>
    <row r="1" spans="1:6" ht="18.75" customHeight="1" x14ac:dyDescent="0.3">
      <c r="A1" s="19" t="s">
        <v>134</v>
      </c>
    </row>
    <row r="3" spans="1:6" x14ac:dyDescent="0.25">
      <c r="A3" s="20" t="s">
        <v>135</v>
      </c>
      <c r="B3" s="21" t="s">
        <v>74</v>
      </c>
      <c r="C3" s="21" t="s">
        <v>75</v>
      </c>
      <c r="D3" s="21" t="s">
        <v>76</v>
      </c>
      <c r="E3" s="21" t="s">
        <v>77</v>
      </c>
      <c r="F3" s="21" t="s">
        <v>78</v>
      </c>
    </row>
    <row r="4" spans="1:6" x14ac:dyDescent="0.25">
      <c r="A4" t="s">
        <v>136</v>
      </c>
      <c r="B4" s="22">
        <f>Historicals!F26</f>
        <v>1924.3</v>
      </c>
      <c r="C4" s="23">
        <f>B6</f>
        <v>2270.674</v>
      </c>
      <c r="D4" s="23">
        <f>C6</f>
        <v>2665.7712759999999</v>
      </c>
      <c r="E4" s="23">
        <f>D6</f>
        <v>3065.6369673999998</v>
      </c>
      <c r="F4" s="23">
        <f>E6</f>
        <v>3470.3010470968002</v>
      </c>
    </row>
    <row r="5" spans="1:6" x14ac:dyDescent="0.25">
      <c r="A5" t="s">
        <v>137</v>
      </c>
      <c r="B5" s="24">
        <f>Assumptions!B4</f>
        <v>0.18</v>
      </c>
      <c r="C5" s="24">
        <f>Assumptions!C4</f>
        <v>0.17399999999999999</v>
      </c>
      <c r="D5" s="24">
        <f>Assumptions!D4</f>
        <v>0.15</v>
      </c>
      <c r="E5" s="24">
        <f>Assumptions!E4</f>
        <v>0.13200000000000001</v>
      </c>
      <c r="F5" s="24">
        <f>Assumptions!F4</f>
        <v>0.111</v>
      </c>
    </row>
    <row r="6" spans="1:6" x14ac:dyDescent="0.25">
      <c r="A6" t="s">
        <v>138</v>
      </c>
      <c r="B6" s="23">
        <f>B4*(1+B5)</f>
        <v>2270.674</v>
      </c>
      <c r="C6" s="23">
        <f>C4*(1+C5)</f>
        <v>2665.7712759999999</v>
      </c>
      <c r="D6" s="23">
        <f>D4*(1+D5)</f>
        <v>3065.6369673999998</v>
      </c>
      <c r="E6" s="23">
        <f>E4*(1+E5)</f>
        <v>3470.3010470968002</v>
      </c>
      <c r="F6" s="23">
        <f>F4*(1+F5)</f>
        <v>3855.5044633245448</v>
      </c>
    </row>
    <row r="7" spans="1:6" x14ac:dyDescent="0.25">
      <c r="A7" t="s">
        <v>139</v>
      </c>
      <c r="B7" s="23">
        <f>AVERAGE(B4,B6)</f>
        <v>2097.4870000000001</v>
      </c>
      <c r="C7" s="23">
        <f>AVERAGE(C4,C6)</f>
        <v>2468.2226380000002</v>
      </c>
      <c r="D7" s="23">
        <f>AVERAGE(D4,D6)</f>
        <v>2865.7041216999996</v>
      </c>
      <c r="E7" s="23">
        <f>AVERAGE(E4,E6)</f>
        <v>3267.9690072484</v>
      </c>
      <c r="F7" s="23">
        <f>AVERAGE(F4,F6)</f>
        <v>3662.9027552106727</v>
      </c>
    </row>
    <row r="8" spans="1:6" x14ac:dyDescent="0.25">
      <c r="A8" t="s">
        <v>140</v>
      </c>
      <c r="B8" s="22">
        <f>Assumptions!B5</f>
        <v>0.88</v>
      </c>
      <c r="C8" s="22">
        <f>Assumptions!C5</f>
        <v>0.88</v>
      </c>
      <c r="D8" s="22">
        <f>Assumptions!D5</f>
        <v>0.89</v>
      </c>
      <c r="E8" s="22">
        <f>Assumptions!E5</f>
        <v>0.89</v>
      </c>
      <c r="F8" s="22">
        <f>Assumptions!F5</f>
        <v>0.9</v>
      </c>
    </row>
    <row r="9" spans="1:6" x14ac:dyDescent="0.25">
      <c r="A9" t="s">
        <v>35</v>
      </c>
      <c r="B9" s="23">
        <f>B7*B8</f>
        <v>1845.7885600000002</v>
      </c>
      <c r="C9" s="23">
        <f>C7*C8</f>
        <v>2172.03592144</v>
      </c>
      <c r="D9" s="23">
        <f>D7*D8</f>
        <v>2550.4766683129997</v>
      </c>
      <c r="E9" s="23">
        <f>E7*E8</f>
        <v>2908.4924164510762</v>
      </c>
      <c r="F9" s="23">
        <f>F7*F8</f>
        <v>3296.6124796896056</v>
      </c>
    </row>
    <row r="10" spans="1:6" x14ac:dyDescent="0.25">
      <c r="B10" s="18"/>
      <c r="C10" s="18"/>
      <c r="D10" s="18"/>
      <c r="E10" s="18"/>
      <c r="F10" s="18"/>
    </row>
    <row r="11" spans="1:6" x14ac:dyDescent="0.25">
      <c r="A11" t="s">
        <v>141</v>
      </c>
      <c r="B11" s="22">
        <f>Historicals!F4</f>
        <v>1971.7</v>
      </c>
      <c r="C11" s="23">
        <f>B13</f>
        <v>2267.4549999999999</v>
      </c>
      <c r="D11" s="23">
        <f>C13</f>
        <v>2607.5732499999999</v>
      </c>
      <c r="E11" s="23">
        <f>D13</f>
        <v>2946.5577724999998</v>
      </c>
      <c r="F11" s="23">
        <f>E13</f>
        <v>3241.2135497499999</v>
      </c>
    </row>
    <row r="12" spans="1:6" x14ac:dyDescent="0.25">
      <c r="A12" t="s">
        <v>142</v>
      </c>
      <c r="B12" s="24">
        <f>Assumptions!B6</f>
        <v>0.15</v>
      </c>
      <c r="C12" s="24">
        <f>Assumptions!C6</f>
        <v>0.15</v>
      </c>
      <c r="D12" s="24">
        <f>Assumptions!D6</f>
        <v>0.13</v>
      </c>
      <c r="E12" s="24">
        <f>Assumptions!E6</f>
        <v>0.1</v>
      </c>
      <c r="F12" s="24">
        <f>Assumptions!F6</f>
        <v>0.1</v>
      </c>
    </row>
    <row r="13" spans="1:6" x14ac:dyDescent="0.25">
      <c r="A13" t="s">
        <v>143</v>
      </c>
      <c r="B13" s="23">
        <f>B11*(1+B12)</f>
        <v>2267.4549999999999</v>
      </c>
      <c r="C13" s="23">
        <f>C11*(1+C12)</f>
        <v>2607.5732499999999</v>
      </c>
      <c r="D13" s="23">
        <f>D11*(1+D12)</f>
        <v>2946.5577724999998</v>
      </c>
      <c r="E13" s="23">
        <f>E11*(1+E12)</f>
        <v>3241.2135497499999</v>
      </c>
      <c r="F13" s="23">
        <f>F11*(1+F12)</f>
        <v>3565.3349047250003</v>
      </c>
    </row>
    <row r="14" spans="1:6" x14ac:dyDescent="0.25">
      <c r="A14" t="s">
        <v>144</v>
      </c>
      <c r="B14" s="22">
        <f>Assumptions!B7</f>
        <v>346.7</v>
      </c>
      <c r="C14" s="22">
        <f>Assumptions!C7</f>
        <v>527.4</v>
      </c>
      <c r="D14" s="22">
        <f>Assumptions!D7</f>
        <v>764.1</v>
      </c>
      <c r="E14" s="22">
        <f>Assumptions!E7</f>
        <v>1113.3</v>
      </c>
      <c r="F14" s="22">
        <f>Assumptions!F7</f>
        <v>1490.9</v>
      </c>
    </row>
    <row r="15" spans="1:6" x14ac:dyDescent="0.25">
      <c r="A15" t="s">
        <v>145</v>
      </c>
      <c r="B15" s="23">
        <f>B13+B14</f>
        <v>2614.1549999999997</v>
      </c>
      <c r="C15" s="23">
        <f>C13+C14</f>
        <v>3134.97325</v>
      </c>
      <c r="D15" s="23">
        <f>D13+D14</f>
        <v>3710.6577724999997</v>
      </c>
      <c r="E15" s="23">
        <f>E13+E14</f>
        <v>4354.5135497499996</v>
      </c>
      <c r="F15" s="23">
        <f>F13+F14</f>
        <v>5056.2349047250009</v>
      </c>
    </row>
    <row r="16" spans="1:6" x14ac:dyDescent="0.25">
      <c r="B16" s="18"/>
      <c r="C16" s="18"/>
      <c r="D16" s="18"/>
      <c r="E16" s="18"/>
      <c r="F16" s="18"/>
    </row>
    <row r="17" spans="1:6" x14ac:dyDescent="0.25">
      <c r="A17" t="s">
        <v>146</v>
      </c>
      <c r="B17" s="25">
        <f>B15+B9</f>
        <v>4459.9435599999997</v>
      </c>
      <c r="C17" s="25">
        <f>C15+C9</f>
        <v>5307.0091714400005</v>
      </c>
      <c r="D17" s="25">
        <f>D15+D9</f>
        <v>6261.1344408129989</v>
      </c>
      <c r="E17" s="25">
        <f>E15+E9</f>
        <v>7263.0059662010754</v>
      </c>
      <c r="F17" s="25">
        <f>F15+F9</f>
        <v>8352.8473844146065</v>
      </c>
    </row>
    <row r="18" spans="1:6" x14ac:dyDescent="0.25">
      <c r="A18" t="s">
        <v>147</v>
      </c>
      <c r="B18" s="26">
        <f>B17/Historicals!F29-1</f>
        <v>0.21759904993311308</v>
      </c>
      <c r="C18" s="26">
        <f>C17/B17-1</f>
        <v>0.18992742846279453</v>
      </c>
      <c r="D18" s="26">
        <f>D17/C17-1</f>
        <v>0.17978587158049075</v>
      </c>
      <c r="E18" s="26">
        <f>E17/D17-1</f>
        <v>0.16001437676492136</v>
      </c>
      <c r="F18" s="26">
        <f>F17/E17-1</f>
        <v>0.15005376882315491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6" width="13" customWidth="1"/>
  </cols>
  <sheetData>
    <row r="1" spans="1:6" ht="18.75" customHeight="1" x14ac:dyDescent="0.3">
      <c r="A1" s="19" t="s">
        <v>148</v>
      </c>
    </row>
    <row r="3" spans="1:6" x14ac:dyDescent="0.25">
      <c r="A3" s="20" t="s">
        <v>135</v>
      </c>
      <c r="B3" s="21" t="s">
        <v>74</v>
      </c>
      <c r="C3" s="21" t="s">
        <v>75</v>
      </c>
      <c r="D3" s="21" t="s">
        <v>76</v>
      </c>
      <c r="E3" s="21" t="s">
        <v>77</v>
      </c>
      <c r="F3" s="21" t="s">
        <v>78</v>
      </c>
    </row>
    <row r="4" spans="1:6" x14ac:dyDescent="0.25">
      <c r="A4" t="s">
        <v>34</v>
      </c>
      <c r="B4" s="22">
        <f>Revenue_Build!B15</f>
        <v>2614.1549999999997</v>
      </c>
      <c r="C4" s="22">
        <f>Revenue_Build!C15</f>
        <v>3134.97325</v>
      </c>
      <c r="D4" s="22">
        <f>Revenue_Build!D15</f>
        <v>3710.6577724999997</v>
      </c>
      <c r="E4" s="22">
        <f>Revenue_Build!E15</f>
        <v>4354.5135497499996</v>
      </c>
      <c r="F4" s="22">
        <f>Revenue_Build!F15</f>
        <v>5056.2349047250009</v>
      </c>
    </row>
    <row r="5" spans="1:6" x14ac:dyDescent="0.25">
      <c r="A5" t="s">
        <v>35</v>
      </c>
      <c r="B5" s="22">
        <f>Revenue_Build!B9</f>
        <v>1845.7885600000002</v>
      </c>
      <c r="C5" s="22">
        <f>Revenue_Build!C9</f>
        <v>2172.03592144</v>
      </c>
      <c r="D5" s="22">
        <f>Revenue_Build!D9</f>
        <v>2550.4766683129997</v>
      </c>
      <c r="E5" s="22">
        <f>Revenue_Build!E9</f>
        <v>2908.4924164510762</v>
      </c>
      <c r="F5" s="22">
        <f>Revenue_Build!F9</f>
        <v>3296.6124796896056</v>
      </c>
    </row>
    <row r="6" spans="1:6" x14ac:dyDescent="0.25">
      <c r="A6" s="27" t="s">
        <v>59</v>
      </c>
      <c r="B6" s="25">
        <f>Revenue_Build!B17</f>
        <v>4459.9435599999997</v>
      </c>
      <c r="C6" s="25">
        <f>Revenue_Build!C17</f>
        <v>5307.0091714400005</v>
      </c>
      <c r="D6" s="25">
        <f>Revenue_Build!D17</f>
        <v>6261.1344408129989</v>
      </c>
      <c r="E6" s="25">
        <f>Revenue_Build!E17</f>
        <v>7263.0059662010754</v>
      </c>
      <c r="F6" s="25">
        <f>Revenue_Build!F17</f>
        <v>8352.8473844146065</v>
      </c>
    </row>
    <row r="7" spans="1:6" x14ac:dyDescent="0.25">
      <c r="A7" t="s">
        <v>149</v>
      </c>
      <c r="B7" s="24">
        <f>Assumptions!B8</f>
        <v>0.64</v>
      </c>
      <c r="C7" s="24">
        <f>Assumptions!C8</f>
        <v>0.65500000000000003</v>
      </c>
      <c r="D7" s="24">
        <f>Assumptions!D8</f>
        <v>0.67</v>
      </c>
      <c r="E7" s="24">
        <f>Assumptions!E8</f>
        <v>0.68</v>
      </c>
      <c r="F7" s="24">
        <f>Assumptions!F8</f>
        <v>0.68500000000000005</v>
      </c>
    </row>
    <row r="8" spans="1:6" x14ac:dyDescent="0.25">
      <c r="A8" t="s">
        <v>150</v>
      </c>
      <c r="B8" s="24">
        <f>Assumptions!B9</f>
        <v>0.74</v>
      </c>
      <c r="C8" s="24">
        <f>Assumptions!C9</f>
        <v>0.745</v>
      </c>
      <c r="D8" s="24">
        <f>Assumptions!D9</f>
        <v>0.75</v>
      </c>
      <c r="E8" s="24">
        <f>Assumptions!E9</f>
        <v>0.755</v>
      </c>
      <c r="F8" s="24">
        <f>Assumptions!F9</f>
        <v>0.76</v>
      </c>
    </row>
    <row r="9" spans="1:6" x14ac:dyDescent="0.25">
      <c r="A9" t="s">
        <v>36</v>
      </c>
      <c r="B9" s="23">
        <f t="shared" ref="B9:F10" si="0">B4*(1-B7)</f>
        <v>941.09579999999983</v>
      </c>
      <c r="C9" s="23">
        <f t="shared" si="0"/>
        <v>1081.5657712499999</v>
      </c>
      <c r="D9" s="23">
        <f t="shared" si="0"/>
        <v>1224.5170649249997</v>
      </c>
      <c r="E9" s="23">
        <f t="shared" si="0"/>
        <v>1393.4443359199997</v>
      </c>
      <c r="F9" s="23">
        <f t="shared" si="0"/>
        <v>1592.7139949883749</v>
      </c>
    </row>
    <row r="10" spans="1:6" x14ac:dyDescent="0.25">
      <c r="A10" t="s">
        <v>37</v>
      </c>
      <c r="B10" s="23">
        <f t="shared" si="0"/>
        <v>479.90502560000004</v>
      </c>
      <c r="C10" s="23">
        <f t="shared" si="0"/>
        <v>553.86915996720006</v>
      </c>
      <c r="D10" s="23">
        <f t="shared" si="0"/>
        <v>637.61916707824992</v>
      </c>
      <c r="E10" s="23">
        <f t="shared" si="0"/>
        <v>712.58064203051367</v>
      </c>
      <c r="F10" s="23">
        <f t="shared" si="0"/>
        <v>791.18699512550529</v>
      </c>
    </row>
    <row r="11" spans="1:6" x14ac:dyDescent="0.25">
      <c r="A11" t="s">
        <v>60</v>
      </c>
      <c r="B11" s="23">
        <f>B9+B10</f>
        <v>1421.0008255999999</v>
      </c>
      <c r="C11" s="23">
        <f>C9+C10</f>
        <v>1635.4349312171998</v>
      </c>
      <c r="D11" s="23">
        <f>D9+D10</f>
        <v>1862.1362320032495</v>
      </c>
      <c r="E11" s="23">
        <f>E9+E10</f>
        <v>2106.0249779505134</v>
      </c>
      <c r="F11" s="23">
        <f>F9+F10</f>
        <v>2383.9009901138802</v>
      </c>
    </row>
    <row r="12" spans="1:6" x14ac:dyDescent="0.25">
      <c r="A12" s="27" t="s">
        <v>61</v>
      </c>
      <c r="B12" s="25">
        <f>B6-B11</f>
        <v>3038.9427343999996</v>
      </c>
      <c r="C12" s="25">
        <f>C6-C11</f>
        <v>3671.5742402228007</v>
      </c>
      <c r="D12" s="25">
        <f>D6-D11</f>
        <v>4398.9982088097495</v>
      </c>
      <c r="E12" s="25">
        <f>E6-E11</f>
        <v>5156.9809882505615</v>
      </c>
      <c r="F12" s="25">
        <f>F6-F11</f>
        <v>5968.9463943007268</v>
      </c>
    </row>
    <row r="13" spans="1:6" x14ac:dyDescent="0.25">
      <c r="A13" t="s">
        <v>151</v>
      </c>
      <c r="B13" s="26">
        <f>B12/B6</f>
        <v>0.68138591744869526</v>
      </c>
      <c r="C13" s="26">
        <f>C12/C6</f>
        <v>0.69183491522524687</v>
      </c>
      <c r="D13" s="26">
        <f>D12/D6</f>
        <v>0.70258804540835673</v>
      </c>
      <c r="E13" s="26">
        <f>E12/E6</f>
        <v>0.71003397384622102</v>
      </c>
      <c r="F13" s="26">
        <f>F12/F6</f>
        <v>0.71460019794424257</v>
      </c>
    </row>
    <row r="14" spans="1:6" x14ac:dyDescent="0.25">
      <c r="A14" t="s">
        <v>152</v>
      </c>
      <c r="B14" s="24">
        <f>Assumptions!B10</f>
        <v>0.188</v>
      </c>
      <c r="C14" s="24">
        <f>Assumptions!C10</f>
        <v>0.20499999999999999</v>
      </c>
      <c r="D14" s="24">
        <f>Assumptions!D10</f>
        <v>0.22</v>
      </c>
      <c r="E14" s="24">
        <f>Assumptions!E10</f>
        <v>0.23</v>
      </c>
      <c r="F14" s="24">
        <f>Assumptions!F10</f>
        <v>0.23499999999999999</v>
      </c>
    </row>
    <row r="15" spans="1:6" x14ac:dyDescent="0.25">
      <c r="A15" t="s">
        <v>153</v>
      </c>
      <c r="B15" s="23">
        <f>B6*B14</f>
        <v>838.46938927999997</v>
      </c>
      <c r="C15" s="23">
        <f>C6*C14</f>
        <v>1087.9368801452001</v>
      </c>
      <c r="D15" s="23">
        <f>D6*D14</f>
        <v>1377.4495769788598</v>
      </c>
      <c r="E15" s="23">
        <f>E6*E14</f>
        <v>1670.4913722262474</v>
      </c>
      <c r="F15" s="23">
        <f>F6*F14</f>
        <v>1962.9191353374324</v>
      </c>
    </row>
    <row r="16" spans="1:6" x14ac:dyDescent="0.25">
      <c r="A16" t="s">
        <v>154</v>
      </c>
      <c r="B16" s="24">
        <f>Assumptions!B11</f>
        <v>0.12</v>
      </c>
      <c r="C16" s="24">
        <f>Assumptions!C11</f>
        <v>0.11</v>
      </c>
      <c r="D16" s="24">
        <f>Assumptions!D11</f>
        <v>0.105</v>
      </c>
      <c r="E16" s="24">
        <f>Assumptions!E11</f>
        <v>0.1</v>
      </c>
      <c r="F16" s="24">
        <f>Assumptions!F11</f>
        <v>9.5000000000000001E-2</v>
      </c>
    </row>
    <row r="17" spans="1:6" x14ac:dyDescent="0.25">
      <c r="A17" t="s">
        <v>155</v>
      </c>
      <c r="B17" s="23">
        <f>B6*B16</f>
        <v>535.19322719999991</v>
      </c>
      <c r="C17" s="23">
        <f>C6*C16</f>
        <v>583.77100885840002</v>
      </c>
      <c r="D17" s="23">
        <f>D6*D16</f>
        <v>657.41911628536491</v>
      </c>
      <c r="E17" s="23">
        <f>E6*E16</f>
        <v>726.30059662010763</v>
      </c>
      <c r="F17" s="23">
        <f>F6*F16</f>
        <v>793.52050151938761</v>
      </c>
    </row>
    <row r="18" spans="1:6" x14ac:dyDescent="0.25">
      <c r="A18" s="27" t="s">
        <v>156</v>
      </c>
      <c r="B18" s="25">
        <f>B15-B17</f>
        <v>303.27616208000006</v>
      </c>
      <c r="C18" s="25">
        <f>C15-C17</f>
        <v>504.1658712868001</v>
      </c>
      <c r="D18" s="25">
        <f>D15-D17</f>
        <v>720.03046069349489</v>
      </c>
      <c r="E18" s="25">
        <f>E15-E17</f>
        <v>944.19077560613982</v>
      </c>
      <c r="F18" s="25">
        <f>F15-F17</f>
        <v>1169.3986338180448</v>
      </c>
    </row>
    <row r="19" spans="1:6" x14ac:dyDescent="0.25">
      <c r="A19" t="s">
        <v>157</v>
      </c>
      <c r="B19" s="26">
        <f>B18/B6</f>
        <v>6.8000000000000019E-2</v>
      </c>
      <c r="C19" s="26">
        <f>C18/C6</f>
        <v>9.5000000000000015E-2</v>
      </c>
      <c r="D19" s="26">
        <f>D18/D6</f>
        <v>0.115</v>
      </c>
      <c r="E19" s="26">
        <f>E18/E6</f>
        <v>0.13</v>
      </c>
      <c r="F19" s="26">
        <f>F18/F6</f>
        <v>0.13999999999999999</v>
      </c>
    </row>
    <row r="20" spans="1:6" x14ac:dyDescent="0.25">
      <c r="A20" t="s">
        <v>158</v>
      </c>
      <c r="B20" s="24">
        <f>Assumptions!B13</f>
        <v>0.04</v>
      </c>
      <c r="C20" s="24">
        <f>Assumptions!C13</f>
        <v>3.9E-2</v>
      </c>
      <c r="D20" s="24">
        <f>Assumptions!D13</f>
        <v>3.7999999999999999E-2</v>
      </c>
      <c r="E20" s="24">
        <f>Assumptions!E13</f>
        <v>3.6999999999999998E-2</v>
      </c>
      <c r="F20" s="24">
        <f>Assumptions!F13</f>
        <v>3.5999999999999997E-2</v>
      </c>
    </row>
    <row r="21" spans="1:6" x14ac:dyDescent="0.25">
      <c r="A21" t="s">
        <v>44</v>
      </c>
      <c r="B21" s="23">
        <f>B6*B20</f>
        <v>178.3977424</v>
      </c>
      <c r="C21" s="23">
        <f>C6*C20</f>
        <v>206.97335768616003</v>
      </c>
      <c r="D21" s="23">
        <f>D6*D20</f>
        <v>237.92310875089396</v>
      </c>
      <c r="E21" s="23">
        <f>E6*E20</f>
        <v>268.73122074943979</v>
      </c>
      <c r="F21" s="23">
        <f>F6*F20</f>
        <v>300.70250583892579</v>
      </c>
    </row>
    <row r="22" spans="1:6" x14ac:dyDescent="0.25">
      <c r="A22" t="s">
        <v>159</v>
      </c>
      <c r="B22" s="23">
        <f>B18+B21</f>
        <v>481.67390448000003</v>
      </c>
      <c r="C22" s="23">
        <f>C18+C21</f>
        <v>711.13922897296015</v>
      </c>
      <c r="D22" s="23">
        <f>D18+D21</f>
        <v>957.9535694443889</v>
      </c>
      <c r="E22" s="23">
        <f>E18+E21</f>
        <v>1212.9219963555797</v>
      </c>
      <c r="F22" s="23">
        <f>F18+F21</f>
        <v>1470.1011396569706</v>
      </c>
    </row>
    <row r="23" spans="1:6" x14ac:dyDescent="0.25">
      <c r="A23" t="s">
        <v>160</v>
      </c>
      <c r="B23" s="22">
        <f>Assumptions!B15</f>
        <v>50</v>
      </c>
      <c r="C23" s="22">
        <f>Assumptions!C15</f>
        <v>55</v>
      </c>
      <c r="D23" s="22">
        <f>Assumptions!D15</f>
        <v>60</v>
      </c>
      <c r="E23" s="22">
        <f>Assumptions!E15</f>
        <v>65</v>
      </c>
      <c r="F23" s="22">
        <f>Assumptions!F15</f>
        <v>70</v>
      </c>
    </row>
    <row r="24" spans="1:6" x14ac:dyDescent="0.25">
      <c r="A24" t="s">
        <v>66</v>
      </c>
      <c r="B24" s="23">
        <f>B18+B23</f>
        <v>353.27616208000006</v>
      </c>
      <c r="C24" s="23">
        <f>C18+C23</f>
        <v>559.1658712868001</v>
      </c>
      <c r="D24" s="23">
        <f>D18+D23</f>
        <v>780.03046069349489</v>
      </c>
      <c r="E24" s="23">
        <f>E18+E23</f>
        <v>1009.1907756061398</v>
      </c>
      <c r="F24" s="23">
        <f>F18+F23</f>
        <v>1239.3986338180448</v>
      </c>
    </row>
    <row r="25" spans="1:6" x14ac:dyDescent="0.25">
      <c r="A25" t="s">
        <v>161</v>
      </c>
      <c r="B25" s="24">
        <f>Assumptions!B14</f>
        <v>0.18</v>
      </c>
      <c r="C25" s="24">
        <f>Assumptions!C14</f>
        <v>0.19</v>
      </c>
      <c r="D25" s="24">
        <f>Assumptions!D14</f>
        <v>0.2</v>
      </c>
      <c r="E25" s="24">
        <f>Assumptions!E14</f>
        <v>0.21</v>
      </c>
      <c r="F25" s="24">
        <f>Assumptions!F14</f>
        <v>0.21</v>
      </c>
    </row>
    <row r="26" spans="1:6" x14ac:dyDescent="0.25">
      <c r="A26" t="s">
        <v>42</v>
      </c>
      <c r="B26" s="23">
        <f>B24*B25</f>
        <v>63.589709174400006</v>
      </c>
      <c r="C26" s="23">
        <f>C24*C25</f>
        <v>106.24151554449202</v>
      </c>
      <c r="D26" s="23">
        <f>D24*D25</f>
        <v>156.00609213869899</v>
      </c>
      <c r="E26" s="23">
        <f>E24*E25</f>
        <v>211.93006287728934</v>
      </c>
      <c r="F26" s="23">
        <f>F24*F25</f>
        <v>260.27371310178938</v>
      </c>
    </row>
    <row r="27" spans="1:6" x14ac:dyDescent="0.25">
      <c r="A27" s="27" t="s">
        <v>67</v>
      </c>
      <c r="B27" s="25">
        <f>B24-B26</f>
        <v>289.68645290560005</v>
      </c>
      <c r="C27" s="25">
        <f>C24-C26</f>
        <v>452.92435574230808</v>
      </c>
      <c r="D27" s="25">
        <f>D24-D26</f>
        <v>624.02436855479596</v>
      </c>
      <c r="E27" s="25">
        <f>E24-E26</f>
        <v>797.26071272885042</v>
      </c>
      <c r="F27" s="25">
        <f>F24-F26</f>
        <v>979.12492071625547</v>
      </c>
    </row>
    <row r="29" spans="1:6" x14ac:dyDescent="0.25">
      <c r="A29" s="28" t="s">
        <v>162</v>
      </c>
    </row>
    <row r="30" spans="1:6" x14ac:dyDescent="0.25">
      <c r="A30" t="s">
        <v>163</v>
      </c>
      <c r="B30" s="29">
        <f>Assumptions!B16</f>
        <v>94</v>
      </c>
      <c r="C30" s="29">
        <f>Assumptions!C16</f>
        <v>92</v>
      </c>
      <c r="D30" s="29">
        <f>Assumptions!D16</f>
        <v>90</v>
      </c>
      <c r="E30" s="29">
        <f>Assumptions!E16</f>
        <v>88</v>
      </c>
      <c r="F30" s="29">
        <f>Assumptions!F16</f>
        <v>86</v>
      </c>
    </row>
    <row r="31" spans="1:6" x14ac:dyDescent="0.25">
      <c r="A31" t="s">
        <v>164</v>
      </c>
      <c r="B31" s="29">
        <f>Assumptions!B17</f>
        <v>52</v>
      </c>
      <c r="C31" s="29">
        <f>Assumptions!C17</f>
        <v>52</v>
      </c>
      <c r="D31" s="29">
        <f>Assumptions!D17</f>
        <v>52</v>
      </c>
      <c r="E31" s="29">
        <f>Assumptions!E17</f>
        <v>52</v>
      </c>
      <c r="F31" s="29">
        <f>Assumptions!F17</f>
        <v>52</v>
      </c>
    </row>
    <row r="32" spans="1:6" x14ac:dyDescent="0.25">
      <c r="A32" t="s">
        <v>165</v>
      </c>
      <c r="B32" s="29">
        <f>Assumptions!B18</f>
        <v>25.5</v>
      </c>
      <c r="C32" s="29">
        <f>Assumptions!C18</f>
        <v>25.5</v>
      </c>
      <c r="D32" s="29">
        <f>Assumptions!D18</f>
        <v>25.5</v>
      </c>
      <c r="E32" s="29">
        <f>Assumptions!E18</f>
        <v>25.5</v>
      </c>
      <c r="F32" s="29">
        <f>Assumptions!F18</f>
        <v>25.5</v>
      </c>
    </row>
    <row r="33" spans="1:6" x14ac:dyDescent="0.25">
      <c r="A33" t="s">
        <v>166</v>
      </c>
      <c r="B33" s="24">
        <f>Assumptions!B19</f>
        <v>9.7000000000000003E-2</v>
      </c>
      <c r="C33" s="24">
        <f>Assumptions!C19</f>
        <v>9.5000000000000001E-2</v>
      </c>
      <c r="D33" s="24">
        <f>Assumptions!D19</f>
        <v>9.2999999999999999E-2</v>
      </c>
      <c r="E33" s="24">
        <f>Assumptions!E19</f>
        <v>9.0999999999999998E-2</v>
      </c>
      <c r="F33" s="24">
        <f>Assumptions!F19</f>
        <v>0.09</v>
      </c>
    </row>
    <row r="34" spans="1:6" x14ac:dyDescent="0.25">
      <c r="A34" t="s">
        <v>167</v>
      </c>
      <c r="B34" s="24">
        <f>Assumptions!B20</f>
        <v>0.61499999999999999</v>
      </c>
      <c r="C34" s="24">
        <f>Assumptions!C20</f>
        <v>0.625</v>
      </c>
      <c r="D34" s="24">
        <f>Assumptions!D20</f>
        <v>0.63500000000000001</v>
      </c>
      <c r="E34" s="24">
        <f>Assumptions!E20</f>
        <v>0.64500000000000002</v>
      </c>
      <c r="F34" s="24">
        <f>Assumptions!F20</f>
        <v>0.65</v>
      </c>
    </row>
    <row r="35" spans="1:6" x14ac:dyDescent="0.25">
      <c r="A35" t="s">
        <v>46</v>
      </c>
      <c r="B35" s="23">
        <f>B30*B6/365</f>
        <v>1148.5882044931507</v>
      </c>
      <c r="C35" s="23">
        <f>C30*C6/365</f>
        <v>1337.6571062259727</v>
      </c>
      <c r="D35" s="23">
        <f>D30*D6/365</f>
        <v>1543.8413689675888</v>
      </c>
      <c r="E35" s="23">
        <f>E30*E6/365</f>
        <v>1751.0808904813553</v>
      </c>
      <c r="F35" s="23">
        <f>F30*F6/365</f>
        <v>1968.0681508483729</v>
      </c>
    </row>
    <row r="36" spans="1:6" x14ac:dyDescent="0.25">
      <c r="A36" t="s">
        <v>47</v>
      </c>
      <c r="B36" s="23">
        <f>B32*B11/365</f>
        <v>99.275400144657524</v>
      </c>
      <c r="C36" s="23">
        <f>C32*C11/365</f>
        <v>114.25641300284546</v>
      </c>
      <c r="D36" s="23">
        <f>D32*D11/365</f>
        <v>130.09444908515852</v>
      </c>
      <c r="E36" s="23">
        <f>E32*E11/365</f>
        <v>147.13325188421393</v>
      </c>
      <c r="F36" s="23">
        <f>F32*F11/365</f>
        <v>166.54650752850395</v>
      </c>
    </row>
    <row r="37" spans="1:6" x14ac:dyDescent="0.25">
      <c r="A37" t="s">
        <v>48</v>
      </c>
      <c r="B37" s="23">
        <f>B33*B6</f>
        <v>432.61452531999998</v>
      </c>
      <c r="C37" s="23">
        <f>C33*C6</f>
        <v>504.16587128680004</v>
      </c>
      <c r="D37" s="23">
        <f>D33*D6</f>
        <v>582.28550299560891</v>
      </c>
      <c r="E37" s="23">
        <f>E33*E6</f>
        <v>660.93354292429785</v>
      </c>
      <c r="F37" s="23">
        <f>F33*F6</f>
        <v>751.75626459731461</v>
      </c>
    </row>
    <row r="38" spans="1:6" x14ac:dyDescent="0.25">
      <c r="A38" t="s">
        <v>49</v>
      </c>
      <c r="B38" s="23">
        <f>B31*B11/365</f>
        <v>202.44395323616436</v>
      </c>
      <c r="C38" s="23">
        <f>C31*C11/365</f>
        <v>232.99346965286134</v>
      </c>
      <c r="D38" s="23">
        <f>D31*D11/365</f>
        <v>265.29064127169579</v>
      </c>
      <c r="E38" s="23">
        <f>E31*E11/365</f>
        <v>300.03643521486765</v>
      </c>
      <c r="F38" s="23">
        <f>F31*F11/365</f>
        <v>339.62425064636102</v>
      </c>
    </row>
    <row r="39" spans="1:6" x14ac:dyDescent="0.25">
      <c r="A39" t="s">
        <v>168</v>
      </c>
      <c r="B39" s="23">
        <f>B34*B6</f>
        <v>2742.8652893999997</v>
      </c>
      <c r="C39" s="23">
        <f>C34*C6</f>
        <v>3316.8807321500003</v>
      </c>
      <c r="D39" s="23">
        <f>D34*D6</f>
        <v>3975.8203699162545</v>
      </c>
      <c r="E39" s="23">
        <f>E34*E6</f>
        <v>4684.6388481996937</v>
      </c>
      <c r="F39" s="23">
        <f>F34*F6</f>
        <v>5429.350799869494</v>
      </c>
    </row>
    <row r="40" spans="1:6" x14ac:dyDescent="0.25">
      <c r="A40" s="27" t="s">
        <v>169</v>
      </c>
      <c r="B40" s="25">
        <f>B35+B36+B37-B38-B39</f>
        <v>-1264.8311126783558</v>
      </c>
      <c r="C40" s="25">
        <f>C35+C36+C37-C38-C39</f>
        <v>-1593.7948112872436</v>
      </c>
      <c r="D40" s="25">
        <f>D35+D36+D37-D38-D39</f>
        <v>-1984.8896901395942</v>
      </c>
      <c r="E40" s="25">
        <f>E35+E36+E37-E38-E39</f>
        <v>-2425.5275981246946</v>
      </c>
      <c r="F40" s="25">
        <f>F35+F36+F37-F38-F39</f>
        <v>-2882.6041275416633</v>
      </c>
    </row>
    <row r="41" spans="1:6" x14ac:dyDescent="0.25">
      <c r="A41" t="s">
        <v>170</v>
      </c>
      <c r="B41" s="23">
        <f>B40-Historicals!F40</f>
        <v>-260.73111267835566</v>
      </c>
      <c r="C41" s="23">
        <f>C40-B40</f>
        <v>-328.96369860888785</v>
      </c>
      <c r="D41" s="23">
        <f>D40-C40</f>
        <v>-391.09487885235058</v>
      </c>
      <c r="E41" s="23">
        <f>E40-D40</f>
        <v>-440.63790798510036</v>
      </c>
      <c r="F41" s="23">
        <f>F40-E40</f>
        <v>-457.0765294169687</v>
      </c>
    </row>
    <row r="43" spans="1:6" x14ac:dyDescent="0.25">
      <c r="A43" s="28" t="s">
        <v>171</v>
      </c>
    </row>
    <row r="44" spans="1:6" x14ac:dyDescent="0.25">
      <c r="A44" t="s">
        <v>172</v>
      </c>
      <c r="B44" s="24">
        <f>Assumptions!B12</f>
        <v>7.4999999999999997E-2</v>
      </c>
      <c r="C44" s="24">
        <f>Assumptions!C12</f>
        <v>7.2999999999999995E-2</v>
      </c>
      <c r="D44" s="24">
        <f>Assumptions!D12</f>
        <v>7.0000000000000007E-2</v>
      </c>
      <c r="E44" s="24">
        <f>Assumptions!E12</f>
        <v>6.8000000000000005E-2</v>
      </c>
      <c r="F44" s="24">
        <f>Assumptions!F12</f>
        <v>6.5000000000000002E-2</v>
      </c>
    </row>
    <row r="45" spans="1:6" x14ac:dyDescent="0.25">
      <c r="A45" t="s">
        <v>45</v>
      </c>
      <c r="B45" s="23">
        <f>B6*B44</f>
        <v>334.49576699999994</v>
      </c>
      <c r="C45" s="23">
        <f>C6*C44</f>
        <v>387.41166951512002</v>
      </c>
      <c r="D45" s="23">
        <f>D6*D44</f>
        <v>438.27941085690998</v>
      </c>
      <c r="E45" s="23">
        <f>E6*E44</f>
        <v>493.88440570167313</v>
      </c>
      <c r="F45" s="23">
        <f>F6*F44</f>
        <v>542.9350799869494</v>
      </c>
    </row>
    <row r="46" spans="1:6" x14ac:dyDescent="0.25">
      <c r="A46" t="s">
        <v>173</v>
      </c>
      <c r="B46" s="23">
        <f>B18*(1-B25)</f>
        <v>248.68645290560008</v>
      </c>
      <c r="C46" s="23">
        <f>C18*(1-C25)</f>
        <v>408.37435574230813</v>
      </c>
      <c r="D46" s="23">
        <f>D18*(1-D25)</f>
        <v>576.02436855479596</v>
      </c>
      <c r="E46" s="23">
        <f>E18*(1-E25)</f>
        <v>745.91071272885051</v>
      </c>
      <c r="F46" s="23">
        <f>F18*(1-F25)</f>
        <v>923.82492071625541</v>
      </c>
    </row>
    <row r="47" spans="1:6" x14ac:dyDescent="0.25">
      <c r="A47" s="27" t="s">
        <v>174</v>
      </c>
      <c r="B47" s="25">
        <f>B46+B21-B45-B41</f>
        <v>353.31954098395579</v>
      </c>
      <c r="C47" s="25">
        <f>C46+C21-C45-C41</f>
        <v>556.89974252223601</v>
      </c>
      <c r="D47" s="25">
        <f>D46+D21-D45-D41</f>
        <v>766.76294530113057</v>
      </c>
      <c r="E47" s="25">
        <f>E46+E21-E45-E41</f>
        <v>961.39543576171752</v>
      </c>
      <c r="F47" s="25">
        <f>F46+F21-F45-F41</f>
        <v>1138.6688759852004</v>
      </c>
    </row>
    <row r="48" spans="1:6" x14ac:dyDescent="0.25">
      <c r="A48" t="s">
        <v>175</v>
      </c>
      <c r="B48" s="23">
        <f>B27+B21+B17-B41</f>
        <v>1264.0085351839557</v>
      </c>
      <c r="C48" s="23">
        <f>C27+C21+C17-C41</f>
        <v>1572.632420895756</v>
      </c>
      <c r="D48" s="23">
        <f>D27+D21+D17-D41</f>
        <v>1910.4614724434055</v>
      </c>
      <c r="E48" s="23">
        <f>E27+E21+E17-E41</f>
        <v>2232.9304380834983</v>
      </c>
      <c r="F48" s="23">
        <f>F27+F21+F17-F41</f>
        <v>2530.4244574915374</v>
      </c>
    </row>
    <row r="49" spans="1:6" x14ac:dyDescent="0.25">
      <c r="A49" s="27" t="s">
        <v>176</v>
      </c>
      <c r="B49" s="25">
        <f>B48-B45</f>
        <v>929.51276818395581</v>
      </c>
      <c r="C49" s="25">
        <f>C48-C45</f>
        <v>1185.2207513806361</v>
      </c>
      <c r="D49" s="25">
        <f>D48-D45</f>
        <v>1472.1820615864954</v>
      </c>
      <c r="E49" s="25">
        <f>E48-E45</f>
        <v>1739.0460323818252</v>
      </c>
      <c r="F49" s="25">
        <f>F48-F45</f>
        <v>1987.489377504588</v>
      </c>
    </row>
    <row r="51" spans="1:6" x14ac:dyDescent="0.25">
      <c r="A51" s="28" t="s">
        <v>177</v>
      </c>
    </row>
    <row r="52" spans="1:6" x14ac:dyDescent="0.25">
      <c r="A52" t="s">
        <v>178</v>
      </c>
      <c r="B52" s="22">
        <f>Assumptions!B21</f>
        <v>300</v>
      </c>
      <c r="C52" s="22">
        <f>Assumptions!C21</f>
        <v>300</v>
      </c>
      <c r="D52" s="22">
        <f>Assumptions!D21</f>
        <v>300</v>
      </c>
      <c r="E52" s="22">
        <f>Assumptions!E21</f>
        <v>300</v>
      </c>
      <c r="F52" s="22">
        <f>Assumptions!F21</f>
        <v>300</v>
      </c>
    </row>
    <row r="53" spans="1:6" x14ac:dyDescent="0.25">
      <c r="A53" t="s">
        <v>179</v>
      </c>
      <c r="B53" s="22">
        <f>Assumptions!B22</f>
        <v>60</v>
      </c>
      <c r="C53" s="22">
        <f>Assumptions!C22</f>
        <v>60</v>
      </c>
      <c r="D53" s="22">
        <f>Assumptions!D22</f>
        <v>60</v>
      </c>
      <c r="E53" s="22">
        <f>Assumptions!E22</f>
        <v>60</v>
      </c>
      <c r="F53" s="22">
        <f>Assumptions!F22</f>
        <v>60</v>
      </c>
    </row>
    <row r="54" spans="1:6" x14ac:dyDescent="0.25">
      <c r="A54" t="s">
        <v>180</v>
      </c>
      <c r="B54" s="22">
        <f>Assumptions!B23</f>
        <v>280</v>
      </c>
      <c r="C54" s="22">
        <f>Assumptions!C23</f>
        <v>290</v>
      </c>
      <c r="D54" s="22">
        <f>Assumptions!D23</f>
        <v>300</v>
      </c>
      <c r="E54" s="22">
        <f>Assumptions!E23</f>
        <v>310</v>
      </c>
      <c r="F54" s="22">
        <f>Assumptions!F23</f>
        <v>320</v>
      </c>
    </row>
    <row r="55" spans="1:6" x14ac:dyDescent="0.25">
      <c r="A55" s="27" t="s">
        <v>181</v>
      </c>
      <c r="B55" s="25">
        <f>Historicals!F21+B48-B45-B52+B53-B54</f>
        <v>1964.5127681839558</v>
      </c>
      <c r="C55" s="25">
        <f>B55+C48-C45-C52+C53-C54</f>
        <v>2619.7335195645915</v>
      </c>
      <c r="D55" s="25">
        <f>C55+D48-D45-D52+D53-D54</f>
        <v>3551.9155811510868</v>
      </c>
      <c r="E55" s="25">
        <f>D55+E48-E45-E52+E53-E54</f>
        <v>4740.9616135329115</v>
      </c>
      <c r="F55" s="25">
        <f>E55+F48-F45-F52+F53-F54</f>
        <v>6168.4509910375</v>
      </c>
    </row>
    <row r="56" spans="1:6" x14ac:dyDescent="0.25">
      <c r="A56" t="s">
        <v>182</v>
      </c>
      <c r="B56" s="23">
        <f>Historicals!F23+B45-B21</f>
        <v>743.09802459999992</v>
      </c>
      <c r="C56" s="23">
        <f>B56+C45-C21</f>
        <v>923.53633642896</v>
      </c>
      <c r="D56" s="23">
        <f>C56+D45-D21</f>
        <v>1123.892638534976</v>
      </c>
      <c r="E56" s="23">
        <f>D56+E45-E21</f>
        <v>1349.0458234872094</v>
      </c>
      <c r="F56" s="23">
        <f>E56+F45-F21</f>
        <v>1591.278397635233</v>
      </c>
    </row>
    <row r="57" spans="1:6" x14ac:dyDescent="0.25">
      <c r="A57" t="s">
        <v>183</v>
      </c>
      <c r="B57" s="23">
        <f>Historicals!F24+B27</f>
        <v>-891.11354709439991</v>
      </c>
      <c r="C57" s="23">
        <f>B57+C27</f>
        <v>-438.18919135209183</v>
      </c>
      <c r="D57" s="23">
        <f>C57+D27</f>
        <v>185.83517720270413</v>
      </c>
      <c r="E57" s="23">
        <f>D57+E27</f>
        <v>983.09588993155455</v>
      </c>
      <c r="F57" s="23">
        <f>E57+F27</f>
        <v>1962.2208106478101</v>
      </c>
    </row>
    <row r="58" spans="1:6" x14ac:dyDescent="0.25">
      <c r="A58" t="s">
        <v>184</v>
      </c>
      <c r="B58" s="23">
        <f>B55-Historicals!F22</f>
        <v>1748.4127681839559</v>
      </c>
      <c r="C58" s="23">
        <f>C55-Historicals!F22</f>
        <v>2403.6335195645916</v>
      </c>
      <c r="D58" s="23">
        <f>D55-Historicals!F22</f>
        <v>3335.8155811510869</v>
      </c>
      <c r="E58" s="23">
        <f>E55-Historicals!F22</f>
        <v>4524.8616135329112</v>
      </c>
      <c r="F58" s="23">
        <f>F55-Historicals!F22</f>
        <v>5952.3509910374996</v>
      </c>
    </row>
    <row r="60" spans="1:6" x14ac:dyDescent="0.25">
      <c r="A60" s="30" t="s">
        <v>185</v>
      </c>
    </row>
    <row r="61" spans="1:6" x14ac:dyDescent="0.25">
      <c r="A61" t="s">
        <v>186</v>
      </c>
      <c r="B61" s="30" t="b">
        <f>ROUND(B6-Revenue_Build!B17,4)=0</f>
        <v>1</v>
      </c>
      <c r="C61" s="30" t="b">
        <f>ROUND(C6-Revenue_Build!C17,4)=0</f>
        <v>1</v>
      </c>
      <c r="D61" s="30" t="b">
        <f>ROUND(D6-Revenue_Build!D17,4)=0</f>
        <v>1</v>
      </c>
      <c r="E61" s="30" t="b">
        <f>ROUND(E6-Revenue_Build!E17,4)=0</f>
        <v>1</v>
      </c>
      <c r="F61" s="30" t="b">
        <f>ROUND(F6-Revenue_Build!F17,4)=0</f>
        <v>1</v>
      </c>
    </row>
    <row r="62" spans="1:6" x14ac:dyDescent="0.25">
      <c r="A62" t="s">
        <v>187</v>
      </c>
      <c r="B62" s="30" t="b">
        <f>B56&gt;=0</f>
        <v>1</v>
      </c>
      <c r="C62" s="30" t="b">
        <f>C56&gt;=0</f>
        <v>1</v>
      </c>
      <c r="D62" s="30" t="b">
        <f>D56&gt;=0</f>
        <v>1</v>
      </c>
      <c r="E62" s="30" t="b">
        <f>E56&gt;=0</f>
        <v>1</v>
      </c>
      <c r="F62" s="30" t="b">
        <f>F56&gt;=0</f>
        <v>1</v>
      </c>
    </row>
    <row r="63" spans="1:6" x14ac:dyDescent="0.25">
      <c r="A63" t="s">
        <v>188</v>
      </c>
      <c r="B63" s="30" t="b">
        <f>ROUND(B57-(Historicals!F24)-B27,4)=0</f>
        <v>1</v>
      </c>
      <c r="C63" s="30" t="b">
        <f>ROUND(C57-(B57)-C27,4)=0</f>
        <v>1</v>
      </c>
      <c r="D63" s="30" t="b">
        <f>ROUND(D57-(C57)-D27,4)=0</f>
        <v>1</v>
      </c>
      <c r="E63" s="30" t="b">
        <f>ROUND(E57-(D57)-E27,4)=0</f>
        <v>1</v>
      </c>
      <c r="F63" s="30" t="b">
        <f>ROUND(F57-(E57)-F27,4)=0</f>
        <v>1</v>
      </c>
    </row>
    <row r="64" spans="1:6" x14ac:dyDescent="0.25">
      <c r="A64" t="s">
        <v>189</v>
      </c>
      <c r="B64" s="30" t="b">
        <f>B55&gt;=0</f>
        <v>1</v>
      </c>
      <c r="C64" s="30" t="b">
        <f>C55&gt;=0</f>
        <v>1</v>
      </c>
      <c r="D64" s="30" t="b">
        <f>D55&gt;=0</f>
        <v>1</v>
      </c>
      <c r="E64" s="30" t="b">
        <f>E55&gt;=0</f>
        <v>1</v>
      </c>
      <c r="F64" s="30" t="b">
        <f>F55&gt;=0</f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0"/>
  <sheetViews>
    <sheetView workbookViewId="0"/>
  </sheetViews>
  <sheetFormatPr defaultRowHeight="15" x14ac:dyDescent="0.25"/>
  <cols>
    <col min="1" max="1" width="38" customWidth="1"/>
    <col min="2" max="6" width="14" customWidth="1"/>
    <col min="7" max="7" width="40" customWidth="1"/>
  </cols>
  <sheetData>
    <row r="1" spans="1:6" ht="18.75" customHeight="1" x14ac:dyDescent="0.3">
      <c r="A1" s="31" t="s">
        <v>190</v>
      </c>
    </row>
    <row r="3" spans="1:6" x14ac:dyDescent="0.25">
      <c r="A3" s="32" t="s">
        <v>191</v>
      </c>
    </row>
    <row r="4" spans="1:6" x14ac:dyDescent="0.25">
      <c r="A4" t="s">
        <v>192</v>
      </c>
      <c r="B4" s="33">
        <f>Assumptions!B24</f>
        <v>4.4900000000000002E-2</v>
      </c>
      <c r="C4" s="34" t="s">
        <v>193</v>
      </c>
    </row>
    <row r="5" spans="1:6" x14ac:dyDescent="0.25">
      <c r="A5" t="s">
        <v>194</v>
      </c>
      <c r="B5" s="35">
        <f>Assumptions!B25</f>
        <v>1.33</v>
      </c>
    </row>
    <row r="6" spans="1:6" x14ac:dyDescent="0.25">
      <c r="A6" t="s">
        <v>195</v>
      </c>
      <c r="B6" s="33">
        <f>Assumptions!B26</f>
        <v>4.2299999999999997E-2</v>
      </c>
      <c r="C6" s="34" t="s">
        <v>196</v>
      </c>
    </row>
    <row r="7" spans="1:6" x14ac:dyDescent="0.25">
      <c r="A7" t="s">
        <v>197</v>
      </c>
      <c r="B7" s="36">
        <f>B4+B5*B6</f>
        <v>0.101159</v>
      </c>
    </row>
    <row r="8" spans="1:6" x14ac:dyDescent="0.25">
      <c r="A8" t="s">
        <v>198</v>
      </c>
      <c r="B8" s="33">
        <f>Assumptions!B27</f>
        <v>5.3999999999999999E-2</v>
      </c>
    </row>
    <row r="9" spans="1:6" x14ac:dyDescent="0.25">
      <c r="A9" t="s">
        <v>199</v>
      </c>
      <c r="B9" s="33">
        <f>Assumptions!B14</f>
        <v>0.18</v>
      </c>
    </row>
    <row r="10" spans="1:6" x14ac:dyDescent="0.25">
      <c r="A10" t="s">
        <v>200</v>
      </c>
      <c r="B10" s="36">
        <f>B8*(1-B9)</f>
        <v>4.428E-2</v>
      </c>
    </row>
    <row r="11" spans="1:6" x14ac:dyDescent="0.25">
      <c r="A11" t="s">
        <v>201</v>
      </c>
      <c r="B11" s="33">
        <f>Assumptions!B28</f>
        <v>8.9999999999999993E-3</v>
      </c>
    </row>
    <row r="12" spans="1:6" x14ac:dyDescent="0.25">
      <c r="A12" t="s">
        <v>202</v>
      </c>
      <c r="B12" s="36">
        <f>1-B11</f>
        <v>0.99099999999999999</v>
      </c>
    </row>
    <row r="13" spans="1:6" x14ac:dyDescent="0.25">
      <c r="A13" t="s">
        <v>203</v>
      </c>
      <c r="B13" s="37">
        <f>B12*B7+B11*B10</f>
        <v>0.100647089</v>
      </c>
    </row>
    <row r="15" spans="1:6" x14ac:dyDescent="0.25">
      <c r="A15" s="32" t="s">
        <v>204</v>
      </c>
    </row>
    <row r="16" spans="1:6" x14ac:dyDescent="0.25">
      <c r="A16" s="38" t="s">
        <v>205</v>
      </c>
      <c r="B16" s="39" t="s">
        <v>74</v>
      </c>
      <c r="C16" s="39" t="s">
        <v>75</v>
      </c>
      <c r="D16" s="39" t="s">
        <v>76</v>
      </c>
      <c r="E16" s="39" t="s">
        <v>77</v>
      </c>
      <c r="F16" s="39" t="s">
        <v>78</v>
      </c>
    </row>
    <row r="17" spans="1:6" x14ac:dyDescent="0.25">
      <c r="A17" t="s">
        <v>206</v>
      </c>
      <c r="B17" s="40">
        <f>Forecast!B47</f>
        <v>353.31954098395579</v>
      </c>
      <c r="C17" s="40">
        <f>Forecast!C47</f>
        <v>556.89974252223601</v>
      </c>
      <c r="D17" s="40">
        <f>Forecast!D47</f>
        <v>766.76294530113057</v>
      </c>
      <c r="E17" s="40">
        <f>Forecast!E47</f>
        <v>961.39543576171752</v>
      </c>
      <c r="F17" s="40">
        <f>Forecast!F47</f>
        <v>1138.6688759852004</v>
      </c>
    </row>
    <row r="18" spans="1:6" x14ac:dyDescent="0.25">
      <c r="A18" t="s">
        <v>207</v>
      </c>
      <c r="B18" s="41">
        <v>0.5</v>
      </c>
      <c r="C18" s="41">
        <v>1.5</v>
      </c>
      <c r="D18" s="41">
        <v>2.5</v>
      </c>
      <c r="E18" s="41">
        <v>3.5</v>
      </c>
      <c r="F18" s="41">
        <v>4.5</v>
      </c>
    </row>
    <row r="19" spans="1:6" x14ac:dyDescent="0.25">
      <c r="A19" t="s">
        <v>208</v>
      </c>
      <c r="B19" s="42">
        <f>B17/(1+$B$13)^B18</f>
        <v>336.7779219917831</v>
      </c>
      <c r="C19" s="42">
        <f>C17/(1+$B$13)^C18</f>
        <v>482.28625311226023</v>
      </c>
      <c r="D19" s="42">
        <f>D17/(1+$B$13)^D18</f>
        <v>603.31051368795272</v>
      </c>
      <c r="E19" s="42">
        <f>E17/(1+$B$13)^E18</f>
        <v>687.28005919004465</v>
      </c>
      <c r="F19" s="42">
        <f>F17/(1+$B$13)^F18</f>
        <v>739.57300059269414</v>
      </c>
    </row>
    <row r="20" spans="1:6" x14ac:dyDescent="0.25">
      <c r="A20" s="43" t="s">
        <v>209</v>
      </c>
      <c r="B20" s="44">
        <f>SUM(B19:F19)</f>
        <v>2849.2277485747345</v>
      </c>
    </row>
    <row r="22" spans="1:6" x14ac:dyDescent="0.25">
      <c r="A22" s="32" t="s">
        <v>210</v>
      </c>
    </row>
    <row r="23" spans="1:6" x14ac:dyDescent="0.25">
      <c r="A23" t="s">
        <v>211</v>
      </c>
      <c r="B23" s="33">
        <f>Assumptions!B29</f>
        <v>0.03</v>
      </c>
    </row>
    <row r="24" spans="1:6" x14ac:dyDescent="0.25">
      <c r="A24" t="s">
        <v>212</v>
      </c>
      <c r="B24" s="40">
        <f>Forecast!F22</f>
        <v>1470.1011396569706</v>
      </c>
    </row>
    <row r="25" spans="1:6" x14ac:dyDescent="0.25">
      <c r="A25" t="s">
        <v>213</v>
      </c>
      <c r="B25" s="45">
        <f>Assumptions!B30</f>
        <v>13</v>
      </c>
    </row>
    <row r="26" spans="1:6" x14ac:dyDescent="0.25">
      <c r="A26" t="s">
        <v>214</v>
      </c>
      <c r="B26" s="42">
        <f>F17*(1+B23)/(B13-B23)</f>
        <v>16601.235222370684</v>
      </c>
    </row>
    <row r="27" spans="1:6" x14ac:dyDescent="0.25">
      <c r="A27" t="s">
        <v>215</v>
      </c>
      <c r="B27" s="42">
        <f>B26/(1+B13)^5</f>
        <v>10277.795132165871</v>
      </c>
    </row>
    <row r="28" spans="1:6" x14ac:dyDescent="0.25">
      <c r="A28" t="s">
        <v>216</v>
      </c>
      <c r="B28" s="42">
        <f>B24*B25</f>
        <v>19111.31481554062</v>
      </c>
    </row>
    <row r="29" spans="1:6" x14ac:dyDescent="0.25">
      <c r="A29" t="s">
        <v>217</v>
      </c>
      <c r="B29" s="42">
        <f>B28/(1+B13)^5</f>
        <v>11831.78093373244</v>
      </c>
    </row>
    <row r="30" spans="1:6" x14ac:dyDescent="0.25">
      <c r="A30" t="s">
        <v>218</v>
      </c>
      <c r="B30" s="46">
        <f>(B28*B13-F17)/(B28+F17)</f>
        <v>3.8757035023685917E-2</v>
      </c>
      <c r="C30" s="34" t="s">
        <v>219</v>
      </c>
    </row>
    <row r="31" spans="1:6" x14ac:dyDescent="0.25">
      <c r="A31" t="s">
        <v>220</v>
      </c>
      <c r="B31" s="47">
        <f>B26/B24</f>
        <v>11.292580336509616</v>
      </c>
    </row>
    <row r="33" spans="1:3" x14ac:dyDescent="0.25">
      <c r="A33" s="32" t="s">
        <v>221</v>
      </c>
    </row>
    <row r="34" spans="1:3" x14ac:dyDescent="0.25">
      <c r="A34" t="s">
        <v>222</v>
      </c>
      <c r="B34" s="42">
        <f>B20+B27</f>
        <v>13127.022880740606</v>
      </c>
    </row>
    <row r="35" spans="1:3" x14ac:dyDescent="0.25">
      <c r="A35" t="s">
        <v>223</v>
      </c>
      <c r="B35" s="42">
        <f>B20+B29</f>
        <v>14681.008682307174</v>
      </c>
    </row>
    <row r="36" spans="1:3" x14ac:dyDescent="0.25">
      <c r="A36" t="s">
        <v>224</v>
      </c>
      <c r="B36" s="44">
        <f>AVERAGE(B34,B35)</f>
        <v>13904.015781523889</v>
      </c>
    </row>
    <row r="37" spans="1:3" x14ac:dyDescent="0.25">
      <c r="A37" t="s">
        <v>225</v>
      </c>
      <c r="B37" s="40">
        <f>Historicals!F41</f>
        <v>1338.9</v>
      </c>
      <c r="C37" s="34" t="s">
        <v>226</v>
      </c>
    </row>
    <row r="38" spans="1:3" x14ac:dyDescent="0.25">
      <c r="A38" t="s">
        <v>227</v>
      </c>
      <c r="B38" s="42">
        <f>B34+B37</f>
        <v>14465.922880740605</v>
      </c>
    </row>
    <row r="39" spans="1:3" x14ac:dyDescent="0.25">
      <c r="A39" t="s">
        <v>228</v>
      </c>
      <c r="B39" s="42">
        <f>B35+B37</f>
        <v>16019.908682307174</v>
      </c>
    </row>
    <row r="40" spans="1:3" x14ac:dyDescent="0.25">
      <c r="A40" t="s">
        <v>229</v>
      </c>
      <c r="B40" s="44">
        <f>B36+B37</f>
        <v>15242.915781523889</v>
      </c>
    </row>
    <row r="41" spans="1:3" x14ac:dyDescent="0.25">
      <c r="A41" t="s">
        <v>230</v>
      </c>
      <c r="B41" s="48">
        <v>343.5</v>
      </c>
    </row>
    <row r="42" spans="1:3" x14ac:dyDescent="0.25">
      <c r="A42" t="s">
        <v>231</v>
      </c>
      <c r="B42" s="49">
        <f>B38/B41</f>
        <v>42.113312607687348</v>
      </c>
    </row>
    <row r="43" spans="1:3" x14ac:dyDescent="0.25">
      <c r="A43" t="s">
        <v>232</v>
      </c>
      <c r="B43" s="49">
        <f>B39/B41</f>
        <v>46.63728874034112</v>
      </c>
    </row>
    <row r="44" spans="1:3" x14ac:dyDescent="0.25">
      <c r="A44" t="s">
        <v>233</v>
      </c>
      <c r="B44" s="50">
        <f>B40/B41</f>
        <v>44.375300674014234</v>
      </c>
    </row>
    <row r="46" spans="1:3" x14ac:dyDescent="0.25">
      <c r="A46" s="32" t="s">
        <v>234</v>
      </c>
    </row>
    <row r="47" spans="1:3" x14ac:dyDescent="0.25">
      <c r="A47" t="s">
        <v>235</v>
      </c>
      <c r="B47" s="51">
        <f>Comps!B22</f>
        <v>52.587156768558955</v>
      </c>
    </row>
    <row r="48" spans="1:3" ht="15.75" customHeight="1" x14ac:dyDescent="0.25">
      <c r="A48" t="s">
        <v>236</v>
      </c>
      <c r="B48" s="52">
        <f>0.6*B44+0.4*B47</f>
        <v>47.660043111832124</v>
      </c>
    </row>
    <row r="49" spans="1:2" x14ac:dyDescent="0.25">
      <c r="A49" t="s">
        <v>237</v>
      </c>
      <c r="B49" s="53">
        <v>74.569999999999993</v>
      </c>
    </row>
    <row r="50" spans="1:2" x14ac:dyDescent="0.25">
      <c r="A50" t="s">
        <v>17</v>
      </c>
      <c r="B50" s="54">
        <f>B48/B49-1</f>
        <v>-0.36086840402531672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3" width="13" customWidth="1"/>
    <col min="4" max="4" width="11" customWidth="1"/>
    <col min="5" max="5" width="13" customWidth="1"/>
    <col min="6" max="7" width="12" customWidth="1"/>
  </cols>
  <sheetData>
    <row r="1" spans="1:7" ht="18.75" customHeight="1" x14ac:dyDescent="0.3">
      <c r="A1" s="31" t="s">
        <v>238</v>
      </c>
    </row>
    <row r="3" spans="1:7" x14ac:dyDescent="0.25">
      <c r="A3" s="32" t="s">
        <v>239</v>
      </c>
    </row>
    <row r="4" spans="1:7" x14ac:dyDescent="0.25">
      <c r="A4" t="s">
        <v>240</v>
      </c>
      <c r="B4" s="48">
        <v>332.4</v>
      </c>
      <c r="C4" s="34" t="s">
        <v>241</v>
      </c>
    </row>
    <row r="5" spans="1:7" x14ac:dyDescent="0.25">
      <c r="A5" t="s">
        <v>242</v>
      </c>
      <c r="B5" s="40">
        <f>B4*DCF!B49</f>
        <v>24787.067999999996</v>
      </c>
    </row>
    <row r="6" spans="1:7" x14ac:dyDescent="0.25">
      <c r="A6" t="s">
        <v>243</v>
      </c>
      <c r="B6" s="40">
        <f>B5+Historicals!F22-DCF!B37</f>
        <v>23664.267999999993</v>
      </c>
    </row>
    <row r="7" spans="1:7" x14ac:dyDescent="0.25">
      <c r="A7" t="s">
        <v>244</v>
      </c>
      <c r="B7" s="59">
        <f>B6/Forecast!B6</f>
        <v>5.3059568314357763</v>
      </c>
    </row>
    <row r="8" spans="1:7" x14ac:dyDescent="0.25">
      <c r="A8" t="s">
        <v>245</v>
      </c>
      <c r="B8" s="59">
        <f>B6/Forecast!B22</f>
        <v>49.129229920701626</v>
      </c>
    </row>
    <row r="10" spans="1:7" x14ac:dyDescent="0.25">
      <c r="A10" s="32" t="s">
        <v>246</v>
      </c>
    </row>
    <row r="11" spans="1:7" x14ac:dyDescent="0.25">
      <c r="A11" s="38" t="s">
        <v>247</v>
      </c>
      <c r="B11" s="39" t="s">
        <v>248</v>
      </c>
      <c r="C11" s="39" t="s">
        <v>249</v>
      </c>
      <c r="D11" s="39" t="s">
        <v>250</v>
      </c>
      <c r="E11" s="39" t="s">
        <v>251</v>
      </c>
      <c r="F11" s="39" t="s">
        <v>252</v>
      </c>
      <c r="G11" s="39" t="s">
        <v>253</v>
      </c>
    </row>
    <row r="12" spans="1:7" x14ac:dyDescent="0.25">
      <c r="A12" t="s">
        <v>254</v>
      </c>
      <c r="B12" s="59">
        <f>B7</f>
        <v>5.3059568314357763</v>
      </c>
      <c r="C12" s="59">
        <f>B8</f>
        <v>49.129229920701626</v>
      </c>
      <c r="D12" s="60">
        <v>111.8</v>
      </c>
    </row>
    <row r="13" spans="1:7" x14ac:dyDescent="0.25">
      <c r="A13" t="s">
        <v>255</v>
      </c>
      <c r="B13" s="55">
        <v>4.41</v>
      </c>
      <c r="C13" s="55">
        <v>16.2</v>
      </c>
      <c r="D13" s="55">
        <v>25.13</v>
      </c>
      <c r="E13" s="56">
        <v>6.4000000000000001E-2</v>
      </c>
      <c r="F13" s="56">
        <v>0.70699999999999996</v>
      </c>
      <c r="G13" s="56">
        <v>0.245</v>
      </c>
    </row>
    <row r="14" spans="1:7" x14ac:dyDescent="0.25">
      <c r="A14" t="s">
        <v>256</v>
      </c>
      <c r="B14" s="55">
        <v>2.2200000000000002</v>
      </c>
      <c r="C14" s="55">
        <v>21.15</v>
      </c>
      <c r="D14" s="55">
        <v>33.520000000000003</v>
      </c>
      <c r="E14" s="56">
        <v>0.218</v>
      </c>
      <c r="F14" s="56">
        <v>0.192</v>
      </c>
      <c r="G14" s="56">
        <v>8.4000000000000005E-2</v>
      </c>
    </row>
    <row r="15" spans="1:7" x14ac:dyDescent="0.25">
      <c r="A15" t="s">
        <v>257</v>
      </c>
      <c r="B15" s="55">
        <v>2.0299999999999998</v>
      </c>
      <c r="C15" s="55">
        <v>13.98</v>
      </c>
      <c r="D15" s="55">
        <v>44.97</v>
      </c>
      <c r="E15" s="56">
        <v>0.14799999999999999</v>
      </c>
      <c r="F15" s="56">
        <v>0.33800000000000002</v>
      </c>
      <c r="G15" s="56">
        <v>0.06</v>
      </c>
    </row>
    <row r="16" spans="1:7" x14ac:dyDescent="0.25">
      <c r="A16" s="43" t="s">
        <v>258</v>
      </c>
      <c r="B16" s="57">
        <f t="shared" ref="B16:G16" si="0">AVERAGE(B13:B15)</f>
        <v>2.8866666666666667</v>
      </c>
      <c r="C16" s="57">
        <f t="shared" si="0"/>
        <v>17.11</v>
      </c>
      <c r="D16" s="57">
        <f t="shared" si="0"/>
        <v>34.54</v>
      </c>
      <c r="E16" s="58">
        <f t="shared" si="0"/>
        <v>0.14333333333333334</v>
      </c>
      <c r="F16" s="58">
        <f t="shared" si="0"/>
        <v>0.41233333333333338</v>
      </c>
      <c r="G16" s="58">
        <f t="shared" si="0"/>
        <v>0.12966666666666668</v>
      </c>
    </row>
    <row r="18" spans="1:3" x14ac:dyDescent="0.25">
      <c r="A18" s="32" t="s">
        <v>259</v>
      </c>
    </row>
    <row r="19" spans="1:3" ht="27.95" customHeight="1" x14ac:dyDescent="0.25">
      <c r="A19" t="s">
        <v>260</v>
      </c>
      <c r="B19" s="55">
        <v>3.75</v>
      </c>
      <c r="C19" s="61" t="s">
        <v>261</v>
      </c>
    </row>
    <row r="20" spans="1:3" x14ac:dyDescent="0.25">
      <c r="A20" t="s">
        <v>262</v>
      </c>
      <c r="B20" s="42">
        <f>B19*Forecast!B6</f>
        <v>16724.788349999999</v>
      </c>
    </row>
    <row r="21" spans="1:3" x14ac:dyDescent="0.25">
      <c r="A21" t="s">
        <v>263</v>
      </c>
      <c r="B21" s="42">
        <f>B20+DCF!B37</f>
        <v>18063.68835</v>
      </c>
    </row>
    <row r="22" spans="1:3" x14ac:dyDescent="0.25">
      <c r="A22" s="43" t="s">
        <v>264</v>
      </c>
      <c r="B22" s="50">
        <f>B21/DCF!B41</f>
        <v>52.587156768558955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Historicals</vt:lpstr>
      <vt:lpstr>Assumptions</vt:lpstr>
      <vt:lpstr>Revenue_Build</vt:lpstr>
      <vt:lpstr>Forecast</vt:lpstr>
      <vt:lpstr>DCF</vt:lpstr>
      <vt:lpstr>Comps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Tomohawk WR</cp:lastModifiedBy>
  <dcterms:created xsi:type="dcterms:W3CDTF">2026-06-18T20:34:32Z</dcterms:created>
  <dcterms:modified xsi:type="dcterms:W3CDTF">2026-06-18T20:46:24Z</dcterms:modified>
</cp:coreProperties>
</file>