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4F7E0066-6F28-4C95-B888-5999EA104408}" xr6:coauthVersionLast="47" xr6:coauthVersionMax="47" xr10:uidLastSave="{00000000-0000-0000-0000-000000000000}"/>
  <bookViews>
    <workbookView xWindow="885" yWindow="1185" windowWidth="27915" windowHeight="15015" tabRatio="500" activeTab="1" xr2:uid="{00000000-000D-0000-FFFF-FFFF00000000}"/>
  </bookViews>
  <sheets>
    <sheet name="Historical Financials" sheetId="1" r:id="rId1"/>
    <sheet name="Sheet1" sheetId="2" r:id="rId2"/>
  </sheets>
  <definedNames>
    <definedName name="_xlnm.Print_Area" localSheetId="0">'Historical Financials'!$A$1:$J$23,'Historical Financials'!$A$26:$F$187</definedName>
    <definedName name="_xlnm.Print_Titles" localSheetId="0">'Historical Financials'!$26:$26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4" i="2"/>
  <c r="F186" i="1"/>
  <c r="E186" i="1"/>
  <c r="D186" i="1"/>
  <c r="C186" i="1"/>
  <c r="B186" i="1"/>
  <c r="F155" i="1"/>
  <c r="E155" i="1"/>
  <c r="D155" i="1"/>
  <c r="C155" i="1"/>
  <c r="B155" i="1"/>
  <c r="F138" i="1"/>
  <c r="E138" i="1"/>
  <c r="D138" i="1"/>
  <c r="C138" i="1"/>
  <c r="B138" i="1"/>
  <c r="F125" i="1"/>
  <c r="F156" i="1" s="1"/>
  <c r="F158" i="1" s="1"/>
  <c r="E125" i="1"/>
  <c r="E156" i="1" s="1"/>
  <c r="E158" i="1" s="1"/>
  <c r="D125" i="1"/>
  <c r="D156" i="1" s="1"/>
  <c r="D158" i="1" s="1"/>
  <c r="C125" i="1"/>
  <c r="C156" i="1" s="1"/>
  <c r="C158" i="1" s="1"/>
  <c r="B125" i="1"/>
  <c r="B156" i="1" s="1"/>
  <c r="B158" i="1" s="1"/>
  <c r="F100" i="1"/>
  <c r="E100" i="1"/>
  <c r="D100" i="1"/>
  <c r="C100" i="1"/>
  <c r="B100" i="1"/>
  <c r="D86" i="1"/>
  <c r="D101" i="1" s="1"/>
  <c r="F78" i="1"/>
  <c r="F86" i="1" s="1"/>
  <c r="F101" i="1" s="1"/>
  <c r="E78" i="1"/>
  <c r="E86" i="1" s="1"/>
  <c r="E101" i="1" s="1"/>
  <c r="D78" i="1"/>
  <c r="C78" i="1"/>
  <c r="C86" i="1" s="1"/>
  <c r="C101" i="1" s="1"/>
  <c r="B78" i="1"/>
  <c r="B86" i="1" s="1"/>
  <c r="B101" i="1" s="1"/>
  <c r="F60" i="1"/>
  <c r="F68" i="1" s="1"/>
  <c r="F102" i="1" s="1"/>
  <c r="E60" i="1"/>
  <c r="E68" i="1" s="1"/>
  <c r="E102" i="1" s="1"/>
  <c r="D60" i="1"/>
  <c r="D68" i="1" s="1"/>
  <c r="D102" i="1" s="1"/>
  <c r="C60" i="1"/>
  <c r="C68" i="1" s="1"/>
  <c r="C102" i="1" s="1"/>
  <c r="B60" i="1"/>
  <c r="B68" i="1" s="1"/>
  <c r="B102" i="1" s="1"/>
  <c r="D43" i="1"/>
  <c r="C43" i="1"/>
  <c r="B43" i="1"/>
  <c r="F34" i="1"/>
  <c r="F35" i="1" s="1"/>
  <c r="F39" i="1" s="1"/>
  <c r="F41" i="1" s="1"/>
  <c r="F43" i="1" s="1"/>
  <c r="E34" i="1"/>
  <c r="E35" i="1" s="1"/>
  <c r="E39" i="1" s="1"/>
  <c r="E41" i="1" s="1"/>
  <c r="E43" i="1" s="1"/>
  <c r="D34" i="1"/>
  <c r="D35" i="1" s="1"/>
  <c r="D39" i="1" s="1"/>
  <c r="D41" i="1" s="1"/>
  <c r="C34" i="1"/>
  <c r="C35" i="1" s="1"/>
  <c r="C39" i="1" s="1"/>
  <c r="C41" i="1" s="1"/>
  <c r="B34" i="1"/>
  <c r="B35" i="1" s="1"/>
  <c r="B39" i="1" s="1"/>
  <c r="B41" i="1" s="1"/>
  <c r="H9" i="1"/>
  <c r="G9" i="1"/>
  <c r="H10" i="1" s="1"/>
  <c r="F9" i="1"/>
  <c r="G10" i="1" s="1"/>
  <c r="E9" i="1"/>
  <c r="F10" i="1" s="1"/>
  <c r="D9" i="1"/>
  <c r="E10" i="1" s="1"/>
  <c r="C9" i="1"/>
  <c r="D10" i="1" s="1"/>
  <c r="B9" i="1"/>
  <c r="J8" i="1"/>
  <c r="J9" i="1" s="1"/>
  <c r="I8" i="1"/>
  <c r="I9" i="1" s="1"/>
  <c r="H8" i="1"/>
  <c r="G8" i="1"/>
  <c r="F8" i="1"/>
  <c r="E8" i="1"/>
  <c r="D8" i="1"/>
  <c r="C8" i="1"/>
  <c r="B8" i="1"/>
  <c r="F5" i="1"/>
  <c r="F4" i="1"/>
  <c r="E4" i="1"/>
  <c r="D4" i="1"/>
  <c r="C4" i="1"/>
  <c r="D87" i="2"/>
  <c r="D94" i="2" s="1"/>
  <c r="E86" i="2"/>
  <c r="C82" i="2"/>
  <c r="C102" i="2" s="1"/>
  <c r="D53" i="2"/>
  <c r="D60" i="2" s="1"/>
  <c r="E52" i="2"/>
  <c r="C48" i="2"/>
  <c r="C68" i="2" s="1"/>
  <c r="D19" i="2"/>
  <c r="D26" i="2" s="1"/>
  <c r="E18" i="2"/>
  <c r="C14" i="2"/>
  <c r="C34" i="2" s="1"/>
  <c r="H14" i="1" l="1"/>
  <c r="H17" i="1"/>
  <c r="H19" i="1"/>
  <c r="G14" i="1"/>
  <c r="G17" i="1"/>
  <c r="G19" i="1"/>
  <c r="F13" i="1"/>
  <c r="F14" i="1"/>
  <c r="F15" i="1" s="1"/>
  <c r="E13" i="1"/>
  <c r="E14" i="1"/>
  <c r="E15" i="1" s="1"/>
  <c r="D13" i="1"/>
  <c r="D14" i="1"/>
  <c r="D15" i="1" s="1"/>
  <c r="B10" i="1"/>
  <c r="C10" i="1"/>
  <c r="J10" i="1"/>
  <c r="I10" i="1"/>
  <c r="D96" i="2"/>
  <c r="D98" i="2" s="1"/>
  <c r="D102" i="2" s="1"/>
  <c r="E87" i="2"/>
  <c r="E94" i="2" s="1"/>
  <c r="F86" i="2"/>
  <c r="C103" i="2"/>
  <c r="C104" i="2"/>
  <c r="D62" i="2"/>
  <c r="D64" i="2" s="1"/>
  <c r="D68" i="2" s="1"/>
  <c r="F52" i="2"/>
  <c r="E53" i="2"/>
  <c r="E60" i="2" s="1"/>
  <c r="C69" i="2"/>
  <c r="C70" i="2"/>
  <c r="D28" i="2"/>
  <c r="D30" i="2" s="1"/>
  <c r="D34" i="2" s="1"/>
  <c r="E19" i="2"/>
  <c r="E26" i="2" s="1"/>
  <c r="F18" i="2"/>
  <c r="C35" i="2"/>
  <c r="C36" i="2"/>
  <c r="D104" i="2" l="1"/>
  <c r="D103" i="2"/>
  <c r="D36" i="2"/>
  <c r="D35" i="2"/>
  <c r="H18" i="1"/>
  <c r="H3" i="1"/>
  <c r="G18" i="1"/>
  <c r="G3" i="1"/>
  <c r="B13" i="1"/>
  <c r="B14" i="1"/>
  <c r="B15" i="1" s="1"/>
  <c r="C13" i="1"/>
  <c r="C14" i="1"/>
  <c r="C15" i="1" s="1"/>
  <c r="J14" i="1"/>
  <c r="J17" i="1"/>
  <c r="J19" i="1"/>
  <c r="I14" i="1"/>
  <c r="I17" i="1"/>
  <c r="I19" i="1"/>
  <c r="E96" i="2"/>
  <c r="E98" i="2" s="1"/>
  <c r="E102" i="2" s="1"/>
  <c r="G86" i="2"/>
  <c r="G87" i="2" s="1"/>
  <c r="G94" i="2" s="1"/>
  <c r="F87" i="2"/>
  <c r="F94" i="2" s="1"/>
  <c r="G52" i="2"/>
  <c r="G53" i="2" s="1"/>
  <c r="G60" i="2" s="1"/>
  <c r="F53" i="2"/>
  <c r="F60" i="2" s="1"/>
  <c r="E62" i="2"/>
  <c r="E64" i="2" s="1"/>
  <c r="E68" i="2" s="1"/>
  <c r="E28" i="2"/>
  <c r="E30" i="2" s="1"/>
  <c r="E34" i="2" s="1"/>
  <c r="G18" i="2"/>
  <c r="G19" i="2" s="1"/>
  <c r="G26" i="2" s="1"/>
  <c r="F19" i="2"/>
  <c r="F26" i="2" s="1"/>
  <c r="D70" i="2"/>
  <c r="D69" i="2"/>
  <c r="H4" i="1" l="1"/>
  <c r="H5" i="1"/>
  <c r="G4" i="1"/>
  <c r="G5" i="1"/>
  <c r="J18" i="1"/>
  <c r="J3" i="1"/>
  <c r="I18" i="1"/>
  <c r="I3" i="1"/>
  <c r="E104" i="2"/>
  <c r="E103" i="2"/>
  <c r="G96" i="2"/>
  <c r="G98" i="2" s="1"/>
  <c r="G102" i="2" s="1"/>
  <c r="G103" i="2" s="1"/>
  <c r="F96" i="2"/>
  <c r="F98" i="2" s="1"/>
  <c r="F102" i="2" s="1"/>
  <c r="G62" i="2"/>
  <c r="G64" i="2"/>
  <c r="G68" i="2" s="1"/>
  <c r="G69" i="2" s="1"/>
  <c r="F62" i="2"/>
  <c r="F64" i="2" s="1"/>
  <c r="F68" i="2" s="1"/>
  <c r="E36" i="2"/>
  <c r="E35" i="2"/>
  <c r="G28" i="2"/>
  <c r="G30" i="2" s="1"/>
  <c r="G34" i="2" s="1"/>
  <c r="F28" i="2"/>
  <c r="F30" i="2" s="1"/>
  <c r="F34" i="2" s="1"/>
  <c r="F36" i="2" s="1"/>
  <c r="E70" i="2"/>
  <c r="E69" i="2"/>
  <c r="F103" i="2" l="1"/>
  <c r="C107" i="2" s="1"/>
  <c r="E6" i="2" s="1"/>
  <c r="G104" i="2"/>
  <c r="C109" i="2"/>
  <c r="C108" i="2"/>
  <c r="F104" i="2"/>
  <c r="C110" i="2" s="1"/>
  <c r="G35" i="2"/>
  <c r="C40" i="2"/>
  <c r="G36" i="2"/>
  <c r="C42" i="2" s="1"/>
  <c r="F35" i="2"/>
  <c r="C41" i="2"/>
  <c r="J4" i="1"/>
  <c r="J5" i="1"/>
  <c r="I4" i="1"/>
  <c r="I5" i="1"/>
  <c r="C75" i="2"/>
  <c r="G70" i="2"/>
  <c r="C74" i="2"/>
  <c r="F70" i="2"/>
  <c r="C76" i="2" s="1"/>
  <c r="F69" i="2"/>
  <c r="C73" i="2" s="1"/>
  <c r="E5" i="2" s="1"/>
  <c r="C39" i="2" l="1"/>
  <c r="E4" i="2" s="1"/>
  <c r="E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000-000001000000}">
      <text>
        <r>
          <rPr>
            <sz val="10"/>
            <rFont val="Arial"/>
            <family val="2"/>
          </rPr>
          <t>Reported active power: CoreWeave SEC Q1-25 exhibit and quarterly results.</t>
        </r>
      </text>
    </comment>
    <comment ref="G7" authorId="0" shapeId="0" xr:uid="{00000000-0006-0000-0000-000004000000}">
      <text>
        <r>
          <rPr>
            <sz val="10"/>
            <rFont val="Arial"/>
            <family val="2"/>
          </rPr>
          <t>Editable engineering assumption; not management guidance.</t>
        </r>
      </text>
    </comment>
    <comment ref="B12" authorId="0" shapeId="0" xr:uid="{00000000-0006-0000-0000-000002000000}">
      <text>
        <r>
          <rPr>
            <sz val="10"/>
            <rFont val="Arial"/>
            <family val="2"/>
          </rPr>
          <t>H100 reserved price starts at $2.23/GPU-hour for 2 years: coreweave.com/products/hgx-h100-h200</t>
        </r>
      </text>
    </comment>
    <comment ref="G13" authorId="0" shapeId="0" xr:uid="{00000000-0006-0000-0000-000005000000}">
      <text>
        <r>
          <rPr>
            <sz val="10"/>
            <rFont val="Arial"/>
            <family val="2"/>
          </rPr>
          <t>Editable assumption; historical utilization is revenue-implied.</t>
        </r>
      </text>
    </comment>
    <comment ref="B22" authorId="0" shapeId="0" xr:uid="{00000000-0006-0000-0000-000003000000}">
      <text>
        <r>
          <rPr>
            <sz val="10"/>
            <rFont val="Arial"/>
            <family val="2"/>
          </rPr>
          <t>250,000+ GPUs and 360+ MW at Dec-2024: CoreWeave S-1, SEC accession 0001193125-25-058309.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1" authorId="0" shapeId="0" xr:uid="{00000000-0006-0000-0100-000009000000}">
      <text>
        <r>
          <rPr>
            <sz val="10"/>
            <rFont val="Arial"/>
            <family val="2"/>
          </rPr>
          <t>All-in power = 1.0 kW TDP x 1.6 server overhead x 1.25 PUE x 8760 hrs x util x $0.12/kWh. Source: Spheron AI inference power guide 2026, NVIDIA B200 1000W TDP (TweakTown/Introl).</t>
        </r>
      </text>
    </comment>
    <comment ref="D24" authorId="0" shapeId="0" xr:uid="{00000000-0006-0000-0100-00000A000000}">
      <text>
        <r>
          <rPr>
            <sz val="10"/>
            <rFont val="Arial"/>
            <family val="2"/>
          </rPr>
          <t>High-density liquid-cooled rack allocation. Legacy 1U colo underprices Blackwell power/cooling footprint.</t>
        </r>
      </text>
    </comment>
    <comment ref="B25" authorId="0" shapeId="0" xr:uid="{00000000-0006-0000-0100-000001000000}">
      <text>
        <r>
          <rPr>
            <sz val="10"/>
            <rFont val="Arial"/>
            <family val="2"/>
          </rPr>
          <t>Interest set to 0. Model is UNLEVERED asset NPV; net debt is subtracted once at the fleet sum-of-parts level, not per unit.</t>
        </r>
      </text>
    </comment>
    <comment ref="G32" authorId="0" shapeId="0" xr:uid="{00000000-0006-0000-0100-000010000000}">
      <text>
        <r>
          <rPr>
            <sz val="10"/>
            <rFont val="Arial"/>
            <family val="2"/>
          </rPr>
          <t>Exit salvage. B200 holds value best (newest silicon). Note: 2026 H100 residuals temporarily elevated because many DCs cannot yet support Blackwell; that reverses as liquid cooling scales.</t>
        </r>
      </text>
    </comment>
    <comment ref="B42" authorId="0" shapeId="0" xr:uid="{00000000-0006-0000-0100-000002000000}">
      <text>
        <r>
          <rPr>
            <sz val="10"/>
            <rFont val="Arial"/>
            <family val="2"/>
          </rPr>
          <t>Payback formula counts negative-cumulative periods +1; it overstates by ~1 when the crossing falls in the final modeled year. True crossing: B200 during yr 2, H200 during yr 3, H100 during yr 4. Read Cum. CF row for the actual break-even period.</t>
        </r>
      </text>
    </comment>
    <comment ref="C46" authorId="0" shapeId="0" xr:uid="{00000000-0006-0000-0100-000005000000}">
      <text>
        <r>
          <rPr>
            <sz val="10"/>
            <rFont val="Arial"/>
            <family val="2"/>
          </rPr>
          <t>H200 ~$31k. Source: IntuitionLabs NVIDIA pricing guide 2026 (~$315k per 8-GPU node).</t>
        </r>
      </text>
    </comment>
    <comment ref="D52" authorId="0" shapeId="0" xr:uid="{00000000-0006-0000-0100-00000B000000}">
      <text>
        <r>
          <rPr>
            <sz val="10"/>
            <rFont val="Arial"/>
            <family val="2"/>
          </rPr>
          <t>H200 contract rate. Median ~$4.11/hr early 2026 softening through 2026 as Blackwell scales. Source: aimultiple GPU index, jarvislabs H200 guide.</t>
        </r>
      </text>
    </comment>
    <comment ref="D55" authorId="0" shapeId="0" xr:uid="{00000000-0006-0000-0100-00000C000000}">
      <text>
        <r>
          <rPr>
            <sz val="10"/>
            <rFont val="Arial"/>
            <family val="2"/>
          </rPr>
          <t>All-in power = 0.7 kW TDP x 1.6 overhead x 1.35 PUE x 8760 x util x $0.12/kWh. H200 700W TDP (Introl/Spheron).</t>
        </r>
      </text>
    </comment>
    <comment ref="C70" authorId="0" shapeId="0" xr:uid="{00000000-0006-0000-0100-000006000000}">
      <text>
        <r>
          <rPr>
            <sz val="10"/>
            <rFont val="Arial"/>
            <family val="2"/>
          </rPr>
          <t>FIXED: was anchored to $C$26 (B200 block), mixing two GPUs. Now sums own block.</t>
        </r>
      </text>
    </comment>
    <comment ref="B76" authorId="0" shapeId="0" xr:uid="{00000000-0006-0000-0100-000003000000}">
      <text>
        <r>
          <rPr>
            <sz val="10"/>
            <rFont val="Arial"/>
            <family val="2"/>
          </rPr>
          <t>Payback formula counts negative-cumulative periods +1; it overstates by ~1 when the crossing falls in the final modeled year. True crossing: B200 during yr 2, H200 during yr 3, H100 during yr 4. Read Cum. CF row for the actual break-even period.</t>
        </r>
      </text>
    </comment>
    <comment ref="C80" authorId="0" shapeId="0" xr:uid="{00000000-0006-0000-0100-000007000000}">
      <text>
        <r>
          <rPr>
            <sz val="10"/>
            <rFont val="Arial"/>
            <family val="2"/>
          </rPr>
          <t>H100 ~$27k (retail $25-40k, low end for aging fleet). Source: IntuitionLabs / CloudZero 2026.</t>
        </r>
      </text>
    </comment>
    <comment ref="D86" authorId="0" shapeId="0" xr:uid="{00000000-0006-0000-0100-00000D000000}">
      <text>
        <r>
          <rPr>
            <sz val="10"/>
            <rFont val="Arial"/>
            <family val="2"/>
          </rPr>
          <t>H100 NEOCLOUD contract rate $2.43-2.63/hr early 2026 (Silicon Data). NOT the $7.43 hyperscaler on-demand rate, which is a different market. Aging fleet competes at neocloud level.</t>
        </r>
      </text>
    </comment>
    <comment ref="D88" authorId="0" shapeId="0" xr:uid="{00000000-0006-0000-0100-00000E000000}">
      <text>
        <r>
          <rPr>
            <sz val="10"/>
            <rFont val="Arial"/>
            <family val="2"/>
          </rPr>
          <t>Elevated: 9% annualized GPU failure rate documented in Meta Llama 3 405B run (16,384 H100s). Rises with age. Source: Stanley Laman / Meta training study.</t>
        </r>
      </text>
    </comment>
    <comment ref="D89" authorId="0" shapeId="0" xr:uid="{00000000-0006-0000-0100-00000F000000}">
      <text>
        <r>
          <rPr>
            <sz val="10"/>
            <rFont val="Arial"/>
            <family val="2"/>
          </rPr>
          <t>All-in power = 0.7 kW TDP x 1.6 overhead x 1.4 PUE (older air-cooled) x 8760 x util x $0.12/kWh.</t>
        </r>
      </text>
    </comment>
    <comment ref="G100" authorId="0" shapeId="0" xr:uid="{00000000-0006-0000-0100-000011000000}">
      <text>
        <r>
          <rPr>
            <sz val="10"/>
            <rFont val="Arial"/>
            <family val="2"/>
          </rPr>
          <t>H100 secondary market elevated in 2026 because many DCs cannot yet support Blackwell power/cooling. This is a supply anomaly likely to reverse. Source: American Compute GPU residual report 2026.</t>
        </r>
      </text>
    </comment>
    <comment ref="C104" authorId="0" shapeId="0" xr:uid="{00000000-0006-0000-0100-000008000000}">
      <text>
        <r>
          <rPr>
            <sz val="10"/>
            <rFont val="Arial"/>
            <family val="2"/>
          </rPr>
          <t>FIXED: was anchored to $C$26 (B200 block). Now sums own block.</t>
        </r>
      </text>
    </comment>
    <comment ref="B110" authorId="0" shapeId="0" xr:uid="{00000000-0006-0000-0100-000004000000}">
      <text>
        <r>
          <rPr>
            <sz val="10"/>
            <rFont val="Arial"/>
            <family val="2"/>
          </rPr>
          <t>Payback formula counts negative-cumulative periods +1; it overstates by ~1 when the crossing falls in the final modeled year. True crossing: B200 during yr 2, H200 during yr 3, H100 during yr 4. Read Cum. CF row for the actual break-even period.</t>
        </r>
      </text>
    </comment>
  </commentList>
</comments>
</file>

<file path=xl/sharedStrings.xml><?xml version="1.0" encoding="utf-8"?>
<sst xmlns="http://schemas.openxmlformats.org/spreadsheetml/2006/main" count="280" uniqueCount="214">
  <si>
    <t>GPU CAPACITY &amp; SALES FORECAST</t>
  </si>
  <si>
    <t>Q1 2025</t>
  </si>
  <si>
    <t>Q2 2025</t>
  </si>
  <si>
    <t>Q3 2025</t>
  </si>
  <si>
    <t>Q4 2025</t>
  </si>
  <si>
    <t>Q1 2026</t>
  </si>
  <si>
    <t>Q2 2026E</t>
  </si>
  <si>
    <t>Q3 2026E</t>
  </si>
  <si>
    <t>Q4 2026E</t>
  </si>
  <si>
    <t>Q1 2027E</t>
  </si>
  <si>
    <t>Reported / forecast sales ($ in millions)</t>
  </si>
  <si>
    <t>Quarter-over-quarter growth</t>
  </si>
  <si>
    <t>YoY Growth</t>
  </si>
  <si>
    <t>Active power, end of period (MW)</t>
  </si>
  <si>
    <t>GPU equivalents per MW</t>
  </si>
  <si>
    <t>Estimated deployed GPU equivalents, end of period</t>
  </si>
  <si>
    <t>Average deployed GPU equivalents</t>
  </si>
  <si>
    <t>Hours in quarter</t>
  </si>
  <si>
    <t>Realized revenue per utilized GPU-hour ($)</t>
  </si>
  <si>
    <t>Revenue-implied billing utilization</t>
  </si>
  <si>
    <t>KPI-derived sales ($ in millions)</t>
  </si>
  <si>
    <t>Calibration check vs. reported sales ($ in millions)</t>
  </si>
  <si>
    <t>Low sales case ($ in millions)</t>
  </si>
  <si>
    <t>Base sales case ($ in millions)</t>
  </si>
  <si>
    <t>High sales case ($ in millions)</t>
  </si>
  <si>
    <t xml:space="preserve">Wall St. Consensus </t>
  </si>
  <si>
    <t>Dec-2024 reported GPU anchor</t>
  </si>
  <si>
    <t>Dec-2024 reported active-power anchor (MW)</t>
  </si>
  <si>
    <t>CRWV</t>
  </si>
  <si>
    <t>Line item</t>
  </si>
  <si>
    <t>INCOME STATEMENT</t>
  </si>
  <si>
    <t>Revenue</t>
  </si>
  <si>
    <t>Operating expenses</t>
  </si>
  <si>
    <t>Cost of revenue</t>
  </si>
  <si>
    <t>Technology and infrastructure</t>
  </si>
  <si>
    <t>Sales and marketing</t>
  </si>
  <si>
    <t>General and administrative</t>
  </si>
  <si>
    <t>Total operating expenses</t>
  </si>
  <si>
    <t>Operating income (loss)</t>
  </si>
  <si>
    <t>Gain (loss) on fair value adjustments</t>
  </si>
  <si>
    <t>Interest expense, net</t>
  </si>
  <si>
    <t>Other income (expense), net</t>
  </si>
  <si>
    <t>Loss before income taxes</t>
  </si>
  <si>
    <t>Provision for (benefit from) income taxes</t>
  </si>
  <si>
    <t>Net loss</t>
  </si>
  <si>
    <t>Other comprehensive income (loss)</t>
  </si>
  <si>
    <t>Total comprehensive loss</t>
  </si>
  <si>
    <t>Net loss attributable to common stockholders, basic</t>
  </si>
  <si>
    <t>Net loss attributable to common stockholders, diluted</t>
  </si>
  <si>
    <t>Net loss per share attributable to common stockholders, basic</t>
  </si>
  <si>
    <t>Net loss per share attributable to common stockholders, diluted</t>
  </si>
  <si>
    <t>Weighted-average shares used in computing net loss per share, basic</t>
  </si>
  <si>
    <t>Weighted-average shares used in computing net loss per share, diluted</t>
  </si>
  <si>
    <t>BALANCE SHEET</t>
  </si>
  <si>
    <t>Assets</t>
  </si>
  <si>
    <t>Current assets</t>
  </si>
  <si>
    <t>Cash and cash equivalents</t>
  </si>
  <si>
    <t>Restricted cash and cash equivalents, current</t>
  </si>
  <si>
    <t>Marketable securities</t>
  </si>
  <si>
    <t>Accounts receivable, net</t>
  </si>
  <si>
    <t>Prepaid expenses and other current assets</t>
  </si>
  <si>
    <t>Total current assets</t>
  </si>
  <si>
    <t>Restricted cash and cash equivalents, non-current</t>
  </si>
  <si>
    <t>Restricted marketable securities, non-current</t>
  </si>
  <si>
    <t>Property and equipment, net</t>
  </si>
  <si>
    <t>Operating lease right-of-use assets</t>
  </si>
  <si>
    <t>Intangible assets, net</t>
  </si>
  <si>
    <t>Goodwill</t>
  </si>
  <si>
    <t>Other non-current assets</t>
  </si>
  <si>
    <t>Total assets</t>
  </si>
  <si>
    <t>Liabilities, redeemable instruments, and stockholders' equity (deficit)</t>
  </si>
  <si>
    <t>Current liabilities</t>
  </si>
  <si>
    <t>Accounts payable</t>
  </si>
  <si>
    <t>Accrued liabilities</t>
  </si>
  <si>
    <t>Debt, current</t>
  </si>
  <si>
    <t>Deferred revenue, current</t>
  </si>
  <si>
    <t>Operating lease liabilities, current</t>
  </si>
  <si>
    <t>Finance lease liabilities, current</t>
  </si>
  <si>
    <t>Other current liabilities</t>
  </si>
  <si>
    <t>Total current liabilities</t>
  </si>
  <si>
    <t>Debt, non-current</t>
  </si>
  <si>
    <t>Derivative and warrant liabilities</t>
  </si>
  <si>
    <t>Deferred revenue, non-current</t>
  </si>
  <si>
    <t>Operating lease liabilities, non-current</t>
  </si>
  <si>
    <t>Finance lease liabilities, non-current</t>
  </si>
  <si>
    <t>Deferred tax liabilities, non-current</t>
  </si>
  <si>
    <t>Other non-current liabilities</t>
  </si>
  <si>
    <t>Total liabilities</t>
  </si>
  <si>
    <t>Commitments and contingencies</t>
  </si>
  <si>
    <t>Redeemable convertible preferred stock and redeemable common stock</t>
  </si>
  <si>
    <t>Redeemable convertible preferred stock</t>
  </si>
  <si>
    <t>Redeemable Class A common stock</t>
  </si>
  <si>
    <t>Stockholders' equity (deficit)</t>
  </si>
  <si>
    <t>Preferred stock</t>
  </si>
  <si>
    <t>Class A common stock</t>
  </si>
  <si>
    <t>Class B common stock</t>
  </si>
  <si>
    <t>Class C common stock</t>
  </si>
  <si>
    <t>Treasury stock, at cost</t>
  </si>
  <si>
    <t>Additional paid-in capital</t>
  </si>
  <si>
    <t>Accumulated other comprehensive income (loss)</t>
  </si>
  <si>
    <t>Accumulated deficit</t>
  </si>
  <si>
    <t>Total stockholders' equity (deficit)</t>
  </si>
  <si>
    <t>Total liabilities, redeemable instruments, and stockholders' equity (deficit)</t>
  </si>
  <si>
    <t>Balance sheet check</t>
  </si>
  <si>
    <t>CASH FLOW STATEMENT</t>
  </si>
  <si>
    <t>Cash flows from operating activities</t>
  </si>
  <si>
    <t>Adjustments to reconcile net loss to net cash provided by operating activities</t>
  </si>
  <si>
    <t>Depreciation and amortization</t>
  </si>
  <si>
    <t>Amortization of debt discounts and issuance costs and accretion of redemption premiums</t>
  </si>
  <si>
    <t>Stock-based compensation expense</t>
  </si>
  <si>
    <t>Non-cash lease expense</t>
  </si>
  <si>
    <t>Deferred income taxes</t>
  </si>
  <si>
    <t>Loss (gain) on fair value adjustments</t>
  </si>
  <si>
    <t>Debt extinguishment loss</t>
  </si>
  <si>
    <t>Other non-cash reconciling items</t>
  </si>
  <si>
    <t>Changes in operating assets and liabilities, net of effect of business acquisitions</t>
  </si>
  <si>
    <t>Accounts receivable</t>
  </si>
  <si>
    <t>Prepaid expenses and other assets</t>
  </si>
  <si>
    <t>Accounts payable and accrued expenses</t>
  </si>
  <si>
    <t>Deferred revenue</t>
  </si>
  <si>
    <t>Lease liabilities</t>
  </si>
  <si>
    <t>Other liabilities</t>
  </si>
  <si>
    <t>Net cash provided by (used in) operating activities</t>
  </si>
  <si>
    <t>Cash flows from investing activities</t>
  </si>
  <si>
    <t>Purchase of property and equipment, including capitalized internal-use software</t>
  </si>
  <si>
    <t>Sale of available-for-sale marketable securities</t>
  </si>
  <si>
    <t>Maturities of marketable securities</t>
  </si>
  <si>
    <t>Purchase of restricted marketable securities</t>
  </si>
  <si>
    <t>Purchases of marketable securities</t>
  </si>
  <si>
    <t>Maturities and sales of marketable securities</t>
  </si>
  <si>
    <t>Purchase of strategic investments</t>
  </si>
  <si>
    <t>Sales of warrants received as lease incentive</t>
  </si>
  <si>
    <t>Business combinations, net of cash acquired</t>
  </si>
  <si>
    <t>Issuance of notes receivable</t>
  </si>
  <si>
    <t>Other investing activities</t>
  </si>
  <si>
    <t>Net cash used in investing activities</t>
  </si>
  <si>
    <t>Cash flows from financing activities</t>
  </si>
  <si>
    <t>Proceeds from issuance of debt</t>
  </si>
  <si>
    <t>Proceeds from issuance of debt, net</t>
  </si>
  <si>
    <t>Repayments of debt</t>
  </si>
  <si>
    <t>Payment of debt issuance costs</t>
  </si>
  <si>
    <t>Purchase of capped calls related to convertible senior notes</t>
  </si>
  <si>
    <t>Issuance of common stock in a private placement, net of issuance costs</t>
  </si>
  <si>
    <t>Proceeds from initial public offering, net of underwriting discounts and commissions</t>
  </si>
  <si>
    <t>Issuance of common stock in connection with over-allotment exercise, net of underwriting discounts and commissions</t>
  </si>
  <si>
    <t>Redeemable convertible preferred stock cash dividends paid</t>
  </si>
  <si>
    <t>Issuance of redeemable convertible preferred stock, net of issuance costs</t>
  </si>
  <si>
    <t>Payment of tax withholdings on settlement of restricted stock units and awards</t>
  </si>
  <si>
    <t>Proceeds from exercise of stock options</t>
  </si>
  <si>
    <t>Deferred offering costs paid</t>
  </si>
  <si>
    <t>Common stock repurchased</t>
  </si>
  <si>
    <t>Other financing activities</t>
  </si>
  <si>
    <t>Net cash provided by financing activities</t>
  </si>
  <si>
    <t>Net increase (decrease) in cash, cash equivalents, and restricted cash</t>
  </si>
  <si>
    <t>Cash, cash equivalents, and restricted cash - beginning of period</t>
  </si>
  <si>
    <t>Cash, cash equivalents, and restricted cash - end of period</t>
  </si>
  <si>
    <t>Supplemental disclosures of cash flow information</t>
  </si>
  <si>
    <t>Cash paid for interest, net of capitalized amounts</t>
  </si>
  <si>
    <t>Non-cash investing and financing activities</t>
  </si>
  <si>
    <t>Capitalized interest not yet paid</t>
  </si>
  <si>
    <t>Operating lease right-of-use assets acquired through lease liability</t>
  </si>
  <si>
    <t>Finance lease right-of-use assets acquired through lease liability</t>
  </si>
  <si>
    <t>Liabilities related to property and equipment additions, including OEM financed additions</t>
  </si>
  <si>
    <t>Reclassification of liabilities related to property and equipment additions to debt upon execution of OEM financing arrangements</t>
  </si>
  <si>
    <t>Issuance of common stock for contract incentive</t>
  </si>
  <si>
    <t>Conversion of redeemable convertible preferred stock in connection with initial public offering</t>
  </si>
  <si>
    <t>Reclassification of redeemable Class A common stock to Class A common stock</t>
  </si>
  <si>
    <t>Issuance of common stock, restricted stock units, and restricted stock awards for business combinations</t>
  </si>
  <si>
    <t>Fair value of common stock issued as consideration for a business combination</t>
  </si>
  <si>
    <t>Fair value of equity awards assumed in a business combination</t>
  </si>
  <si>
    <t>Fair value of convertible promissory note issued for a business combination</t>
  </si>
  <si>
    <t>Reclassification of warrant liabilities to equity</t>
  </si>
  <si>
    <t>Issuance of common stock in connection with conversion of convertible notes</t>
  </si>
  <si>
    <t>Reclassification of customer deposit to debt</t>
  </si>
  <si>
    <t>Stock-based compensation capitalized as internal-use software</t>
  </si>
  <si>
    <t>Settlement of Series B tranche liability</t>
  </si>
  <si>
    <t>Non-cash investments</t>
  </si>
  <si>
    <t>Warrants received as lease incentive</t>
  </si>
  <si>
    <t>Reconciliation of cash, cash equivalents, and restricted cash to balance sheets</t>
  </si>
  <si>
    <t>Total cash, cash equivalents, and restricted cash</t>
  </si>
  <si>
    <t>Period</t>
  </si>
  <si>
    <t>B200</t>
  </si>
  <si>
    <t>Cabling</t>
  </si>
  <si>
    <t>ICF</t>
  </si>
  <si>
    <t>Util.</t>
  </si>
  <si>
    <t>Hrs / FY</t>
  </si>
  <si>
    <t>$ / hr</t>
  </si>
  <si>
    <t>Sales</t>
  </si>
  <si>
    <t>Maintain</t>
  </si>
  <si>
    <t>Power</t>
  </si>
  <si>
    <t>Insurance</t>
  </si>
  <si>
    <t>Egress</t>
  </si>
  <si>
    <t>Colocation</t>
  </si>
  <si>
    <t>Interest</t>
  </si>
  <si>
    <t>OCF</t>
  </si>
  <si>
    <t>ETR</t>
  </si>
  <si>
    <t>Taxes</t>
  </si>
  <si>
    <t>After tax OCF</t>
  </si>
  <si>
    <t>TCF</t>
  </si>
  <si>
    <t>CF</t>
  </si>
  <si>
    <t>Disc CF</t>
  </si>
  <si>
    <t>Cum. CF</t>
  </si>
  <si>
    <t>Disc</t>
  </si>
  <si>
    <t>NPV</t>
  </si>
  <si>
    <t>IRR</t>
  </si>
  <si>
    <t>MIRR</t>
  </si>
  <si>
    <t>Payback</t>
  </si>
  <si>
    <t>H200</t>
  </si>
  <si>
    <t>H100</t>
  </si>
  <si>
    <t>GPUs</t>
  </si>
  <si>
    <t>Product</t>
  </si>
  <si>
    <t>Inventory</t>
  </si>
  <si>
    <t>%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</si>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</sst>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\-??_);_(@_)"/>
    <numFmt numFmtId="165" formatCode="0.0%;\(0.0%\);\-"/>
    <numFmt numFmtId="166" formatCode="_(* #,##0.00_);_(* \(#,##0.00\);_(* \-??_);_(@_)"/>
    <numFmt numFmtId="167" formatCode="0.0%"/>
    <numFmt numFmtId="168" formatCode="_(* #,##0.0_);_(* \(#,##0.0\);_(* \-??_);_(@_)"/>
    <numFmt numFmtId="169" formatCode="_(* #,##0_);_(* \(#,##0\);_(* &quot;-&quot;??_);_(@_)"/>
  </numFmts>
  <fonts count="13" x14ac:knownFonts="1">
    <font>
      <sz val="11"/>
      <color theme="1"/>
      <name val="Calibri"/>
      <family val="2"/>
      <charset val="1"/>
    </font>
    <font>
      <sz val="10"/>
      <name val="Arial"/>
    </font>
    <font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66CC"/>
      <name val="Calibri"/>
      <family val="2"/>
      <charset val="1"/>
    </font>
    <font>
      <sz val="11"/>
      <color rgb="FF0066CC"/>
      <name val="Calibri"/>
      <family val="2"/>
      <charset val="1"/>
    </font>
    <font>
      <b/>
      <sz val="11"/>
      <name val="Arial"/>
      <family val="2"/>
      <charset val="1"/>
    </font>
    <font>
      <b/>
      <i/>
      <sz val="11"/>
      <name val="Arial"/>
      <family val="2"/>
      <charset val="1"/>
    </font>
    <font>
      <sz val="11"/>
      <name val="Arial"/>
      <family val="2"/>
      <charset val="1"/>
    </font>
    <font>
      <i/>
      <sz val="11"/>
      <name val="Arial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</fills>
  <borders count="9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4" fontId="4" fillId="5" borderId="0" xfId="0" applyNumberFormat="1" applyFont="1" applyFill="1"/>
    <xf numFmtId="165" fontId="2" fillId="0" borderId="0" xfId="0" applyNumberFormat="1" applyFont="1"/>
    <xf numFmtId="165" fontId="2" fillId="5" borderId="0" xfId="0" applyNumberFormat="1" applyFont="1" applyFill="1"/>
    <xf numFmtId="164" fontId="5" fillId="6" borderId="0" xfId="0" applyNumberFormat="1" applyFont="1" applyFill="1"/>
    <xf numFmtId="164" fontId="2" fillId="0" borderId="0" xfId="0" applyNumberFormat="1" applyFont="1"/>
    <xf numFmtId="166" fontId="2" fillId="0" borderId="0" xfId="0" applyNumberFormat="1" applyFont="1"/>
    <xf numFmtId="166" fontId="6" fillId="6" borderId="0" xfId="0" applyNumberFormat="1" applyFont="1" applyFill="1"/>
    <xf numFmtId="167" fontId="2" fillId="0" borderId="0" xfId="0" applyNumberFormat="1" applyFont="1"/>
    <xf numFmtId="167" fontId="6" fillId="6" borderId="0" xfId="0" applyNumberFormat="1" applyFont="1" applyFill="1"/>
    <xf numFmtId="164" fontId="4" fillId="4" borderId="0" xfId="0" applyNumberFormat="1" applyFont="1" applyFill="1"/>
    <xf numFmtId="3" fontId="4" fillId="0" borderId="0" xfId="0" applyNumberFormat="1" applyFont="1"/>
    <xf numFmtId="3" fontId="2" fillId="0" borderId="0" xfId="0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right" vertical="center"/>
    </xf>
    <xf numFmtId="0" fontId="8" fillId="0" borderId="0" xfId="0" applyFont="1"/>
    <xf numFmtId="0" fontId="2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4" fillId="0" borderId="3" xfId="0" applyFont="1" applyBorder="1"/>
    <xf numFmtId="9" fontId="4" fillId="0" borderId="4" xfId="0" applyNumberFormat="1" applyFont="1" applyBorder="1"/>
    <xf numFmtId="0" fontId="4" fillId="0" borderId="5" xfId="0" applyFont="1" applyBorder="1"/>
    <xf numFmtId="164" fontId="4" fillId="0" borderId="6" xfId="0" applyNumberFormat="1" applyFont="1" applyBorder="1"/>
    <xf numFmtId="167" fontId="4" fillId="0" borderId="6" xfId="0" applyNumberFormat="1" applyFont="1" applyBorder="1"/>
    <xf numFmtId="0" fontId="4" fillId="0" borderId="7" xfId="0" applyFont="1" applyBorder="1"/>
    <xf numFmtId="168" fontId="4" fillId="0" borderId="8" xfId="0" applyNumberFormat="1" applyFont="1" applyBorder="1"/>
    <xf numFmtId="169" fontId="1" fillId="0" borderId="0" xfId="1" applyNumberFormat="1"/>
    <xf numFmtId="9" fontId="0" fillId="0" borderId="0" xfId="0" applyNumberFormat="1"/>
    <xf numFmtId="16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9" fontId="12" fillId="0" borderId="0" xfId="0" applyNumberFormat="1" applyFont="1"/>
    <xf numFmtId="0" fontId="3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6"/>
  <sheetViews>
    <sheetView showGridLines="0" topLeftCell="D1" zoomScale="115" zoomScaleNormal="115" workbookViewId="0">
      <selection activeCell="M4" sqref="M4"/>
    </sheetView>
  </sheetViews>
  <sheetFormatPr defaultColWidth="9.140625" defaultRowHeight="15" x14ac:dyDescent="0.25"/>
  <cols>
    <col min="1" max="1" width="48.7109375" style="1" customWidth="1"/>
    <col min="2" max="10" width="13.7109375" style="1" customWidth="1"/>
    <col min="11" max="13" width="9.140625" style="1"/>
    <col min="14" max="14" width="11.85546875" style="1" customWidth="1"/>
    <col min="15" max="15" width="13.140625" style="1" customWidth="1"/>
    <col min="16" max="18" width="11.140625" style="1" customWidth="1"/>
    <col min="19" max="16384" width="9.140625" style="1"/>
  </cols>
  <sheetData>
    <row r="1" spans="1:10" ht="1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ht="15" customHeight="1" x14ac:dyDescent="0.25">
      <c r="A3" s="5" t="s">
        <v>10</v>
      </c>
      <c r="B3" s="6">
        <v>981.63199999999995</v>
      </c>
      <c r="C3" s="6">
        <v>1212.788</v>
      </c>
      <c r="D3" s="6">
        <v>1364.6759999999999</v>
      </c>
      <c r="E3" s="6">
        <v>1572</v>
      </c>
      <c r="F3" s="6">
        <v>2078</v>
      </c>
      <c r="G3" s="7">
        <f>G14</f>
        <v>2472.3638333333333</v>
      </c>
      <c r="H3" s="7">
        <f>H14</f>
        <v>2958.375</v>
      </c>
      <c r="I3" s="7">
        <f>I14</f>
        <v>3445.86</v>
      </c>
      <c r="J3" s="7">
        <f>J14</f>
        <v>3824.0137500000005</v>
      </c>
    </row>
    <row r="4" spans="1:10" ht="15" customHeight="1" x14ac:dyDescent="0.25">
      <c r="A4" s="1" t="s">
        <v>11</v>
      </c>
      <c r="B4" s="8"/>
      <c r="C4" s="8">
        <f t="shared" ref="C4:J4" si="0">C3/B3-1</f>
        <v>0.23548132090233409</v>
      </c>
      <c r="D4" s="8">
        <f t="shared" si="0"/>
        <v>0.12523870618772603</v>
      </c>
      <c r="E4" s="8">
        <f t="shared" si="0"/>
        <v>0.15192177483886282</v>
      </c>
      <c r="F4" s="8">
        <f t="shared" si="0"/>
        <v>0.32188295165394409</v>
      </c>
      <c r="G4" s="9">
        <f t="shared" si="0"/>
        <v>0.18978047802374087</v>
      </c>
      <c r="H4" s="9">
        <f t="shared" si="0"/>
        <v>0.19657752637944403</v>
      </c>
      <c r="I4" s="9">
        <f t="shared" si="0"/>
        <v>0.16478134110787179</v>
      </c>
      <c r="J4" s="9">
        <f t="shared" si="0"/>
        <v>0.10974147237554632</v>
      </c>
    </row>
    <row r="5" spans="1:10" ht="15" customHeight="1" x14ac:dyDescent="0.25">
      <c r="A5" s="1" t="s">
        <v>12</v>
      </c>
      <c r="B5" s="8"/>
      <c r="C5" s="8"/>
      <c r="D5" s="8"/>
      <c r="E5" s="8"/>
      <c r="F5" s="8">
        <f>F3/B3-1</f>
        <v>1.1168829052027647</v>
      </c>
      <c r="G5" s="9">
        <f>G3/C3-1</f>
        <v>1.0385787403349416</v>
      </c>
      <c r="H5" s="9">
        <f>H3/D3-1</f>
        <v>1.1678222523148354</v>
      </c>
      <c r="I5" s="9">
        <f>I3/E3-1</f>
        <v>1.1920229007633587</v>
      </c>
      <c r="J5" s="9">
        <f>J3/F3-1</f>
        <v>0.84023760827718985</v>
      </c>
    </row>
    <row r="7" spans="1:10" ht="15" customHeight="1" x14ac:dyDescent="0.25">
      <c r="A7" s="5" t="s">
        <v>13</v>
      </c>
      <c r="B7" s="6">
        <v>420</v>
      </c>
      <c r="C7" s="6">
        <v>470</v>
      </c>
      <c r="D7" s="6">
        <v>590</v>
      </c>
      <c r="E7" s="6">
        <v>850</v>
      </c>
      <c r="F7" s="6">
        <v>1000</v>
      </c>
      <c r="G7" s="10">
        <v>1150</v>
      </c>
      <c r="H7" s="10">
        <v>1300</v>
      </c>
      <c r="I7" s="10">
        <v>1450</v>
      </c>
      <c r="J7" s="10">
        <v>1600</v>
      </c>
    </row>
    <row r="8" spans="1:10" ht="15" customHeight="1" x14ac:dyDescent="0.25">
      <c r="A8" s="1" t="s">
        <v>14</v>
      </c>
      <c r="B8" s="11">
        <f t="shared" ref="B8:J8" si="1">$B$22/$B$23</f>
        <v>694.44444444444446</v>
      </c>
      <c r="C8" s="11">
        <f t="shared" si="1"/>
        <v>694.44444444444446</v>
      </c>
      <c r="D8" s="11">
        <f t="shared" si="1"/>
        <v>694.44444444444446</v>
      </c>
      <c r="E8" s="11">
        <f t="shared" si="1"/>
        <v>694.44444444444446</v>
      </c>
      <c r="F8" s="11">
        <f t="shared" si="1"/>
        <v>694.44444444444446</v>
      </c>
      <c r="G8" s="11">
        <f t="shared" si="1"/>
        <v>694.44444444444446</v>
      </c>
      <c r="H8" s="11">
        <f t="shared" si="1"/>
        <v>694.44444444444446</v>
      </c>
      <c r="I8" s="11">
        <f t="shared" si="1"/>
        <v>694.44444444444446</v>
      </c>
      <c r="J8" s="11">
        <f t="shared" si="1"/>
        <v>694.44444444444446</v>
      </c>
    </row>
    <row r="9" spans="1:10" ht="15" customHeight="1" x14ac:dyDescent="0.25">
      <c r="A9" s="1" t="s">
        <v>15</v>
      </c>
      <c r="B9" s="11">
        <f t="shared" ref="B9:J9" si="2">B7*B8</f>
        <v>291666.66666666669</v>
      </c>
      <c r="C9" s="11">
        <f t="shared" si="2"/>
        <v>326388.88888888888</v>
      </c>
      <c r="D9" s="11">
        <f t="shared" si="2"/>
        <v>409722.22222222225</v>
      </c>
      <c r="E9" s="11">
        <f t="shared" si="2"/>
        <v>590277.77777777775</v>
      </c>
      <c r="F9" s="11">
        <f t="shared" si="2"/>
        <v>694444.4444444445</v>
      </c>
      <c r="G9" s="11">
        <f t="shared" si="2"/>
        <v>798611.11111111112</v>
      </c>
      <c r="H9" s="11">
        <f t="shared" si="2"/>
        <v>902777.77777777775</v>
      </c>
      <c r="I9" s="11">
        <f t="shared" si="2"/>
        <v>1006944.4444444445</v>
      </c>
      <c r="J9" s="11">
        <f t="shared" si="2"/>
        <v>1111111.1111111112</v>
      </c>
    </row>
    <row r="10" spans="1:10" ht="15" customHeight="1" x14ac:dyDescent="0.25">
      <c r="A10" s="1" t="s">
        <v>16</v>
      </c>
      <c r="B10" s="11">
        <f>AVERAGE($B$22,B9)</f>
        <v>270833.33333333337</v>
      </c>
      <c r="C10" s="11">
        <f t="shared" ref="C10:J10" si="3">AVERAGE(B9,C9)</f>
        <v>309027.77777777775</v>
      </c>
      <c r="D10" s="11">
        <f t="shared" si="3"/>
        <v>368055.55555555556</v>
      </c>
      <c r="E10" s="11">
        <f t="shared" si="3"/>
        <v>500000</v>
      </c>
      <c r="F10" s="11">
        <f t="shared" si="3"/>
        <v>642361.11111111112</v>
      </c>
      <c r="G10" s="11">
        <f t="shared" si="3"/>
        <v>746527.77777777775</v>
      </c>
      <c r="H10" s="11">
        <f t="shared" si="3"/>
        <v>850694.4444444445</v>
      </c>
      <c r="I10" s="11">
        <f t="shared" si="3"/>
        <v>954861.11111111112</v>
      </c>
      <c r="J10" s="11">
        <f t="shared" si="3"/>
        <v>1059027.777777778</v>
      </c>
    </row>
    <row r="11" spans="1:10" ht="15" customHeight="1" x14ac:dyDescent="0.25">
      <c r="A11" s="1" t="s">
        <v>17</v>
      </c>
      <c r="B11" s="11">
        <v>2160</v>
      </c>
      <c r="C11" s="11">
        <v>2184</v>
      </c>
      <c r="D11" s="11">
        <v>2208</v>
      </c>
      <c r="E11" s="11">
        <v>2208</v>
      </c>
      <c r="F11" s="11">
        <v>2160</v>
      </c>
      <c r="G11" s="11">
        <v>2184</v>
      </c>
      <c r="H11" s="11">
        <v>2208</v>
      </c>
      <c r="I11" s="11">
        <v>2208</v>
      </c>
      <c r="J11" s="11">
        <v>2160</v>
      </c>
    </row>
    <row r="12" spans="1:10" ht="15" customHeight="1" x14ac:dyDescent="0.25">
      <c r="A12" s="1" t="s">
        <v>18</v>
      </c>
      <c r="B12" s="12">
        <v>2.23</v>
      </c>
      <c r="C12" s="12">
        <v>2.23</v>
      </c>
      <c r="D12" s="12">
        <v>2.23</v>
      </c>
      <c r="E12" s="12">
        <v>2.23</v>
      </c>
      <c r="F12" s="12">
        <v>2.23</v>
      </c>
      <c r="G12" s="13">
        <v>2.23</v>
      </c>
      <c r="H12" s="13">
        <v>2.25</v>
      </c>
      <c r="I12" s="13">
        <v>2.27</v>
      </c>
      <c r="J12" s="13">
        <v>2.29</v>
      </c>
    </row>
    <row r="13" spans="1:10" ht="15" customHeight="1" x14ac:dyDescent="0.25">
      <c r="A13" s="1" t="s">
        <v>19</v>
      </c>
      <c r="B13" s="14">
        <f>B3*1000000/(B10*B11*B12)</f>
        <v>0.75246790080870785</v>
      </c>
      <c r="C13" s="14">
        <f>C3*1000000/(C10*C11*C12)</f>
        <v>0.8058048466372143</v>
      </c>
      <c r="D13" s="14">
        <f>D3*1000000/(D10*D11*D12)</f>
        <v>0.75302994073654439</v>
      </c>
      <c r="E13" s="14">
        <f>E3*1000000/(E10*E11*E12)</f>
        <v>0.63852602846558781</v>
      </c>
      <c r="F13" s="14">
        <f>F3*1000000/(F10*F11*F12)</f>
        <v>0.67159536217832183</v>
      </c>
      <c r="G13" s="15">
        <v>0.68</v>
      </c>
      <c r="H13" s="15">
        <v>0.7</v>
      </c>
      <c r="I13" s="15">
        <v>0.72</v>
      </c>
      <c r="J13" s="15">
        <v>0.73</v>
      </c>
    </row>
    <row r="14" spans="1:10" ht="15" customHeight="1" x14ac:dyDescent="0.25">
      <c r="A14" s="5" t="s">
        <v>20</v>
      </c>
      <c r="B14" s="6">
        <f t="shared" ref="B14:J14" si="4">B10*B11*B12*B13/1000000</f>
        <v>981.63199999999995</v>
      </c>
      <c r="C14" s="6">
        <f t="shared" si="4"/>
        <v>1212.788</v>
      </c>
      <c r="D14" s="6">
        <f t="shared" si="4"/>
        <v>1364.6759999999999</v>
      </c>
      <c r="E14" s="6">
        <f t="shared" si="4"/>
        <v>1572</v>
      </c>
      <c r="F14" s="6">
        <f t="shared" si="4"/>
        <v>2078</v>
      </c>
      <c r="G14" s="6">
        <f t="shared" si="4"/>
        <v>2472.3638333333333</v>
      </c>
      <c r="H14" s="6">
        <f t="shared" si="4"/>
        <v>2958.375</v>
      </c>
      <c r="I14" s="6">
        <f t="shared" si="4"/>
        <v>3445.86</v>
      </c>
      <c r="J14" s="6">
        <f t="shared" si="4"/>
        <v>3824.0137500000005</v>
      </c>
    </row>
    <row r="15" spans="1:10" ht="15" customHeight="1" x14ac:dyDescent="0.25">
      <c r="A15" s="1" t="s">
        <v>21</v>
      </c>
      <c r="B15" s="11">
        <f>B14-B3</f>
        <v>0</v>
      </c>
      <c r="C15" s="11">
        <f>C14-C3</f>
        <v>0</v>
      </c>
      <c r="D15" s="11">
        <f>D14-D3</f>
        <v>0</v>
      </c>
      <c r="E15" s="11">
        <f>E14-E3</f>
        <v>0</v>
      </c>
      <c r="F15" s="11">
        <f>F14-F3</f>
        <v>0</v>
      </c>
      <c r="G15" s="11"/>
      <c r="H15" s="11"/>
      <c r="I15" s="11"/>
      <c r="J15" s="11"/>
    </row>
    <row r="16" spans="1:10" ht="15" customHeight="1" x14ac:dyDescent="0.25"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5" customHeight="1" x14ac:dyDescent="0.25">
      <c r="A17" s="5" t="s">
        <v>22</v>
      </c>
      <c r="B17" s="6"/>
      <c r="C17" s="6"/>
      <c r="D17" s="6"/>
      <c r="E17" s="6"/>
      <c r="F17" s="6"/>
      <c r="G17" s="16">
        <f>G10*90%*G11*G12*MAX(0,G13-5%)/1000000</f>
        <v>2061.5151375</v>
      </c>
      <c r="H17" s="16">
        <f>H10*90%*H11*H12*MAX(0,H13-5%)/1000000</f>
        <v>2472.3562499999998</v>
      </c>
      <c r="I17" s="16">
        <f>I10*90%*I11*I12*MAX(0,I13-5%)/1000000</f>
        <v>2885.9077499999994</v>
      </c>
      <c r="J17" s="16">
        <f>J10*90%*J11*J12*MAX(0,J13-5%)/1000000</f>
        <v>3205.8855000000003</v>
      </c>
    </row>
    <row r="18" spans="1:10" ht="15" customHeight="1" x14ac:dyDescent="0.25">
      <c r="A18" s="5" t="s">
        <v>23</v>
      </c>
      <c r="B18" s="6"/>
      <c r="C18" s="6"/>
      <c r="D18" s="6"/>
      <c r="E18" s="6"/>
      <c r="F18" s="6"/>
      <c r="G18" s="16">
        <f>G14</f>
        <v>2472.3638333333333</v>
      </c>
      <c r="H18" s="16">
        <f>H14</f>
        <v>2958.375</v>
      </c>
      <c r="I18" s="16">
        <f>I14</f>
        <v>3445.86</v>
      </c>
      <c r="J18" s="16">
        <f>J14</f>
        <v>3824.0137500000005</v>
      </c>
    </row>
    <row r="19" spans="1:10" ht="15" customHeight="1" x14ac:dyDescent="0.25">
      <c r="A19" s="5" t="s">
        <v>24</v>
      </c>
      <c r="B19" s="6"/>
      <c r="C19" s="6"/>
      <c r="D19" s="6"/>
      <c r="E19" s="6"/>
      <c r="F19" s="6"/>
      <c r="G19" s="16">
        <f>G10*110%*G11*G12*MIN(100%,G13+5%)/1000000</f>
        <v>2919.570820833334</v>
      </c>
      <c r="H19" s="16">
        <f>H10*110%*H11*H12*MIN(100%,H13+5%)/1000000</f>
        <v>3486.6562500000009</v>
      </c>
      <c r="I19" s="16">
        <f>I10*110%*I11*I12*MIN(100%,I13+5%)/1000000</f>
        <v>4053.6714166666666</v>
      </c>
      <c r="J19" s="16">
        <f>J10*110%*J11*J12*MIN(100%,J13+5%)/1000000</f>
        <v>4494.5257500000016</v>
      </c>
    </row>
    <row r="20" spans="1:10" ht="15" customHeight="1" x14ac:dyDescent="0.25">
      <c r="A20" s="5" t="s">
        <v>25</v>
      </c>
      <c r="B20" s="6"/>
      <c r="C20" s="6"/>
      <c r="D20" s="6"/>
      <c r="E20" s="6"/>
      <c r="F20" s="6"/>
      <c r="G20" s="16">
        <v>2560</v>
      </c>
      <c r="H20" s="16">
        <v>3650</v>
      </c>
      <c r="I20" s="16">
        <v>4590</v>
      </c>
      <c r="J20" s="16">
        <v>5070</v>
      </c>
    </row>
    <row r="22" spans="1:10" ht="15" customHeight="1" x14ac:dyDescent="0.25">
      <c r="A22" s="5" t="s">
        <v>26</v>
      </c>
      <c r="B22" s="17">
        <v>250000</v>
      </c>
      <c r="C22" s="5"/>
      <c r="D22" s="5"/>
      <c r="E22" s="5"/>
      <c r="F22" s="5"/>
      <c r="G22" s="5"/>
      <c r="H22" s="5"/>
      <c r="I22" s="5"/>
      <c r="J22" s="5"/>
    </row>
    <row r="23" spans="1:10" ht="15" customHeight="1" x14ac:dyDescent="0.25">
      <c r="A23" s="1" t="s">
        <v>27</v>
      </c>
      <c r="B23" s="18">
        <v>360</v>
      </c>
    </row>
    <row r="24" spans="1:10" ht="15" customHeight="1" x14ac:dyDescent="0.25">
      <c r="B24" s="18"/>
    </row>
    <row r="25" spans="1:10" ht="15" customHeight="1" x14ac:dyDescent="0.25">
      <c r="A25" s="5" t="s">
        <v>28</v>
      </c>
    </row>
    <row r="26" spans="1:10" ht="15" customHeight="1" x14ac:dyDescent="0.25">
      <c r="A26" s="19" t="s">
        <v>29</v>
      </c>
      <c r="B26" s="20" t="s">
        <v>1</v>
      </c>
      <c r="C26" s="20" t="s">
        <v>2</v>
      </c>
      <c r="D26" s="20" t="s">
        <v>3</v>
      </c>
      <c r="E26" s="20" t="s">
        <v>4</v>
      </c>
      <c r="F26" s="20" t="s">
        <v>5</v>
      </c>
    </row>
    <row r="27" spans="1:10" ht="15" customHeight="1" x14ac:dyDescent="0.25">
      <c r="A27" s="21" t="s">
        <v>30</v>
      </c>
    </row>
    <row r="28" spans="1:10" ht="15" customHeight="1" x14ac:dyDescent="0.25">
      <c r="A28" s="22" t="s">
        <v>31</v>
      </c>
      <c r="B28" s="23">
        <v>981.63199999999995</v>
      </c>
      <c r="C28" s="23">
        <v>1212.788</v>
      </c>
      <c r="D28" s="23">
        <v>1364.6759999999999</v>
      </c>
      <c r="E28" s="23">
        <v>1572</v>
      </c>
      <c r="F28" s="23">
        <v>2078</v>
      </c>
    </row>
    <row r="29" spans="1:10" ht="15" customHeight="1" x14ac:dyDescent="0.25">
      <c r="A29" s="24" t="s">
        <v>32</v>
      </c>
      <c r="B29" s="11"/>
      <c r="C29" s="11"/>
      <c r="D29" s="11"/>
      <c r="E29" s="11"/>
      <c r="F29" s="11"/>
    </row>
    <row r="30" spans="1:10" ht="15" customHeight="1" x14ac:dyDescent="0.25">
      <c r="A30" s="25" t="s">
        <v>33</v>
      </c>
      <c r="B30" s="26">
        <v>262.39400000000001</v>
      </c>
      <c r="C30" s="26">
        <v>312.66699999999997</v>
      </c>
      <c r="D30" s="26">
        <v>368.82400000000001</v>
      </c>
      <c r="E30" s="26">
        <v>509</v>
      </c>
      <c r="F30" s="26">
        <v>716</v>
      </c>
    </row>
    <row r="31" spans="1:10" ht="15" customHeight="1" x14ac:dyDescent="0.25">
      <c r="A31" s="25" t="s">
        <v>34</v>
      </c>
      <c r="B31" s="26">
        <v>561.40200000000004</v>
      </c>
      <c r="C31" s="26">
        <v>669.91300000000001</v>
      </c>
      <c r="D31" s="26">
        <v>747.47900000000004</v>
      </c>
      <c r="E31" s="26">
        <v>950</v>
      </c>
      <c r="F31" s="26">
        <v>1273</v>
      </c>
    </row>
    <row r="32" spans="1:10" ht="15" customHeight="1" x14ac:dyDescent="0.25">
      <c r="A32" s="25" t="s">
        <v>35</v>
      </c>
      <c r="B32" s="26">
        <v>10.548999999999999</v>
      </c>
      <c r="C32" s="26">
        <v>36.798999999999999</v>
      </c>
      <c r="D32" s="26">
        <v>44.645000000000003</v>
      </c>
      <c r="E32" s="26">
        <v>52</v>
      </c>
      <c r="F32" s="26">
        <v>69</v>
      </c>
    </row>
    <row r="33" spans="1:6" ht="15" customHeight="1" x14ac:dyDescent="0.25">
      <c r="A33" s="25" t="s">
        <v>36</v>
      </c>
      <c r="B33" s="26">
        <v>174.75700000000001</v>
      </c>
      <c r="C33" s="26">
        <v>174.2</v>
      </c>
      <c r="D33" s="26">
        <v>151.87799999999999</v>
      </c>
      <c r="E33" s="26">
        <v>150</v>
      </c>
      <c r="F33" s="26">
        <v>164</v>
      </c>
    </row>
    <row r="34" spans="1:6" ht="15" customHeight="1" x14ac:dyDescent="0.25">
      <c r="A34" s="27" t="s">
        <v>37</v>
      </c>
      <c r="B34" s="28">
        <f>SUM(B30:B33)</f>
        <v>1009.1020000000001</v>
      </c>
      <c r="C34" s="28">
        <f>SUM(C30:C33)</f>
        <v>1193.579</v>
      </c>
      <c r="D34" s="28">
        <f>SUM(D30:D33)</f>
        <v>1312.826</v>
      </c>
      <c r="E34" s="28">
        <f>SUM(E30:E33)</f>
        <v>1661</v>
      </c>
      <c r="F34" s="28">
        <f>SUM(F30:F33)</f>
        <v>2222</v>
      </c>
    </row>
    <row r="35" spans="1:6" ht="15" customHeight="1" x14ac:dyDescent="0.25">
      <c r="A35" s="27" t="s">
        <v>38</v>
      </c>
      <c r="B35" s="28">
        <f>B28-B34</f>
        <v>-27.470000000000141</v>
      </c>
      <c r="C35" s="28">
        <f>C28-C34</f>
        <v>19.20900000000006</v>
      </c>
      <c r="D35" s="28">
        <f>D28-D34</f>
        <v>51.849999999999909</v>
      </c>
      <c r="E35" s="28">
        <f>E28-E34</f>
        <v>-89</v>
      </c>
      <c r="F35" s="28">
        <f>F28-F34</f>
        <v>-144</v>
      </c>
    </row>
    <row r="36" spans="1:6" ht="15" customHeight="1" x14ac:dyDescent="0.25">
      <c r="A36" s="25" t="s">
        <v>39</v>
      </c>
      <c r="B36" s="26">
        <v>26.837</v>
      </c>
      <c r="C36" s="26">
        <v>0</v>
      </c>
      <c r="D36" s="26">
        <v>0</v>
      </c>
      <c r="E36" s="26">
        <v>0</v>
      </c>
      <c r="F36" s="26">
        <v>0</v>
      </c>
    </row>
    <row r="37" spans="1:6" ht="15" customHeight="1" x14ac:dyDescent="0.25">
      <c r="A37" s="25" t="s">
        <v>40</v>
      </c>
      <c r="B37" s="26">
        <v>-263.83499999999998</v>
      </c>
      <c r="C37" s="26">
        <v>-266.96600000000001</v>
      </c>
      <c r="D37" s="26">
        <v>-310.55500000000001</v>
      </c>
      <c r="E37" s="26">
        <v>-388</v>
      </c>
      <c r="F37" s="26">
        <v>-536</v>
      </c>
    </row>
    <row r="38" spans="1:6" ht="15" customHeight="1" x14ac:dyDescent="0.25">
      <c r="A38" s="25" t="s">
        <v>41</v>
      </c>
      <c r="B38" s="26">
        <v>-4.1369999999999996</v>
      </c>
      <c r="C38" s="26">
        <v>5.0229999999999997</v>
      </c>
      <c r="D38" s="26">
        <v>21.901</v>
      </c>
      <c r="E38" s="26">
        <v>10</v>
      </c>
      <c r="F38" s="26">
        <v>24</v>
      </c>
    </row>
    <row r="39" spans="1:6" ht="15" customHeight="1" x14ac:dyDescent="0.25">
      <c r="A39" s="27" t="s">
        <v>42</v>
      </c>
      <c r="B39" s="28">
        <f>SUM(B35:B38)</f>
        <v>-268.60500000000013</v>
      </c>
      <c r="C39" s="28">
        <f>SUM(C35:C38)</f>
        <v>-242.73399999999995</v>
      </c>
      <c r="D39" s="28">
        <f>SUM(D35:D38)</f>
        <v>-236.80400000000009</v>
      </c>
      <c r="E39" s="28">
        <f>SUM(E35:E38)</f>
        <v>-467</v>
      </c>
      <c r="F39" s="28">
        <f>SUM(F35:F38)</f>
        <v>-656</v>
      </c>
    </row>
    <row r="40" spans="1:6" ht="15" customHeight="1" x14ac:dyDescent="0.25">
      <c r="A40" s="25" t="s">
        <v>43</v>
      </c>
      <c r="B40" s="26">
        <v>46.036000000000001</v>
      </c>
      <c r="C40" s="26">
        <v>47.774999999999999</v>
      </c>
      <c r="D40" s="26">
        <v>-126.68</v>
      </c>
      <c r="E40" s="26">
        <v>-15</v>
      </c>
      <c r="F40" s="26">
        <v>84</v>
      </c>
    </row>
    <row r="41" spans="1:6" ht="15" customHeight="1" x14ac:dyDescent="0.25">
      <c r="A41" s="29" t="s">
        <v>44</v>
      </c>
      <c r="B41" s="30">
        <f>B39-B40</f>
        <v>-314.64100000000013</v>
      </c>
      <c r="C41" s="30">
        <f>C39-C40</f>
        <v>-290.50899999999996</v>
      </c>
      <c r="D41" s="30">
        <f>D39-D40</f>
        <v>-110.12400000000008</v>
      </c>
      <c r="E41" s="30">
        <f>E39-E40</f>
        <v>-452</v>
      </c>
      <c r="F41" s="30">
        <f>F39-F40</f>
        <v>-740</v>
      </c>
    </row>
    <row r="42" spans="1:6" ht="15" customHeight="1" x14ac:dyDescent="0.25">
      <c r="A42" s="25" t="s">
        <v>45</v>
      </c>
      <c r="B42" s="26"/>
      <c r="C42" s="26"/>
      <c r="D42" s="26"/>
      <c r="E42" s="26">
        <v>0</v>
      </c>
      <c r="F42" s="26">
        <v>5</v>
      </c>
    </row>
    <row r="43" spans="1:6" ht="15" customHeight="1" x14ac:dyDescent="0.25">
      <c r="A43" s="29" t="s">
        <v>46</v>
      </c>
      <c r="B43" s="30" t="str">
        <f>IF(B42="","",B41+B42)</f>
        <v/>
      </c>
      <c r="C43" s="30" t="str">
        <f>IF(C42="","",C41+C42)</f>
        <v/>
      </c>
      <c r="D43" s="30" t="str">
        <f>IF(D42="","",D41+D42)</f>
        <v/>
      </c>
      <c r="E43" s="30">
        <f>IF(E42="","",E41+E42)</f>
        <v>-452</v>
      </c>
      <c r="F43" s="30">
        <f>IF(F42="","",F41+F42)</f>
        <v>-735</v>
      </c>
    </row>
    <row r="44" spans="1:6" ht="15" customHeight="1" x14ac:dyDescent="0.25">
      <c r="A44" s="25"/>
      <c r="B44" s="31"/>
      <c r="C44" s="31"/>
      <c r="D44" s="31"/>
      <c r="E44" s="31"/>
      <c r="F44" s="31"/>
    </row>
    <row r="45" spans="1:6" ht="15" customHeight="1" x14ac:dyDescent="0.25">
      <c r="A45" s="22" t="s">
        <v>47</v>
      </c>
      <c r="B45" s="23">
        <v>-343.363</v>
      </c>
      <c r="C45" s="23">
        <v>-290.50900000000001</v>
      </c>
      <c r="D45" s="23">
        <v>-110.124</v>
      </c>
      <c r="E45" s="23">
        <v>-452</v>
      </c>
      <c r="F45" s="23">
        <v>-740</v>
      </c>
    </row>
    <row r="46" spans="1:6" ht="15" customHeight="1" x14ac:dyDescent="0.25">
      <c r="A46" s="22" t="s">
        <v>48</v>
      </c>
      <c r="B46" s="23">
        <v>-370.20800000000003</v>
      </c>
      <c r="C46" s="23">
        <v>-290.50900000000001</v>
      </c>
      <c r="D46" s="23">
        <v>-110.124</v>
      </c>
      <c r="E46" s="23">
        <v>-452</v>
      </c>
      <c r="F46" s="23">
        <v>-740</v>
      </c>
    </row>
    <row r="47" spans="1:6" ht="15" customHeight="1" x14ac:dyDescent="0.25">
      <c r="A47" s="22" t="s">
        <v>49</v>
      </c>
      <c r="B47" s="32">
        <v>-1.4</v>
      </c>
      <c r="C47" s="32">
        <v>-0.6</v>
      </c>
      <c r="D47" s="32">
        <v>-0.22</v>
      </c>
      <c r="E47" s="32">
        <v>-0.89</v>
      </c>
      <c r="F47" s="32">
        <v>-1.4</v>
      </c>
    </row>
    <row r="48" spans="1:6" ht="15" customHeight="1" x14ac:dyDescent="0.25">
      <c r="A48" s="22" t="s">
        <v>50</v>
      </c>
      <c r="B48" s="32">
        <v>-1.49</v>
      </c>
      <c r="C48" s="32">
        <v>-0.6</v>
      </c>
      <c r="D48" s="32">
        <v>-0.22</v>
      </c>
      <c r="E48" s="32">
        <v>-0.89</v>
      </c>
      <c r="F48" s="32">
        <v>-1.4</v>
      </c>
    </row>
    <row r="49" spans="1:6" ht="15" customHeight="1" x14ac:dyDescent="0.25">
      <c r="A49" s="25" t="s">
        <v>51</v>
      </c>
      <c r="B49" s="26">
        <v>245.608</v>
      </c>
      <c r="C49" s="26">
        <v>486.59100000000001</v>
      </c>
      <c r="D49" s="26">
        <v>497.88600000000002</v>
      </c>
      <c r="E49" s="26">
        <v>506</v>
      </c>
      <c r="F49" s="26">
        <v>527</v>
      </c>
    </row>
    <row r="50" spans="1:6" ht="15" customHeight="1" x14ac:dyDescent="0.25">
      <c r="A50" s="25" t="s">
        <v>52</v>
      </c>
      <c r="B50" s="26">
        <v>249.29300000000001</v>
      </c>
      <c r="C50" s="26">
        <v>486.59100000000001</v>
      </c>
      <c r="D50" s="26">
        <v>497.88600000000002</v>
      </c>
      <c r="E50" s="26">
        <v>506</v>
      </c>
      <c r="F50" s="26">
        <v>527</v>
      </c>
    </row>
    <row r="51" spans="1:6" ht="15" customHeight="1" x14ac:dyDescent="0.25">
      <c r="A51" s="25"/>
      <c r="B51" s="31"/>
      <c r="C51" s="31"/>
      <c r="D51" s="31"/>
      <c r="E51" s="31"/>
      <c r="F51" s="31"/>
    </row>
    <row r="52" spans="1:6" ht="15" customHeight="1" x14ac:dyDescent="0.25">
      <c r="A52" s="21" t="s">
        <v>53</v>
      </c>
      <c r="B52" s="11"/>
      <c r="C52" s="11"/>
      <c r="D52" s="11"/>
      <c r="E52" s="11"/>
      <c r="F52" s="11"/>
    </row>
    <row r="53" spans="1:6" ht="15" customHeight="1" x14ac:dyDescent="0.25">
      <c r="A53" s="24" t="s">
        <v>54</v>
      </c>
      <c r="B53" s="11"/>
      <c r="C53" s="11"/>
      <c r="D53" s="11"/>
      <c r="E53" s="11"/>
      <c r="F53" s="11"/>
    </row>
    <row r="54" spans="1:6" ht="15" customHeight="1" x14ac:dyDescent="0.25">
      <c r="A54" s="24" t="s">
        <v>55</v>
      </c>
      <c r="B54" s="11"/>
      <c r="C54" s="11"/>
      <c r="D54" s="11"/>
      <c r="E54" s="11"/>
      <c r="F54" s="11"/>
    </row>
    <row r="55" spans="1:6" ht="15" customHeight="1" x14ac:dyDescent="0.25">
      <c r="A55" s="25" t="s">
        <v>56</v>
      </c>
      <c r="B55" s="26">
        <v>1276.4559999999999</v>
      </c>
      <c r="C55" s="26">
        <v>1152.883</v>
      </c>
      <c r="D55" s="26">
        <v>1894.3989999999999</v>
      </c>
      <c r="E55" s="26">
        <v>3127</v>
      </c>
      <c r="F55" s="26">
        <v>2244</v>
      </c>
    </row>
    <row r="56" spans="1:6" ht="15" customHeight="1" x14ac:dyDescent="0.25">
      <c r="A56" s="25" t="s">
        <v>57</v>
      </c>
      <c r="B56" s="26">
        <v>624.25</v>
      </c>
      <c r="C56" s="26">
        <v>560.173</v>
      </c>
      <c r="D56" s="26">
        <v>596.77700000000004</v>
      </c>
      <c r="E56" s="26">
        <v>819</v>
      </c>
      <c r="F56" s="26">
        <v>777</v>
      </c>
    </row>
    <row r="57" spans="1:6" ht="15" customHeight="1" x14ac:dyDescent="0.25">
      <c r="A57" s="25" t="s">
        <v>58</v>
      </c>
      <c r="B57" s="26">
        <v>0</v>
      </c>
      <c r="C57" s="26">
        <v>0</v>
      </c>
      <c r="D57" s="26">
        <v>47.448999999999998</v>
      </c>
      <c r="E57" s="26">
        <v>34</v>
      </c>
      <c r="F57" s="26">
        <v>22</v>
      </c>
    </row>
    <row r="58" spans="1:6" ht="15" customHeight="1" x14ac:dyDescent="0.25">
      <c r="A58" s="25" t="s">
        <v>59</v>
      </c>
      <c r="B58" s="26">
        <v>1055.2080000000001</v>
      </c>
      <c r="C58" s="26">
        <v>1933.6980000000001</v>
      </c>
      <c r="D58" s="26">
        <v>1659.229</v>
      </c>
      <c r="E58" s="26">
        <v>3169</v>
      </c>
      <c r="F58" s="26">
        <v>2120</v>
      </c>
    </row>
    <row r="59" spans="1:6" ht="15" customHeight="1" x14ac:dyDescent="0.25">
      <c r="A59" s="25" t="s">
        <v>60</v>
      </c>
      <c r="B59" s="26">
        <v>146.733</v>
      </c>
      <c r="C59" s="26">
        <v>299.22899999999998</v>
      </c>
      <c r="D59" s="26">
        <v>533.42899999999997</v>
      </c>
      <c r="E59" s="26">
        <v>339</v>
      </c>
      <c r="F59" s="26">
        <v>446</v>
      </c>
    </row>
    <row r="60" spans="1:6" ht="15" customHeight="1" x14ac:dyDescent="0.25">
      <c r="A60" s="27" t="s">
        <v>61</v>
      </c>
      <c r="B60" s="28">
        <f>SUM(B55:B59)</f>
        <v>3102.6469999999999</v>
      </c>
      <c r="C60" s="28">
        <f>SUM(C55:C59)</f>
        <v>3945.9829999999997</v>
      </c>
      <c r="D60" s="28">
        <f>SUM(D55:D59)</f>
        <v>4731.2830000000004</v>
      </c>
      <c r="E60" s="28">
        <f>SUM(E55:E59)</f>
        <v>7488</v>
      </c>
      <c r="F60" s="28">
        <f>SUM(F55:F59)</f>
        <v>5609</v>
      </c>
    </row>
    <row r="61" spans="1:6" ht="15" customHeight="1" x14ac:dyDescent="0.25">
      <c r="A61" s="25" t="s">
        <v>62</v>
      </c>
      <c r="B61" s="26">
        <v>617.11</v>
      </c>
      <c r="C61" s="26">
        <v>340.52699999999999</v>
      </c>
      <c r="D61" s="26">
        <v>477.51499999999999</v>
      </c>
      <c r="E61" s="26">
        <v>184</v>
      </c>
      <c r="F61" s="26">
        <v>299</v>
      </c>
    </row>
    <row r="62" spans="1:6" ht="15" customHeight="1" x14ac:dyDescent="0.25">
      <c r="A62" s="25" t="s">
        <v>63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</row>
    <row r="63" spans="1:6" ht="15" customHeight="1" x14ac:dyDescent="0.25">
      <c r="A63" s="25" t="s">
        <v>64</v>
      </c>
      <c r="B63" s="26">
        <v>14210.992</v>
      </c>
      <c r="C63" s="26">
        <v>16631.509999999998</v>
      </c>
      <c r="D63" s="26">
        <v>20659.181</v>
      </c>
      <c r="E63" s="26">
        <v>30557</v>
      </c>
      <c r="F63" s="26">
        <v>36424</v>
      </c>
    </row>
    <row r="64" spans="1:6" ht="15" customHeight="1" x14ac:dyDescent="0.25">
      <c r="A64" s="25" t="s">
        <v>65</v>
      </c>
      <c r="B64" s="26">
        <v>3063.22</v>
      </c>
      <c r="C64" s="26">
        <v>3380.201</v>
      </c>
      <c r="D64" s="26">
        <v>4677.0569999999998</v>
      </c>
      <c r="E64" s="26">
        <v>8231</v>
      </c>
      <c r="F64" s="26">
        <v>10182</v>
      </c>
    </row>
    <row r="65" spans="1:6" ht="15" customHeight="1" x14ac:dyDescent="0.25">
      <c r="A65" s="25" t="s">
        <v>66</v>
      </c>
      <c r="B65" s="26">
        <v>4.3949999999999996</v>
      </c>
      <c r="C65" s="26">
        <v>205.89500000000001</v>
      </c>
      <c r="D65" s="26">
        <v>200.001</v>
      </c>
      <c r="E65" s="26">
        <v>235</v>
      </c>
      <c r="F65" s="26">
        <v>224</v>
      </c>
    </row>
    <row r="66" spans="1:6" ht="15" customHeight="1" x14ac:dyDescent="0.25">
      <c r="A66" s="25" t="s">
        <v>67</v>
      </c>
      <c r="B66" s="26">
        <v>19.544</v>
      </c>
      <c r="C66" s="26">
        <v>812.97</v>
      </c>
      <c r="D66" s="26">
        <v>829.97900000000004</v>
      </c>
      <c r="E66" s="26">
        <v>1101</v>
      </c>
      <c r="F66" s="26">
        <v>1101</v>
      </c>
    </row>
    <row r="67" spans="1:6" ht="15" customHeight="1" x14ac:dyDescent="0.25">
      <c r="A67" s="25" t="s">
        <v>68</v>
      </c>
      <c r="B67" s="26">
        <v>842.47500000000002</v>
      </c>
      <c r="C67" s="26">
        <v>924.27700000000004</v>
      </c>
      <c r="D67" s="26">
        <v>1335.482</v>
      </c>
      <c r="E67" s="26">
        <v>1506</v>
      </c>
      <c r="F67" s="26">
        <v>1734</v>
      </c>
    </row>
    <row r="68" spans="1:6" ht="15" customHeight="1" x14ac:dyDescent="0.25">
      <c r="A68" s="29" t="s">
        <v>69</v>
      </c>
      <c r="B68" s="30">
        <f>SUM(B60:B67)</f>
        <v>21860.383000000002</v>
      </c>
      <c r="C68" s="30">
        <f>SUM(C60:C67)</f>
        <v>26241.362999999998</v>
      </c>
      <c r="D68" s="30">
        <f>SUM(D60:D67)</f>
        <v>32910.498</v>
      </c>
      <c r="E68" s="30">
        <f>SUM(E60:E67)</f>
        <v>49302</v>
      </c>
      <c r="F68" s="30">
        <f>SUM(F60:F67)</f>
        <v>55573</v>
      </c>
    </row>
    <row r="69" spans="1:6" ht="15" customHeight="1" x14ac:dyDescent="0.25">
      <c r="A69" s="24" t="s">
        <v>70</v>
      </c>
      <c r="B69" s="11"/>
      <c r="C69" s="11"/>
      <c r="D69" s="11"/>
      <c r="E69" s="11"/>
      <c r="F69" s="11"/>
    </row>
    <row r="70" spans="1:6" ht="15" customHeight="1" x14ac:dyDescent="0.25">
      <c r="A70" s="24" t="s">
        <v>71</v>
      </c>
      <c r="B70" s="11"/>
      <c r="C70" s="11"/>
      <c r="D70" s="11"/>
      <c r="E70" s="11"/>
      <c r="F70" s="11"/>
    </row>
    <row r="71" spans="1:6" ht="15" customHeight="1" x14ac:dyDescent="0.25">
      <c r="A71" s="25" t="s">
        <v>72</v>
      </c>
      <c r="B71" s="26">
        <v>1242.0999999999999</v>
      </c>
      <c r="C71" s="26">
        <v>1226.579</v>
      </c>
      <c r="D71" s="26">
        <v>1156.9780000000001</v>
      </c>
      <c r="E71" s="26">
        <v>1623</v>
      </c>
      <c r="F71" s="26">
        <v>3371</v>
      </c>
    </row>
    <row r="72" spans="1:6" ht="15" customHeight="1" x14ac:dyDescent="0.25">
      <c r="A72" s="25" t="s">
        <v>73</v>
      </c>
      <c r="B72" s="26">
        <v>1377.0129999999999</v>
      </c>
      <c r="C72" s="26">
        <v>1411.2370000000001</v>
      </c>
      <c r="D72" s="26">
        <v>3172.2739999999999</v>
      </c>
      <c r="E72" s="26">
        <v>5773</v>
      </c>
      <c r="F72" s="26">
        <v>2726</v>
      </c>
    </row>
    <row r="73" spans="1:6" ht="15" customHeight="1" x14ac:dyDescent="0.25">
      <c r="A73" s="25" t="s">
        <v>74</v>
      </c>
      <c r="B73" s="26">
        <v>3776.5949999999998</v>
      </c>
      <c r="C73" s="26">
        <v>3627.6640000000002</v>
      </c>
      <c r="D73" s="26">
        <v>3712.1770000000001</v>
      </c>
      <c r="E73" s="26">
        <v>6708</v>
      </c>
      <c r="F73" s="26">
        <v>7547</v>
      </c>
    </row>
    <row r="74" spans="1:6" ht="15" customHeight="1" x14ac:dyDescent="0.25">
      <c r="A74" s="25" t="s">
        <v>75</v>
      </c>
      <c r="B74" s="26">
        <v>436.53</v>
      </c>
      <c r="C74" s="26">
        <v>951.346</v>
      </c>
      <c r="D74" s="26">
        <v>1107.58</v>
      </c>
      <c r="E74" s="26">
        <v>1709</v>
      </c>
      <c r="F74" s="26">
        <v>2130</v>
      </c>
    </row>
    <row r="75" spans="1:6" ht="15" customHeight="1" x14ac:dyDescent="0.25">
      <c r="A75" s="25" t="s">
        <v>76</v>
      </c>
      <c r="B75" s="26">
        <v>239.54900000000001</v>
      </c>
      <c r="C75" s="26">
        <v>279.08</v>
      </c>
      <c r="D75" s="26">
        <v>345.47199999999998</v>
      </c>
      <c r="E75" s="26">
        <v>427</v>
      </c>
      <c r="F75" s="26">
        <v>487</v>
      </c>
    </row>
    <row r="76" spans="1:6" ht="15" customHeight="1" x14ac:dyDescent="0.25">
      <c r="A76" s="25" t="s">
        <v>77</v>
      </c>
      <c r="B76" s="26">
        <v>59.01</v>
      </c>
      <c r="C76" s="26">
        <v>60.396000000000001</v>
      </c>
      <c r="D76" s="26">
        <v>48.99</v>
      </c>
      <c r="E76" s="26">
        <v>38</v>
      </c>
      <c r="F76" s="26">
        <v>23</v>
      </c>
    </row>
    <row r="77" spans="1:6" ht="15" customHeight="1" x14ac:dyDescent="0.25">
      <c r="A77" s="25" t="s">
        <v>78</v>
      </c>
      <c r="B77" s="26">
        <v>0</v>
      </c>
      <c r="C77" s="26">
        <v>5.2999999999999999E-2</v>
      </c>
      <c r="D77" s="26">
        <v>171.40100000000001</v>
      </c>
      <c r="E77" s="26">
        <v>162</v>
      </c>
      <c r="F77" s="26">
        <v>1534</v>
      </c>
    </row>
    <row r="78" spans="1:6" ht="15" customHeight="1" x14ac:dyDescent="0.25">
      <c r="A78" s="27" t="s">
        <v>79</v>
      </c>
      <c r="B78" s="28">
        <f>SUM(B71:B77)</f>
        <v>7130.7969999999996</v>
      </c>
      <c r="C78" s="28">
        <f>SUM(C71:C77)</f>
        <v>7556.3549999999987</v>
      </c>
      <c r="D78" s="28">
        <f>SUM(D71:D77)</f>
        <v>9714.8719999999994</v>
      </c>
      <c r="E78" s="28">
        <f>SUM(E71:E77)</f>
        <v>16440</v>
      </c>
      <c r="F78" s="28">
        <f>SUM(F71:F77)</f>
        <v>17818</v>
      </c>
    </row>
    <row r="79" spans="1:6" ht="15" customHeight="1" x14ac:dyDescent="0.25">
      <c r="A79" s="25" t="s">
        <v>80</v>
      </c>
      <c r="B79" s="26">
        <v>4935.0709999999999</v>
      </c>
      <c r="C79" s="26">
        <v>7423.8370000000004</v>
      </c>
      <c r="D79" s="26">
        <v>10322.757</v>
      </c>
      <c r="E79" s="26">
        <v>14665</v>
      </c>
      <c r="F79" s="26">
        <v>17312</v>
      </c>
    </row>
    <row r="80" spans="1:6" ht="15" customHeight="1" x14ac:dyDescent="0.25">
      <c r="A80" s="25" t="s">
        <v>81</v>
      </c>
      <c r="B80" s="26">
        <v>0.49099999999999999</v>
      </c>
      <c r="C80" s="26">
        <v>0.69799999999999995</v>
      </c>
      <c r="D80" s="26">
        <v>1.71</v>
      </c>
      <c r="E80" s="26">
        <v>1</v>
      </c>
      <c r="F80" s="26">
        <v>0</v>
      </c>
    </row>
    <row r="81" spans="1:6" ht="15" customHeight="1" x14ac:dyDescent="0.25">
      <c r="A81" s="25" t="s">
        <v>82</v>
      </c>
      <c r="B81" s="26">
        <v>3611.4690000000001</v>
      </c>
      <c r="C81" s="26">
        <v>3896.1729999999998</v>
      </c>
      <c r="D81" s="26">
        <v>4228.2219999999998</v>
      </c>
      <c r="E81" s="26">
        <v>6476</v>
      </c>
      <c r="F81" s="26">
        <v>5393</v>
      </c>
    </row>
    <row r="82" spans="1:6" ht="15" customHeight="1" x14ac:dyDescent="0.25">
      <c r="A82" s="25" t="s">
        <v>83</v>
      </c>
      <c r="B82" s="26">
        <v>2867.8380000000002</v>
      </c>
      <c r="C82" s="26">
        <v>3168.3919999999998</v>
      </c>
      <c r="D82" s="26">
        <v>4378.8689999999997</v>
      </c>
      <c r="E82" s="26">
        <v>7768</v>
      </c>
      <c r="F82" s="26">
        <v>9563</v>
      </c>
    </row>
    <row r="83" spans="1:6" ht="15" customHeight="1" x14ac:dyDescent="0.25">
      <c r="A83" s="25" t="s">
        <v>84</v>
      </c>
      <c r="B83" s="26">
        <v>18.814</v>
      </c>
      <c r="C83" s="26">
        <v>3.1120000000000001</v>
      </c>
      <c r="D83" s="26">
        <v>1.2E-2</v>
      </c>
      <c r="E83" s="26">
        <v>216</v>
      </c>
      <c r="F83" s="26">
        <v>215</v>
      </c>
    </row>
    <row r="84" spans="1:6" ht="15" customHeight="1" x14ac:dyDescent="0.25">
      <c r="A84" s="25" t="s">
        <v>85</v>
      </c>
      <c r="B84" s="26">
        <v>193.84899999999999</v>
      </c>
      <c r="C84" s="26">
        <v>245.65899999999999</v>
      </c>
      <c r="D84" s="26">
        <v>117.633</v>
      </c>
      <c r="E84" s="26">
        <v>115</v>
      </c>
      <c r="F84" s="26">
        <v>194</v>
      </c>
    </row>
    <row r="85" spans="1:6" ht="15" customHeight="1" x14ac:dyDescent="0.25">
      <c r="A85" s="25" t="s">
        <v>86</v>
      </c>
      <c r="B85" s="26">
        <v>32.771999999999998</v>
      </c>
      <c r="C85" s="26">
        <v>126.331</v>
      </c>
      <c r="D85" s="26">
        <v>268.40899999999999</v>
      </c>
      <c r="E85" s="26">
        <v>286</v>
      </c>
      <c r="F85" s="26">
        <v>319</v>
      </c>
    </row>
    <row r="86" spans="1:6" ht="15" customHeight="1" x14ac:dyDescent="0.25">
      <c r="A86" s="29" t="s">
        <v>87</v>
      </c>
      <c r="B86" s="30">
        <f>SUM(B78:B85)</f>
        <v>18791.100999999995</v>
      </c>
      <c r="C86" s="30">
        <f>SUM(C78:C85)</f>
        <v>22420.556999999997</v>
      </c>
      <c r="D86" s="30">
        <f>SUM(D78:D85)</f>
        <v>29032.484</v>
      </c>
      <c r="E86" s="30">
        <f>SUM(E78:E85)</f>
        <v>45967</v>
      </c>
      <c r="F86" s="30">
        <f>SUM(F78:F85)</f>
        <v>50814</v>
      </c>
    </row>
    <row r="87" spans="1:6" ht="15" customHeight="1" x14ac:dyDescent="0.25">
      <c r="A87" s="33" t="s">
        <v>88</v>
      </c>
      <c r="B87" s="31"/>
      <c r="C87" s="31"/>
      <c r="D87" s="31"/>
      <c r="E87" s="31"/>
      <c r="F87" s="31"/>
    </row>
    <row r="88" spans="1:6" ht="15" customHeight="1" x14ac:dyDescent="0.25">
      <c r="A88" s="24" t="s">
        <v>89</v>
      </c>
      <c r="B88" s="11"/>
      <c r="C88" s="11"/>
      <c r="D88" s="11"/>
      <c r="E88" s="11"/>
      <c r="F88" s="11"/>
    </row>
    <row r="89" spans="1:6" ht="15" customHeight="1" x14ac:dyDescent="0.25">
      <c r="A89" s="25" t="s">
        <v>90</v>
      </c>
      <c r="B89" s="26">
        <v>0</v>
      </c>
      <c r="C89" s="26">
        <v>0</v>
      </c>
      <c r="D89" s="26">
        <v>0</v>
      </c>
      <c r="E89" s="26">
        <v>0</v>
      </c>
      <c r="F89" s="26">
        <v>0</v>
      </c>
    </row>
    <row r="90" spans="1:6" ht="15" customHeight="1" x14ac:dyDescent="0.25">
      <c r="A90" s="25" t="s">
        <v>91</v>
      </c>
      <c r="B90" s="26">
        <v>1163.1590000000001</v>
      </c>
      <c r="C90" s="26">
        <v>1163.1590000000001</v>
      </c>
      <c r="D90" s="26">
        <v>0</v>
      </c>
      <c r="E90" s="26">
        <v>0</v>
      </c>
      <c r="F90" s="26">
        <v>0</v>
      </c>
    </row>
    <row r="91" spans="1:6" ht="15" customHeight="1" x14ac:dyDescent="0.25">
      <c r="A91" s="24" t="s">
        <v>92</v>
      </c>
      <c r="B91" s="11"/>
      <c r="C91" s="11"/>
      <c r="D91" s="11"/>
      <c r="E91" s="11"/>
      <c r="F91" s="11"/>
    </row>
    <row r="92" spans="1:6" ht="15" customHeight="1" x14ac:dyDescent="0.25">
      <c r="A92" s="25" t="s">
        <v>93</v>
      </c>
      <c r="B92" s="26">
        <v>0</v>
      </c>
      <c r="C92" s="26">
        <v>0</v>
      </c>
      <c r="D92" s="26">
        <v>0</v>
      </c>
      <c r="E92" s="26">
        <v>0</v>
      </c>
      <c r="F92" s="26">
        <v>0</v>
      </c>
    </row>
    <row r="93" spans="1:6" ht="15" customHeight="1" x14ac:dyDescent="0.25">
      <c r="A93" s="25" t="s">
        <v>94</v>
      </c>
      <c r="B93" s="26">
        <v>2E-3</v>
      </c>
      <c r="C93" s="26">
        <v>2E-3</v>
      </c>
      <c r="D93" s="26">
        <v>2E-3</v>
      </c>
      <c r="E93" s="26">
        <v>0</v>
      </c>
      <c r="F93" s="26">
        <v>0</v>
      </c>
    </row>
    <row r="94" spans="1:6" ht="15" customHeight="1" x14ac:dyDescent="0.25">
      <c r="A94" s="25" t="s">
        <v>95</v>
      </c>
      <c r="B94" s="26">
        <v>0</v>
      </c>
      <c r="C94" s="26">
        <v>0</v>
      </c>
      <c r="D94" s="26">
        <v>0</v>
      </c>
      <c r="E94" s="26">
        <v>0</v>
      </c>
      <c r="F94" s="26">
        <v>0</v>
      </c>
    </row>
    <row r="95" spans="1:6" ht="15" customHeight="1" x14ac:dyDescent="0.25">
      <c r="A95" s="25" t="s">
        <v>96</v>
      </c>
      <c r="B95" s="26">
        <v>0</v>
      </c>
      <c r="C95" s="26">
        <v>0</v>
      </c>
      <c r="D95" s="26">
        <v>0</v>
      </c>
      <c r="E95" s="26">
        <v>0</v>
      </c>
      <c r="F95" s="26">
        <v>0</v>
      </c>
    </row>
    <row r="96" spans="1:6" ht="15" customHeight="1" x14ac:dyDescent="0.25">
      <c r="A96" s="25" t="s">
        <v>97</v>
      </c>
      <c r="B96" s="26">
        <v>-33.524000000000001</v>
      </c>
      <c r="C96" s="26">
        <v>-33.524000000000001</v>
      </c>
      <c r="D96" s="26">
        <v>-33.524000000000001</v>
      </c>
      <c r="E96" s="26">
        <v>-34</v>
      </c>
      <c r="F96" s="26">
        <v>-34</v>
      </c>
    </row>
    <row r="97" spans="1:6" ht="15" customHeight="1" x14ac:dyDescent="0.25">
      <c r="A97" s="25" t="s">
        <v>98</v>
      </c>
      <c r="B97" s="26">
        <v>3730.5210000000002</v>
      </c>
      <c r="C97" s="26">
        <v>4772.8249999999998</v>
      </c>
      <c r="D97" s="26">
        <v>6104.3289999999997</v>
      </c>
      <c r="E97" s="26">
        <v>6012</v>
      </c>
      <c r="F97" s="26">
        <v>8171</v>
      </c>
    </row>
    <row r="98" spans="1:6" ht="15" customHeight="1" x14ac:dyDescent="0.25">
      <c r="A98" s="25" t="s">
        <v>99</v>
      </c>
      <c r="B98" s="26">
        <v>0</v>
      </c>
      <c r="C98" s="26">
        <v>-0.27100000000000002</v>
      </c>
      <c r="D98" s="26">
        <v>-1.284</v>
      </c>
      <c r="E98" s="26">
        <v>0</v>
      </c>
      <c r="F98" s="26">
        <v>5</v>
      </c>
    </row>
    <row r="99" spans="1:6" ht="15" customHeight="1" x14ac:dyDescent="0.25">
      <c r="A99" s="25" t="s">
        <v>100</v>
      </c>
      <c r="B99" s="26">
        <v>-1790.876</v>
      </c>
      <c r="C99" s="26">
        <v>-2081.3850000000002</v>
      </c>
      <c r="D99" s="26">
        <v>-2191.509</v>
      </c>
      <c r="E99" s="26">
        <v>-2643</v>
      </c>
      <c r="F99" s="26">
        <v>-3383</v>
      </c>
    </row>
    <row r="100" spans="1:6" ht="15" customHeight="1" x14ac:dyDescent="0.25">
      <c r="A100" s="27" t="s">
        <v>101</v>
      </c>
      <c r="B100" s="28">
        <f>SUM(B92:B99)</f>
        <v>1906.1230000000003</v>
      </c>
      <c r="C100" s="28">
        <f>SUM(C92:C99)</f>
        <v>2657.6469999999999</v>
      </c>
      <c r="D100" s="28">
        <f>SUM(D92:D99)</f>
        <v>3878.0140000000001</v>
      </c>
      <c r="E100" s="28">
        <f>SUM(E92:E99)</f>
        <v>3335</v>
      </c>
      <c r="F100" s="28">
        <f>SUM(F92:F99)</f>
        <v>4759</v>
      </c>
    </row>
    <row r="101" spans="1:6" ht="15" customHeight="1" x14ac:dyDescent="0.25">
      <c r="A101" s="29" t="s">
        <v>102</v>
      </c>
      <c r="B101" s="30">
        <f>SUM(B86,B89:B90,B100)</f>
        <v>21860.382999999994</v>
      </c>
      <c r="C101" s="30">
        <f>SUM(C86,C89:C90,C100)</f>
        <v>26241.362999999998</v>
      </c>
      <c r="D101" s="30">
        <f>SUM(D86,D89:D90,D100)</f>
        <v>32910.498</v>
      </c>
      <c r="E101" s="30">
        <f>SUM(E86,E89:E90,E100)</f>
        <v>49302</v>
      </c>
      <c r="F101" s="30">
        <f>SUM(F86,F89:F90,F100)</f>
        <v>55573</v>
      </c>
    </row>
    <row r="102" spans="1:6" ht="15" customHeight="1" x14ac:dyDescent="0.25">
      <c r="A102" s="27" t="s">
        <v>103</v>
      </c>
      <c r="B102" s="28">
        <f>B68-B101</f>
        <v>0</v>
      </c>
      <c r="C102" s="28">
        <f>C68-C101</f>
        <v>0</v>
      </c>
      <c r="D102" s="28">
        <f>D68-D101</f>
        <v>0</v>
      </c>
      <c r="E102" s="28">
        <f>E68-E101</f>
        <v>0</v>
      </c>
      <c r="F102" s="28">
        <f>F68-F101</f>
        <v>0</v>
      </c>
    </row>
    <row r="103" spans="1:6" ht="15" customHeight="1" x14ac:dyDescent="0.25">
      <c r="A103" s="25"/>
      <c r="B103" s="31"/>
      <c r="C103" s="31"/>
      <c r="D103" s="31"/>
      <c r="E103" s="31"/>
      <c r="F103" s="31"/>
    </row>
    <row r="104" spans="1:6" ht="15" customHeight="1" x14ac:dyDescent="0.25">
      <c r="A104" s="21" t="s">
        <v>104</v>
      </c>
      <c r="B104" s="11"/>
      <c r="C104" s="11"/>
      <c r="D104" s="11"/>
      <c r="E104" s="11"/>
      <c r="F104" s="11"/>
    </row>
    <row r="105" spans="1:6" ht="15" customHeight="1" x14ac:dyDescent="0.25">
      <c r="A105" s="24" t="s">
        <v>105</v>
      </c>
      <c r="B105" s="11"/>
      <c r="C105" s="11"/>
      <c r="D105" s="11"/>
      <c r="E105" s="11"/>
      <c r="F105" s="11"/>
    </row>
    <row r="106" spans="1:6" ht="15" customHeight="1" x14ac:dyDescent="0.25">
      <c r="A106" s="25" t="s">
        <v>44</v>
      </c>
      <c r="B106" s="26">
        <v>-314.64100000000002</v>
      </c>
      <c r="C106" s="26">
        <v>-290.50900000000001</v>
      </c>
      <c r="D106" s="26">
        <v>-110.124</v>
      </c>
      <c r="E106" s="26">
        <v>-452</v>
      </c>
      <c r="F106" s="26">
        <v>-740</v>
      </c>
    </row>
    <row r="107" spans="1:6" ht="15" customHeight="1" x14ac:dyDescent="0.25">
      <c r="A107" s="24" t="s">
        <v>106</v>
      </c>
      <c r="B107" s="11"/>
      <c r="C107" s="11"/>
      <c r="D107" s="11"/>
      <c r="E107" s="11"/>
      <c r="F107" s="11"/>
    </row>
    <row r="108" spans="1:6" ht="15" customHeight="1" x14ac:dyDescent="0.25">
      <c r="A108" s="25" t="s">
        <v>107</v>
      </c>
      <c r="B108" s="26">
        <v>443.49700000000001</v>
      </c>
      <c r="C108" s="26">
        <v>559.48099999999999</v>
      </c>
      <c r="D108" s="26">
        <v>630.47900000000004</v>
      </c>
      <c r="E108" s="26">
        <v>821</v>
      </c>
      <c r="F108" s="26">
        <v>1147</v>
      </c>
    </row>
    <row r="109" spans="1:6" ht="15" customHeight="1" x14ac:dyDescent="0.25">
      <c r="A109" s="25" t="s">
        <v>108</v>
      </c>
      <c r="B109" s="26">
        <v>37.691000000000003</v>
      </c>
      <c r="C109" s="26">
        <v>29.036000000000001</v>
      </c>
      <c r="D109" s="26">
        <v>21.048999999999999</v>
      </c>
      <c r="E109" s="26">
        <v>22</v>
      </c>
      <c r="F109" s="26">
        <v>41</v>
      </c>
    </row>
    <row r="110" spans="1:6" ht="15" customHeight="1" x14ac:dyDescent="0.25">
      <c r="A110" s="25" t="s">
        <v>109</v>
      </c>
      <c r="B110" s="26">
        <v>183.97300000000001</v>
      </c>
      <c r="C110" s="26">
        <v>145.005</v>
      </c>
      <c r="D110" s="26">
        <v>144.43100000000001</v>
      </c>
      <c r="E110" s="26">
        <v>157</v>
      </c>
      <c r="F110" s="26">
        <v>153</v>
      </c>
    </row>
    <row r="111" spans="1:6" ht="15" customHeight="1" x14ac:dyDescent="0.25">
      <c r="A111" s="25" t="s">
        <v>110</v>
      </c>
      <c r="B111" s="26">
        <v>66.869</v>
      </c>
      <c r="C111" s="26">
        <v>77.244</v>
      </c>
      <c r="D111" s="26">
        <v>89.722999999999999</v>
      </c>
      <c r="E111" s="26">
        <v>123</v>
      </c>
      <c r="F111" s="26">
        <v>167</v>
      </c>
    </row>
    <row r="112" spans="1:6" ht="15" customHeight="1" x14ac:dyDescent="0.25">
      <c r="A112" s="25" t="s">
        <v>111</v>
      </c>
      <c r="B112" s="26">
        <v>44.616999999999997</v>
      </c>
      <c r="C112" s="26">
        <v>46.267000000000003</v>
      </c>
      <c r="D112" s="26">
        <v>-128.02500000000001</v>
      </c>
      <c r="E112" s="26">
        <v>-16</v>
      </c>
      <c r="F112" s="26">
        <v>79</v>
      </c>
    </row>
    <row r="113" spans="1:6" ht="15" customHeight="1" x14ac:dyDescent="0.25">
      <c r="A113" s="25" t="s">
        <v>112</v>
      </c>
      <c r="B113" s="26">
        <v>-26.837</v>
      </c>
      <c r="C113" s="26">
        <v>0</v>
      </c>
      <c r="D113" s="26">
        <v>0</v>
      </c>
      <c r="E113" s="26">
        <v>0</v>
      </c>
      <c r="F113" s="26">
        <v>0</v>
      </c>
    </row>
    <row r="114" spans="1:6" ht="15" customHeight="1" x14ac:dyDescent="0.25">
      <c r="A114" s="25" t="s">
        <v>113</v>
      </c>
      <c r="B114" s="26">
        <v>0</v>
      </c>
      <c r="C114" s="26">
        <v>0</v>
      </c>
      <c r="D114" s="26">
        <v>14.486000000000001</v>
      </c>
      <c r="E114" s="26">
        <v>4</v>
      </c>
      <c r="F114" s="26">
        <v>0</v>
      </c>
    </row>
    <row r="115" spans="1:6" ht="15" customHeight="1" x14ac:dyDescent="0.25">
      <c r="A115" s="25" t="s">
        <v>114</v>
      </c>
      <c r="B115" s="26">
        <v>22.722999999999999</v>
      </c>
      <c r="C115" s="26">
        <v>17.408999999999999</v>
      </c>
      <c r="D115" s="26">
        <v>9.2560000000000002</v>
      </c>
      <c r="E115" s="26">
        <v>53</v>
      </c>
      <c r="F115" s="26">
        <v>121</v>
      </c>
    </row>
    <row r="116" spans="1:6" ht="15" customHeight="1" x14ac:dyDescent="0.25">
      <c r="A116" s="24" t="s">
        <v>115</v>
      </c>
      <c r="B116" s="11"/>
      <c r="C116" s="11"/>
      <c r="D116" s="11"/>
      <c r="E116" s="11"/>
      <c r="F116" s="11"/>
    </row>
    <row r="117" spans="1:6" ht="15" customHeight="1" x14ac:dyDescent="0.25">
      <c r="A117" s="25" t="s">
        <v>116</v>
      </c>
      <c r="B117" s="26">
        <v>-638.75</v>
      </c>
      <c r="C117" s="26">
        <v>-865.94600000000003</v>
      </c>
      <c r="D117" s="26">
        <v>252.18899999999999</v>
      </c>
      <c r="E117" s="26">
        <v>-1496</v>
      </c>
      <c r="F117" s="26">
        <v>1042</v>
      </c>
    </row>
    <row r="118" spans="1:6" ht="15" customHeight="1" x14ac:dyDescent="0.25">
      <c r="A118" s="25" t="s">
        <v>60</v>
      </c>
      <c r="B118" s="26">
        <v>-9.9290000000000003</v>
      </c>
      <c r="C118" s="26">
        <v>-110.51900000000001</v>
      </c>
      <c r="D118" s="26">
        <v>-50.585999999999999</v>
      </c>
      <c r="E118" s="26"/>
      <c r="F118" s="26"/>
    </row>
    <row r="119" spans="1:6" ht="15" customHeight="1" x14ac:dyDescent="0.25">
      <c r="A119" s="25" t="s">
        <v>117</v>
      </c>
      <c r="B119" s="26"/>
      <c r="C119" s="26"/>
      <c r="D119" s="26"/>
      <c r="E119" s="26">
        <v>-268</v>
      </c>
      <c r="F119" s="26">
        <v>-471</v>
      </c>
    </row>
    <row r="120" spans="1:6" ht="15" customHeight="1" x14ac:dyDescent="0.25">
      <c r="A120" s="25" t="s">
        <v>118</v>
      </c>
      <c r="B120" s="26">
        <v>62.326999999999998</v>
      </c>
      <c r="C120" s="26">
        <v>-351.5</v>
      </c>
      <c r="D120" s="26">
        <v>622.38400000000001</v>
      </c>
      <c r="E120" s="26">
        <v>-80</v>
      </c>
      <c r="F120" s="26">
        <v>960</v>
      </c>
    </row>
    <row r="121" spans="1:6" ht="15" customHeight="1" x14ac:dyDescent="0.25">
      <c r="A121" s="25" t="s">
        <v>119</v>
      </c>
      <c r="B121" s="26">
        <v>-15.904</v>
      </c>
      <c r="C121" s="26">
        <v>758.79600000000005</v>
      </c>
      <c r="D121" s="26">
        <v>659.27200000000005</v>
      </c>
      <c r="E121" s="26">
        <v>2772</v>
      </c>
      <c r="F121" s="26">
        <v>575</v>
      </c>
    </row>
    <row r="122" spans="1:6" ht="15" customHeight="1" x14ac:dyDescent="0.25">
      <c r="A122" s="25" t="s">
        <v>120</v>
      </c>
      <c r="B122" s="26">
        <v>-51.109000000000002</v>
      </c>
      <c r="C122" s="26">
        <v>-59.341999999999999</v>
      </c>
      <c r="D122" s="26">
        <v>-70.61</v>
      </c>
      <c r="E122" s="26">
        <v>-81</v>
      </c>
      <c r="F122" s="26">
        <v>-90</v>
      </c>
    </row>
    <row r="123" spans="1:6" ht="15" customHeight="1" x14ac:dyDescent="0.25">
      <c r="A123" s="25" t="s">
        <v>68</v>
      </c>
      <c r="B123" s="26">
        <v>256.64100000000002</v>
      </c>
      <c r="C123" s="26">
        <v>-206.673</v>
      </c>
      <c r="D123" s="26">
        <v>-394.79</v>
      </c>
      <c r="E123" s="26"/>
      <c r="F123" s="26"/>
    </row>
    <row r="124" spans="1:6" ht="15" customHeight="1" x14ac:dyDescent="0.25">
      <c r="A124" s="25" t="s">
        <v>121</v>
      </c>
      <c r="B124" s="26"/>
      <c r="C124" s="26"/>
      <c r="D124" s="26"/>
      <c r="E124" s="26">
        <v>0</v>
      </c>
      <c r="F124" s="26"/>
    </row>
    <row r="125" spans="1:6" ht="15" customHeight="1" x14ac:dyDescent="0.25">
      <c r="A125" s="29" t="s">
        <v>122</v>
      </c>
      <c r="B125" s="30">
        <f>SUM(B106,B108:B124)</f>
        <v>61.168000000000063</v>
      </c>
      <c r="C125" s="30">
        <f>SUM(C106,C108:C124)</f>
        <v>-251.25099999999998</v>
      </c>
      <c r="D125" s="30">
        <f>SUM(D106,D108:D124)</f>
        <v>1689.134</v>
      </c>
      <c r="E125" s="30">
        <f>SUM(E106,E108:E124)</f>
        <v>1559</v>
      </c>
      <c r="F125" s="30">
        <f>SUM(F106,F108:F124)</f>
        <v>2984</v>
      </c>
    </row>
    <row r="126" spans="1:6" ht="15" customHeight="1" x14ac:dyDescent="0.25">
      <c r="A126" s="24" t="s">
        <v>123</v>
      </c>
      <c r="B126" s="11"/>
      <c r="C126" s="11"/>
      <c r="D126" s="11"/>
      <c r="E126" s="11"/>
      <c r="F126" s="11"/>
    </row>
    <row r="127" spans="1:6" ht="15" customHeight="1" x14ac:dyDescent="0.25">
      <c r="A127" s="25" t="s">
        <v>124</v>
      </c>
      <c r="B127" s="26">
        <v>-1407.3589999999999</v>
      </c>
      <c r="C127" s="26">
        <v>-2452.9920000000002</v>
      </c>
      <c r="D127" s="26">
        <v>-2388.8879999999999</v>
      </c>
      <c r="E127" s="26">
        <v>-4060</v>
      </c>
      <c r="F127" s="26">
        <v>-7695</v>
      </c>
    </row>
    <row r="128" spans="1:6" ht="15" customHeight="1" x14ac:dyDescent="0.25">
      <c r="A128" s="25" t="s">
        <v>125</v>
      </c>
      <c r="B128" s="26">
        <v>0</v>
      </c>
      <c r="C128" s="26">
        <v>0</v>
      </c>
      <c r="D128" s="26">
        <v>0</v>
      </c>
      <c r="E128" s="26"/>
      <c r="F128" s="26"/>
    </row>
    <row r="129" spans="1:6" ht="15" customHeight="1" x14ac:dyDescent="0.25">
      <c r="A129" s="25" t="s">
        <v>126</v>
      </c>
      <c r="B129" s="26">
        <v>29.308</v>
      </c>
      <c r="C129" s="26">
        <v>0</v>
      </c>
      <c r="D129" s="26">
        <v>0</v>
      </c>
      <c r="E129" s="26"/>
      <c r="F129" s="26"/>
    </row>
    <row r="130" spans="1:6" ht="15" customHeight="1" x14ac:dyDescent="0.25">
      <c r="A130" s="25" t="s">
        <v>127</v>
      </c>
      <c r="B130" s="26">
        <v>0</v>
      </c>
      <c r="C130" s="26">
        <v>0</v>
      </c>
      <c r="D130" s="26">
        <v>0</v>
      </c>
      <c r="E130" s="26"/>
      <c r="F130" s="26"/>
    </row>
    <row r="131" spans="1:6" ht="15" customHeight="1" x14ac:dyDescent="0.25">
      <c r="A131" s="25" t="s">
        <v>128</v>
      </c>
      <c r="B131" s="26">
        <v>0</v>
      </c>
      <c r="C131" s="26">
        <v>0</v>
      </c>
      <c r="D131" s="26">
        <v>-47.246000000000002</v>
      </c>
      <c r="E131" s="26">
        <v>0</v>
      </c>
      <c r="F131" s="26"/>
    </row>
    <row r="132" spans="1:6" ht="15" customHeight="1" x14ac:dyDescent="0.25">
      <c r="A132" s="25" t="s">
        <v>129</v>
      </c>
      <c r="B132" s="26"/>
      <c r="C132" s="26"/>
      <c r="D132" s="26"/>
      <c r="E132" s="26">
        <v>14</v>
      </c>
      <c r="F132" s="26">
        <v>12</v>
      </c>
    </row>
    <row r="133" spans="1:6" ht="15" customHeight="1" x14ac:dyDescent="0.25">
      <c r="A133" s="25" t="s">
        <v>130</v>
      </c>
      <c r="B133" s="26">
        <v>0</v>
      </c>
      <c r="C133" s="26">
        <v>0</v>
      </c>
      <c r="D133" s="26">
        <v>0</v>
      </c>
      <c r="E133" s="26"/>
      <c r="F133" s="26"/>
    </row>
    <row r="134" spans="1:6" ht="15" customHeight="1" x14ac:dyDescent="0.25">
      <c r="A134" s="25" t="s">
        <v>131</v>
      </c>
      <c r="B134" s="26">
        <v>0</v>
      </c>
      <c r="C134" s="26">
        <v>100.645</v>
      </c>
      <c r="D134" s="26">
        <v>0</v>
      </c>
      <c r="E134" s="26">
        <v>153</v>
      </c>
      <c r="F134" s="26"/>
    </row>
    <row r="135" spans="1:6" ht="15" customHeight="1" x14ac:dyDescent="0.25">
      <c r="A135" s="25" t="s">
        <v>132</v>
      </c>
      <c r="B135" s="26">
        <v>0</v>
      </c>
      <c r="C135" s="26">
        <v>-45.706000000000003</v>
      </c>
      <c r="D135" s="26">
        <v>-10.212</v>
      </c>
      <c r="E135" s="26">
        <v>-52</v>
      </c>
      <c r="F135" s="26"/>
    </row>
    <row r="136" spans="1:6" ht="15" customHeight="1" x14ac:dyDescent="0.25">
      <c r="A136" s="25" t="s">
        <v>133</v>
      </c>
      <c r="B136" s="26">
        <v>-55</v>
      </c>
      <c r="C136" s="26">
        <v>-18</v>
      </c>
      <c r="D136" s="26">
        <v>0</v>
      </c>
      <c r="E136" s="26">
        <v>-17</v>
      </c>
      <c r="F136" s="26">
        <v>0</v>
      </c>
    </row>
    <row r="137" spans="1:6" ht="15" customHeight="1" x14ac:dyDescent="0.25">
      <c r="A137" s="25" t="s">
        <v>134</v>
      </c>
      <c r="B137" s="26">
        <v>0</v>
      </c>
      <c r="C137" s="26">
        <v>-26.109000000000002</v>
      </c>
      <c r="D137" s="26">
        <v>-23.74</v>
      </c>
      <c r="E137" s="26">
        <v>36</v>
      </c>
      <c r="F137" s="26">
        <v>-25</v>
      </c>
    </row>
    <row r="138" spans="1:6" ht="15" customHeight="1" x14ac:dyDescent="0.25">
      <c r="A138" s="29" t="s">
        <v>135</v>
      </c>
      <c r="B138" s="30">
        <f>SUM(B127:B137)</f>
        <v>-1433.0509999999999</v>
      </c>
      <c r="C138" s="30">
        <f>SUM(C127:C137)</f>
        <v>-2442.1620000000003</v>
      </c>
      <c r="D138" s="30">
        <f>SUM(D127:D137)</f>
        <v>-2470.0859999999998</v>
      </c>
      <c r="E138" s="30">
        <f>SUM(E127:E137)</f>
        <v>-3926</v>
      </c>
      <c r="F138" s="30">
        <f>SUM(F127:F137)</f>
        <v>-7708</v>
      </c>
    </row>
    <row r="139" spans="1:6" ht="15" customHeight="1" x14ac:dyDescent="0.25">
      <c r="A139" s="24" t="s">
        <v>136</v>
      </c>
      <c r="B139" s="11"/>
      <c r="C139" s="11"/>
      <c r="D139" s="11"/>
      <c r="E139" s="11"/>
      <c r="F139" s="11"/>
    </row>
    <row r="140" spans="1:6" ht="15" customHeight="1" x14ac:dyDescent="0.25">
      <c r="A140" s="25" t="s">
        <v>137</v>
      </c>
      <c r="B140" s="26">
        <v>784.95600000000002</v>
      </c>
      <c r="C140" s="26">
        <v>3647.7669999999998</v>
      </c>
      <c r="D140" s="26">
        <v>3129.9630000000002</v>
      </c>
      <c r="E140" s="26">
        <v>0</v>
      </c>
      <c r="F140" s="26"/>
    </row>
    <row r="141" spans="1:6" ht="15" customHeight="1" x14ac:dyDescent="0.25">
      <c r="A141" s="25" t="s">
        <v>138</v>
      </c>
      <c r="B141" s="26"/>
      <c r="C141" s="26"/>
      <c r="D141" s="26"/>
      <c r="E141" s="26">
        <v>4312</v>
      </c>
      <c r="F141" s="26">
        <v>3290</v>
      </c>
    </row>
    <row r="142" spans="1:6" ht="15" customHeight="1" x14ac:dyDescent="0.25">
      <c r="A142" s="25" t="s">
        <v>139</v>
      </c>
      <c r="B142" s="26">
        <v>-271.10399999999998</v>
      </c>
      <c r="C142" s="26">
        <v>-1303.7629999999999</v>
      </c>
      <c r="D142" s="26">
        <v>-1403.9829999999999</v>
      </c>
      <c r="E142" s="26">
        <v>-420</v>
      </c>
      <c r="F142" s="26">
        <v>-1335</v>
      </c>
    </row>
    <row r="143" spans="1:6" ht="15" customHeight="1" x14ac:dyDescent="0.25">
      <c r="A143" s="25" t="s">
        <v>140</v>
      </c>
      <c r="B143" s="26">
        <v>0</v>
      </c>
      <c r="C143" s="26">
        <v>-36.536000000000001</v>
      </c>
      <c r="D143" s="26">
        <v>-9.5500000000000007</v>
      </c>
      <c r="E143" s="26"/>
      <c r="F143" s="26"/>
    </row>
    <row r="144" spans="1:6" ht="15" customHeight="1" x14ac:dyDescent="0.25">
      <c r="A144" s="25" t="s">
        <v>141</v>
      </c>
      <c r="B144" s="26">
        <v>0</v>
      </c>
      <c r="C144" s="26">
        <v>0</v>
      </c>
      <c r="D144" s="26">
        <v>0</v>
      </c>
      <c r="E144" s="26">
        <v>-340</v>
      </c>
      <c r="F144" s="26"/>
    </row>
    <row r="145" spans="1:6" ht="15" customHeight="1" x14ac:dyDescent="0.25">
      <c r="A145" s="25" t="s">
        <v>142</v>
      </c>
      <c r="B145" s="26">
        <v>0</v>
      </c>
      <c r="C145" s="26">
        <v>0</v>
      </c>
      <c r="D145" s="26">
        <v>0</v>
      </c>
      <c r="E145" s="26">
        <v>0</v>
      </c>
      <c r="F145" s="26">
        <v>1985</v>
      </c>
    </row>
    <row r="146" spans="1:6" ht="15" customHeight="1" x14ac:dyDescent="0.25">
      <c r="A146" s="25" t="s">
        <v>143</v>
      </c>
      <c r="B146" s="26">
        <v>1422.6189999999999</v>
      </c>
      <c r="C146" s="26">
        <v>0</v>
      </c>
      <c r="D146" s="26">
        <v>0</v>
      </c>
      <c r="E146" s="26">
        <v>0</v>
      </c>
      <c r="F146" s="26">
        <v>0</v>
      </c>
    </row>
    <row r="147" spans="1:6" ht="15" customHeight="1" x14ac:dyDescent="0.25">
      <c r="A147" s="25" t="s">
        <v>144</v>
      </c>
      <c r="B147" s="26">
        <v>0</v>
      </c>
      <c r="C147" s="26">
        <v>67.668999999999997</v>
      </c>
      <c r="D147" s="26">
        <v>0</v>
      </c>
      <c r="E147" s="26">
        <v>0</v>
      </c>
      <c r="F147" s="26"/>
    </row>
    <row r="148" spans="1:6" ht="15" customHeight="1" x14ac:dyDescent="0.25">
      <c r="A148" s="25" t="s">
        <v>145</v>
      </c>
      <c r="B148" s="26">
        <v>-26.100999999999999</v>
      </c>
      <c r="C148" s="26">
        <v>-2.5920000000000001</v>
      </c>
      <c r="D148" s="26">
        <v>0</v>
      </c>
      <c r="E148" s="26">
        <v>0</v>
      </c>
      <c r="F148" s="26">
        <v>0</v>
      </c>
    </row>
    <row r="149" spans="1:6" ht="15" customHeight="1" x14ac:dyDescent="0.25">
      <c r="A149" s="25" t="s">
        <v>146</v>
      </c>
      <c r="B149" s="26">
        <v>0</v>
      </c>
      <c r="C149" s="26">
        <v>0</v>
      </c>
      <c r="D149" s="26">
        <v>0</v>
      </c>
      <c r="E149" s="26">
        <v>0</v>
      </c>
      <c r="F149" s="26"/>
    </row>
    <row r="150" spans="1:6" ht="15" customHeight="1" x14ac:dyDescent="0.25">
      <c r="A150" s="25" t="s">
        <v>147</v>
      </c>
      <c r="B150" s="26">
        <v>-15.685</v>
      </c>
      <c r="C150" s="26">
        <v>-116.873</v>
      </c>
      <c r="D150" s="26">
        <v>-11.484999999999999</v>
      </c>
      <c r="E150" s="26">
        <v>0</v>
      </c>
      <c r="F150" s="26">
        <v>0</v>
      </c>
    </row>
    <row r="151" spans="1:6" ht="15" customHeight="1" x14ac:dyDescent="0.25">
      <c r="A151" s="25" t="s">
        <v>148</v>
      </c>
      <c r="B151" s="26">
        <v>2.794</v>
      </c>
      <c r="C151" s="26">
        <v>1.744</v>
      </c>
      <c r="D151" s="26">
        <v>12.981</v>
      </c>
      <c r="E151" s="26">
        <v>2</v>
      </c>
      <c r="F151" s="26"/>
    </row>
    <row r="152" spans="1:6" ht="15" customHeight="1" x14ac:dyDescent="0.25">
      <c r="A152" s="25" t="s">
        <v>149</v>
      </c>
      <c r="B152" s="26">
        <v>-16.87</v>
      </c>
      <c r="C152" s="26">
        <v>-10.893000000000001</v>
      </c>
      <c r="D152" s="26">
        <v>-1.006</v>
      </c>
      <c r="E152" s="26"/>
      <c r="F152" s="26"/>
    </row>
    <row r="153" spans="1:6" ht="15" customHeight="1" x14ac:dyDescent="0.25">
      <c r="A153" s="25" t="s">
        <v>150</v>
      </c>
      <c r="B153" s="26">
        <v>0</v>
      </c>
      <c r="C153" s="26">
        <v>0</v>
      </c>
      <c r="D153" s="26">
        <v>0</v>
      </c>
      <c r="E153" s="26">
        <v>0</v>
      </c>
      <c r="F153" s="26"/>
    </row>
    <row r="154" spans="1:6" ht="15" customHeight="1" x14ac:dyDescent="0.25">
      <c r="A154" s="25" t="s">
        <v>151</v>
      </c>
      <c r="B154" s="26">
        <v>-26.742999999999999</v>
      </c>
      <c r="C154" s="26">
        <v>-17.343</v>
      </c>
      <c r="D154" s="26">
        <v>-20.86</v>
      </c>
      <c r="E154" s="26">
        <v>-26</v>
      </c>
      <c r="F154" s="26">
        <v>-26</v>
      </c>
    </row>
    <row r="155" spans="1:6" ht="15" customHeight="1" x14ac:dyDescent="0.25">
      <c r="A155" s="29" t="s">
        <v>152</v>
      </c>
      <c r="B155" s="30">
        <f>SUM(B140:B154)</f>
        <v>1853.8660000000002</v>
      </c>
      <c r="C155" s="30">
        <f>SUM(C140:C154)</f>
        <v>2229.1799999999998</v>
      </c>
      <c r="D155" s="30">
        <f>SUM(D140:D154)</f>
        <v>1696.0600000000004</v>
      </c>
      <c r="E155" s="30">
        <f>SUM(E140:E154)</f>
        <v>3528</v>
      </c>
      <c r="F155" s="30">
        <f>SUM(F140:F154)</f>
        <v>3914</v>
      </c>
    </row>
    <row r="156" spans="1:6" ht="15" customHeight="1" x14ac:dyDescent="0.25">
      <c r="A156" s="27" t="s">
        <v>153</v>
      </c>
      <c r="B156" s="28">
        <f>SUM(B125,B138,B155)</f>
        <v>481.9830000000004</v>
      </c>
      <c r="C156" s="28">
        <f>SUM(C125,C138,C155)</f>
        <v>-464.23300000000063</v>
      </c>
      <c r="D156" s="28">
        <f>SUM(D125,D138,D155)</f>
        <v>915.10800000000063</v>
      </c>
      <c r="E156" s="28">
        <f>SUM(E125,E138,E155)</f>
        <v>1161</v>
      </c>
      <c r="F156" s="28">
        <f>SUM(F125,F138,F155)</f>
        <v>-810</v>
      </c>
    </row>
    <row r="157" spans="1:6" ht="15" customHeight="1" x14ac:dyDescent="0.25">
      <c r="A157" s="22" t="s">
        <v>154</v>
      </c>
      <c r="B157" s="23">
        <v>2035.8330000000001</v>
      </c>
      <c r="C157" s="23">
        <v>2517.8159999999998</v>
      </c>
      <c r="D157" s="23">
        <v>2053.5830000000001</v>
      </c>
      <c r="E157" s="23">
        <v>2969</v>
      </c>
      <c r="F157" s="23">
        <v>4130</v>
      </c>
    </row>
    <row r="158" spans="1:6" ht="15" customHeight="1" x14ac:dyDescent="0.25">
      <c r="A158" s="29" t="s">
        <v>155</v>
      </c>
      <c r="B158" s="30">
        <f>B157+B156</f>
        <v>2517.8160000000007</v>
      </c>
      <c r="C158" s="30">
        <f>C157+C156</f>
        <v>2053.5829999999992</v>
      </c>
      <c r="D158" s="30">
        <f>D157+D156</f>
        <v>2968.6910000000007</v>
      </c>
      <c r="E158" s="30">
        <f>E157+E156</f>
        <v>4130</v>
      </c>
      <c r="F158" s="30">
        <f>F157+F156</f>
        <v>3320</v>
      </c>
    </row>
    <row r="159" spans="1:6" ht="15" customHeight="1" x14ac:dyDescent="0.25">
      <c r="A159" s="25"/>
      <c r="B159" s="31"/>
      <c r="C159" s="31"/>
      <c r="D159" s="31"/>
      <c r="E159" s="31"/>
      <c r="F159" s="31"/>
    </row>
    <row r="160" spans="1:6" ht="15" customHeight="1" x14ac:dyDescent="0.25">
      <c r="A160" s="24" t="s">
        <v>156</v>
      </c>
      <c r="B160" s="11"/>
      <c r="C160" s="11"/>
      <c r="D160" s="11"/>
      <c r="E160" s="11"/>
      <c r="F160" s="11"/>
    </row>
    <row r="161" spans="1:6" ht="15" customHeight="1" x14ac:dyDescent="0.25">
      <c r="A161" s="25" t="s">
        <v>157</v>
      </c>
      <c r="B161" s="26">
        <v>142.19300000000001</v>
      </c>
      <c r="C161" s="26">
        <v>219.364</v>
      </c>
      <c r="D161" s="26">
        <v>195.56700000000001</v>
      </c>
      <c r="E161" s="26">
        <v>311.87599999999998</v>
      </c>
      <c r="F161" s="26">
        <v>364</v>
      </c>
    </row>
    <row r="162" spans="1:6" ht="15" customHeight="1" x14ac:dyDescent="0.25">
      <c r="A162" s="24" t="s">
        <v>158</v>
      </c>
      <c r="B162" s="11"/>
      <c r="C162" s="11"/>
      <c r="D162" s="11"/>
      <c r="E162" s="11"/>
      <c r="F162" s="11"/>
    </row>
    <row r="163" spans="1:6" ht="15" customHeight="1" x14ac:dyDescent="0.25">
      <c r="A163" s="25" t="s">
        <v>159</v>
      </c>
      <c r="B163" s="26">
        <v>10.776</v>
      </c>
      <c r="C163" s="26">
        <v>11.204000000000001</v>
      </c>
      <c r="D163" s="26">
        <v>27.113</v>
      </c>
      <c r="E163" s="26">
        <v>19.907</v>
      </c>
      <c r="F163" s="26"/>
    </row>
    <row r="164" spans="1:6" ht="15" customHeight="1" x14ac:dyDescent="0.25">
      <c r="A164" s="25" t="s">
        <v>160</v>
      </c>
      <c r="B164" s="26">
        <v>535.524</v>
      </c>
      <c r="C164" s="26">
        <v>433.10599999999999</v>
      </c>
      <c r="D164" s="26">
        <v>1354.5719999999999</v>
      </c>
      <c r="E164" s="26">
        <v>3512.7979999999998</v>
      </c>
      <c r="F164" s="26">
        <v>1988</v>
      </c>
    </row>
    <row r="165" spans="1:6" ht="15" customHeight="1" x14ac:dyDescent="0.25">
      <c r="A165" s="25" t="s">
        <v>161</v>
      </c>
      <c r="B165" s="26"/>
      <c r="C165" s="26"/>
      <c r="D165" s="26"/>
      <c r="E165" s="26"/>
      <c r="F165" s="26"/>
    </row>
    <row r="166" spans="1:6" ht="15" customHeight="1" x14ac:dyDescent="0.25">
      <c r="A166" s="25" t="s">
        <v>162</v>
      </c>
      <c r="B166" s="26">
        <v>2008.056</v>
      </c>
      <c r="C166" s="26">
        <v>124.916</v>
      </c>
      <c r="D166" s="26">
        <v>2655.3710000000001</v>
      </c>
      <c r="E166" s="26">
        <v>6362.6570000000002</v>
      </c>
      <c r="F166" s="26">
        <v>4592</v>
      </c>
    </row>
    <row r="167" spans="1:6" ht="15" customHeight="1" x14ac:dyDescent="0.25">
      <c r="A167" s="25" t="s">
        <v>163</v>
      </c>
      <c r="B167" s="26">
        <v>0</v>
      </c>
      <c r="C167" s="26">
        <v>0</v>
      </c>
      <c r="D167" s="26">
        <v>0</v>
      </c>
      <c r="E167" s="26">
        <v>0</v>
      </c>
      <c r="F167" s="26">
        <v>1469</v>
      </c>
    </row>
    <row r="168" spans="1:6" ht="15" customHeight="1" x14ac:dyDescent="0.25">
      <c r="A168" s="25" t="s">
        <v>164</v>
      </c>
      <c r="B168" s="26">
        <v>350</v>
      </c>
      <c r="C168" s="26">
        <v>0</v>
      </c>
      <c r="D168" s="26">
        <v>0</v>
      </c>
      <c r="E168" s="26">
        <v>0</v>
      </c>
      <c r="F168" s="26">
        <v>0</v>
      </c>
    </row>
    <row r="169" spans="1:6" ht="15" customHeight="1" x14ac:dyDescent="0.25">
      <c r="A169" s="25" t="s">
        <v>165</v>
      </c>
      <c r="B169" s="26">
        <v>1722.14</v>
      </c>
      <c r="C169" s="26">
        <v>0</v>
      </c>
      <c r="D169" s="26">
        <v>0</v>
      </c>
      <c r="E169" s="26">
        <v>0</v>
      </c>
      <c r="F169" s="26">
        <v>0</v>
      </c>
    </row>
    <row r="170" spans="1:6" ht="15" customHeight="1" x14ac:dyDescent="0.25">
      <c r="A170" s="25" t="s">
        <v>166</v>
      </c>
      <c r="B170" s="26">
        <v>0</v>
      </c>
      <c r="C170" s="26">
        <v>0</v>
      </c>
      <c r="D170" s="26">
        <v>1163.1590000000001</v>
      </c>
      <c r="E170" s="26">
        <v>0</v>
      </c>
      <c r="F170" s="26"/>
    </row>
    <row r="171" spans="1:6" ht="15" customHeight="1" x14ac:dyDescent="0.25">
      <c r="A171" s="25" t="s">
        <v>167</v>
      </c>
      <c r="B171" s="26"/>
      <c r="C171" s="26"/>
      <c r="D171" s="26"/>
      <c r="E171" s="26">
        <v>70.284999999999997</v>
      </c>
      <c r="F171" s="26"/>
    </row>
    <row r="172" spans="1:6" ht="15" customHeight="1" x14ac:dyDescent="0.25">
      <c r="A172" s="25" t="s">
        <v>168</v>
      </c>
      <c r="B172" s="26">
        <v>0</v>
      </c>
      <c r="C172" s="26">
        <v>928.9</v>
      </c>
      <c r="D172" s="26">
        <v>9.9540000000000699</v>
      </c>
      <c r="E172" s="26"/>
      <c r="F172" s="26"/>
    </row>
    <row r="173" spans="1:6" ht="15" customHeight="1" x14ac:dyDescent="0.25">
      <c r="A173" s="25" t="s">
        <v>169</v>
      </c>
      <c r="B173" s="26">
        <v>0</v>
      </c>
      <c r="C173" s="26">
        <v>3.8610000000000002</v>
      </c>
      <c r="D173" s="26">
        <v>0</v>
      </c>
      <c r="E173" s="26"/>
      <c r="F173" s="26"/>
    </row>
    <row r="174" spans="1:6" ht="15" customHeight="1" x14ac:dyDescent="0.25">
      <c r="A174" s="25" t="s">
        <v>170</v>
      </c>
      <c r="B174" s="26">
        <v>0</v>
      </c>
      <c r="C174" s="26">
        <v>0</v>
      </c>
      <c r="D174" s="26">
        <v>0</v>
      </c>
      <c r="E174" s="26">
        <v>167</v>
      </c>
      <c r="F174" s="26"/>
    </row>
    <row r="175" spans="1:6" ht="15" customHeight="1" x14ac:dyDescent="0.25">
      <c r="A175" s="25" t="s">
        <v>171</v>
      </c>
      <c r="B175" s="26">
        <v>172.80799999999999</v>
      </c>
      <c r="C175" s="26">
        <v>0</v>
      </c>
      <c r="D175" s="26">
        <v>0</v>
      </c>
      <c r="E175" s="26">
        <v>0</v>
      </c>
      <c r="F175" s="26">
        <v>0</v>
      </c>
    </row>
    <row r="176" spans="1:6" ht="15" customHeight="1" x14ac:dyDescent="0.25">
      <c r="A176" s="25" t="s">
        <v>172</v>
      </c>
      <c r="B176" s="26">
        <v>0</v>
      </c>
      <c r="C176" s="26">
        <v>0</v>
      </c>
      <c r="D176" s="26">
        <v>0</v>
      </c>
      <c r="E176" s="26">
        <v>0</v>
      </c>
      <c r="F176" s="26"/>
    </row>
    <row r="177" spans="1:6" ht="15" customHeight="1" x14ac:dyDescent="0.25">
      <c r="A177" s="25" t="s">
        <v>173</v>
      </c>
      <c r="B177" s="26">
        <v>230.244</v>
      </c>
      <c r="C177" s="26">
        <v>0</v>
      </c>
      <c r="D177" s="26">
        <v>0</v>
      </c>
      <c r="E177" s="26">
        <v>0</v>
      </c>
      <c r="F177" s="26">
        <v>0</v>
      </c>
    </row>
    <row r="178" spans="1:6" ht="15" customHeight="1" x14ac:dyDescent="0.25">
      <c r="A178" s="25" t="s">
        <v>174</v>
      </c>
      <c r="B178" s="26"/>
      <c r="C178" s="26"/>
      <c r="D178" s="26"/>
      <c r="E178" s="26"/>
      <c r="F178" s="26"/>
    </row>
    <row r="179" spans="1:6" ht="15" customHeight="1" x14ac:dyDescent="0.25">
      <c r="A179" s="25" t="s">
        <v>175</v>
      </c>
      <c r="B179" s="26">
        <v>0</v>
      </c>
      <c r="C179" s="26">
        <v>0</v>
      </c>
      <c r="D179" s="26">
        <v>0</v>
      </c>
      <c r="E179" s="26">
        <v>0</v>
      </c>
      <c r="F179" s="26"/>
    </row>
    <row r="180" spans="1:6" ht="15" customHeight="1" x14ac:dyDescent="0.25">
      <c r="A180" s="25" t="s">
        <v>176</v>
      </c>
      <c r="B180" s="26">
        <v>0</v>
      </c>
      <c r="C180" s="26">
        <v>71.947000000000003</v>
      </c>
      <c r="D180" s="26">
        <v>2.3580000000000001</v>
      </c>
      <c r="E180" s="26">
        <v>2.6949999999999901</v>
      </c>
      <c r="F180" s="26"/>
    </row>
    <row r="181" spans="1:6" ht="15" customHeight="1" x14ac:dyDescent="0.25">
      <c r="A181" s="25" t="s">
        <v>177</v>
      </c>
      <c r="B181" s="26">
        <v>0</v>
      </c>
      <c r="C181" s="26">
        <v>89.956000000000003</v>
      </c>
      <c r="D181" s="26">
        <v>132.376</v>
      </c>
      <c r="E181" s="26">
        <v>0</v>
      </c>
      <c r="F181" s="26"/>
    </row>
    <row r="182" spans="1:6" ht="15" customHeight="1" x14ac:dyDescent="0.25">
      <c r="A182" s="24" t="s">
        <v>178</v>
      </c>
      <c r="B182" s="11"/>
      <c r="C182" s="11"/>
      <c r="D182" s="11"/>
      <c r="E182" s="11"/>
      <c r="F182" s="11"/>
    </row>
    <row r="183" spans="1:6" ht="15" customHeight="1" x14ac:dyDescent="0.25">
      <c r="A183" s="25" t="s">
        <v>56</v>
      </c>
      <c r="B183" s="26">
        <v>1276.4559999999999</v>
      </c>
      <c r="C183" s="26">
        <v>1152.883</v>
      </c>
      <c r="D183" s="26">
        <v>1894.3989999999999</v>
      </c>
      <c r="E183" s="26">
        <v>3127</v>
      </c>
      <c r="F183" s="26">
        <v>2244</v>
      </c>
    </row>
    <row r="184" spans="1:6" ht="15" customHeight="1" x14ac:dyDescent="0.25">
      <c r="A184" s="25" t="s">
        <v>57</v>
      </c>
      <c r="B184" s="26">
        <v>624.25</v>
      </c>
      <c r="C184" s="26">
        <v>560.173</v>
      </c>
      <c r="D184" s="26">
        <v>596.77700000000004</v>
      </c>
      <c r="E184" s="26">
        <v>819</v>
      </c>
      <c r="F184" s="26">
        <v>777</v>
      </c>
    </row>
    <row r="185" spans="1:6" ht="15" customHeight="1" x14ac:dyDescent="0.25">
      <c r="A185" s="25" t="s">
        <v>62</v>
      </c>
      <c r="B185" s="26">
        <v>617.11</v>
      </c>
      <c r="C185" s="26">
        <v>340.52699999999999</v>
      </c>
      <c r="D185" s="26">
        <v>477.51499999999999</v>
      </c>
      <c r="E185" s="26">
        <v>184</v>
      </c>
      <c r="F185" s="26">
        <v>299</v>
      </c>
    </row>
    <row r="186" spans="1:6" ht="15" customHeight="1" x14ac:dyDescent="0.25">
      <c r="A186" s="29" t="s">
        <v>179</v>
      </c>
      <c r="B186" s="30">
        <f>SUM(B183:B185)</f>
        <v>2517.8159999999998</v>
      </c>
      <c r="C186" s="30">
        <f>SUM(C183:C185)</f>
        <v>2053.5830000000001</v>
      </c>
      <c r="D186" s="30">
        <f>SUM(D183:D185)</f>
        <v>2968.6909999999998</v>
      </c>
      <c r="E186" s="30">
        <f>SUM(E183:E185)</f>
        <v>4130</v>
      </c>
      <c r="F186" s="30">
        <f>SUM(F183:F185)</f>
        <v>3320</v>
      </c>
    </row>
  </sheetData>
  <mergeCells count="1">
    <mergeCell ref="A1:J1"/>
  </mergeCells>
  <pageMargins left="0.25" right="0.25" top="0.4" bottom="0.4" header="0.511811023622047" footer="0.511811023622047"/>
  <pageSetup paperSize="5"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10"/>
  <sheetViews>
    <sheetView showGridLines="0" tabSelected="1" zoomScaleNormal="100" workbookViewId="0">
      <selection activeCell="E3" sqref="E3"/>
    </sheetView>
  </sheetViews>
  <sheetFormatPr defaultColWidth="8.7109375" defaultRowHeight="15" x14ac:dyDescent="0.25"/>
  <cols>
    <col min="2" max="7" width="9.85546875" customWidth="1"/>
    <col min="10" max="10" width="11.28515625" bestFit="1" customWidth="1"/>
  </cols>
  <sheetData>
    <row r="2" spans="2:7" x14ac:dyDescent="0.25">
      <c r="B2" s="45" t="s">
        <v>210</v>
      </c>
      <c r="C2" s="44" t="s">
        <v>211</v>
      </c>
      <c r="D2" s="44" t="s">
        <v>212</v>
      </c>
      <c r="E2" s="44" t="s">
        <v>213</v>
      </c>
    </row>
    <row r="3" spans="2:7" x14ac:dyDescent="0.25">
      <c r="B3" t="s">
        <v>209</v>
      </c>
      <c r="C3" s="41">
        <v>600000</v>
      </c>
      <c r="D3" s="42">
        <v>1</v>
      </c>
      <c r="E3" s="46">
        <f>SUM(E4:E6)</f>
        <v>9365.8699616471913</v>
      </c>
    </row>
    <row r="4" spans="2:7" x14ac:dyDescent="0.25">
      <c r="B4" t="s">
        <v>181</v>
      </c>
      <c r="C4" s="43">
        <f>D4*$C$3</f>
        <v>150000</v>
      </c>
      <c r="D4" s="42">
        <v>0.25</v>
      </c>
      <c r="E4" s="41">
        <f>C4*C39/1000000</f>
        <v>5640.3761029554607</v>
      </c>
    </row>
    <row r="5" spans="2:7" x14ac:dyDescent="0.25">
      <c r="B5" t="s">
        <v>207</v>
      </c>
      <c r="C5" s="43">
        <f>D5*$C$3</f>
        <v>225000</v>
      </c>
      <c r="D5" s="42">
        <v>0.375</v>
      </c>
      <c r="E5" s="41">
        <f>C5*C73/1000000</f>
        <v>3401.5110945792671</v>
      </c>
    </row>
    <row r="6" spans="2:7" x14ac:dyDescent="0.25">
      <c r="B6" t="s">
        <v>208</v>
      </c>
      <c r="C6" s="43">
        <f>D6*$C$3</f>
        <v>225000</v>
      </c>
      <c r="D6" s="42">
        <v>0.375</v>
      </c>
      <c r="E6" s="41">
        <f>C6*C107/1000000</f>
        <v>323.98276411246241</v>
      </c>
    </row>
    <row r="10" spans="2:7" ht="15" customHeight="1" x14ac:dyDescent="0.25">
      <c r="B10" s="1" t="s">
        <v>180</v>
      </c>
      <c r="C10" s="1">
        <v>0</v>
      </c>
      <c r="D10" s="1">
        <v>1</v>
      </c>
      <c r="E10" s="1">
        <v>2</v>
      </c>
      <c r="F10" s="1">
        <v>3</v>
      </c>
      <c r="G10" s="1">
        <v>4</v>
      </c>
    </row>
    <row r="11" spans="2:7" ht="15" customHeight="1" x14ac:dyDescent="0.25">
      <c r="B11" s="1"/>
      <c r="C11" s="1"/>
      <c r="D11" s="1"/>
      <c r="E11" s="1"/>
      <c r="F11" s="1"/>
      <c r="G11" s="1"/>
    </row>
    <row r="12" spans="2:7" ht="15" customHeight="1" x14ac:dyDescent="0.25">
      <c r="B12" s="1" t="s">
        <v>181</v>
      </c>
      <c r="C12" s="11">
        <v>-35000</v>
      </c>
      <c r="D12" s="1"/>
      <c r="E12" s="1"/>
      <c r="F12" s="1"/>
      <c r="G12" s="1"/>
    </row>
    <row r="13" spans="2:7" ht="15" customHeight="1" x14ac:dyDescent="0.25">
      <c r="B13" s="1" t="s">
        <v>182</v>
      </c>
      <c r="C13" s="11">
        <v>-350</v>
      </c>
      <c r="D13" s="1"/>
      <c r="E13" s="1"/>
      <c r="F13" s="1"/>
      <c r="G13" s="1"/>
    </row>
    <row r="14" spans="2:7" ht="15" customHeight="1" x14ac:dyDescent="0.25">
      <c r="B14" s="1" t="s">
        <v>183</v>
      </c>
      <c r="C14" s="11">
        <f>SUM(C12:C13)</f>
        <v>-35350</v>
      </c>
      <c r="D14" s="1"/>
      <c r="E14" s="1"/>
      <c r="F14" s="1"/>
      <c r="G14" s="1"/>
    </row>
    <row r="15" spans="2:7" ht="15" customHeight="1" x14ac:dyDescent="0.25">
      <c r="B15" s="1"/>
      <c r="C15" s="1"/>
      <c r="D15" s="1"/>
      <c r="E15" s="1"/>
      <c r="F15" s="1"/>
      <c r="G15" s="1"/>
    </row>
    <row r="16" spans="2:7" ht="15" customHeight="1" x14ac:dyDescent="0.25">
      <c r="B16" s="1" t="s">
        <v>184</v>
      </c>
      <c r="C16" s="1"/>
      <c r="D16" s="14">
        <v>0.82</v>
      </c>
      <c r="E16" s="14">
        <v>0.82</v>
      </c>
      <c r="F16" s="14">
        <v>0.8</v>
      </c>
      <c r="G16" s="14">
        <v>0.78</v>
      </c>
    </row>
    <row r="17" spans="2:7" ht="15" customHeight="1" x14ac:dyDescent="0.25">
      <c r="B17" s="1" t="s">
        <v>185</v>
      </c>
      <c r="C17" s="1"/>
      <c r="D17" s="11">
        <v>8760</v>
      </c>
      <c r="E17" s="11">
        <v>8760</v>
      </c>
      <c r="F17" s="11">
        <v>8760</v>
      </c>
      <c r="G17" s="11">
        <v>8760</v>
      </c>
    </row>
    <row r="18" spans="2:7" ht="15" customHeight="1" x14ac:dyDescent="0.25">
      <c r="B18" s="1" t="s">
        <v>186</v>
      </c>
      <c r="C18" s="1"/>
      <c r="D18" s="12">
        <v>6</v>
      </c>
      <c r="E18" s="12">
        <f>D18-0.5</f>
        <v>5.5</v>
      </c>
      <c r="F18" s="12">
        <f>E18-0.5</f>
        <v>5</v>
      </c>
      <c r="G18" s="12">
        <f>F18-0.5</f>
        <v>4.5</v>
      </c>
    </row>
    <row r="19" spans="2:7" ht="15" customHeight="1" x14ac:dyDescent="0.25">
      <c r="B19" s="5" t="s">
        <v>187</v>
      </c>
      <c r="C19" s="5"/>
      <c r="D19" s="6">
        <f>D18*D17*D16</f>
        <v>43099.199999999997</v>
      </c>
      <c r="E19" s="6">
        <f>E18*E17*E16</f>
        <v>39507.599999999999</v>
      </c>
      <c r="F19" s="6">
        <f>F18*F17*F16</f>
        <v>35040</v>
      </c>
      <c r="G19" s="6">
        <f>G18*G17*G16</f>
        <v>30747.600000000002</v>
      </c>
    </row>
    <row r="20" spans="2:7" ht="15" customHeight="1" x14ac:dyDescent="0.25">
      <c r="B20" s="1" t="s">
        <v>188</v>
      </c>
      <c r="C20" s="1"/>
      <c r="D20" s="11">
        <v>-1200</v>
      </c>
      <c r="E20" s="11">
        <v>-1200</v>
      </c>
      <c r="F20" s="11">
        <v>-1200</v>
      </c>
      <c r="G20" s="11">
        <v>-1200</v>
      </c>
    </row>
    <row r="21" spans="2:7" ht="15" customHeight="1" x14ac:dyDescent="0.25">
      <c r="B21" s="1" t="s">
        <v>189</v>
      </c>
      <c r="C21" s="1"/>
      <c r="D21" s="11">
        <v>-6600</v>
      </c>
      <c r="E21" s="11">
        <v>-6600</v>
      </c>
      <c r="F21" s="11">
        <v>-6600</v>
      </c>
      <c r="G21" s="11">
        <v>-6600</v>
      </c>
    </row>
    <row r="22" spans="2:7" ht="15" customHeight="1" x14ac:dyDescent="0.25">
      <c r="B22" s="1" t="s">
        <v>190</v>
      </c>
      <c r="C22" s="1"/>
      <c r="D22" s="11">
        <v>-300</v>
      </c>
      <c r="E22" s="11">
        <v>-300</v>
      </c>
      <c r="F22" s="11">
        <v>-300</v>
      </c>
      <c r="G22" s="11">
        <v>-300</v>
      </c>
    </row>
    <row r="23" spans="2:7" ht="15" customHeight="1" x14ac:dyDescent="0.25">
      <c r="B23" s="1" t="s">
        <v>191</v>
      </c>
      <c r="C23" s="1"/>
      <c r="D23" s="11">
        <v>-150</v>
      </c>
      <c r="E23" s="11">
        <v>-150</v>
      </c>
      <c r="F23" s="11">
        <v>-150</v>
      </c>
      <c r="G23" s="11">
        <v>-150</v>
      </c>
    </row>
    <row r="24" spans="2:7" ht="15" customHeight="1" x14ac:dyDescent="0.25">
      <c r="B24" s="1" t="s">
        <v>192</v>
      </c>
      <c r="C24" s="1"/>
      <c r="D24" s="11">
        <v>-1800</v>
      </c>
      <c r="E24" s="11">
        <v>-1800</v>
      </c>
      <c r="F24" s="11">
        <v>-1800</v>
      </c>
      <c r="G24" s="11">
        <v>-1800</v>
      </c>
    </row>
    <row r="25" spans="2:7" ht="15" customHeight="1" x14ac:dyDescent="0.25">
      <c r="B25" s="1" t="s">
        <v>193</v>
      </c>
      <c r="C25" s="1"/>
      <c r="D25" s="11">
        <v>0</v>
      </c>
      <c r="E25" s="11">
        <v>0</v>
      </c>
      <c r="F25" s="11">
        <v>0</v>
      </c>
      <c r="G25" s="11">
        <v>0</v>
      </c>
    </row>
    <row r="26" spans="2:7" ht="15" customHeight="1" x14ac:dyDescent="0.25">
      <c r="B26" s="1" t="s">
        <v>194</v>
      </c>
      <c r="C26" s="1"/>
      <c r="D26" s="11">
        <f>SUM(D19:D25)</f>
        <v>33049.199999999997</v>
      </c>
      <c r="E26" s="11">
        <f>SUM(E19:E25)</f>
        <v>29457.599999999999</v>
      </c>
      <c r="F26" s="11">
        <f>SUM(F19:F25)</f>
        <v>24990</v>
      </c>
      <c r="G26" s="11">
        <f>SUM(G19:G25)</f>
        <v>20697.600000000002</v>
      </c>
    </row>
    <row r="27" spans="2:7" ht="15" customHeight="1" x14ac:dyDescent="0.25">
      <c r="B27" s="1" t="s">
        <v>195</v>
      </c>
      <c r="C27" s="1"/>
      <c r="D27" s="14">
        <v>0.24</v>
      </c>
      <c r="E27" s="14">
        <v>0.24</v>
      </c>
      <c r="F27" s="14">
        <v>0.24</v>
      </c>
      <c r="G27" s="14">
        <v>0.24</v>
      </c>
    </row>
    <row r="28" spans="2:7" ht="15" customHeight="1" x14ac:dyDescent="0.25">
      <c r="B28" s="1" t="s">
        <v>196</v>
      </c>
      <c r="C28" s="1"/>
      <c r="D28" s="11">
        <f>D27*-D26</f>
        <v>-7931.8079999999991</v>
      </c>
      <c r="E28" s="11">
        <f>E27*-E26</f>
        <v>-7069.8239999999996</v>
      </c>
      <c r="F28" s="11">
        <f>F27*-F26</f>
        <v>-5997.5999999999995</v>
      </c>
      <c r="G28" s="11">
        <f>G27*-G26</f>
        <v>-4967.424</v>
      </c>
    </row>
    <row r="29" spans="2:7" ht="15" customHeight="1" x14ac:dyDescent="0.25">
      <c r="B29" s="1"/>
      <c r="C29" s="1"/>
      <c r="D29" s="11"/>
      <c r="E29" s="11"/>
      <c r="F29" s="11"/>
      <c r="G29" s="11"/>
    </row>
    <row r="30" spans="2:7" ht="15" customHeight="1" x14ac:dyDescent="0.25">
      <c r="B30" s="5" t="s">
        <v>197</v>
      </c>
      <c r="C30" s="5"/>
      <c r="D30" s="6">
        <f>D26+D28</f>
        <v>25117.392</v>
      </c>
      <c r="E30" s="6">
        <f>E26+E28</f>
        <v>22387.775999999998</v>
      </c>
      <c r="F30" s="6">
        <f>F26+F28</f>
        <v>18992.400000000001</v>
      </c>
      <c r="G30" s="6">
        <f>G26+G28</f>
        <v>15730.176000000003</v>
      </c>
    </row>
    <row r="31" spans="2:7" ht="15" customHeight="1" x14ac:dyDescent="0.25">
      <c r="B31" s="1"/>
      <c r="C31" s="1"/>
      <c r="D31" s="11"/>
      <c r="E31" s="11"/>
      <c r="F31" s="11"/>
      <c r="G31" s="11"/>
    </row>
    <row r="32" spans="2:7" ht="15" customHeight="1" x14ac:dyDescent="0.25">
      <c r="B32" s="1" t="s">
        <v>198</v>
      </c>
      <c r="C32" s="1"/>
      <c r="D32" s="1"/>
      <c r="E32" s="1"/>
      <c r="F32" s="1"/>
      <c r="G32" s="11">
        <v>12000</v>
      </c>
    </row>
    <row r="33" spans="2:7" ht="15" customHeight="1" x14ac:dyDescent="0.25">
      <c r="B33" s="1"/>
      <c r="C33" s="1"/>
      <c r="D33" s="1"/>
      <c r="E33" s="1"/>
      <c r="F33" s="1"/>
      <c r="G33" s="1"/>
    </row>
    <row r="34" spans="2:7" ht="15" customHeight="1" x14ac:dyDescent="0.25">
      <c r="B34" s="5" t="s">
        <v>199</v>
      </c>
      <c r="C34" s="6">
        <f>SUM(C32,C30,C14)</f>
        <v>-35350</v>
      </c>
      <c r="D34" s="6">
        <f>SUM(D32,D30,D14)</f>
        <v>25117.392</v>
      </c>
      <c r="E34" s="6">
        <f>SUM(E32,E30,E14)</f>
        <v>22387.775999999998</v>
      </c>
      <c r="F34" s="6">
        <f>SUM(F32,F30,F14)</f>
        <v>18992.400000000001</v>
      </c>
      <c r="G34" s="6">
        <f>SUM(G32,G30,G14)</f>
        <v>27730.176000000003</v>
      </c>
    </row>
    <row r="35" spans="2:7" ht="15" customHeight="1" x14ac:dyDescent="0.25">
      <c r="B35" s="1" t="s">
        <v>200</v>
      </c>
      <c r="C35" s="11">
        <f>C34</f>
        <v>-35350</v>
      </c>
      <c r="D35" s="11">
        <f>D34/(1+$C$38)^D10</f>
        <v>22628.281081081081</v>
      </c>
      <c r="E35" s="11">
        <f>E34/(1+$C$38)^E10</f>
        <v>18170.421232042849</v>
      </c>
      <c r="F35" s="11">
        <f>F34/(1+$C$38)^F10</f>
        <v>13887.079190220167</v>
      </c>
      <c r="G35" s="11">
        <f>G34/(1+$C$38)^G10</f>
        <v>18266.725849692306</v>
      </c>
    </row>
    <row r="36" spans="2:7" ht="15" customHeight="1" x14ac:dyDescent="0.25">
      <c r="B36" s="1" t="s">
        <v>201</v>
      </c>
      <c r="C36" s="11">
        <f>SUM($C$34:C34)</f>
        <v>-35350</v>
      </c>
      <c r="D36" s="11">
        <f>SUM($C$34:D34)</f>
        <v>-10232.608</v>
      </c>
      <c r="E36" s="11">
        <f>SUM($C$34:E34)</f>
        <v>12155.167999999998</v>
      </c>
      <c r="F36" s="11">
        <f>SUM($C$34:F34)</f>
        <v>31147.567999999999</v>
      </c>
      <c r="G36" s="11">
        <f>SUM($C$34:G34)</f>
        <v>58877.744000000006</v>
      </c>
    </row>
    <row r="37" spans="2:7" ht="15.75" customHeight="1" x14ac:dyDescent="0.25">
      <c r="B37" s="1"/>
      <c r="C37" s="1"/>
      <c r="D37" s="1"/>
      <c r="E37" s="1"/>
      <c r="F37" s="1"/>
      <c r="G37" s="1"/>
    </row>
    <row r="38" spans="2:7" ht="15" customHeight="1" x14ac:dyDescent="0.25">
      <c r="B38" s="34" t="s">
        <v>202</v>
      </c>
      <c r="C38" s="35">
        <v>0.11</v>
      </c>
      <c r="D38" s="1"/>
      <c r="E38" s="1"/>
      <c r="F38" s="1"/>
      <c r="G38" s="1"/>
    </row>
    <row r="39" spans="2:7" ht="15" customHeight="1" x14ac:dyDescent="0.25">
      <c r="B39" s="36" t="s">
        <v>203</v>
      </c>
      <c r="C39" s="37">
        <f>SUM(C35:G35)</f>
        <v>37602.507353036402</v>
      </c>
      <c r="D39" s="1"/>
      <c r="E39" s="1"/>
      <c r="F39" s="1"/>
      <c r="G39" s="1"/>
    </row>
    <row r="40" spans="2:7" ht="15" customHeight="1" x14ac:dyDescent="0.25">
      <c r="B40" s="36" t="s">
        <v>204</v>
      </c>
      <c r="C40" s="38">
        <f>IRR(C34:G34)</f>
        <v>0.55174042655822109</v>
      </c>
      <c r="D40" s="1"/>
      <c r="E40" s="1"/>
      <c r="F40" s="1"/>
      <c r="G40" s="1"/>
    </row>
    <row r="41" spans="2:7" ht="15" customHeight="1" x14ac:dyDescent="0.25">
      <c r="B41" s="36" t="s">
        <v>205</v>
      </c>
      <c r="C41" s="38">
        <f>MIRR(C34:G34,C38,C38)</f>
        <v>0.33041054964477468</v>
      </c>
      <c r="D41" s="1"/>
      <c r="E41" s="1"/>
      <c r="F41" s="1"/>
      <c r="G41" s="1"/>
    </row>
    <row r="42" spans="2:7" ht="15.75" customHeight="1" x14ac:dyDescent="0.25">
      <c r="B42" s="39" t="s">
        <v>206</v>
      </c>
      <c r="C42" s="40">
        <f>COUNTIF(C36:G36,"&lt;1")+1</f>
        <v>3</v>
      </c>
      <c r="D42" s="1"/>
      <c r="E42" s="1"/>
      <c r="F42" s="1"/>
      <c r="G42" s="1"/>
    </row>
    <row r="44" spans="2:7" ht="15" customHeight="1" x14ac:dyDescent="0.25">
      <c r="B44" s="1" t="s">
        <v>180</v>
      </c>
      <c r="C44" s="1">
        <v>0</v>
      </c>
      <c r="D44" s="1">
        <v>1</v>
      </c>
      <c r="E44" s="1">
        <v>2</v>
      </c>
      <c r="F44" s="1">
        <v>3</v>
      </c>
      <c r="G44" s="1">
        <v>4</v>
      </c>
    </row>
    <row r="45" spans="2:7" ht="15" customHeight="1" x14ac:dyDescent="0.25">
      <c r="B45" s="1"/>
      <c r="C45" s="1"/>
      <c r="D45" s="1"/>
      <c r="E45" s="1"/>
      <c r="F45" s="1"/>
      <c r="G45" s="1"/>
    </row>
    <row r="46" spans="2:7" ht="15" customHeight="1" x14ac:dyDescent="0.25">
      <c r="B46" s="1" t="s">
        <v>207</v>
      </c>
      <c r="C46" s="11">
        <v>-31000</v>
      </c>
      <c r="D46" s="1"/>
      <c r="E46" s="1"/>
      <c r="F46" s="1"/>
      <c r="G46" s="1"/>
    </row>
    <row r="47" spans="2:7" ht="15" customHeight="1" x14ac:dyDescent="0.25">
      <c r="B47" s="1" t="s">
        <v>182</v>
      </c>
      <c r="C47" s="11">
        <v>-350</v>
      </c>
      <c r="D47" s="1"/>
      <c r="E47" s="1"/>
      <c r="F47" s="1"/>
      <c r="G47" s="1"/>
    </row>
    <row r="48" spans="2:7" ht="15" customHeight="1" x14ac:dyDescent="0.25">
      <c r="B48" s="1" t="s">
        <v>183</v>
      </c>
      <c r="C48" s="11">
        <f>SUM(C46:C47)</f>
        <v>-31350</v>
      </c>
      <c r="D48" s="1"/>
      <c r="E48" s="1"/>
      <c r="F48" s="1"/>
      <c r="G48" s="1"/>
    </row>
    <row r="49" spans="2:7" ht="15" customHeight="1" x14ac:dyDescent="0.25">
      <c r="B49" s="1"/>
      <c r="C49" s="1"/>
      <c r="D49" s="1"/>
      <c r="E49" s="1"/>
      <c r="F49" s="1"/>
      <c r="G49" s="1"/>
    </row>
    <row r="50" spans="2:7" ht="15" customHeight="1" x14ac:dyDescent="0.25">
      <c r="B50" s="1" t="s">
        <v>184</v>
      </c>
      <c r="C50" s="1"/>
      <c r="D50" s="14">
        <v>0.8</v>
      </c>
      <c r="E50" s="14">
        <v>0.8</v>
      </c>
      <c r="F50" s="14">
        <v>0.8</v>
      </c>
      <c r="G50" s="14">
        <v>0.78</v>
      </c>
    </row>
    <row r="51" spans="2:7" ht="15" customHeight="1" x14ac:dyDescent="0.25">
      <c r="B51" s="1" t="s">
        <v>185</v>
      </c>
      <c r="C51" s="1"/>
      <c r="D51" s="11">
        <v>8760</v>
      </c>
      <c r="E51" s="11">
        <v>8760</v>
      </c>
      <c r="F51" s="11">
        <v>8760</v>
      </c>
      <c r="G51" s="11">
        <v>8760</v>
      </c>
    </row>
    <row r="52" spans="2:7" ht="15" customHeight="1" x14ac:dyDescent="0.25">
      <c r="B52" s="1" t="s">
        <v>186</v>
      </c>
      <c r="C52" s="1"/>
      <c r="D52" s="12">
        <v>3.75</v>
      </c>
      <c r="E52" s="12">
        <f>D52-0.25</f>
        <v>3.5</v>
      </c>
      <c r="F52" s="12">
        <f>E52-0.25</f>
        <v>3.25</v>
      </c>
      <c r="G52" s="12">
        <f>F52-0.25</f>
        <v>3</v>
      </c>
    </row>
    <row r="53" spans="2:7" ht="15" customHeight="1" x14ac:dyDescent="0.25">
      <c r="B53" s="5" t="s">
        <v>187</v>
      </c>
      <c r="C53" s="5"/>
      <c r="D53" s="6">
        <f>D52*D51*D50</f>
        <v>26280</v>
      </c>
      <c r="E53" s="6">
        <f>E52*E51*E50</f>
        <v>24528</v>
      </c>
      <c r="F53" s="6">
        <f>F52*F51*F50</f>
        <v>22776</v>
      </c>
      <c r="G53" s="6">
        <f>G52*G51*G50</f>
        <v>20498.400000000001</v>
      </c>
    </row>
    <row r="54" spans="2:7" ht="15" customHeight="1" x14ac:dyDescent="0.25">
      <c r="B54" s="1" t="s">
        <v>188</v>
      </c>
      <c r="C54" s="1"/>
      <c r="D54" s="11">
        <v>-1000</v>
      </c>
      <c r="E54" s="11">
        <v>-1000</v>
      </c>
      <c r="F54" s="11">
        <v>-1000</v>
      </c>
      <c r="G54" s="11">
        <v>-1000</v>
      </c>
    </row>
    <row r="55" spans="2:7" ht="15" customHeight="1" x14ac:dyDescent="0.25">
      <c r="B55" s="1" t="s">
        <v>189</v>
      </c>
      <c r="C55" s="1"/>
      <c r="D55" s="11">
        <v>-4000</v>
      </c>
      <c r="E55" s="11">
        <v>-4000</v>
      </c>
      <c r="F55" s="11">
        <v>-4000</v>
      </c>
      <c r="G55" s="11">
        <v>-4000</v>
      </c>
    </row>
    <row r="56" spans="2:7" ht="15" customHeight="1" x14ac:dyDescent="0.25">
      <c r="B56" s="1" t="s">
        <v>190</v>
      </c>
      <c r="C56" s="1"/>
      <c r="D56" s="11">
        <v>-250</v>
      </c>
      <c r="E56" s="11">
        <v>-250</v>
      </c>
      <c r="F56" s="11">
        <v>-250</v>
      </c>
      <c r="G56" s="11">
        <v>-250</v>
      </c>
    </row>
    <row r="57" spans="2:7" ht="15" customHeight="1" x14ac:dyDescent="0.25">
      <c r="B57" s="1" t="s">
        <v>191</v>
      </c>
      <c r="C57" s="1"/>
      <c r="D57" s="11">
        <v>-125</v>
      </c>
      <c r="E57" s="11">
        <v>-125</v>
      </c>
      <c r="F57" s="11">
        <v>-125</v>
      </c>
      <c r="G57" s="11">
        <v>-125</v>
      </c>
    </row>
    <row r="58" spans="2:7" ht="15" customHeight="1" x14ac:dyDescent="0.25">
      <c r="B58" s="1" t="s">
        <v>192</v>
      </c>
      <c r="C58" s="1"/>
      <c r="D58" s="11">
        <v>-1200</v>
      </c>
      <c r="E58" s="11">
        <v>-1200</v>
      </c>
      <c r="F58" s="11">
        <v>-1200</v>
      </c>
      <c r="G58" s="11">
        <v>-1200</v>
      </c>
    </row>
    <row r="59" spans="2:7" ht="15" customHeight="1" x14ac:dyDescent="0.25">
      <c r="B59" s="1" t="s">
        <v>193</v>
      </c>
      <c r="C59" s="1"/>
      <c r="D59" s="11">
        <v>0</v>
      </c>
      <c r="E59" s="11">
        <v>0</v>
      </c>
      <c r="F59" s="11">
        <v>0</v>
      </c>
      <c r="G59" s="11">
        <v>0</v>
      </c>
    </row>
    <row r="60" spans="2:7" ht="15" customHeight="1" x14ac:dyDescent="0.25">
      <c r="B60" s="1" t="s">
        <v>194</v>
      </c>
      <c r="C60" s="1"/>
      <c r="D60" s="11">
        <f>SUM(D53:D59)</f>
        <v>19705</v>
      </c>
      <c r="E60" s="11">
        <f>SUM(E53:E59)</f>
        <v>17953</v>
      </c>
      <c r="F60" s="11">
        <f>SUM(F53:F59)</f>
        <v>16201</v>
      </c>
      <c r="G60" s="11">
        <f>SUM(G53:G59)</f>
        <v>13923.400000000001</v>
      </c>
    </row>
    <row r="61" spans="2:7" ht="15" customHeight="1" x14ac:dyDescent="0.25">
      <c r="B61" s="1" t="s">
        <v>195</v>
      </c>
      <c r="C61" s="1"/>
      <c r="D61" s="14">
        <v>0.24</v>
      </c>
      <c r="E61" s="14">
        <v>0.24</v>
      </c>
      <c r="F61" s="14">
        <v>0.24</v>
      </c>
      <c r="G61" s="14">
        <v>0.24</v>
      </c>
    </row>
    <row r="62" spans="2:7" ht="15" customHeight="1" x14ac:dyDescent="0.25">
      <c r="B62" s="1" t="s">
        <v>196</v>
      </c>
      <c r="C62" s="1"/>
      <c r="D62" s="11">
        <f>D61*-D60</f>
        <v>-4729.2</v>
      </c>
      <c r="E62" s="11">
        <f>E61*-E60</f>
        <v>-4308.72</v>
      </c>
      <c r="F62" s="11">
        <f>F61*-F60</f>
        <v>-3888.24</v>
      </c>
      <c r="G62" s="11">
        <f>G61*-G60</f>
        <v>-3341.6160000000004</v>
      </c>
    </row>
    <row r="63" spans="2:7" ht="15" customHeight="1" x14ac:dyDescent="0.25">
      <c r="B63" s="1"/>
      <c r="C63" s="1"/>
      <c r="D63" s="11"/>
      <c r="E63" s="11"/>
      <c r="F63" s="11"/>
      <c r="G63" s="11"/>
    </row>
    <row r="64" spans="2:7" ht="15" customHeight="1" x14ac:dyDescent="0.25">
      <c r="B64" s="5" t="s">
        <v>197</v>
      </c>
      <c r="C64" s="5"/>
      <c r="D64" s="6">
        <f>D60+D62</f>
        <v>14975.8</v>
      </c>
      <c r="E64" s="6">
        <f>E60+E62</f>
        <v>13644.279999999999</v>
      </c>
      <c r="F64" s="6">
        <f>F60+F62</f>
        <v>12312.76</v>
      </c>
      <c r="G64" s="6">
        <f>G60+G62</f>
        <v>10581.784000000001</v>
      </c>
    </row>
    <row r="65" spans="2:7" ht="15" customHeight="1" x14ac:dyDescent="0.25">
      <c r="B65" s="1"/>
      <c r="C65" s="1"/>
      <c r="D65" s="11"/>
      <c r="E65" s="11"/>
      <c r="F65" s="11"/>
      <c r="G65" s="11"/>
    </row>
    <row r="66" spans="2:7" ht="15" customHeight="1" x14ac:dyDescent="0.25">
      <c r="B66" s="1" t="s">
        <v>198</v>
      </c>
      <c r="C66" s="1"/>
      <c r="D66" s="1"/>
      <c r="E66" s="1"/>
      <c r="F66" s="1"/>
      <c r="G66" s="11">
        <v>9000</v>
      </c>
    </row>
    <row r="67" spans="2:7" ht="15" customHeight="1" x14ac:dyDescent="0.25">
      <c r="B67" s="1"/>
      <c r="C67" s="1"/>
      <c r="D67" s="1"/>
      <c r="E67" s="1"/>
      <c r="F67" s="1"/>
      <c r="G67" s="1"/>
    </row>
    <row r="68" spans="2:7" ht="15" customHeight="1" x14ac:dyDescent="0.25">
      <c r="B68" s="5" t="s">
        <v>199</v>
      </c>
      <c r="C68" s="6">
        <f>SUM(C66,C64,C48)</f>
        <v>-31350</v>
      </c>
      <c r="D68" s="6">
        <f>SUM(D66,D64,D48)</f>
        <v>14975.8</v>
      </c>
      <c r="E68" s="6">
        <f>SUM(E66,E64,E48)</f>
        <v>13644.279999999999</v>
      </c>
      <c r="F68" s="6">
        <f>SUM(F66,F64,F48)</f>
        <v>12312.76</v>
      </c>
      <c r="G68" s="6">
        <f>SUM(G66,G64,G48)</f>
        <v>19581.784</v>
      </c>
    </row>
    <row r="69" spans="2:7" ht="15" customHeight="1" x14ac:dyDescent="0.25">
      <c r="B69" s="1" t="s">
        <v>200</v>
      </c>
      <c r="C69" s="11">
        <f>C68</f>
        <v>-31350</v>
      </c>
      <c r="D69" s="11">
        <f>D68/(1+$C$72)^D44</f>
        <v>13491.71171171171</v>
      </c>
      <c r="E69" s="11">
        <f>E68/(1+$C$72)^E44</f>
        <v>11074.003733463191</v>
      </c>
      <c r="F69" s="11">
        <f>F68/(1+$C$72)^F44</f>
        <v>9002.9839920270879</v>
      </c>
      <c r="G69" s="11">
        <f>G68/(1+$C$72)^G44</f>
        <v>12899.127649816977</v>
      </c>
    </row>
    <row r="70" spans="2:7" ht="15" customHeight="1" x14ac:dyDescent="0.25">
      <c r="B70" s="1" t="s">
        <v>201</v>
      </c>
      <c r="C70" s="11">
        <f>SUM($C$68:C68)</f>
        <v>-31350</v>
      </c>
      <c r="D70" s="11">
        <f>SUM($C$68:D68)</f>
        <v>-16374.2</v>
      </c>
      <c r="E70" s="11">
        <f>SUM($C$68:E68)</f>
        <v>-2729.9200000000019</v>
      </c>
      <c r="F70" s="11">
        <f>SUM($C$68:F68)</f>
        <v>9582.8399999999983</v>
      </c>
      <c r="G70" s="11">
        <f>SUM($C$68:G68)</f>
        <v>29164.623999999996</v>
      </c>
    </row>
    <row r="71" spans="2:7" ht="15.75" customHeight="1" x14ac:dyDescent="0.25">
      <c r="B71" s="1"/>
      <c r="C71" s="1"/>
      <c r="D71" s="1"/>
      <c r="E71" s="1"/>
      <c r="F71" s="1"/>
      <c r="G71" s="1"/>
    </row>
    <row r="72" spans="2:7" ht="15" customHeight="1" x14ac:dyDescent="0.25">
      <c r="B72" s="34" t="s">
        <v>202</v>
      </c>
      <c r="C72" s="35">
        <v>0.11</v>
      </c>
      <c r="D72" s="1"/>
      <c r="E72" s="1"/>
      <c r="F72" s="1"/>
      <c r="G72" s="1"/>
    </row>
    <row r="73" spans="2:7" ht="15" customHeight="1" x14ac:dyDescent="0.25">
      <c r="B73" s="36" t="s">
        <v>203</v>
      </c>
      <c r="C73" s="37">
        <f>SUM(C69:G69)</f>
        <v>15117.827087018964</v>
      </c>
      <c r="D73" s="1"/>
      <c r="E73" s="1"/>
      <c r="F73" s="1"/>
      <c r="G73" s="1"/>
    </row>
    <row r="74" spans="2:7" ht="15" customHeight="1" x14ac:dyDescent="0.25">
      <c r="B74" s="36" t="s">
        <v>204</v>
      </c>
      <c r="C74" s="38">
        <f>IRR(C68:G68)</f>
        <v>0.31296952864053895</v>
      </c>
      <c r="D74" s="1"/>
      <c r="E74" s="1"/>
      <c r="F74" s="1"/>
      <c r="G74" s="1"/>
    </row>
    <row r="75" spans="2:7" ht="15" customHeight="1" x14ac:dyDescent="0.25">
      <c r="B75" s="36" t="s">
        <v>205</v>
      </c>
      <c r="C75" s="38">
        <f>MIRR(C68:G68,C72,C72)</f>
        <v>0.22476194461530929</v>
      </c>
      <c r="D75" s="1"/>
      <c r="E75" s="1"/>
      <c r="F75" s="1"/>
      <c r="G75" s="1"/>
    </row>
    <row r="76" spans="2:7" ht="15.75" customHeight="1" x14ac:dyDescent="0.25">
      <c r="B76" s="39" t="s">
        <v>206</v>
      </c>
      <c r="C76" s="40">
        <f>COUNTIF(C70:G70,"&lt;1")+1</f>
        <v>4</v>
      </c>
      <c r="D76" s="1"/>
      <c r="E76" s="1"/>
      <c r="F76" s="1"/>
      <c r="G76" s="1"/>
    </row>
    <row r="78" spans="2:7" ht="15" customHeight="1" x14ac:dyDescent="0.25">
      <c r="B78" s="1" t="s">
        <v>180</v>
      </c>
      <c r="C78" s="1">
        <v>0</v>
      </c>
      <c r="D78" s="1">
        <v>1</v>
      </c>
      <c r="E78" s="1">
        <v>2</v>
      </c>
      <c r="F78" s="1">
        <v>3</v>
      </c>
      <c r="G78" s="1">
        <v>4</v>
      </c>
    </row>
    <row r="79" spans="2:7" ht="15" customHeight="1" x14ac:dyDescent="0.25">
      <c r="B79" s="1"/>
      <c r="C79" s="1"/>
      <c r="D79" s="1"/>
      <c r="E79" s="1"/>
      <c r="F79" s="1"/>
      <c r="G79" s="1"/>
    </row>
    <row r="80" spans="2:7" ht="15" customHeight="1" x14ac:dyDescent="0.25">
      <c r="B80" s="1" t="s">
        <v>208</v>
      </c>
      <c r="C80" s="11">
        <v>-27000</v>
      </c>
      <c r="D80" s="1"/>
      <c r="E80" s="1"/>
      <c r="F80" s="1"/>
      <c r="G80" s="1"/>
    </row>
    <row r="81" spans="2:7" ht="15" customHeight="1" x14ac:dyDescent="0.25">
      <c r="B81" s="1" t="s">
        <v>182</v>
      </c>
      <c r="C81" s="11">
        <v>-350</v>
      </c>
      <c r="D81" s="1"/>
      <c r="E81" s="1"/>
      <c r="F81" s="1"/>
      <c r="G81" s="1"/>
    </row>
    <row r="82" spans="2:7" ht="15" customHeight="1" x14ac:dyDescent="0.25">
      <c r="B82" s="1" t="s">
        <v>183</v>
      </c>
      <c r="C82" s="11">
        <f>SUM(C80:C81)</f>
        <v>-27350</v>
      </c>
      <c r="D82" s="1"/>
      <c r="E82" s="1"/>
      <c r="F82" s="1"/>
      <c r="G82" s="1"/>
    </row>
    <row r="83" spans="2:7" ht="15" customHeight="1" x14ac:dyDescent="0.25">
      <c r="B83" s="1"/>
      <c r="C83" s="1"/>
      <c r="D83" s="1"/>
      <c r="E83" s="1"/>
      <c r="F83" s="1"/>
      <c r="G83" s="1"/>
    </row>
    <row r="84" spans="2:7" ht="15" customHeight="1" x14ac:dyDescent="0.25">
      <c r="B84" s="1" t="s">
        <v>184</v>
      </c>
      <c r="C84" s="1"/>
      <c r="D84" s="14">
        <v>0.78</v>
      </c>
      <c r="E84" s="14">
        <v>0.78</v>
      </c>
      <c r="F84" s="14">
        <v>0.78</v>
      </c>
      <c r="G84" s="14">
        <v>0.76</v>
      </c>
    </row>
    <row r="85" spans="2:7" ht="15" customHeight="1" x14ac:dyDescent="0.25">
      <c r="B85" s="1" t="s">
        <v>185</v>
      </c>
      <c r="C85" s="1"/>
      <c r="D85" s="11">
        <v>8760</v>
      </c>
      <c r="E85" s="11">
        <v>8760</v>
      </c>
      <c r="F85" s="11">
        <v>8760</v>
      </c>
      <c r="G85" s="11">
        <v>8760</v>
      </c>
    </row>
    <row r="86" spans="2:7" ht="15" customHeight="1" x14ac:dyDescent="0.25">
      <c r="B86" s="1" t="s">
        <v>186</v>
      </c>
      <c r="C86" s="1"/>
      <c r="D86" s="12">
        <v>2.5499999999999998</v>
      </c>
      <c r="E86" s="12">
        <f>D86-0.15</f>
        <v>2.4</v>
      </c>
      <c r="F86" s="12">
        <f>E86-0.15</f>
        <v>2.25</v>
      </c>
      <c r="G86" s="12">
        <f>F86-0.15</f>
        <v>2.1</v>
      </c>
    </row>
    <row r="87" spans="2:7" ht="15" customHeight="1" x14ac:dyDescent="0.25">
      <c r="B87" s="5" t="s">
        <v>187</v>
      </c>
      <c r="C87" s="5"/>
      <c r="D87" s="6">
        <f>D86*D85*D84</f>
        <v>17423.64</v>
      </c>
      <c r="E87" s="6">
        <f>E86*E85*E84</f>
        <v>16398.72</v>
      </c>
      <c r="F87" s="6">
        <f>F86*F85*F84</f>
        <v>15373.800000000001</v>
      </c>
      <c r="G87" s="6">
        <f>G86*G85*G84</f>
        <v>13980.960000000001</v>
      </c>
    </row>
    <row r="88" spans="2:7" ht="15" customHeight="1" x14ac:dyDescent="0.25">
      <c r="B88" s="1" t="s">
        <v>188</v>
      </c>
      <c r="C88" s="1"/>
      <c r="D88" s="11">
        <v>-1200</v>
      </c>
      <c r="E88" s="11">
        <v>-1200</v>
      </c>
      <c r="F88" s="11">
        <v>-1200</v>
      </c>
      <c r="G88" s="11">
        <v>-1200</v>
      </c>
    </row>
    <row r="89" spans="2:7" ht="15" customHeight="1" x14ac:dyDescent="0.25">
      <c r="B89" s="1" t="s">
        <v>189</v>
      </c>
      <c r="C89" s="1"/>
      <c r="D89" s="11">
        <v>-3900</v>
      </c>
      <c r="E89" s="11">
        <v>-3900</v>
      </c>
      <c r="F89" s="11">
        <v>-3900</v>
      </c>
      <c r="G89" s="11">
        <v>-3900</v>
      </c>
    </row>
    <row r="90" spans="2:7" ht="15" customHeight="1" x14ac:dyDescent="0.25">
      <c r="B90" s="1" t="s">
        <v>190</v>
      </c>
      <c r="C90" s="1"/>
      <c r="D90" s="11">
        <v>-200</v>
      </c>
      <c r="E90" s="11">
        <v>-200</v>
      </c>
      <c r="F90" s="11">
        <v>-200</v>
      </c>
      <c r="G90" s="11">
        <v>-200</v>
      </c>
    </row>
    <row r="91" spans="2:7" ht="15" customHeight="1" x14ac:dyDescent="0.25">
      <c r="B91" s="1" t="s">
        <v>191</v>
      </c>
      <c r="C91" s="1"/>
      <c r="D91" s="11">
        <v>-125</v>
      </c>
      <c r="E91" s="11">
        <v>-125</v>
      </c>
      <c r="F91" s="11">
        <v>-125</v>
      </c>
      <c r="G91" s="11">
        <v>-125</v>
      </c>
    </row>
    <row r="92" spans="2:7" ht="15" customHeight="1" x14ac:dyDescent="0.25">
      <c r="B92" s="1" t="s">
        <v>192</v>
      </c>
      <c r="C92" s="1"/>
      <c r="D92" s="11">
        <v>-1100</v>
      </c>
      <c r="E92" s="11">
        <v>-1100</v>
      </c>
      <c r="F92" s="11">
        <v>-1100</v>
      </c>
      <c r="G92" s="11">
        <v>-1100</v>
      </c>
    </row>
    <row r="93" spans="2:7" ht="15" customHeight="1" x14ac:dyDescent="0.25">
      <c r="B93" s="1" t="s">
        <v>193</v>
      </c>
      <c r="C93" s="1"/>
      <c r="D93" s="11">
        <v>0</v>
      </c>
      <c r="E93" s="11">
        <v>0</v>
      </c>
      <c r="F93" s="11">
        <v>0</v>
      </c>
      <c r="G93" s="11">
        <v>0</v>
      </c>
    </row>
    <row r="94" spans="2:7" ht="15" customHeight="1" x14ac:dyDescent="0.25">
      <c r="B94" s="1" t="s">
        <v>194</v>
      </c>
      <c r="C94" s="1"/>
      <c r="D94" s="11">
        <f>SUM(D87:D93)</f>
        <v>10898.64</v>
      </c>
      <c r="E94" s="11">
        <f>SUM(E87:E93)</f>
        <v>9873.7200000000012</v>
      </c>
      <c r="F94" s="11">
        <f>SUM(F87:F93)</f>
        <v>8848.8000000000011</v>
      </c>
      <c r="G94" s="11">
        <f>SUM(G87:G93)</f>
        <v>7455.9600000000009</v>
      </c>
    </row>
    <row r="95" spans="2:7" ht="15" customHeight="1" x14ac:dyDescent="0.25">
      <c r="B95" s="1" t="s">
        <v>195</v>
      </c>
      <c r="C95" s="1"/>
      <c r="D95" s="14">
        <v>0.24</v>
      </c>
      <c r="E95" s="14">
        <v>0.24</v>
      </c>
      <c r="F95" s="14">
        <v>0.24</v>
      </c>
      <c r="G95" s="14">
        <v>0.24</v>
      </c>
    </row>
    <row r="96" spans="2:7" ht="15" customHeight="1" x14ac:dyDescent="0.25">
      <c r="B96" s="1" t="s">
        <v>196</v>
      </c>
      <c r="C96" s="1"/>
      <c r="D96" s="11">
        <f>D95*-D94</f>
        <v>-2615.6735999999996</v>
      </c>
      <c r="E96" s="11">
        <f>E95*-E94</f>
        <v>-2369.6928000000003</v>
      </c>
      <c r="F96" s="11">
        <f>F95*-F94</f>
        <v>-2123.712</v>
      </c>
      <c r="G96" s="11">
        <f>G95*-G94</f>
        <v>-1789.4304000000002</v>
      </c>
    </row>
    <row r="97" spans="2:7" ht="15" customHeight="1" x14ac:dyDescent="0.25">
      <c r="B97" s="1"/>
      <c r="C97" s="1"/>
      <c r="D97" s="11"/>
      <c r="E97" s="11"/>
      <c r="F97" s="11"/>
      <c r="G97" s="11"/>
    </row>
    <row r="98" spans="2:7" ht="15" customHeight="1" x14ac:dyDescent="0.25">
      <c r="B98" s="5" t="s">
        <v>197</v>
      </c>
      <c r="C98" s="5"/>
      <c r="D98" s="6">
        <f>D94+D96</f>
        <v>8282.9663999999993</v>
      </c>
      <c r="E98" s="6">
        <f>E94+E96</f>
        <v>7504.0272000000004</v>
      </c>
      <c r="F98" s="6">
        <f>F94+F96</f>
        <v>6725.0880000000016</v>
      </c>
      <c r="G98" s="6">
        <f>G94+G96</f>
        <v>5666.5296000000008</v>
      </c>
    </row>
    <row r="99" spans="2:7" ht="15" customHeight="1" x14ac:dyDescent="0.25">
      <c r="B99" s="1"/>
      <c r="C99" s="1"/>
      <c r="D99" s="11"/>
      <c r="E99" s="11"/>
      <c r="F99" s="11"/>
      <c r="G99" s="11"/>
    </row>
    <row r="100" spans="2:7" ht="15" customHeight="1" x14ac:dyDescent="0.25">
      <c r="B100" s="1" t="s">
        <v>198</v>
      </c>
      <c r="C100" s="1"/>
      <c r="D100" s="1"/>
      <c r="E100" s="1"/>
      <c r="F100" s="1"/>
      <c r="G100" s="11">
        <v>10000</v>
      </c>
    </row>
    <row r="101" spans="2:7" ht="15" customHeight="1" x14ac:dyDescent="0.25">
      <c r="B101" s="1"/>
      <c r="C101" s="1"/>
      <c r="D101" s="1"/>
      <c r="E101" s="1"/>
      <c r="F101" s="1"/>
      <c r="G101" s="1"/>
    </row>
    <row r="102" spans="2:7" ht="15" customHeight="1" x14ac:dyDescent="0.25">
      <c r="B102" s="5" t="s">
        <v>199</v>
      </c>
      <c r="C102" s="6">
        <f>SUM(C100,C98,C82)</f>
        <v>-27350</v>
      </c>
      <c r="D102" s="6">
        <f>SUM(D100,D98,D82)</f>
        <v>8282.9663999999993</v>
      </c>
      <c r="E102" s="6">
        <f>SUM(E100,E98,E82)</f>
        <v>7504.0272000000004</v>
      </c>
      <c r="F102" s="6">
        <f>SUM(F100,F98,F82)</f>
        <v>6725.0880000000016</v>
      </c>
      <c r="G102" s="6">
        <f>SUM(G100,G98,G82)</f>
        <v>15666.529600000002</v>
      </c>
    </row>
    <row r="103" spans="2:7" ht="15" customHeight="1" x14ac:dyDescent="0.25">
      <c r="B103" s="1" t="s">
        <v>200</v>
      </c>
      <c r="C103" s="11">
        <f>C102</f>
        <v>-27350</v>
      </c>
      <c r="D103" s="11">
        <f>D102/(1+$C$106)^D78</f>
        <v>7462.1318918918905</v>
      </c>
      <c r="E103" s="11">
        <f>E102/(1+$C$106)^E78</f>
        <v>6090.4368151935714</v>
      </c>
      <c r="F103" s="11">
        <f>F102/(1+$C$106)^F78</f>
        <v>4917.3263840904456</v>
      </c>
      <c r="G103" s="11">
        <f>G102/(1+$C$106)^G78</f>
        <v>10320.028304879481</v>
      </c>
    </row>
    <row r="104" spans="2:7" ht="15" customHeight="1" x14ac:dyDescent="0.25">
      <c r="B104" s="1" t="s">
        <v>201</v>
      </c>
      <c r="C104" s="11">
        <f>SUM($C$102:C102)</f>
        <v>-27350</v>
      </c>
      <c r="D104" s="11">
        <f>SUM($C$102:D102)</f>
        <v>-19067.033600000002</v>
      </c>
      <c r="E104" s="11">
        <f>SUM($C$102:E102)</f>
        <v>-11563.006400000002</v>
      </c>
      <c r="F104" s="11">
        <f>SUM($C$102:F102)</f>
        <v>-4837.9184000000005</v>
      </c>
      <c r="G104" s="11">
        <f>SUM($C$102:G102)</f>
        <v>10828.611200000001</v>
      </c>
    </row>
    <row r="105" spans="2:7" ht="15.75" customHeight="1" x14ac:dyDescent="0.25">
      <c r="B105" s="1"/>
      <c r="C105" s="1"/>
      <c r="D105" s="1"/>
      <c r="E105" s="1"/>
      <c r="F105" s="1"/>
      <c r="G105" s="1"/>
    </row>
    <row r="106" spans="2:7" ht="15" customHeight="1" x14ac:dyDescent="0.25">
      <c r="B106" s="34" t="s">
        <v>202</v>
      </c>
      <c r="C106" s="35">
        <v>0.11</v>
      </c>
      <c r="D106" s="1"/>
      <c r="E106" s="1"/>
      <c r="F106" s="1"/>
      <c r="G106" s="1"/>
    </row>
    <row r="107" spans="2:7" ht="15" customHeight="1" x14ac:dyDescent="0.25">
      <c r="B107" s="36" t="s">
        <v>203</v>
      </c>
      <c r="C107" s="37">
        <f>SUM(C103:G103)</f>
        <v>1439.9233960553884</v>
      </c>
      <c r="D107" s="1"/>
      <c r="E107" s="1"/>
      <c r="F107" s="1"/>
      <c r="G107" s="1"/>
    </row>
    <row r="108" spans="2:7" ht="15" customHeight="1" x14ac:dyDescent="0.25">
      <c r="B108" s="36" t="s">
        <v>204</v>
      </c>
      <c r="C108" s="38">
        <f>IRR(C102:G102)</f>
        <v>0.13200203995837634</v>
      </c>
      <c r="D108" s="1"/>
      <c r="E108" s="1"/>
      <c r="F108" s="1"/>
      <c r="G108" s="1"/>
    </row>
    <row r="109" spans="2:7" ht="15" customHeight="1" x14ac:dyDescent="0.25">
      <c r="B109" s="36" t="s">
        <v>205</v>
      </c>
      <c r="C109" s="38">
        <f>MIRR(C102:G102,C106,C106)</f>
        <v>0.12432993409114657</v>
      </c>
      <c r="D109" s="1"/>
      <c r="E109" s="1"/>
      <c r="F109" s="1"/>
      <c r="G109" s="1"/>
    </row>
    <row r="110" spans="2:7" ht="15.75" customHeight="1" x14ac:dyDescent="0.25">
      <c r="B110" s="39" t="s">
        <v>206</v>
      </c>
      <c r="C110" s="40">
        <f>COUNTIF(C104:G104,"&lt;1")+1</f>
        <v>5</v>
      </c>
      <c r="D110" s="1"/>
      <c r="E110" s="1"/>
      <c r="F110" s="1"/>
      <c r="G110" s="1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Historical Financials</vt:lpstr>
      <vt:lpstr>Sheet1</vt:lpstr>
      <vt:lpstr>'Historical Financials'!Print_Area</vt:lpstr>
      <vt:lpstr>'Historical Financials'!Print_Titles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0</cp:revision>
  <dcterms:created xsi:type="dcterms:W3CDTF">2026-07-21T20:29:15Z</dcterms:created>
  <dcterms:modified xsi:type="dcterms:W3CDTF">2026-07-22T13:36:31Z</dcterms:modified>
  <dc:language>en-US</dc:language>
</cp:coreProperties>
</file>