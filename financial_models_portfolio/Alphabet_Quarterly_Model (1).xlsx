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89461356-E60E-4BDB-8401-A1784F67F909}" xr6:coauthVersionLast="47" xr6:coauthVersionMax="47" xr10:uidLastSave="{00000000-0000-0000-0000-000000000000}"/>
  <bookViews>
    <workbookView xWindow="195" yWindow="135" windowWidth="27915" windowHeight="15015" xr2:uid="{00000000-000D-0000-FFFF-FFFF00000000}"/>
  </bookViews>
  <sheets>
    <sheet name="GOOGL Model" sheetId="1" r:id="rId1"/>
    <sheet name="Segment Profitabi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D59" i="1"/>
  <c r="E59" i="1"/>
  <c r="F59" i="1"/>
  <c r="B59" i="1"/>
  <c r="F47" i="2"/>
  <c r="E47" i="2"/>
  <c r="D47" i="2"/>
  <c r="C47" i="2"/>
  <c r="B47" i="2"/>
  <c r="F46" i="2"/>
  <c r="E46" i="2"/>
  <c r="D46" i="2"/>
  <c r="C46" i="2"/>
  <c r="B46" i="2"/>
  <c r="F43" i="2"/>
  <c r="F41" i="2"/>
  <c r="E41" i="2"/>
  <c r="D41" i="2"/>
  <c r="C41" i="2"/>
  <c r="B41" i="2"/>
  <c r="F40" i="2"/>
  <c r="E40" i="2"/>
  <c r="D40" i="2"/>
  <c r="C40" i="2"/>
  <c r="B40" i="2"/>
  <c r="F39" i="2"/>
  <c r="E39" i="2"/>
  <c r="E43" i="2" s="1"/>
  <c r="D39" i="2"/>
  <c r="D43" i="2" s="1"/>
  <c r="C39" i="2"/>
  <c r="C43" i="2" s="1"/>
  <c r="B39" i="2"/>
  <c r="B43" i="2" s="1"/>
  <c r="F34" i="2"/>
  <c r="E34" i="2"/>
  <c r="D34" i="2"/>
  <c r="C34" i="2"/>
  <c r="B34" i="2"/>
  <c r="B36" i="2" s="1"/>
  <c r="B57" i="2" s="1"/>
  <c r="F31" i="2"/>
  <c r="F56" i="2" s="1"/>
  <c r="E31" i="2"/>
  <c r="E56" i="2" s="1"/>
  <c r="D31" i="2"/>
  <c r="D56" i="2" s="1"/>
  <c r="C31" i="2"/>
  <c r="C56" i="2" s="1"/>
  <c r="B31" i="2"/>
  <c r="B56" i="2" s="1"/>
  <c r="F29" i="2"/>
  <c r="E29" i="2"/>
  <c r="D29" i="2"/>
  <c r="C29" i="2"/>
  <c r="B29" i="2"/>
  <c r="F21" i="2"/>
  <c r="F22" i="2" s="1"/>
  <c r="E21" i="2"/>
  <c r="E22" i="2" s="1"/>
  <c r="D21" i="2"/>
  <c r="D22" i="2" s="1"/>
  <c r="C21" i="2"/>
  <c r="C22" i="2" s="1"/>
  <c r="B21" i="2"/>
  <c r="B22" i="2" s="1"/>
  <c r="F11" i="2"/>
  <c r="F12" i="2" s="1"/>
  <c r="E11" i="2"/>
  <c r="E12" i="2" s="1"/>
  <c r="D11" i="2"/>
  <c r="D12" i="2" s="1"/>
  <c r="C11" i="2"/>
  <c r="C12" i="2" s="1"/>
  <c r="B11" i="2"/>
  <c r="B12" i="2" s="1"/>
  <c r="F129" i="1"/>
  <c r="E129" i="1"/>
  <c r="D129" i="1"/>
  <c r="C129" i="1"/>
  <c r="B129" i="1"/>
  <c r="D122" i="1"/>
  <c r="D130" i="1" s="1"/>
  <c r="C122" i="1"/>
  <c r="C130" i="1" s="1"/>
  <c r="B122" i="1"/>
  <c r="B130" i="1" s="1"/>
  <c r="F117" i="1"/>
  <c r="F122" i="1" s="1"/>
  <c r="F130" i="1" s="1"/>
  <c r="E117" i="1"/>
  <c r="E122" i="1" s="1"/>
  <c r="E130" i="1" s="1"/>
  <c r="D117" i="1"/>
  <c r="C117" i="1"/>
  <c r="B117" i="1"/>
  <c r="F98" i="1"/>
  <c r="F101" i="1" s="1"/>
  <c r="F109" i="1" s="1"/>
  <c r="E98" i="1"/>
  <c r="E101" i="1" s="1"/>
  <c r="E109" i="1" s="1"/>
  <c r="D98" i="1"/>
  <c r="D101" i="1" s="1"/>
  <c r="D109" i="1" s="1"/>
  <c r="C98" i="1"/>
  <c r="C101" i="1" s="1"/>
  <c r="C109" i="1" s="1"/>
  <c r="B98" i="1"/>
  <c r="B101" i="1" s="1"/>
  <c r="B109" i="1" s="1"/>
  <c r="F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D87" i="1" s="1"/>
  <c r="C83" i="1"/>
  <c r="C87" i="1" s="1"/>
  <c r="B83" i="1"/>
  <c r="B87" i="1" s="1"/>
  <c r="F82" i="1"/>
  <c r="E82" i="1"/>
  <c r="E87" i="1" s="1"/>
  <c r="D82" i="1"/>
  <c r="C82" i="1"/>
  <c r="B82" i="1"/>
  <c r="F80" i="1"/>
  <c r="E80" i="1"/>
  <c r="D80" i="1"/>
  <c r="C80" i="1"/>
  <c r="B80" i="1"/>
  <c r="F79" i="1"/>
  <c r="F81" i="1" s="1"/>
  <c r="F88" i="1" s="1"/>
  <c r="F90" i="1" s="1"/>
  <c r="E79" i="1"/>
  <c r="E81" i="1" s="1"/>
  <c r="E88" i="1" s="1"/>
  <c r="D79" i="1"/>
  <c r="D81" i="1" s="1"/>
  <c r="D88" i="1" s="1"/>
  <c r="C79" i="1"/>
  <c r="C81" i="1" s="1"/>
  <c r="C88" i="1" s="1"/>
  <c r="B79" i="1"/>
  <c r="B81" i="1" s="1"/>
  <c r="B88" i="1" s="1"/>
  <c r="F68" i="1"/>
  <c r="E68" i="1"/>
  <c r="D68" i="1"/>
  <c r="C68" i="1"/>
  <c r="B68" i="1"/>
  <c r="F60" i="1"/>
  <c r="E60" i="1"/>
  <c r="D60" i="1"/>
  <c r="C60" i="1"/>
  <c r="B60" i="1"/>
  <c r="F22" i="1"/>
  <c r="E22" i="1"/>
  <c r="D22" i="1"/>
  <c r="C22" i="1"/>
  <c r="B22" i="1"/>
  <c r="F9" i="1"/>
  <c r="E9" i="1"/>
  <c r="D9" i="1"/>
  <c r="C9" i="1"/>
  <c r="B9" i="1"/>
  <c r="F62" i="2" l="1"/>
  <c r="F61" i="2"/>
  <c r="F60" i="2"/>
  <c r="F36" i="2"/>
  <c r="F57" i="2" s="1"/>
  <c r="E60" i="2"/>
  <c r="E61" i="2"/>
  <c r="E62" i="2"/>
  <c r="E36" i="2"/>
  <c r="E57" i="2" s="1"/>
  <c r="D60" i="2"/>
  <c r="D61" i="2"/>
  <c r="D62" i="2"/>
  <c r="D36" i="2"/>
  <c r="D57" i="2" s="1"/>
  <c r="C60" i="2"/>
  <c r="C61" i="2"/>
  <c r="C62" i="2"/>
  <c r="C36" i="2"/>
  <c r="C57" i="2" s="1"/>
  <c r="B60" i="2"/>
  <c r="B61" i="2"/>
  <c r="B62" i="2"/>
  <c r="F24" i="2"/>
  <c r="F55" i="2" s="1"/>
  <c r="F45" i="2"/>
  <c r="E24" i="2"/>
  <c r="E55" i="2" s="1"/>
  <c r="E45" i="2"/>
  <c r="D24" i="2"/>
  <c r="D55" i="2" s="1"/>
  <c r="D45" i="2"/>
  <c r="C24" i="2"/>
  <c r="C55" i="2" s="1"/>
  <c r="C45" i="2"/>
  <c r="B24" i="2"/>
  <c r="B55" i="2" s="1"/>
  <c r="B45" i="2"/>
  <c r="F44" i="2"/>
  <c r="F48" i="2" s="1"/>
  <c r="F50" i="2" s="1"/>
  <c r="F58" i="2" s="1"/>
  <c r="F14" i="2"/>
  <c r="F54" i="2" s="1"/>
  <c r="E14" i="2"/>
  <c r="E54" i="2" s="1"/>
  <c r="E44" i="2"/>
  <c r="D14" i="2"/>
  <c r="D54" i="2" s="1"/>
  <c r="D44" i="2"/>
  <c r="C14" i="2"/>
  <c r="C54" i="2" s="1"/>
  <c r="C44" i="2"/>
  <c r="B14" i="2"/>
  <c r="B54" i="2" s="1"/>
  <c r="B44" i="2"/>
  <c r="B48" i="2" s="1"/>
  <c r="B50" i="2" s="1"/>
  <c r="B58" i="2" s="1"/>
  <c r="E89" i="1"/>
  <c r="E90" i="1" s="1"/>
  <c r="D89" i="1"/>
  <c r="D90" i="1" s="1"/>
  <c r="C89" i="1"/>
  <c r="C90" i="1" s="1"/>
  <c r="B90" i="1"/>
  <c r="F11" i="1"/>
  <c r="F63" i="1"/>
  <c r="E11" i="1"/>
  <c r="E63" i="1"/>
  <c r="D11" i="1"/>
  <c r="D63" i="1"/>
  <c r="C11" i="1"/>
  <c r="C63" i="1"/>
  <c r="B11" i="1"/>
  <c r="B63" i="1"/>
  <c r="F15" i="1" l="1"/>
  <c r="F66" i="1"/>
  <c r="E15" i="1"/>
  <c r="E66" i="1"/>
  <c r="D15" i="1"/>
  <c r="D66" i="1"/>
  <c r="C15" i="1"/>
  <c r="C66" i="1"/>
  <c r="B15" i="1"/>
  <c r="B66" i="1"/>
  <c r="E48" i="2"/>
  <c r="E50" i="2" s="1"/>
  <c r="E58" i="2" s="1"/>
  <c r="D48" i="2"/>
  <c r="D50" i="2" s="1"/>
  <c r="D58" i="2" s="1"/>
  <c r="C48" i="2"/>
  <c r="C50" i="2" s="1"/>
  <c r="C58" i="2" s="1"/>
  <c r="F18" i="1" l="1"/>
  <c r="F48" i="1" s="1"/>
  <c r="F23" i="1"/>
  <c r="F49" i="1"/>
  <c r="F50" i="1"/>
  <c r="F51" i="1"/>
  <c r="E18" i="1"/>
  <c r="E48" i="1" s="1"/>
  <c r="E23" i="1"/>
  <c r="E49" i="1"/>
  <c r="E50" i="1"/>
  <c r="E51" i="1"/>
  <c r="D18" i="1"/>
  <c r="D48" i="1" s="1"/>
  <c r="D23" i="1"/>
  <c r="D49" i="1"/>
  <c r="D50" i="1"/>
  <c r="D51" i="1"/>
  <c r="C18" i="1"/>
  <c r="C48" i="1" s="1"/>
  <c r="C23" i="1"/>
  <c r="C49" i="1"/>
  <c r="C50" i="1"/>
  <c r="C51" i="1"/>
  <c r="B18" i="1"/>
  <c r="B48" i="1" s="1"/>
  <c r="B23" i="1"/>
  <c r="B49" i="1"/>
  <c r="B50" i="1"/>
  <c r="B51" i="1"/>
  <c r="F25" i="1" l="1"/>
  <c r="F52" i="1"/>
  <c r="E25" i="1"/>
  <c r="E52" i="1"/>
  <c r="D25" i="1"/>
  <c r="D52" i="1"/>
  <c r="C25" i="1"/>
  <c r="C52" i="1"/>
  <c r="B52" i="1"/>
  <c r="B25" i="1"/>
  <c r="F27" i="1" l="1"/>
  <c r="F53" i="1"/>
  <c r="F55" i="1"/>
  <c r="F75" i="1"/>
  <c r="F61" i="1"/>
  <c r="F56" i="1" s="1"/>
  <c r="F74" i="1"/>
  <c r="F76" i="1" s="1"/>
  <c r="F91" i="1" s="1"/>
  <c r="E53" i="1"/>
  <c r="E55" i="1"/>
  <c r="E75" i="1"/>
  <c r="E27" i="1"/>
  <c r="E61" i="1"/>
  <c r="E56" i="1" s="1"/>
  <c r="E74" i="1"/>
  <c r="E76" i="1" s="1"/>
  <c r="E91" i="1" s="1"/>
  <c r="D75" i="1"/>
  <c r="D27" i="1"/>
  <c r="D53" i="1"/>
  <c r="D55" i="1"/>
  <c r="D61" i="1"/>
  <c r="D56" i="1" s="1"/>
  <c r="D74" i="1"/>
  <c r="D76" i="1" s="1"/>
  <c r="D91" i="1" s="1"/>
  <c r="C27" i="1"/>
  <c r="C53" i="1"/>
  <c r="C55" i="1"/>
  <c r="C75" i="1"/>
  <c r="C61" i="1"/>
  <c r="C56" i="1" s="1"/>
  <c r="C74" i="1"/>
  <c r="C76" i="1" s="1"/>
  <c r="C91" i="1" s="1"/>
  <c r="B61" i="1"/>
  <c r="B56" i="1" s="1"/>
  <c r="B74" i="1"/>
  <c r="B76" i="1" s="1"/>
  <c r="B91" i="1" s="1"/>
  <c r="B75" i="1"/>
  <c r="B27" i="1"/>
  <c r="B53" i="1"/>
  <c r="B55" i="1"/>
  <c r="F31" i="1" l="1"/>
  <c r="F32" i="1"/>
  <c r="F54" i="1"/>
  <c r="E31" i="1"/>
  <c r="E32" i="1"/>
  <c r="E54" i="1"/>
  <c r="D31" i="1"/>
  <c r="D32" i="1"/>
  <c r="D54" i="1"/>
  <c r="C31" i="1"/>
  <c r="C32" i="1"/>
  <c r="C54" i="1"/>
  <c r="B31" i="1"/>
  <c r="B32" i="1"/>
  <c r="B54" i="1"/>
</calcChain>
</file>

<file path=xl/sharedStrings.xml><?xml version="1.0" encoding="utf-8"?>
<sst xmlns="http://schemas.openxmlformats.org/spreadsheetml/2006/main" count="199" uniqueCount="139">
  <si>
    <t>Alphabet Historical Quarterly Model</t>
  </si>
  <si>
    <t>USD in millions, except per share data</t>
  </si>
  <si>
    <t>Income Statement</t>
  </si>
  <si>
    <t>Q424</t>
  </si>
  <si>
    <t>Q125</t>
  </si>
  <si>
    <t>Q225</t>
  </si>
  <si>
    <t>Q325</t>
  </si>
  <si>
    <t>Q126</t>
  </si>
  <si>
    <t>Google Search &amp; other</t>
  </si>
  <si>
    <t>YouTube ads</t>
  </si>
  <si>
    <t>Google Network</t>
  </si>
  <si>
    <t>Google advertising</t>
  </si>
  <si>
    <t>Google subscriptions, platforms, and devices</t>
  </si>
  <si>
    <t>Google Services total</t>
  </si>
  <si>
    <t>Google Cloud</t>
  </si>
  <si>
    <t>Other Bets</t>
  </si>
  <si>
    <t>Hedging gains (losses)</t>
  </si>
  <si>
    <t>Total revenues</t>
  </si>
  <si>
    <t>Cost of revenues</t>
  </si>
  <si>
    <t>Gross profit</t>
  </si>
  <si>
    <t>Research and development</t>
  </si>
  <si>
    <t>Sales and marketing</t>
  </si>
  <si>
    <t>General and administrative</t>
  </si>
  <si>
    <t>Total costs and expenses</t>
  </si>
  <si>
    <t>Income from operations</t>
  </si>
  <si>
    <t>Other income (expense), net</t>
  </si>
  <si>
    <t>Income before income taxes</t>
  </si>
  <si>
    <t>Provision for income taxes</t>
  </si>
  <si>
    <t>Net income</t>
  </si>
  <si>
    <t>Weighted average basic shares</t>
  </si>
  <si>
    <t>Weighted average diluted shares</t>
  </si>
  <si>
    <t>Basic EPS</t>
  </si>
  <si>
    <t>Diluted EPS</t>
  </si>
  <si>
    <t>Key Performance Indicators</t>
  </si>
  <si>
    <t>Growth</t>
  </si>
  <si>
    <t>Google Search &amp; other growth</t>
  </si>
  <si>
    <t>YouTube ads growth</t>
  </si>
  <si>
    <t>Google Network growth</t>
  </si>
  <si>
    <t>Google advertising growth</t>
  </si>
  <si>
    <t>Google subscriptions, platforms, and devices growth</t>
  </si>
  <si>
    <t>Google Services growth</t>
  </si>
  <si>
    <t>Google Cloud growth</t>
  </si>
  <si>
    <t>Other Bets growth</t>
  </si>
  <si>
    <t>Total revenue growth</t>
  </si>
  <si>
    <t>Margins</t>
  </si>
  <si>
    <t>Gross margin</t>
  </si>
  <si>
    <t>Research and development as % of revenue</t>
  </si>
  <si>
    <t>Sales and marketing as % of revenue</t>
  </si>
  <si>
    <t>General and administrative as % of revenue</t>
  </si>
  <si>
    <t>Operating margin</t>
  </si>
  <si>
    <t>Pre-tax margin</t>
  </si>
  <si>
    <t>Net margin</t>
  </si>
  <si>
    <t>Effective tax rate</t>
  </si>
  <si>
    <t>EBITDA margin</t>
  </si>
  <si>
    <t>Profitability and Operating KPIs</t>
  </si>
  <si>
    <t>EBIT</t>
  </si>
  <si>
    <t>D&amp;A</t>
  </si>
  <si>
    <t>EBITDA</t>
  </si>
  <si>
    <t>Traffic acquisition costs</t>
  </si>
  <si>
    <t>Traffic acquisition costs as % of Google advertising</t>
  </si>
  <si>
    <t>Employee count</t>
  </si>
  <si>
    <t>Google Services operating income</t>
  </si>
  <si>
    <t>Google Services operating margin</t>
  </si>
  <si>
    <t>Google Cloud operating income</t>
  </si>
  <si>
    <t>Google Cloud operating margin</t>
  </si>
  <si>
    <t>Other Bets operating loss</t>
  </si>
  <si>
    <t>Alphabet-level activities</t>
  </si>
  <si>
    <t>Free Cash Flow</t>
  </si>
  <si>
    <t>Cash tax rate</t>
  </si>
  <si>
    <t>NOPAT</t>
  </si>
  <si>
    <t>Capex</t>
  </si>
  <si>
    <t>Accounts receivable, net</t>
  </si>
  <si>
    <t>Other current assets</t>
  </si>
  <si>
    <t>Operating current assets</t>
  </si>
  <si>
    <t>Accounts payable</t>
  </si>
  <si>
    <t>Accrued compensation and benefits</t>
  </si>
  <si>
    <t>Accrued expenses and other current liabilities</t>
  </si>
  <si>
    <t>Accrued revenue share</t>
  </si>
  <si>
    <t>Deferred revenue</t>
  </si>
  <si>
    <t>Operating current liabilities</t>
  </si>
  <si>
    <t>NOWC</t>
  </si>
  <si>
    <t>Prior quarter NOWC</t>
  </si>
  <si>
    <t>Investment in NOWC</t>
  </si>
  <si>
    <t>FCFF</t>
  </si>
  <si>
    <t>Balance Sheet</t>
  </si>
  <si>
    <t>Assets</t>
  </si>
  <si>
    <t>Cash and cash equivalents</t>
  </si>
  <si>
    <t>Marketable securities</t>
  </si>
  <si>
    <t>Total cash, cash equivalents, and marketable securities</t>
  </si>
  <si>
    <t>Total current assets</t>
  </si>
  <si>
    <t>Non-marketable securities</t>
  </si>
  <si>
    <t>Deferred income taxes</t>
  </si>
  <si>
    <t>Property and equipment, net</t>
  </si>
  <si>
    <t>Operating lease assets</t>
  </si>
  <si>
    <t>Goodwill</t>
  </si>
  <si>
    <t>Intangible assets, net</t>
  </si>
  <si>
    <t>Other non-current assets</t>
  </si>
  <si>
    <t>Total assets</t>
  </si>
  <si>
    <t>Liabilities and Stockholders' Equity</t>
  </si>
  <si>
    <t>Total current liabilities</t>
  </si>
  <si>
    <t>Long-term debt</t>
  </si>
  <si>
    <t>Income taxes payable, non-current</t>
  </si>
  <si>
    <t>Operating lease liabilities</t>
  </si>
  <si>
    <t>Other long-term liabilities</t>
  </si>
  <si>
    <t>Total liabilities</t>
  </si>
  <si>
    <t>Stockholders' Equity</t>
  </si>
  <si>
    <t>Preferred stock</t>
  </si>
  <si>
    <t>Class A, Class B, and Class C stock and additional paid-in capital</t>
  </si>
  <si>
    <t>Accumulated other comprehensive income (loss)</t>
  </si>
  <si>
    <t>Retained earnings</t>
  </si>
  <si>
    <t>Total stockholders' equity</t>
  </si>
  <si>
    <t>Total liabilities and stockholders' equity</t>
  </si>
  <si>
    <t>Alphabet Segment Profitability</t>
  </si>
  <si>
    <t>USD in millions</t>
  </si>
  <si>
    <t>Segment Profitability</t>
  </si>
  <si>
    <t>Google Services</t>
  </si>
  <si>
    <t>Revenue</t>
  </si>
  <si>
    <t>Revenue growth</t>
  </si>
  <si>
    <t>Employee compensation expenses</t>
  </si>
  <si>
    <t>Other costs and expenses</t>
  </si>
  <si>
    <t>Operating income</t>
  </si>
  <si>
    <t>Operating income growth</t>
  </si>
  <si>
    <t>Operating income (loss)</t>
  </si>
  <si>
    <t>Alphabet-level Activities</t>
  </si>
  <si>
    <t>Costs and expenses</t>
  </si>
  <si>
    <t>Costs and expenses as % of total revenue</t>
  </si>
  <si>
    <t>Consolidated Reconciliation</t>
  </si>
  <si>
    <t>Google Services revenue</t>
  </si>
  <si>
    <t>Google Cloud revenue</t>
  </si>
  <si>
    <t>Other Bets revenue</t>
  </si>
  <si>
    <t>Other Bets operating income (loss)</t>
  </si>
  <si>
    <t>Total income from operations</t>
  </si>
  <si>
    <t>Profitability Summary</t>
  </si>
  <si>
    <t>Other Bets operating margin</t>
  </si>
  <si>
    <t>Alphabet-level costs as % of revenue</t>
  </si>
  <si>
    <t>Consolidated operating margin</t>
  </si>
  <si>
    <t>Google Services revenue mix</t>
  </si>
  <si>
    <t>Google Cloud revenue mix</t>
  </si>
  <si>
    <t>Other Bets revenue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</si>
</sst>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;\(0.00\);\-"/>
    <numFmt numFmtId="166" formatCode="0.0%;\-0.0%;\-"/>
  </numFmts>
  <fonts count="3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showGridLines="0" tabSelected="1" topLeftCell="A87" workbookViewId="0">
      <selection activeCell="F104" sqref="F104"/>
    </sheetView>
  </sheetViews>
  <sheetFormatPr defaultRowHeight="14.25"/>
  <cols>
    <col min="1" max="1" width="61" customWidth="1"/>
    <col min="2" max="6" width="14" customWidth="1"/>
  </cols>
  <sheetData>
    <row r="1" spans="1:6" ht="15" customHeight="1">
      <c r="A1" s="5" t="s">
        <v>0</v>
      </c>
      <c r="B1" s="6"/>
      <c r="C1" s="6"/>
      <c r="D1" s="6"/>
      <c r="E1" s="6"/>
      <c r="F1" s="6"/>
    </row>
    <row r="2" spans="1:6" ht="15" customHeight="1">
      <c r="A2" s="1" t="s">
        <v>1</v>
      </c>
      <c r="B2" s="2"/>
      <c r="C2" s="2"/>
      <c r="D2" s="2"/>
      <c r="E2" s="2"/>
      <c r="F2" s="2"/>
    </row>
    <row r="3" spans="1:6" ht="15" customHeight="1">
      <c r="A3" s="1"/>
      <c r="B3" s="2"/>
      <c r="C3" s="2"/>
      <c r="D3" s="2"/>
      <c r="E3" s="2"/>
      <c r="F3" s="2"/>
    </row>
    <row r="4" spans="1:6" ht="15" customHeight="1">
      <c r="A4" s="7" t="s">
        <v>2</v>
      </c>
      <c r="B4" s="8"/>
      <c r="C4" s="8"/>
      <c r="D4" s="8"/>
      <c r="E4" s="8"/>
      <c r="F4" s="8"/>
    </row>
    <row r="5" spans="1:6" ht="15" customHeight="1">
      <c r="A5" s="7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 spans="1:6" ht="15" customHeight="1">
      <c r="A6" s="1" t="s">
        <v>8</v>
      </c>
      <c r="B6" s="3">
        <v>54034</v>
      </c>
      <c r="C6" s="3">
        <v>50702</v>
      </c>
      <c r="D6" s="3">
        <v>54190</v>
      </c>
      <c r="E6" s="3">
        <v>56567</v>
      </c>
      <c r="F6" s="3">
        <v>60399</v>
      </c>
    </row>
    <row r="7" spans="1:6" ht="15" customHeight="1">
      <c r="A7" s="1" t="s">
        <v>9</v>
      </c>
      <c r="B7" s="3">
        <v>10473</v>
      </c>
      <c r="C7" s="3">
        <v>8927</v>
      </c>
      <c r="D7" s="3">
        <v>9796</v>
      </c>
      <c r="E7" s="3">
        <v>10261</v>
      </c>
      <c r="F7" s="3">
        <v>9883</v>
      </c>
    </row>
    <row r="8" spans="1:6" ht="15" customHeight="1">
      <c r="A8" s="1" t="s">
        <v>10</v>
      </c>
      <c r="B8" s="3">
        <v>7954</v>
      </c>
      <c r="C8" s="3">
        <v>7256</v>
      </c>
      <c r="D8" s="3">
        <v>7354</v>
      </c>
      <c r="E8" s="3">
        <v>7354</v>
      </c>
      <c r="F8" s="3">
        <v>6971</v>
      </c>
    </row>
    <row r="9" spans="1:6" ht="15" customHeight="1">
      <c r="A9" s="9" t="s">
        <v>11</v>
      </c>
      <c r="B9" s="10">
        <f>SUM(B6:B8)</f>
        <v>72461</v>
      </c>
      <c r="C9" s="10">
        <f>SUM(C6:C8)</f>
        <v>66885</v>
      </c>
      <c r="D9" s="10">
        <f>SUM(D6:D8)</f>
        <v>71340</v>
      </c>
      <c r="E9" s="10">
        <f>SUM(E6:E8)</f>
        <v>74182</v>
      </c>
      <c r="F9" s="10">
        <f>SUM(F6:F8)</f>
        <v>77253</v>
      </c>
    </row>
    <row r="10" spans="1:6" ht="15" customHeight="1">
      <c r="A10" s="1" t="s">
        <v>12</v>
      </c>
      <c r="B10" s="3">
        <v>11633</v>
      </c>
      <c r="C10" s="3">
        <v>10379</v>
      </c>
      <c r="D10" s="3">
        <v>11203</v>
      </c>
      <c r="E10" s="3">
        <v>12870</v>
      </c>
      <c r="F10" s="3">
        <v>12384</v>
      </c>
    </row>
    <row r="11" spans="1:6" ht="15" customHeight="1">
      <c r="A11" s="9" t="s">
        <v>13</v>
      </c>
      <c r="B11" s="10">
        <f>SUM(B9:B10)</f>
        <v>84094</v>
      </c>
      <c r="C11" s="10">
        <f>SUM(C9:C10)</f>
        <v>77264</v>
      </c>
      <c r="D11" s="10">
        <f>SUM(D9:D10)</f>
        <v>82543</v>
      </c>
      <c r="E11" s="10">
        <f>SUM(E9:E10)</f>
        <v>87052</v>
      </c>
      <c r="F11" s="10">
        <f>SUM(F9:F10)</f>
        <v>89637</v>
      </c>
    </row>
    <row r="12" spans="1:6" ht="15" customHeight="1">
      <c r="A12" s="1" t="s">
        <v>14</v>
      </c>
      <c r="B12" s="3">
        <v>11955</v>
      </c>
      <c r="C12" s="3">
        <v>12260</v>
      </c>
      <c r="D12" s="3">
        <v>13624</v>
      </c>
      <c r="E12" s="3">
        <v>15157</v>
      </c>
      <c r="F12" s="3">
        <v>20028</v>
      </c>
    </row>
    <row r="13" spans="1:6" ht="15" customHeight="1">
      <c r="A13" s="1" t="s">
        <v>15</v>
      </c>
      <c r="B13" s="3">
        <v>400</v>
      </c>
      <c r="C13" s="3">
        <v>450</v>
      </c>
      <c r="D13" s="3">
        <v>373</v>
      </c>
      <c r="E13" s="3">
        <v>344</v>
      </c>
      <c r="F13" s="3">
        <v>411</v>
      </c>
    </row>
    <row r="14" spans="1:6" ht="15" customHeight="1">
      <c r="A14" s="1" t="s">
        <v>16</v>
      </c>
      <c r="B14" s="3">
        <v>20</v>
      </c>
      <c r="C14" s="3">
        <v>260</v>
      </c>
      <c r="D14" s="3">
        <v>-112</v>
      </c>
      <c r="E14" s="3">
        <v>-207</v>
      </c>
      <c r="F14" s="3">
        <v>-180</v>
      </c>
    </row>
    <row r="15" spans="1:6" ht="15" customHeight="1">
      <c r="A15" s="9" t="s">
        <v>17</v>
      </c>
      <c r="B15" s="10">
        <f>SUM(B11:B14)</f>
        <v>96469</v>
      </c>
      <c r="C15" s="10">
        <f>SUM(C11:C14)</f>
        <v>90234</v>
      </c>
      <c r="D15" s="10">
        <f>SUM(D11:D14)</f>
        <v>96428</v>
      </c>
      <c r="E15" s="10">
        <f>SUM(E11:E14)</f>
        <v>102346</v>
      </c>
      <c r="F15" s="10">
        <f>SUM(F11:F14)</f>
        <v>109896</v>
      </c>
    </row>
    <row r="16" spans="1:6" ht="15" customHeight="1">
      <c r="A16" s="1"/>
      <c r="B16" s="2"/>
      <c r="C16" s="2"/>
      <c r="D16" s="2"/>
      <c r="E16" s="2"/>
      <c r="F16" s="2"/>
    </row>
    <row r="17" spans="1:6" ht="15" customHeight="1">
      <c r="A17" s="1" t="s">
        <v>18</v>
      </c>
      <c r="B17" s="3">
        <v>40613</v>
      </c>
      <c r="C17" s="3">
        <v>36361</v>
      </c>
      <c r="D17" s="3">
        <v>39039</v>
      </c>
      <c r="E17" s="3">
        <v>41369</v>
      </c>
      <c r="F17" s="3">
        <v>41271</v>
      </c>
    </row>
    <row r="18" spans="1:6" ht="15" customHeight="1">
      <c r="A18" s="9" t="s">
        <v>19</v>
      </c>
      <c r="B18" s="10">
        <f>B15-B17</f>
        <v>55856</v>
      </c>
      <c r="C18" s="10">
        <f>C15-C17</f>
        <v>53873</v>
      </c>
      <c r="D18" s="10">
        <f>D15-D17</f>
        <v>57389</v>
      </c>
      <c r="E18" s="10">
        <f>E15-E17</f>
        <v>60977</v>
      </c>
      <c r="F18" s="10">
        <f>F15-F17</f>
        <v>68625</v>
      </c>
    </row>
    <row r="19" spans="1:6" ht="15" customHeight="1">
      <c r="A19" s="1" t="s">
        <v>20</v>
      </c>
      <c r="B19" s="3">
        <v>13116</v>
      </c>
      <c r="C19" s="3">
        <v>13556</v>
      </c>
      <c r="D19" s="3">
        <v>13808</v>
      </c>
      <c r="E19" s="3">
        <v>15151</v>
      </c>
      <c r="F19" s="3">
        <v>17032</v>
      </c>
    </row>
    <row r="20" spans="1:6" ht="15" customHeight="1">
      <c r="A20" s="1" t="s">
        <v>21</v>
      </c>
      <c r="B20" s="3">
        <v>7363</v>
      </c>
      <c r="C20" s="3">
        <v>6172</v>
      </c>
      <c r="D20" s="3">
        <v>7101</v>
      </c>
      <c r="E20" s="3">
        <v>7205</v>
      </c>
      <c r="F20" s="3">
        <v>7606</v>
      </c>
    </row>
    <row r="21" spans="1:6" ht="15" customHeight="1">
      <c r="A21" s="1" t="s">
        <v>22</v>
      </c>
      <c r="B21" s="3">
        <v>4405</v>
      </c>
      <c r="C21" s="3">
        <v>3539</v>
      </c>
      <c r="D21" s="3">
        <v>5209</v>
      </c>
      <c r="E21" s="3">
        <v>7393</v>
      </c>
      <c r="F21" s="3">
        <v>4291</v>
      </c>
    </row>
    <row r="22" spans="1:6" ht="15" customHeight="1">
      <c r="A22" s="9" t="s">
        <v>23</v>
      </c>
      <c r="B22" s="10">
        <f>SUM(B17,B19:B21)</f>
        <v>65497</v>
      </c>
      <c r="C22" s="10">
        <f>SUM(C17,C19:C21)</f>
        <v>59628</v>
      </c>
      <c r="D22" s="10">
        <f>SUM(D17,D19:D21)</f>
        <v>65157</v>
      </c>
      <c r="E22" s="10">
        <f>SUM(E17,E19:E21)</f>
        <v>71118</v>
      </c>
      <c r="F22" s="10">
        <f>SUM(F17,F19:F21)</f>
        <v>70200</v>
      </c>
    </row>
    <row r="23" spans="1:6" ht="15" customHeight="1">
      <c r="A23" s="9" t="s">
        <v>24</v>
      </c>
      <c r="B23" s="10">
        <f>B15-B22</f>
        <v>30972</v>
      </c>
      <c r="C23" s="10">
        <f>C15-C22</f>
        <v>30606</v>
      </c>
      <c r="D23" s="10">
        <f>D15-D22</f>
        <v>31271</v>
      </c>
      <c r="E23" s="10">
        <f>E15-E22</f>
        <v>31228</v>
      </c>
      <c r="F23" s="10">
        <f>F15-F22</f>
        <v>39696</v>
      </c>
    </row>
    <row r="24" spans="1:6" ht="15" customHeight="1">
      <c r="A24" s="1" t="s">
        <v>25</v>
      </c>
      <c r="B24" s="3">
        <v>1271</v>
      </c>
      <c r="C24" s="3">
        <v>11183</v>
      </c>
      <c r="D24" s="3">
        <v>2662</v>
      </c>
      <c r="E24" s="3">
        <v>12759</v>
      </c>
      <c r="F24" s="3">
        <v>37716</v>
      </c>
    </row>
    <row r="25" spans="1:6" ht="15" customHeight="1">
      <c r="A25" s="9" t="s">
        <v>26</v>
      </c>
      <c r="B25" s="10">
        <f>SUM(B23:B24)</f>
        <v>32243</v>
      </c>
      <c r="C25" s="10">
        <f>SUM(C23:C24)</f>
        <v>41789</v>
      </c>
      <c r="D25" s="10">
        <f>SUM(D23:D24)</f>
        <v>33933</v>
      </c>
      <c r="E25" s="10">
        <f>SUM(E23:E24)</f>
        <v>43987</v>
      </c>
      <c r="F25" s="10">
        <f>SUM(F23:F24)</f>
        <v>77412</v>
      </c>
    </row>
    <row r="26" spans="1:6" ht="15" customHeight="1">
      <c r="A26" s="1" t="s">
        <v>27</v>
      </c>
      <c r="B26" s="3">
        <v>5707</v>
      </c>
      <c r="C26" s="3">
        <v>7249</v>
      </c>
      <c r="D26" s="3">
        <v>5737</v>
      </c>
      <c r="E26" s="3">
        <v>9008</v>
      </c>
      <c r="F26" s="3">
        <v>14834</v>
      </c>
    </row>
    <row r="27" spans="1:6" ht="15" customHeight="1">
      <c r="A27" s="9" t="s">
        <v>28</v>
      </c>
      <c r="B27" s="10">
        <f>B25-B26</f>
        <v>26536</v>
      </c>
      <c r="C27" s="10">
        <f>C25-C26</f>
        <v>34540</v>
      </c>
      <c r="D27" s="10">
        <f>D25-D26</f>
        <v>28196</v>
      </c>
      <c r="E27" s="10">
        <f>E25-E26</f>
        <v>34979</v>
      </c>
      <c r="F27" s="10">
        <f>F25-F26</f>
        <v>62578</v>
      </c>
    </row>
    <row r="28" spans="1:6" ht="15" customHeight="1">
      <c r="A28" s="1"/>
      <c r="B28" s="2"/>
      <c r="C28" s="2"/>
      <c r="D28" s="2"/>
      <c r="E28" s="2"/>
      <c r="F28" s="2"/>
    </row>
    <row r="29" spans="1:6" ht="15" customHeight="1">
      <c r="A29" s="1" t="s">
        <v>29</v>
      </c>
      <c r="B29" s="3">
        <v>12228</v>
      </c>
      <c r="C29" s="3">
        <v>12183</v>
      </c>
      <c r="D29" s="3">
        <v>12122</v>
      </c>
      <c r="E29" s="3">
        <v>12086</v>
      </c>
      <c r="F29" s="3">
        <v>12099</v>
      </c>
    </row>
    <row r="30" spans="1:6" ht="15" customHeight="1">
      <c r="A30" s="1" t="s">
        <v>30</v>
      </c>
      <c r="B30" s="3">
        <v>12348</v>
      </c>
      <c r="C30" s="3">
        <v>12291</v>
      </c>
      <c r="D30" s="3">
        <v>12198</v>
      </c>
      <c r="E30" s="3">
        <v>12203</v>
      </c>
      <c r="F30" s="3">
        <v>12238</v>
      </c>
    </row>
    <row r="31" spans="1:6" ht="15" customHeight="1">
      <c r="A31" s="9" t="s">
        <v>31</v>
      </c>
      <c r="B31" s="11">
        <f>B27/B29</f>
        <v>2.1701014066077855</v>
      </c>
      <c r="C31" s="11">
        <f>C27/C29</f>
        <v>2.8350980874989742</v>
      </c>
      <c r="D31" s="11">
        <f>D27/D29</f>
        <v>2.3260188087774294</v>
      </c>
      <c r="E31" s="11">
        <f>E27/E29</f>
        <v>2.8941750786033427</v>
      </c>
      <c r="F31" s="11">
        <f>F27/F29</f>
        <v>5.1721629886767504</v>
      </c>
    </row>
    <row r="32" spans="1:6" ht="15" customHeight="1">
      <c r="A32" s="9" t="s">
        <v>32</v>
      </c>
      <c r="B32" s="11">
        <f>B27/B30</f>
        <v>2.1490119857466796</v>
      </c>
      <c r="C32" s="11">
        <f>C27/C30</f>
        <v>2.8101863151899762</v>
      </c>
      <c r="D32" s="11">
        <f>D27/D30</f>
        <v>2.3115264797507789</v>
      </c>
      <c r="E32" s="11">
        <f>E27/E30</f>
        <v>2.8664262886175531</v>
      </c>
      <c r="F32" s="11">
        <f>F27/F30</f>
        <v>5.1134172250367707</v>
      </c>
    </row>
    <row r="33" spans="1:6" ht="15" customHeight="1">
      <c r="A33" s="1"/>
      <c r="B33" s="2"/>
      <c r="C33" s="2"/>
      <c r="D33" s="2"/>
      <c r="E33" s="2"/>
      <c r="F33" s="2"/>
    </row>
    <row r="34" spans="1:6" ht="15" customHeight="1">
      <c r="A34" s="7" t="s">
        <v>33</v>
      </c>
      <c r="B34" s="8"/>
      <c r="C34" s="8"/>
      <c r="D34" s="8"/>
      <c r="E34" s="8"/>
      <c r="F34" s="8"/>
    </row>
    <row r="35" spans="1:6" ht="15" customHeight="1">
      <c r="A35" s="7"/>
      <c r="B35" s="8" t="s">
        <v>3</v>
      </c>
      <c r="C35" s="8" t="s">
        <v>4</v>
      </c>
      <c r="D35" s="8" t="s">
        <v>5</v>
      </c>
      <c r="E35" s="8" t="s">
        <v>6</v>
      </c>
      <c r="F35" s="8" t="s">
        <v>7</v>
      </c>
    </row>
    <row r="36" spans="1:6" ht="15" customHeight="1">
      <c r="A36" s="5" t="s">
        <v>34</v>
      </c>
      <c r="B36" s="6"/>
      <c r="C36" s="6"/>
      <c r="D36" s="6"/>
      <c r="E36" s="6"/>
      <c r="F36" s="6"/>
    </row>
    <row r="37" spans="1:6" ht="15" customHeight="1">
      <c r="A37" s="1" t="s">
        <v>35</v>
      </c>
      <c r="B37" s="4">
        <v>0.12523948354852155</v>
      </c>
      <c r="C37" s="4">
        <v>9.8492070370049367E-2</v>
      </c>
      <c r="D37" s="4">
        <v>0.11711228844132027</v>
      </c>
      <c r="E37" s="4">
        <v>0.14542877391920617</v>
      </c>
      <c r="F37" s="4">
        <v>0.19125478284880271</v>
      </c>
    </row>
    <row r="38" spans="1:6" ht="15" customHeight="1">
      <c r="A38" s="1" t="s">
        <v>36</v>
      </c>
      <c r="B38" s="4">
        <v>0.1383695652173913</v>
      </c>
      <c r="C38" s="4">
        <v>0.10346106304079106</v>
      </c>
      <c r="D38" s="4">
        <v>0.1307861018123051</v>
      </c>
      <c r="E38" s="4">
        <v>0.15020737585472488</v>
      </c>
      <c r="F38" s="4">
        <v>0.10709084798924606</v>
      </c>
    </row>
    <row r="39" spans="1:6" ht="15" customHeight="1">
      <c r="A39" s="1" t="s">
        <v>37</v>
      </c>
      <c r="B39" s="4">
        <v>-4.1340243461492121E-2</v>
      </c>
      <c r="C39" s="4">
        <v>-2.1179009847565045E-2</v>
      </c>
      <c r="D39" s="4">
        <v>-1.2090274046211769E-2</v>
      </c>
      <c r="E39" s="4">
        <v>-2.5702172760996289E-2</v>
      </c>
      <c r="F39" s="4">
        <v>-3.9277839029768447E-2</v>
      </c>
    </row>
    <row r="40" spans="1:6" ht="15" customHeight="1">
      <c r="A40" s="1" t="s">
        <v>38</v>
      </c>
      <c r="B40" s="4">
        <v>0.10598775890226975</v>
      </c>
      <c r="C40" s="4">
        <v>8.4756483238456637E-2</v>
      </c>
      <c r="D40" s="4">
        <v>0.10406091370558368</v>
      </c>
      <c r="E40" s="4">
        <v>0.12646156649558105</v>
      </c>
      <c r="F40" s="4">
        <v>0.15501233460417141</v>
      </c>
    </row>
    <row r="41" spans="1:6" ht="15" customHeight="1">
      <c r="A41" s="1" t="s">
        <v>39</v>
      </c>
      <c r="B41" s="4">
        <v>7.772836761163604E-2</v>
      </c>
      <c r="C41" s="4">
        <v>0.18766449250486317</v>
      </c>
      <c r="D41" s="4">
        <v>0.20307130584192445</v>
      </c>
      <c r="E41" s="4">
        <v>0.20777027027027017</v>
      </c>
      <c r="F41" s="4">
        <v>0.19317853357741588</v>
      </c>
    </row>
    <row r="42" spans="1:6" ht="15" customHeight="1">
      <c r="A42" s="1" t="s">
        <v>40</v>
      </c>
      <c r="B42" s="4">
        <v>0.10199053871656782</v>
      </c>
      <c r="C42" s="4">
        <v>9.7531179863064255E-2</v>
      </c>
      <c r="D42" s="4">
        <v>0.11653230169895035</v>
      </c>
      <c r="E42" s="4">
        <v>0.13778591033851795</v>
      </c>
      <c r="F42" s="4">
        <v>0.1601392627873266</v>
      </c>
    </row>
    <row r="43" spans="1:6" ht="15" customHeight="1">
      <c r="A43" s="1" t="s">
        <v>41</v>
      </c>
      <c r="B43" s="4">
        <v>0.3005874673629243</v>
      </c>
      <c r="C43" s="4">
        <v>0.28055149362857734</v>
      </c>
      <c r="D43" s="4">
        <v>0.31671015753358467</v>
      </c>
      <c r="E43" s="4">
        <v>0.33506562142165075</v>
      </c>
      <c r="F43" s="4">
        <v>0.63360522022838506</v>
      </c>
    </row>
    <row r="44" spans="1:6" ht="15" customHeight="1">
      <c r="A44" s="1" t="s">
        <v>42</v>
      </c>
      <c r="B44" s="4">
        <v>-0.39117199391171997</v>
      </c>
      <c r="C44" s="4">
        <v>-9.0909090909090939E-2</v>
      </c>
      <c r="D44" s="4">
        <v>2.1917808219177992E-2</v>
      </c>
      <c r="E44" s="4">
        <v>-0.11340206185567014</v>
      </c>
      <c r="F44" s="4">
        <v>-8.666666666666667E-2</v>
      </c>
    </row>
    <row r="45" spans="1:6" ht="15" customHeight="1">
      <c r="A45" s="1" t="s">
        <v>43</v>
      </c>
      <c r="B45" s="4">
        <v>0.11770362646275045</v>
      </c>
      <c r="C45" s="4">
        <v>0.12037646357665222</v>
      </c>
      <c r="D45" s="4">
        <v>0.13790092280097244</v>
      </c>
      <c r="E45" s="4">
        <v>0.1594915484660353</v>
      </c>
      <c r="F45" s="4">
        <v>0.21790012633818745</v>
      </c>
    </row>
    <row r="46" spans="1:6" ht="15" customHeight="1">
      <c r="A46" s="1"/>
      <c r="B46" s="2"/>
      <c r="C46" s="2"/>
      <c r="D46" s="2"/>
      <c r="E46" s="2"/>
      <c r="F46" s="2"/>
    </row>
    <row r="47" spans="1:6" ht="15" customHeight="1">
      <c r="A47" s="5" t="s">
        <v>44</v>
      </c>
      <c r="B47" s="6"/>
      <c r="C47" s="6"/>
      <c r="D47" s="6"/>
      <c r="E47" s="6"/>
      <c r="F47" s="6"/>
    </row>
    <row r="48" spans="1:6" ht="15" customHeight="1">
      <c r="A48" s="1" t="s">
        <v>45</v>
      </c>
      <c r="B48" s="4">
        <f>B18/B15</f>
        <v>0.5790046543449191</v>
      </c>
      <c r="C48" s="4">
        <f>C18/C15</f>
        <v>0.5970365937451515</v>
      </c>
      <c r="D48" s="4">
        <f>D18/D15</f>
        <v>0.59514871199236741</v>
      </c>
      <c r="E48" s="4">
        <f>E18/E15</f>
        <v>0.59579270318331934</v>
      </c>
      <c r="F48" s="4">
        <f>F18/F15</f>
        <v>0.62445402926403148</v>
      </c>
    </row>
    <row r="49" spans="1:6" ht="15" customHeight="1">
      <c r="A49" s="1" t="s">
        <v>46</v>
      </c>
      <c r="B49" s="4">
        <f>B19/B15</f>
        <v>0.13596077496397807</v>
      </c>
      <c r="C49" s="4">
        <f>C19/C15</f>
        <v>0.15023162001019572</v>
      </c>
      <c r="D49" s="4">
        <f>D19/D15</f>
        <v>0.1431949226365786</v>
      </c>
      <c r="E49" s="4">
        <f>E19/E15</f>
        <v>0.14803705078850174</v>
      </c>
      <c r="F49" s="4">
        <f>F19/F15</f>
        <v>0.15498289291693965</v>
      </c>
    </row>
    <row r="50" spans="1:6" ht="15" customHeight="1">
      <c r="A50" s="1" t="s">
        <v>47</v>
      </c>
      <c r="B50" s="4">
        <f>B20/B15</f>
        <v>7.6325037058536938E-2</v>
      </c>
      <c r="C50" s="4">
        <f>C20/C15</f>
        <v>6.8399937939136027E-2</v>
      </c>
      <c r="D50" s="4">
        <f>D20/D15</f>
        <v>7.3640436387771194E-2</v>
      </c>
      <c r="E50" s="4">
        <f>E20/E15</f>
        <v>7.0398452308834736E-2</v>
      </c>
      <c r="F50" s="4">
        <f>F20/F15</f>
        <v>6.9210890296280123E-2</v>
      </c>
    </row>
    <row r="51" spans="1:6" ht="15" customHeight="1">
      <c r="A51" s="1" t="s">
        <v>48</v>
      </c>
      <c r="B51" s="4">
        <f>B21/B15</f>
        <v>4.5662337123842892E-2</v>
      </c>
      <c r="C51" s="4">
        <f>C21/C15</f>
        <v>3.9220249573331561E-2</v>
      </c>
      <c r="D51" s="4">
        <f>D21/D15</f>
        <v>5.401957937528519E-2</v>
      </c>
      <c r="E51" s="4">
        <f>E21/E15</f>
        <v>7.2235358489828622E-2</v>
      </c>
      <c r="F51" s="4">
        <f>F21/F15</f>
        <v>3.9046007134017617E-2</v>
      </c>
    </row>
    <row r="52" spans="1:6" ht="15" customHeight="1">
      <c r="A52" s="1" t="s">
        <v>49</v>
      </c>
      <c r="B52" s="4">
        <f>B23/B15</f>
        <v>0.32105650519856122</v>
      </c>
      <c r="C52" s="4">
        <f>C23/C15</f>
        <v>0.33918478622248821</v>
      </c>
      <c r="D52" s="4">
        <f>D23/D15</f>
        <v>0.32429377359273243</v>
      </c>
      <c r="E52" s="4">
        <f>E23/E15</f>
        <v>0.30512184159615424</v>
      </c>
      <c r="F52" s="4">
        <f>F23/F15</f>
        <v>0.36121423891679405</v>
      </c>
    </row>
    <row r="53" spans="1:6" ht="15" customHeight="1">
      <c r="A53" s="1" t="s">
        <v>50</v>
      </c>
      <c r="B53" s="4">
        <f>B25/B15</f>
        <v>0.33423172210762009</v>
      </c>
      <c r="C53" s="4">
        <f>C25/C15</f>
        <v>0.46311811512290268</v>
      </c>
      <c r="D53" s="4">
        <f>D25/D15</f>
        <v>0.35189986311029992</v>
      </c>
      <c r="E53" s="4">
        <f>E25/E15</f>
        <v>0.42978719246477637</v>
      </c>
      <c r="F53" s="4">
        <f>F25/F15</f>
        <v>0.70441144354662588</v>
      </c>
    </row>
    <row r="54" spans="1:6" ht="15" customHeight="1">
      <c r="A54" s="1" t="s">
        <v>51</v>
      </c>
      <c r="B54" s="4">
        <f>B27/B15</f>
        <v>0.27507282132083882</v>
      </c>
      <c r="C54" s="4">
        <f>C27/C15</f>
        <v>0.38278254316554733</v>
      </c>
      <c r="D54" s="4">
        <f>D27/D15</f>
        <v>0.29240469573153027</v>
      </c>
      <c r="E54" s="4">
        <f>E27/E15</f>
        <v>0.34177202821800556</v>
      </c>
      <c r="F54" s="4">
        <f>F27/F15</f>
        <v>0.5694292785906675</v>
      </c>
    </row>
    <row r="55" spans="1:6" ht="15" customHeight="1">
      <c r="A55" s="1" t="s">
        <v>52</v>
      </c>
      <c r="B55" s="4">
        <f>B26/B25</f>
        <v>0.17699965884067859</v>
      </c>
      <c r="C55" s="4">
        <f>C26/C25</f>
        <v>0.173466701763622</v>
      </c>
      <c r="D55" s="4">
        <f>D26/D25</f>
        <v>0.16906845843279403</v>
      </c>
      <c r="E55" s="4">
        <f>E26/E25</f>
        <v>0.20478777820719757</v>
      </c>
      <c r="F55" s="4">
        <f>F26/F25</f>
        <v>0.19162403761690694</v>
      </c>
    </row>
    <row r="56" spans="1:6" ht="15" customHeight="1">
      <c r="A56" s="1" t="s">
        <v>53</v>
      </c>
      <c r="B56" s="4">
        <f>B61/B15</f>
        <v>0.36443831697229162</v>
      </c>
      <c r="C56" s="4">
        <f>C61/C15</f>
        <v>0.38602965622714275</v>
      </c>
      <c r="D56" s="4">
        <f>D61/D15</f>
        <v>0.37728668021736428</v>
      </c>
      <c r="E56" s="4">
        <f>E61/E15</f>
        <v>0.36196822543137985</v>
      </c>
      <c r="F56" s="4">
        <f>F61/F15</f>
        <v>0.42183518963383565</v>
      </c>
    </row>
    <row r="57" spans="1:6" ht="15" customHeight="1">
      <c r="A57" s="1"/>
      <c r="B57" s="2"/>
      <c r="C57" s="2"/>
      <c r="D57" s="2"/>
      <c r="E57" s="2"/>
      <c r="F57" s="2"/>
    </row>
    <row r="58" spans="1:6" ht="15" customHeight="1">
      <c r="A58" s="5" t="s">
        <v>54</v>
      </c>
      <c r="B58" s="6"/>
      <c r="C58" s="6"/>
      <c r="D58" s="6"/>
      <c r="E58" s="6"/>
      <c r="F58" s="6"/>
    </row>
    <row r="59" spans="1:6" ht="15" customHeight="1">
      <c r="A59" s="1" t="s">
        <v>55</v>
      </c>
      <c r="B59" s="3">
        <f>B23-B14</f>
        <v>30952</v>
      </c>
      <c r="C59" s="3">
        <f t="shared" ref="C59:F59" si="0">C23-C14</f>
        <v>30346</v>
      </c>
      <c r="D59" s="3">
        <f t="shared" si="0"/>
        <v>31383</v>
      </c>
      <c r="E59" s="3">
        <f t="shared" si="0"/>
        <v>31435</v>
      </c>
      <c r="F59" s="3">
        <f t="shared" si="0"/>
        <v>39876</v>
      </c>
    </row>
    <row r="60" spans="1:6" ht="15" customHeight="1">
      <c r="A60" s="1" t="s">
        <v>56</v>
      </c>
      <c r="B60" s="3">
        <f>B77</f>
        <v>4205</v>
      </c>
      <c r="C60" s="3">
        <f>C77</f>
        <v>4487</v>
      </c>
      <c r="D60" s="3">
        <f>D77</f>
        <v>4998</v>
      </c>
      <c r="E60" s="3">
        <f>E77</f>
        <v>5611</v>
      </c>
      <c r="F60" s="3">
        <f>F77</f>
        <v>6482</v>
      </c>
    </row>
    <row r="61" spans="1:6" ht="15" customHeight="1">
      <c r="A61" s="9" t="s">
        <v>57</v>
      </c>
      <c r="B61" s="10">
        <f>SUM(B59:B60)</f>
        <v>35157</v>
      </c>
      <c r="C61" s="10">
        <f>SUM(C59:C60)</f>
        <v>34833</v>
      </c>
      <c r="D61" s="10">
        <f>SUM(D59:D60)</f>
        <v>36381</v>
      </c>
      <c r="E61" s="10">
        <f>SUM(E59:E60)</f>
        <v>37046</v>
      </c>
      <c r="F61" s="10">
        <f>SUM(F59:F60)</f>
        <v>46358</v>
      </c>
    </row>
    <row r="62" spans="1:6" ht="15" customHeight="1">
      <c r="A62" s="1" t="s">
        <v>58</v>
      </c>
      <c r="B62" s="3">
        <v>14848</v>
      </c>
      <c r="C62" s="3">
        <v>13748</v>
      </c>
      <c r="D62" s="3">
        <v>14705</v>
      </c>
      <c r="E62" s="3">
        <v>14876</v>
      </c>
      <c r="F62" s="3">
        <v>15228</v>
      </c>
    </row>
    <row r="63" spans="1:6" ht="15" customHeight="1">
      <c r="A63" s="1" t="s">
        <v>59</v>
      </c>
      <c r="B63" s="4">
        <f>B62/B9</f>
        <v>0.20491022757069319</v>
      </c>
      <c r="C63" s="4">
        <f>C62/C9</f>
        <v>0.20554683411826269</v>
      </c>
      <c r="D63" s="4">
        <f>D62/D9</f>
        <v>0.206125595738716</v>
      </c>
      <c r="E63" s="4">
        <f>E62/E9</f>
        <v>0.20053382222102398</v>
      </c>
      <c r="F63" s="4">
        <f>F62/F9</f>
        <v>0.19711855850258242</v>
      </c>
    </row>
    <row r="64" spans="1:6" ht="15" customHeight="1">
      <c r="A64" s="1" t="s">
        <v>60</v>
      </c>
      <c r="B64" s="3">
        <v>183323</v>
      </c>
      <c r="C64" s="3">
        <v>185719</v>
      </c>
      <c r="D64" s="3">
        <v>187103</v>
      </c>
      <c r="E64" s="3">
        <v>190167</v>
      </c>
      <c r="F64" s="3">
        <v>194668</v>
      </c>
    </row>
    <row r="65" spans="1:6" ht="15" customHeight="1">
      <c r="A65" s="1" t="s">
        <v>61</v>
      </c>
      <c r="B65" s="3">
        <v>32836</v>
      </c>
      <c r="C65" s="3">
        <v>32682</v>
      </c>
      <c r="D65" s="3">
        <v>33063</v>
      </c>
      <c r="E65" s="3">
        <v>33527</v>
      </c>
      <c r="F65" s="3">
        <v>40589</v>
      </c>
    </row>
    <row r="66" spans="1:6" ht="15" customHeight="1">
      <c r="A66" s="1" t="s">
        <v>62</v>
      </c>
      <c r="B66" s="4">
        <f>B65/B11</f>
        <v>0.39046780983185481</v>
      </c>
      <c r="C66" s="4">
        <f>C65/C11</f>
        <v>0.4229913025471112</v>
      </c>
      <c r="D66" s="4">
        <f>D65/D11</f>
        <v>0.40055486231418774</v>
      </c>
      <c r="E66" s="4">
        <f>E65/E11</f>
        <v>0.38513761889445391</v>
      </c>
      <c r="F66" s="4">
        <f>F65/F11</f>
        <v>0.4528152437051664</v>
      </c>
    </row>
    <row r="67" spans="1:6" ht="15" customHeight="1">
      <c r="A67" s="1" t="s">
        <v>63</v>
      </c>
      <c r="B67" s="3">
        <v>2093</v>
      </c>
      <c r="C67" s="3">
        <v>2177</v>
      </c>
      <c r="D67" s="3">
        <v>2826</v>
      </c>
      <c r="E67" s="3">
        <v>3594</v>
      </c>
      <c r="F67" s="3">
        <v>6598</v>
      </c>
    </row>
    <row r="68" spans="1:6" ht="15" customHeight="1">
      <c r="A68" s="1" t="s">
        <v>64</v>
      </c>
      <c r="B68" s="4">
        <f>B67/B12</f>
        <v>0.17507319113341699</v>
      </c>
      <c r="C68" s="4">
        <f>C67/C12</f>
        <v>0.17756933115823817</v>
      </c>
      <c r="D68" s="4">
        <f>D67/D12</f>
        <v>0.20742806811509101</v>
      </c>
      <c r="E68" s="4">
        <f>E67/E12</f>
        <v>0.23711816322491258</v>
      </c>
      <c r="F68" s="4">
        <f>F67/F12</f>
        <v>0.32943878570002</v>
      </c>
    </row>
    <row r="69" spans="1:6" ht="15" customHeight="1">
      <c r="A69" s="1" t="s">
        <v>65</v>
      </c>
      <c r="B69" s="3">
        <v>-1174</v>
      </c>
      <c r="C69" s="3">
        <v>-1226</v>
      </c>
      <c r="D69" s="3">
        <v>-1246</v>
      </c>
      <c r="E69" s="3">
        <v>-1426</v>
      </c>
      <c r="F69" s="3">
        <v>-2100</v>
      </c>
    </row>
    <row r="70" spans="1:6" ht="15" customHeight="1">
      <c r="A70" s="1" t="s">
        <v>66</v>
      </c>
      <c r="B70" s="3">
        <v>-2783</v>
      </c>
      <c r="C70" s="3">
        <v>-3027</v>
      </c>
      <c r="D70" s="3">
        <v>-3372</v>
      </c>
      <c r="E70" s="3">
        <v>-4467</v>
      </c>
      <c r="F70" s="3">
        <v>-5391</v>
      </c>
    </row>
    <row r="71" spans="1:6" ht="15" customHeight="1">
      <c r="A71" s="1"/>
      <c r="B71" s="2"/>
      <c r="C71" s="2"/>
      <c r="D71" s="2"/>
      <c r="E71" s="2"/>
      <c r="F71" s="2"/>
    </row>
    <row r="72" spans="1:6" ht="15" customHeight="1">
      <c r="A72" s="7" t="s">
        <v>67</v>
      </c>
      <c r="B72" s="8"/>
      <c r="C72" s="8"/>
      <c r="D72" s="8"/>
      <c r="E72" s="8"/>
      <c r="F72" s="8"/>
    </row>
    <row r="73" spans="1:6" ht="15" customHeight="1">
      <c r="A73" s="7"/>
      <c r="B73" s="8" t="s">
        <v>3</v>
      </c>
      <c r="C73" s="8" t="s">
        <v>4</v>
      </c>
      <c r="D73" s="8" t="s">
        <v>5</v>
      </c>
      <c r="E73" s="8" t="s">
        <v>6</v>
      </c>
      <c r="F73" s="8" t="s">
        <v>7</v>
      </c>
    </row>
    <row r="74" spans="1:6" ht="15" customHeight="1">
      <c r="A74" s="1" t="s">
        <v>55</v>
      </c>
      <c r="B74" s="3">
        <f>B59</f>
        <v>30952</v>
      </c>
      <c r="C74" s="3">
        <f>C59</f>
        <v>30346</v>
      </c>
      <c r="D74" s="3">
        <f>D59</f>
        <v>31383</v>
      </c>
      <c r="E74" s="3">
        <f>E59</f>
        <v>31435</v>
      </c>
      <c r="F74" s="3">
        <f>F59</f>
        <v>39876</v>
      </c>
    </row>
    <row r="75" spans="1:6" ht="15" customHeight="1">
      <c r="A75" s="1" t="s">
        <v>68</v>
      </c>
      <c r="B75" s="4">
        <f>B26/B25</f>
        <v>0.17699965884067859</v>
      </c>
      <c r="C75" s="4">
        <f>C26/C25</f>
        <v>0.173466701763622</v>
      </c>
      <c r="D75" s="4">
        <f>D26/D25</f>
        <v>0.16906845843279403</v>
      </c>
      <c r="E75" s="4">
        <f>E26/E25</f>
        <v>0.20478777820719757</v>
      </c>
      <c r="F75" s="4">
        <f>F26/F25</f>
        <v>0.19162403761690694</v>
      </c>
    </row>
    <row r="76" spans="1:6" ht="15" customHeight="1">
      <c r="A76" s="9" t="s">
        <v>69</v>
      </c>
      <c r="B76" s="10">
        <f>B74*(1-B75)</f>
        <v>25473.506559563317</v>
      </c>
      <c r="C76" s="10">
        <f>C74*(1-C75)</f>
        <v>25081.979468281126</v>
      </c>
      <c r="D76" s="10">
        <f>D74*(1-D75)</f>
        <v>26077.124569003623</v>
      </c>
      <c r="E76" s="10">
        <f>E74*(1-E75)</f>
        <v>24997.496192056744</v>
      </c>
      <c r="F76" s="10">
        <f>F74*(1-F75)</f>
        <v>32234.799875988218</v>
      </c>
    </row>
    <row r="77" spans="1:6" ht="15" customHeight="1">
      <c r="A77" s="1" t="s">
        <v>56</v>
      </c>
      <c r="B77" s="3">
        <v>4205</v>
      </c>
      <c r="C77" s="3">
        <v>4487</v>
      </c>
      <c r="D77" s="3">
        <v>4998</v>
      </c>
      <c r="E77" s="3">
        <v>5611</v>
      </c>
      <c r="F77" s="3">
        <v>6482</v>
      </c>
    </row>
    <row r="78" spans="1:6" ht="15" customHeight="1">
      <c r="A78" s="1" t="s">
        <v>70</v>
      </c>
      <c r="B78" s="3">
        <v>14276</v>
      </c>
      <c r="C78" s="3">
        <v>17197</v>
      </c>
      <c r="D78" s="3">
        <v>22446</v>
      </c>
      <c r="E78" s="3">
        <v>23953</v>
      </c>
      <c r="F78" s="3">
        <v>35674</v>
      </c>
    </row>
    <row r="79" spans="1:6" ht="15" customHeight="1">
      <c r="A79" s="1" t="s">
        <v>71</v>
      </c>
      <c r="B79" s="3">
        <f t="shared" ref="B79:F80" si="1">B99</f>
        <v>52340</v>
      </c>
      <c r="C79" s="3">
        <f t="shared" si="1"/>
        <v>51000</v>
      </c>
      <c r="D79" s="3">
        <f t="shared" si="1"/>
        <v>55048</v>
      </c>
      <c r="E79" s="3">
        <f t="shared" si="1"/>
        <v>57148</v>
      </c>
      <c r="F79" s="3">
        <f t="shared" si="1"/>
        <v>62999</v>
      </c>
    </row>
    <row r="80" spans="1:6" ht="15" customHeight="1">
      <c r="A80" s="1" t="s">
        <v>72</v>
      </c>
      <c r="B80" s="3">
        <f t="shared" si="1"/>
        <v>15714</v>
      </c>
      <c r="C80" s="3">
        <f t="shared" si="1"/>
        <v>15724</v>
      </c>
      <c r="D80" s="3">
        <f t="shared" si="1"/>
        <v>16020</v>
      </c>
      <c r="E80" s="3">
        <f t="shared" si="1"/>
        <v>18303</v>
      </c>
      <c r="F80" s="3">
        <f t="shared" si="1"/>
        <v>23914</v>
      </c>
    </row>
    <row r="81" spans="1:6" ht="15" customHeight="1">
      <c r="A81" s="9" t="s">
        <v>73</v>
      </c>
      <c r="B81" s="10">
        <f>SUM(B79:B80)</f>
        <v>68054</v>
      </c>
      <c r="C81" s="10">
        <f>SUM(C79:C80)</f>
        <v>66724</v>
      </c>
      <c r="D81" s="10">
        <f>SUM(D79:D80)</f>
        <v>71068</v>
      </c>
      <c r="E81" s="10">
        <f>SUM(E79:E80)</f>
        <v>75451</v>
      </c>
      <c r="F81" s="10">
        <f>SUM(F79:F80)</f>
        <v>86913</v>
      </c>
    </row>
    <row r="82" spans="1:6" ht="15" customHeight="1">
      <c r="A82" s="1" t="s">
        <v>74</v>
      </c>
      <c r="B82" s="3">
        <f t="shared" ref="B82:F86" si="2">B112</f>
        <v>7987</v>
      </c>
      <c r="C82" s="3">
        <f t="shared" si="2"/>
        <v>8497</v>
      </c>
      <c r="D82" s="3">
        <f t="shared" si="2"/>
        <v>8347</v>
      </c>
      <c r="E82" s="3">
        <f t="shared" si="2"/>
        <v>10546</v>
      </c>
      <c r="F82" s="3">
        <f t="shared" si="2"/>
        <v>16852</v>
      </c>
    </row>
    <row r="83" spans="1:6" ht="15" customHeight="1">
      <c r="A83" s="1" t="s">
        <v>75</v>
      </c>
      <c r="B83" s="3">
        <f t="shared" si="2"/>
        <v>15069</v>
      </c>
      <c r="C83" s="3">
        <f t="shared" si="2"/>
        <v>9984</v>
      </c>
      <c r="D83" s="3">
        <f t="shared" si="2"/>
        <v>12168</v>
      </c>
      <c r="E83" s="3">
        <f t="shared" si="2"/>
        <v>13944</v>
      </c>
      <c r="F83" s="3">
        <f t="shared" si="2"/>
        <v>13947</v>
      </c>
    </row>
    <row r="84" spans="1:6" ht="15" customHeight="1">
      <c r="A84" s="1" t="s">
        <v>76</v>
      </c>
      <c r="B84" s="3">
        <f t="shared" si="2"/>
        <v>51228</v>
      </c>
      <c r="C84" s="3">
        <f t="shared" si="2"/>
        <v>58300</v>
      </c>
      <c r="D84" s="3">
        <f t="shared" si="2"/>
        <v>52039</v>
      </c>
      <c r="E84" s="3">
        <f t="shared" si="2"/>
        <v>59437</v>
      </c>
      <c r="F84" s="3">
        <f t="shared" si="2"/>
        <v>63019</v>
      </c>
    </row>
    <row r="85" spans="1:6" ht="15" customHeight="1">
      <c r="A85" s="1" t="s">
        <v>77</v>
      </c>
      <c r="B85" s="3">
        <f t="shared" si="2"/>
        <v>9802</v>
      </c>
      <c r="C85" s="3">
        <f t="shared" si="2"/>
        <v>9965</v>
      </c>
      <c r="D85" s="3">
        <f t="shared" si="2"/>
        <v>9787</v>
      </c>
      <c r="E85" s="3">
        <f t="shared" si="2"/>
        <v>10081</v>
      </c>
      <c r="F85" s="3">
        <f t="shared" si="2"/>
        <v>10208</v>
      </c>
    </row>
    <row r="86" spans="1:6" ht="15" customHeight="1">
      <c r="A86" s="1" t="s">
        <v>78</v>
      </c>
      <c r="B86" s="3">
        <f t="shared" si="2"/>
        <v>5036</v>
      </c>
      <c r="C86" s="3">
        <f t="shared" si="2"/>
        <v>4908</v>
      </c>
      <c r="D86" s="3">
        <f t="shared" si="2"/>
        <v>4969</v>
      </c>
      <c r="E86" s="3">
        <f t="shared" si="2"/>
        <v>5542</v>
      </c>
      <c r="F86" s="3">
        <f t="shared" si="2"/>
        <v>7162</v>
      </c>
    </row>
    <row r="87" spans="1:6" ht="15" customHeight="1">
      <c r="A87" s="9" t="s">
        <v>79</v>
      </c>
      <c r="B87" s="10">
        <f>SUM(B82:B86)</f>
        <v>89122</v>
      </c>
      <c r="C87" s="10">
        <f>SUM(C82:C86)</f>
        <v>91654</v>
      </c>
      <c r="D87" s="10">
        <f>SUM(D82:D86)</f>
        <v>87310</v>
      </c>
      <c r="E87" s="10">
        <f>SUM(E82:E86)</f>
        <v>99550</v>
      </c>
      <c r="F87" s="10">
        <f>SUM(F82:F86)</f>
        <v>111188</v>
      </c>
    </row>
    <row r="88" spans="1:6" ht="15" customHeight="1">
      <c r="A88" s="9" t="s">
        <v>80</v>
      </c>
      <c r="B88" s="10">
        <f>B81-B87</f>
        <v>-21068</v>
      </c>
      <c r="C88" s="10">
        <f>C81-C87</f>
        <v>-24930</v>
      </c>
      <c r="D88" s="10">
        <f>D81-D87</f>
        <v>-16242</v>
      </c>
      <c r="E88" s="10">
        <f>E81-E87</f>
        <v>-24099</v>
      </c>
      <c r="F88" s="10">
        <f>F81-F87</f>
        <v>-24275</v>
      </c>
    </row>
    <row r="89" spans="1:6" ht="15" customHeight="1">
      <c r="A89" s="1" t="s">
        <v>81</v>
      </c>
      <c r="B89" s="3">
        <v>-16492</v>
      </c>
      <c r="C89" s="3">
        <f>B88</f>
        <v>-21068</v>
      </c>
      <c r="D89" s="3">
        <f>C88</f>
        <v>-24930</v>
      </c>
      <c r="E89" s="3">
        <f>D88</f>
        <v>-16242</v>
      </c>
      <c r="F89" s="3">
        <v>-23550</v>
      </c>
    </row>
    <row r="90" spans="1:6" ht="15" customHeight="1">
      <c r="A90" s="9" t="s">
        <v>82</v>
      </c>
      <c r="B90" s="10">
        <f>B88-B89</f>
        <v>-4576</v>
      </c>
      <c r="C90" s="10">
        <f>C88-C89</f>
        <v>-3862</v>
      </c>
      <c r="D90" s="10">
        <f>D88-D89</f>
        <v>8688</v>
      </c>
      <c r="E90" s="10">
        <f>E88-E89</f>
        <v>-7857</v>
      </c>
      <c r="F90" s="10">
        <f>F88-F89</f>
        <v>-725</v>
      </c>
    </row>
    <row r="91" spans="1:6" ht="15" customHeight="1">
      <c r="A91" s="9" t="s">
        <v>83</v>
      </c>
      <c r="B91" s="10">
        <f>B76+B77-B78-B90</f>
        <v>19978.506559563317</v>
      </c>
      <c r="C91" s="10">
        <f>C76+C77-C78-C90</f>
        <v>16233.979468281126</v>
      </c>
      <c r="D91" s="10">
        <f>D76+D77-D78-D90</f>
        <v>-58.875430996376963</v>
      </c>
      <c r="E91" s="10">
        <f>E76+E77-E78-E90</f>
        <v>14512.496192056744</v>
      </c>
      <c r="F91" s="10">
        <f>F76+F77-F78-F90</f>
        <v>3767.7998759882175</v>
      </c>
    </row>
    <row r="92" spans="1:6" ht="15" customHeight="1">
      <c r="A92" s="1"/>
      <c r="B92" s="2"/>
      <c r="C92" s="2"/>
      <c r="D92" s="2"/>
      <c r="E92" s="2"/>
      <c r="F92" s="2"/>
    </row>
    <row r="93" spans="1:6" ht="15" customHeight="1">
      <c r="A93" s="7" t="s">
        <v>84</v>
      </c>
      <c r="B93" s="8"/>
      <c r="C93" s="8"/>
      <c r="D93" s="8"/>
      <c r="E93" s="8"/>
      <c r="F93" s="8"/>
    </row>
    <row r="94" spans="1:6" ht="15" customHeight="1">
      <c r="A94" s="7"/>
      <c r="B94" s="8" t="s">
        <v>3</v>
      </c>
      <c r="C94" s="8" t="s">
        <v>4</v>
      </c>
      <c r="D94" s="8" t="s">
        <v>5</v>
      </c>
      <c r="E94" s="8" t="s">
        <v>6</v>
      </c>
      <c r="F94" s="8" t="s">
        <v>7</v>
      </c>
    </row>
    <row r="95" spans="1:6" ht="15" customHeight="1">
      <c r="A95" s="5" t="s">
        <v>85</v>
      </c>
      <c r="B95" s="6"/>
      <c r="C95" s="6"/>
      <c r="D95" s="6"/>
      <c r="E95" s="6"/>
      <c r="F95" s="6"/>
    </row>
    <row r="96" spans="1:6" ht="15" customHeight="1">
      <c r="A96" s="1" t="s">
        <v>86</v>
      </c>
      <c r="B96" s="3">
        <v>23466</v>
      </c>
      <c r="C96" s="3">
        <v>23264</v>
      </c>
      <c r="D96" s="3">
        <v>21036</v>
      </c>
      <c r="E96" s="3">
        <v>23090</v>
      </c>
      <c r="F96" s="3">
        <v>38063</v>
      </c>
    </row>
    <row r="97" spans="1:6" ht="15" customHeight="1">
      <c r="A97" s="1" t="s">
        <v>87</v>
      </c>
      <c r="B97" s="3">
        <v>72191</v>
      </c>
      <c r="C97" s="3">
        <v>72064</v>
      </c>
      <c r="D97" s="3">
        <v>74112</v>
      </c>
      <c r="E97" s="3">
        <v>75406</v>
      </c>
      <c r="F97" s="3">
        <v>88777</v>
      </c>
    </row>
    <row r="98" spans="1:6" ht="15" customHeight="1">
      <c r="A98" s="9" t="s">
        <v>88</v>
      </c>
      <c r="B98" s="10">
        <f>SUM(B96:B97)</f>
        <v>95657</v>
      </c>
      <c r="C98" s="10">
        <f>SUM(C96:C97)</f>
        <v>95328</v>
      </c>
      <c r="D98" s="10">
        <f>SUM(D96:D97)</f>
        <v>95148</v>
      </c>
      <c r="E98" s="10">
        <f>SUM(E96:E97)</f>
        <v>98496</v>
      </c>
      <c r="F98" s="10">
        <f>SUM(F96:F97)</f>
        <v>126840</v>
      </c>
    </row>
    <row r="99" spans="1:6" ht="15" customHeight="1">
      <c r="A99" s="1" t="s">
        <v>71</v>
      </c>
      <c r="B99" s="3">
        <v>52340</v>
      </c>
      <c r="C99" s="3">
        <v>51000</v>
      </c>
      <c r="D99" s="3">
        <v>55048</v>
      </c>
      <c r="E99" s="3">
        <v>57148</v>
      </c>
      <c r="F99" s="3">
        <v>62999</v>
      </c>
    </row>
    <row r="100" spans="1:6" ht="15" customHeight="1">
      <c r="A100" s="1" t="s">
        <v>72</v>
      </c>
      <c r="B100" s="3">
        <v>15714</v>
      </c>
      <c r="C100" s="3">
        <v>15724</v>
      </c>
      <c r="D100" s="3">
        <v>16020</v>
      </c>
      <c r="E100" s="3">
        <v>18303</v>
      </c>
      <c r="F100" s="3">
        <v>23914</v>
      </c>
    </row>
    <row r="101" spans="1:6" ht="15" customHeight="1">
      <c r="A101" s="9" t="s">
        <v>89</v>
      </c>
      <c r="B101" s="10">
        <f>SUM(B98:B100)</f>
        <v>163711</v>
      </c>
      <c r="C101" s="10">
        <f>SUM(C98:C100)</f>
        <v>162052</v>
      </c>
      <c r="D101" s="10">
        <f>SUM(D98:D100)</f>
        <v>166216</v>
      </c>
      <c r="E101" s="10">
        <f>SUM(E98:E100)</f>
        <v>173947</v>
      </c>
      <c r="F101" s="10">
        <f>SUM(F98:F100)</f>
        <v>213753</v>
      </c>
    </row>
    <row r="102" spans="1:6" ht="15" customHeight="1">
      <c r="A102" s="1" t="s">
        <v>90</v>
      </c>
      <c r="B102" s="3">
        <v>37982</v>
      </c>
      <c r="C102" s="3">
        <v>51029</v>
      </c>
      <c r="D102" s="3">
        <v>52574</v>
      </c>
      <c r="E102" s="3">
        <v>63800</v>
      </c>
      <c r="F102" s="3">
        <v>106946</v>
      </c>
    </row>
    <row r="103" spans="1:6" ht="15" customHeight="1">
      <c r="A103" s="1" t="s">
        <v>91</v>
      </c>
      <c r="B103" s="3">
        <v>17180</v>
      </c>
      <c r="C103" s="3">
        <v>18386</v>
      </c>
      <c r="D103" s="3">
        <v>19289</v>
      </c>
      <c r="E103" s="3">
        <v>10331</v>
      </c>
      <c r="F103" s="3">
        <v>1995</v>
      </c>
    </row>
    <row r="104" spans="1:6" ht="15" customHeight="1">
      <c r="A104" s="1" t="s">
        <v>92</v>
      </c>
      <c r="B104" s="3">
        <v>171036</v>
      </c>
      <c r="C104" s="3">
        <v>185062</v>
      </c>
      <c r="D104" s="3">
        <v>203231</v>
      </c>
      <c r="E104" s="3">
        <v>223787</v>
      </c>
      <c r="F104" s="3">
        <v>281020</v>
      </c>
    </row>
    <row r="105" spans="1:6" ht="15" customHeight="1">
      <c r="A105" s="1" t="s">
        <v>93</v>
      </c>
      <c r="B105" s="3">
        <v>13588</v>
      </c>
      <c r="C105" s="3">
        <v>13722</v>
      </c>
      <c r="D105" s="3">
        <v>14255</v>
      </c>
      <c r="E105" s="3">
        <v>14524</v>
      </c>
      <c r="F105" s="3">
        <v>15509</v>
      </c>
    </row>
    <row r="106" spans="1:6" ht="15" customHeight="1">
      <c r="A106" s="1" t="s">
        <v>94</v>
      </c>
      <c r="B106" s="3">
        <v>31885</v>
      </c>
      <c r="C106" s="3">
        <v>32173</v>
      </c>
      <c r="D106" s="3">
        <v>32335</v>
      </c>
      <c r="E106" s="3">
        <v>33269</v>
      </c>
      <c r="F106" s="3">
        <v>57774</v>
      </c>
    </row>
    <row r="107" spans="1:6" ht="15" customHeight="1">
      <c r="A107" s="1" t="s">
        <v>95</v>
      </c>
      <c r="B107" s="3"/>
      <c r="C107" s="3"/>
      <c r="D107" s="3"/>
      <c r="E107" s="3"/>
      <c r="F107" s="3">
        <v>9444</v>
      </c>
    </row>
    <row r="108" spans="1:6" ht="15" customHeight="1">
      <c r="A108" s="1" t="s">
        <v>96</v>
      </c>
      <c r="B108" s="3">
        <v>14874</v>
      </c>
      <c r="C108" s="3">
        <v>12950</v>
      </c>
      <c r="D108" s="3">
        <v>14153</v>
      </c>
      <c r="E108" s="3">
        <v>16811</v>
      </c>
      <c r="F108" s="3">
        <v>17478</v>
      </c>
    </row>
    <row r="109" spans="1:6" ht="15" customHeight="1">
      <c r="A109" s="9" t="s">
        <v>97</v>
      </c>
      <c r="B109" s="10">
        <f>SUM(B101:B108)</f>
        <v>450256</v>
      </c>
      <c r="C109" s="10">
        <f>SUM(C101:C108)</f>
        <v>475374</v>
      </c>
      <c r="D109" s="10">
        <f>SUM(D101:D108)</f>
        <v>502053</v>
      </c>
      <c r="E109" s="10">
        <f>SUM(E101:E108)</f>
        <v>536469</v>
      </c>
      <c r="F109" s="10">
        <f>SUM(F101:F108)</f>
        <v>703919</v>
      </c>
    </row>
    <row r="110" spans="1:6" ht="15" customHeight="1">
      <c r="A110" s="1"/>
      <c r="B110" s="2"/>
      <c r="C110" s="2"/>
      <c r="D110" s="2"/>
      <c r="E110" s="2"/>
      <c r="F110" s="2"/>
    </row>
    <row r="111" spans="1:6" ht="15" customHeight="1">
      <c r="A111" s="5" t="s">
        <v>98</v>
      </c>
      <c r="B111" s="6"/>
      <c r="C111" s="6"/>
      <c r="D111" s="6"/>
      <c r="E111" s="6"/>
      <c r="F111" s="6"/>
    </row>
    <row r="112" spans="1:6" ht="15" customHeight="1">
      <c r="A112" s="1" t="s">
        <v>74</v>
      </c>
      <c r="B112" s="3">
        <v>7987</v>
      </c>
      <c r="C112" s="3">
        <v>8497</v>
      </c>
      <c r="D112" s="3">
        <v>8347</v>
      </c>
      <c r="E112" s="3">
        <v>10546</v>
      </c>
      <c r="F112" s="3">
        <v>16852</v>
      </c>
    </row>
    <row r="113" spans="1:6" ht="15" customHeight="1">
      <c r="A113" s="1" t="s">
        <v>75</v>
      </c>
      <c r="B113" s="3">
        <v>15069</v>
      </c>
      <c r="C113" s="3">
        <v>9984</v>
      </c>
      <c r="D113" s="3">
        <v>12168</v>
      </c>
      <c r="E113" s="3">
        <v>13944</v>
      </c>
      <c r="F113" s="3">
        <v>13947</v>
      </c>
    </row>
    <row r="114" spans="1:6" ht="15" customHeight="1">
      <c r="A114" s="1" t="s">
        <v>76</v>
      </c>
      <c r="B114" s="3">
        <v>51228</v>
      </c>
      <c r="C114" s="3">
        <v>58300</v>
      </c>
      <c r="D114" s="3">
        <v>52039</v>
      </c>
      <c r="E114" s="3">
        <v>59437</v>
      </c>
      <c r="F114" s="3">
        <v>63019</v>
      </c>
    </row>
    <row r="115" spans="1:6" ht="15" customHeight="1">
      <c r="A115" s="1" t="s">
        <v>77</v>
      </c>
      <c r="B115" s="3">
        <v>9802</v>
      </c>
      <c r="C115" s="3">
        <v>9965</v>
      </c>
      <c r="D115" s="3">
        <v>9787</v>
      </c>
      <c r="E115" s="3">
        <v>10081</v>
      </c>
      <c r="F115" s="3">
        <v>10208</v>
      </c>
    </row>
    <row r="116" spans="1:6" ht="15" customHeight="1">
      <c r="A116" s="1" t="s">
        <v>78</v>
      </c>
      <c r="B116" s="3">
        <v>5036</v>
      </c>
      <c r="C116" s="3">
        <v>4908</v>
      </c>
      <c r="D116" s="3">
        <v>4969</v>
      </c>
      <c r="E116" s="3">
        <v>5542</v>
      </c>
      <c r="F116" s="3">
        <v>7162</v>
      </c>
    </row>
    <row r="117" spans="1:6" ht="15" customHeight="1">
      <c r="A117" s="9" t="s">
        <v>99</v>
      </c>
      <c r="B117" s="10">
        <f>SUM(B112:B116)</f>
        <v>89122</v>
      </c>
      <c r="C117" s="10">
        <f>SUM(C112:C116)</f>
        <v>91654</v>
      </c>
      <c r="D117" s="10">
        <f>SUM(D112:D116)</f>
        <v>87310</v>
      </c>
      <c r="E117" s="10">
        <f>SUM(E112:E116)</f>
        <v>99550</v>
      </c>
      <c r="F117" s="10">
        <f>SUM(F112:F116)</f>
        <v>111188</v>
      </c>
    </row>
    <row r="118" spans="1:6" ht="15" customHeight="1">
      <c r="A118" s="1" t="s">
        <v>100</v>
      </c>
      <c r="B118" s="3">
        <v>10883</v>
      </c>
      <c r="C118" s="3">
        <v>10886</v>
      </c>
      <c r="D118" s="3">
        <v>23607</v>
      </c>
      <c r="E118" s="3">
        <v>21607</v>
      </c>
      <c r="F118" s="3">
        <v>77501</v>
      </c>
    </row>
    <row r="119" spans="1:6" ht="15" customHeight="1">
      <c r="A119" s="1" t="s">
        <v>101</v>
      </c>
      <c r="B119" s="3">
        <v>8782</v>
      </c>
      <c r="C119" s="3">
        <v>9773</v>
      </c>
      <c r="D119" s="3">
        <v>10027</v>
      </c>
      <c r="E119" s="3">
        <v>10072</v>
      </c>
      <c r="F119" s="3">
        <v>12457</v>
      </c>
    </row>
    <row r="120" spans="1:6" ht="15" customHeight="1">
      <c r="A120" s="1" t="s">
        <v>102</v>
      </c>
      <c r="B120" s="3">
        <v>11691</v>
      </c>
      <c r="C120" s="3">
        <v>11678</v>
      </c>
      <c r="D120" s="3">
        <v>11952</v>
      </c>
      <c r="E120" s="3">
        <v>12106</v>
      </c>
      <c r="F120" s="3">
        <v>12983</v>
      </c>
    </row>
    <row r="121" spans="1:6" ht="15" customHeight="1">
      <c r="A121" s="1" t="s">
        <v>103</v>
      </c>
      <c r="B121" s="3">
        <v>4694</v>
      </c>
      <c r="C121" s="3">
        <v>6116</v>
      </c>
      <c r="D121" s="3">
        <v>6241</v>
      </c>
      <c r="E121" s="3">
        <v>6267</v>
      </c>
      <c r="F121" s="3">
        <v>11044</v>
      </c>
    </row>
    <row r="122" spans="1:6" ht="15" customHeight="1">
      <c r="A122" s="9" t="s">
        <v>104</v>
      </c>
      <c r="B122" s="10">
        <f>SUM(B117:B121)</f>
        <v>125172</v>
      </c>
      <c r="C122" s="10">
        <f>SUM(C117:C121)</f>
        <v>130107</v>
      </c>
      <c r="D122" s="10">
        <f>SUM(D117:D121)</f>
        <v>139137</v>
      </c>
      <c r="E122" s="10">
        <f>SUM(E117:E121)</f>
        <v>149602</v>
      </c>
      <c r="F122" s="10">
        <f>SUM(F117:F121)</f>
        <v>225173</v>
      </c>
    </row>
    <row r="123" spans="1:6" ht="15" customHeight="1">
      <c r="A123" s="1"/>
      <c r="B123" s="2"/>
      <c r="C123" s="2"/>
      <c r="D123" s="2"/>
      <c r="E123" s="2"/>
      <c r="F123" s="2"/>
    </row>
    <row r="124" spans="1:6" ht="15" customHeight="1">
      <c r="A124" s="5" t="s">
        <v>105</v>
      </c>
      <c r="B124" s="6"/>
      <c r="C124" s="6"/>
      <c r="D124" s="6"/>
      <c r="E124" s="6"/>
      <c r="F124" s="6"/>
    </row>
    <row r="125" spans="1:6" ht="15" customHeight="1">
      <c r="A125" s="1" t="s">
        <v>106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</row>
    <row r="126" spans="1:6" ht="15" customHeight="1">
      <c r="A126" s="1" t="s">
        <v>107</v>
      </c>
      <c r="B126" s="3">
        <v>84800</v>
      </c>
      <c r="C126" s="3">
        <v>86725</v>
      </c>
      <c r="D126" s="3">
        <v>89283</v>
      </c>
      <c r="E126" s="3">
        <v>91695</v>
      </c>
      <c r="F126" s="3">
        <v>96902</v>
      </c>
    </row>
    <row r="127" spans="1:6" ht="15" customHeight="1">
      <c r="A127" s="1" t="s">
        <v>108</v>
      </c>
      <c r="B127" s="3">
        <v>-4800</v>
      </c>
      <c r="C127" s="3">
        <v>-4086</v>
      </c>
      <c r="D127" s="3">
        <v>-2127</v>
      </c>
      <c r="E127" s="3">
        <v>-2054</v>
      </c>
      <c r="F127" s="3">
        <v>-2180</v>
      </c>
    </row>
    <row r="128" spans="1:6" ht="15" customHeight="1">
      <c r="A128" s="1" t="s">
        <v>109</v>
      </c>
      <c r="B128" s="3">
        <v>245084</v>
      </c>
      <c r="C128" s="3">
        <v>262628</v>
      </c>
      <c r="D128" s="3">
        <v>275760</v>
      </c>
      <c r="E128" s="3">
        <v>297226</v>
      </c>
      <c r="F128" s="3">
        <v>384024</v>
      </c>
    </row>
    <row r="129" spans="1:6" ht="15" customHeight="1">
      <c r="A129" s="9" t="s">
        <v>110</v>
      </c>
      <c r="B129" s="10">
        <f>SUM(B125:B128)</f>
        <v>325084</v>
      </c>
      <c r="C129" s="10">
        <f>SUM(C125:C128)</f>
        <v>345267</v>
      </c>
      <c r="D129" s="10">
        <f>SUM(D125:D128)</f>
        <v>362916</v>
      </c>
      <c r="E129" s="10">
        <f>SUM(E125:E128)</f>
        <v>386867</v>
      </c>
      <c r="F129" s="10">
        <f>SUM(F125:F128)</f>
        <v>478746</v>
      </c>
    </row>
    <row r="130" spans="1:6" ht="15" customHeight="1">
      <c r="A130" s="9" t="s">
        <v>111</v>
      </c>
      <c r="B130" s="10">
        <f>SUM(B122,B129)</f>
        <v>450256</v>
      </c>
      <c r="C130" s="10">
        <f>SUM(C122,C129)</f>
        <v>475374</v>
      </c>
      <c r="D130" s="10">
        <f>SUM(D122,D129)</f>
        <v>502053</v>
      </c>
      <c r="E130" s="10">
        <f>SUM(E122,E129)</f>
        <v>536469</v>
      </c>
      <c r="F130" s="10">
        <f>SUM(F122,F129)</f>
        <v>703919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showGridLines="0" workbookViewId="0">
      <selection activeCell="F19" sqref="A19:F19"/>
    </sheetView>
  </sheetViews>
  <sheetFormatPr defaultRowHeight="14.25"/>
  <cols>
    <col min="1" max="1" width="61" customWidth="1"/>
    <col min="2" max="6" width="14" customWidth="1"/>
  </cols>
  <sheetData>
    <row r="1" spans="1:6" ht="15" customHeight="1">
      <c r="A1" s="5" t="s">
        <v>112</v>
      </c>
      <c r="B1" s="6"/>
      <c r="C1" s="6"/>
      <c r="D1" s="6"/>
      <c r="E1" s="6"/>
      <c r="F1" s="6"/>
    </row>
    <row r="2" spans="1:6" ht="15" customHeight="1">
      <c r="A2" s="1" t="s">
        <v>113</v>
      </c>
      <c r="B2" s="2"/>
      <c r="C2" s="2"/>
      <c r="D2" s="2"/>
      <c r="E2" s="2"/>
      <c r="F2" s="2"/>
    </row>
    <row r="3" spans="1:6" ht="15" customHeight="1">
      <c r="A3" s="1"/>
      <c r="B3" s="2"/>
      <c r="C3" s="2"/>
      <c r="D3" s="2"/>
      <c r="E3" s="2"/>
      <c r="F3" s="2"/>
    </row>
    <row r="4" spans="1:6" ht="15" customHeight="1">
      <c r="A4" s="7" t="s">
        <v>114</v>
      </c>
      <c r="B4" s="8"/>
      <c r="C4" s="8"/>
      <c r="D4" s="8"/>
      <c r="E4" s="8"/>
      <c r="F4" s="8"/>
    </row>
    <row r="5" spans="1:6" ht="15" customHeight="1">
      <c r="A5" s="7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 spans="1:6" ht="15" customHeight="1">
      <c r="A6" s="5" t="s">
        <v>115</v>
      </c>
      <c r="B6" s="6"/>
      <c r="C6" s="6"/>
      <c r="D6" s="6"/>
      <c r="E6" s="6"/>
      <c r="F6" s="6"/>
    </row>
    <row r="7" spans="1:6" ht="15" customHeight="1">
      <c r="A7" s="1" t="s">
        <v>116</v>
      </c>
      <c r="B7" s="3">
        <v>84094</v>
      </c>
      <c r="C7" s="3">
        <v>77264</v>
      </c>
      <c r="D7" s="3">
        <v>82543</v>
      </c>
      <c r="E7" s="3">
        <v>87052</v>
      </c>
      <c r="F7" s="3">
        <v>89637</v>
      </c>
    </row>
    <row r="8" spans="1:6" ht="15" customHeight="1">
      <c r="A8" s="1" t="s">
        <v>117</v>
      </c>
      <c r="B8" s="4">
        <v>0.10199053871656782</v>
      </c>
      <c r="C8" s="4">
        <v>9.7531179863064255E-2</v>
      </c>
      <c r="D8" s="4">
        <v>0.11653230169895035</v>
      </c>
      <c r="E8" s="4">
        <v>0.13778591033851795</v>
      </c>
      <c r="F8" s="4">
        <v>0.1601392627873266</v>
      </c>
    </row>
    <row r="9" spans="1:6" ht="15" customHeight="1">
      <c r="A9" s="1" t="s">
        <v>118</v>
      </c>
      <c r="B9" s="3">
        <v>10940</v>
      </c>
      <c r="C9" s="3">
        <v>11337</v>
      </c>
      <c r="D9" s="3">
        <v>11306</v>
      </c>
      <c r="E9" s="3">
        <v>11070</v>
      </c>
      <c r="F9" s="3">
        <v>12206</v>
      </c>
    </row>
    <row r="10" spans="1:6" ht="15" customHeight="1">
      <c r="A10" s="1" t="s">
        <v>119</v>
      </c>
      <c r="B10" s="3">
        <v>40318</v>
      </c>
      <c r="C10" s="3">
        <v>33245</v>
      </c>
      <c r="D10" s="3">
        <v>38174</v>
      </c>
      <c r="E10" s="3">
        <v>42455</v>
      </c>
      <c r="F10" s="3">
        <v>36842</v>
      </c>
    </row>
    <row r="11" spans="1:6" ht="15" customHeight="1">
      <c r="A11" s="9" t="s">
        <v>23</v>
      </c>
      <c r="B11" s="10">
        <f>SUM(B9:B10)</f>
        <v>51258</v>
      </c>
      <c r="C11" s="10">
        <f>SUM(C9:C10)</f>
        <v>44582</v>
      </c>
      <c r="D11" s="10">
        <f>SUM(D9:D10)</f>
        <v>49480</v>
      </c>
      <c r="E11" s="10">
        <f>SUM(E9:E10)</f>
        <v>53525</v>
      </c>
      <c r="F11" s="10">
        <f>SUM(F9:F10)</f>
        <v>49048</v>
      </c>
    </row>
    <row r="12" spans="1:6" ht="15" customHeight="1">
      <c r="A12" s="9" t="s">
        <v>120</v>
      </c>
      <c r="B12" s="10">
        <f>B7-B11</f>
        <v>32836</v>
      </c>
      <c r="C12" s="10">
        <f>C7-C11</f>
        <v>32682</v>
      </c>
      <c r="D12" s="10">
        <f>D7-D11</f>
        <v>33063</v>
      </c>
      <c r="E12" s="10">
        <f>E7-E11</f>
        <v>33527</v>
      </c>
      <c r="F12" s="10">
        <f>F7-F11</f>
        <v>40589</v>
      </c>
    </row>
    <row r="13" spans="1:6" ht="15" customHeight="1">
      <c r="A13" s="1" t="s">
        <v>121</v>
      </c>
      <c r="B13" s="4">
        <v>0.22843247287691737</v>
      </c>
      <c r="C13" s="4">
        <v>0.17152381976556619</v>
      </c>
      <c r="D13" s="4">
        <v>0.11420772393340961</v>
      </c>
      <c r="E13" s="4">
        <v>8.6563391236712528E-2</v>
      </c>
      <c r="F13" s="4">
        <v>0.24193745792791144</v>
      </c>
    </row>
    <row r="14" spans="1:6" ht="15" customHeight="1">
      <c r="A14" s="1" t="s">
        <v>49</v>
      </c>
      <c r="B14" s="4">
        <f>B12/B7</f>
        <v>0.39046780983185481</v>
      </c>
      <c r="C14" s="4">
        <f>C12/C7</f>
        <v>0.4229913025471112</v>
      </c>
      <c r="D14" s="4">
        <f>D12/D7</f>
        <v>0.40055486231418774</v>
      </c>
      <c r="E14" s="4">
        <f>E12/E7</f>
        <v>0.38513761889445391</v>
      </c>
      <c r="F14" s="4">
        <f>F12/F7</f>
        <v>0.4528152437051664</v>
      </c>
    </row>
    <row r="15" spans="1:6" ht="15" customHeight="1">
      <c r="A15" s="1"/>
      <c r="B15" s="2"/>
      <c r="C15" s="2"/>
      <c r="D15" s="2"/>
      <c r="E15" s="2"/>
      <c r="F15" s="2"/>
    </row>
    <row r="16" spans="1:6" ht="15" customHeight="1">
      <c r="A16" s="5" t="s">
        <v>14</v>
      </c>
      <c r="B16" s="6"/>
      <c r="C16" s="6"/>
      <c r="D16" s="6"/>
      <c r="E16" s="6"/>
      <c r="F16" s="6"/>
    </row>
    <row r="17" spans="1:6" ht="15" customHeight="1">
      <c r="A17" s="1" t="s">
        <v>116</v>
      </c>
      <c r="B17" s="3">
        <v>11955</v>
      </c>
      <c r="C17" s="3">
        <v>12260</v>
      </c>
      <c r="D17" s="3">
        <v>13624</v>
      </c>
      <c r="E17" s="3">
        <v>15157</v>
      </c>
      <c r="F17" s="3">
        <v>20028</v>
      </c>
    </row>
    <row r="18" spans="1:6" ht="15" customHeight="1">
      <c r="A18" s="1" t="s">
        <v>117</v>
      </c>
      <c r="B18" s="4">
        <v>0.3005874673629243</v>
      </c>
      <c r="C18" s="4">
        <v>0.28055149362857734</v>
      </c>
      <c r="D18" s="4">
        <v>0.31671015753358467</v>
      </c>
      <c r="E18" s="4">
        <v>0.33506562142165075</v>
      </c>
      <c r="F18" s="4">
        <v>0.63360522022838506</v>
      </c>
    </row>
    <row r="19" spans="1:6" ht="15" customHeight="1">
      <c r="A19" s="1" t="s">
        <v>118</v>
      </c>
      <c r="B19" s="3">
        <v>5030</v>
      </c>
      <c r="C19" s="3">
        <v>5412</v>
      </c>
      <c r="D19" s="3">
        <v>5517</v>
      </c>
      <c r="E19" s="3">
        <v>5586</v>
      </c>
      <c r="F19" s="3">
        <v>6443</v>
      </c>
    </row>
    <row r="20" spans="1:6" ht="15" customHeight="1">
      <c r="A20" s="1" t="s">
        <v>119</v>
      </c>
      <c r="B20" s="3">
        <v>4832</v>
      </c>
      <c r="C20" s="3">
        <v>4671</v>
      </c>
      <c r="D20" s="3">
        <v>5281</v>
      </c>
      <c r="E20" s="3">
        <v>5977</v>
      </c>
      <c r="F20" s="3">
        <v>6987</v>
      </c>
    </row>
    <row r="21" spans="1:6" ht="15" customHeight="1">
      <c r="A21" s="9" t="s">
        <v>23</v>
      </c>
      <c r="B21" s="10">
        <f>SUM(B19:B20)</f>
        <v>9862</v>
      </c>
      <c r="C21" s="10">
        <f>SUM(C19:C20)</f>
        <v>10083</v>
      </c>
      <c r="D21" s="10">
        <f>SUM(D19:D20)</f>
        <v>10798</v>
      </c>
      <c r="E21" s="10">
        <f>SUM(E19:E20)</f>
        <v>11563</v>
      </c>
      <c r="F21" s="10">
        <f>SUM(F19:F20)</f>
        <v>13430</v>
      </c>
    </row>
    <row r="22" spans="1:6" ht="15" customHeight="1">
      <c r="A22" s="9" t="s">
        <v>120</v>
      </c>
      <c r="B22" s="10">
        <f>B17-B21</f>
        <v>2093</v>
      </c>
      <c r="C22" s="10">
        <f>C17-C21</f>
        <v>2177</v>
      </c>
      <c r="D22" s="10">
        <f>D17-D21</f>
        <v>2826</v>
      </c>
      <c r="E22" s="10">
        <f>E17-E21</f>
        <v>3594</v>
      </c>
      <c r="F22" s="10">
        <f>F17-F21</f>
        <v>6598</v>
      </c>
    </row>
    <row r="23" spans="1:6" ht="15" customHeight="1">
      <c r="A23" s="1" t="s">
        <v>121</v>
      </c>
      <c r="B23" s="4">
        <v>1.4224537037037037</v>
      </c>
      <c r="C23" s="4">
        <v>1.4188888888888891</v>
      </c>
      <c r="D23" s="4">
        <v>1.4112627986348123</v>
      </c>
      <c r="E23" s="4">
        <v>0.84591679506933737</v>
      </c>
      <c r="F23" s="4">
        <v>2.0307762976573267</v>
      </c>
    </row>
    <row r="24" spans="1:6" ht="15" customHeight="1">
      <c r="A24" s="1" t="s">
        <v>49</v>
      </c>
      <c r="B24" s="4">
        <f>B22/B17</f>
        <v>0.17507319113341699</v>
      </c>
      <c r="C24" s="4">
        <f>C22/C17</f>
        <v>0.17756933115823817</v>
      </c>
      <c r="D24" s="4">
        <f>D22/D17</f>
        <v>0.20742806811509101</v>
      </c>
      <c r="E24" s="4">
        <f>E22/E17</f>
        <v>0.23711816322491258</v>
      </c>
      <c r="F24" s="4">
        <f>F22/F17</f>
        <v>0.32943878570002</v>
      </c>
    </row>
    <row r="25" spans="1:6" ht="15" customHeight="1">
      <c r="A25" s="1"/>
      <c r="B25" s="2"/>
      <c r="C25" s="2"/>
      <c r="D25" s="2"/>
      <c r="E25" s="2"/>
      <c r="F25" s="2"/>
    </row>
    <row r="26" spans="1:6" ht="15" customHeight="1">
      <c r="A26" s="5" t="s">
        <v>15</v>
      </c>
      <c r="B26" s="6"/>
      <c r="C26" s="6"/>
      <c r="D26" s="6"/>
      <c r="E26" s="6"/>
      <c r="F26" s="6"/>
    </row>
    <row r="27" spans="1:6" ht="15" customHeight="1">
      <c r="A27" s="1" t="s">
        <v>116</v>
      </c>
      <c r="B27" s="3">
        <v>400</v>
      </c>
      <c r="C27" s="3">
        <v>450</v>
      </c>
      <c r="D27" s="3">
        <v>373</v>
      </c>
      <c r="E27" s="3">
        <v>344</v>
      </c>
      <c r="F27" s="3">
        <v>411</v>
      </c>
    </row>
    <row r="28" spans="1:6" ht="15" customHeight="1">
      <c r="A28" s="1" t="s">
        <v>117</v>
      </c>
      <c r="B28" s="4">
        <v>-0.39117199391171997</v>
      </c>
      <c r="C28" s="4">
        <v>-9.0909090909090939E-2</v>
      </c>
      <c r="D28" s="4">
        <v>2.1917808219177992E-2</v>
      </c>
      <c r="E28" s="4">
        <v>-0.11340206185567014</v>
      </c>
      <c r="F28" s="4">
        <v>-8.666666666666667E-2</v>
      </c>
    </row>
    <row r="29" spans="1:6" ht="15" customHeight="1">
      <c r="A29" s="9" t="s">
        <v>23</v>
      </c>
      <c r="B29" s="10">
        <f>B27-B30</f>
        <v>1574</v>
      </c>
      <c r="C29" s="10">
        <f>C27-C30</f>
        <v>1676</v>
      </c>
      <c r="D29" s="10">
        <f>D27-D30</f>
        <v>1619</v>
      </c>
      <c r="E29" s="10">
        <f>E27-E30</f>
        <v>1770</v>
      </c>
      <c r="F29" s="10">
        <f>F27-F30</f>
        <v>2511</v>
      </c>
    </row>
    <row r="30" spans="1:6" ht="15" customHeight="1">
      <c r="A30" s="9" t="s">
        <v>122</v>
      </c>
      <c r="B30" s="10">
        <v>-1174</v>
      </c>
      <c r="C30" s="10">
        <v>-1226</v>
      </c>
      <c r="D30" s="10">
        <v>-1246</v>
      </c>
      <c r="E30" s="10">
        <v>-1426</v>
      </c>
      <c r="F30" s="10">
        <v>-2100</v>
      </c>
    </row>
    <row r="31" spans="1:6" ht="15" customHeight="1">
      <c r="A31" s="1" t="s">
        <v>49</v>
      </c>
      <c r="B31" s="4">
        <f>B30/B27</f>
        <v>-2.9350000000000001</v>
      </c>
      <c r="C31" s="4">
        <f>C30/C27</f>
        <v>-2.7244444444444444</v>
      </c>
      <c r="D31" s="4">
        <f>D30/D27</f>
        <v>-3.3404825737265416</v>
      </c>
      <c r="E31" s="4">
        <f>E30/E27</f>
        <v>-4.1453488372093021</v>
      </c>
      <c r="F31" s="4">
        <f>F30/F27</f>
        <v>-5.1094890510948909</v>
      </c>
    </row>
    <row r="32" spans="1:6" ht="15" customHeight="1">
      <c r="A32" s="1"/>
      <c r="B32" s="2"/>
      <c r="C32" s="2"/>
      <c r="D32" s="2"/>
      <c r="E32" s="2"/>
      <c r="F32" s="2"/>
    </row>
    <row r="33" spans="1:6" ht="15" customHeight="1">
      <c r="A33" s="5" t="s">
        <v>123</v>
      </c>
      <c r="B33" s="6"/>
      <c r="C33" s="6"/>
      <c r="D33" s="6"/>
      <c r="E33" s="6"/>
      <c r="F33" s="6"/>
    </row>
    <row r="34" spans="1:6" ht="15" customHeight="1">
      <c r="A34" s="9" t="s">
        <v>124</v>
      </c>
      <c r="B34" s="10">
        <f>-B35</f>
        <v>2783</v>
      </c>
      <c r="C34" s="10">
        <f>-C35</f>
        <v>3027</v>
      </c>
      <c r="D34" s="10">
        <f>-D35</f>
        <v>3372</v>
      </c>
      <c r="E34" s="10">
        <f>-E35</f>
        <v>4467</v>
      </c>
      <c r="F34" s="10">
        <f>-F35</f>
        <v>5391</v>
      </c>
    </row>
    <row r="35" spans="1:6" ht="15" customHeight="1">
      <c r="A35" s="9" t="s">
        <v>122</v>
      </c>
      <c r="B35" s="10">
        <v>-2783</v>
      </c>
      <c r="C35" s="10">
        <v>-3027</v>
      </c>
      <c r="D35" s="10">
        <v>-3372</v>
      </c>
      <c r="E35" s="10">
        <v>-4467</v>
      </c>
      <c r="F35" s="10">
        <v>-5391</v>
      </c>
    </row>
    <row r="36" spans="1:6" ht="15" customHeight="1">
      <c r="A36" s="1" t="s">
        <v>125</v>
      </c>
      <c r="B36" s="4">
        <f>B34/B43</f>
        <v>2.8848645678922764E-2</v>
      </c>
      <c r="C36" s="4">
        <f>C34/C43</f>
        <v>3.3546113438393511E-2</v>
      </c>
      <c r="D36" s="4">
        <f>D34/D43</f>
        <v>3.4969096113162151E-2</v>
      </c>
      <c r="E36" s="4">
        <f>E34/E43</f>
        <v>4.364606335372169E-2</v>
      </c>
      <c r="F36" s="4">
        <f>F34/F43</f>
        <v>4.9055470626774407E-2</v>
      </c>
    </row>
    <row r="37" spans="1:6" ht="15" customHeight="1">
      <c r="A37" s="1"/>
      <c r="B37" s="2"/>
      <c r="C37" s="2"/>
      <c r="D37" s="2"/>
      <c r="E37" s="2"/>
      <c r="F37" s="2"/>
    </row>
    <row r="38" spans="1:6" ht="15" customHeight="1">
      <c r="A38" s="7" t="s">
        <v>126</v>
      </c>
      <c r="B38" s="8"/>
      <c r="C38" s="8"/>
      <c r="D38" s="8"/>
      <c r="E38" s="8"/>
      <c r="F38" s="8"/>
    </row>
    <row r="39" spans="1:6" ht="15" customHeight="1">
      <c r="A39" s="1" t="s">
        <v>127</v>
      </c>
      <c r="B39" s="3">
        <f>B7</f>
        <v>84094</v>
      </c>
      <c r="C39" s="3">
        <f>C7</f>
        <v>77264</v>
      </c>
      <c r="D39" s="3">
        <f>D7</f>
        <v>82543</v>
      </c>
      <c r="E39" s="3">
        <f>E7</f>
        <v>87052</v>
      </c>
      <c r="F39" s="3">
        <f>F7</f>
        <v>89637</v>
      </c>
    </row>
    <row r="40" spans="1:6" ht="15" customHeight="1">
      <c r="A40" s="1" t="s">
        <v>128</v>
      </c>
      <c r="B40" s="3">
        <f>B17</f>
        <v>11955</v>
      </c>
      <c r="C40" s="3">
        <f>C17</f>
        <v>12260</v>
      </c>
      <c r="D40" s="3">
        <f>D17</f>
        <v>13624</v>
      </c>
      <c r="E40" s="3">
        <f>E17</f>
        <v>15157</v>
      </c>
      <c r="F40" s="3">
        <f>F17</f>
        <v>20028</v>
      </c>
    </row>
    <row r="41" spans="1:6" ht="15" customHeight="1">
      <c r="A41" s="1" t="s">
        <v>129</v>
      </c>
      <c r="B41" s="3">
        <f>B27</f>
        <v>400</v>
      </c>
      <c r="C41" s="3">
        <f>C27</f>
        <v>450</v>
      </c>
      <c r="D41" s="3">
        <f>D27</f>
        <v>373</v>
      </c>
      <c r="E41" s="3">
        <f>E27</f>
        <v>344</v>
      </c>
      <c r="F41" s="3">
        <f>F27</f>
        <v>411</v>
      </c>
    </row>
    <row r="42" spans="1:6" ht="15" customHeight="1">
      <c r="A42" s="1" t="s">
        <v>16</v>
      </c>
      <c r="B42" s="3">
        <v>20</v>
      </c>
      <c r="C42" s="3">
        <v>260</v>
      </c>
      <c r="D42" s="3">
        <v>-112</v>
      </c>
      <c r="E42" s="3">
        <v>-207</v>
      </c>
      <c r="F42" s="3">
        <v>-180</v>
      </c>
    </row>
    <row r="43" spans="1:6" ht="15" customHeight="1">
      <c r="A43" s="9" t="s">
        <v>17</v>
      </c>
      <c r="B43" s="10">
        <f>SUM(B39:B42)</f>
        <v>96469</v>
      </c>
      <c r="C43" s="10">
        <f>SUM(C39:C42)</f>
        <v>90234</v>
      </c>
      <c r="D43" s="10">
        <f>SUM(D39:D42)</f>
        <v>96428</v>
      </c>
      <c r="E43" s="10">
        <f>SUM(E39:E42)</f>
        <v>102346</v>
      </c>
      <c r="F43" s="10">
        <f>SUM(F39:F42)</f>
        <v>109896</v>
      </c>
    </row>
    <row r="44" spans="1:6" ht="15" customHeight="1">
      <c r="A44" s="1" t="s">
        <v>61</v>
      </c>
      <c r="B44" s="3">
        <f>B12</f>
        <v>32836</v>
      </c>
      <c r="C44" s="3">
        <f>C12</f>
        <v>32682</v>
      </c>
      <c r="D44" s="3">
        <f>D12</f>
        <v>33063</v>
      </c>
      <c r="E44" s="3">
        <f>E12</f>
        <v>33527</v>
      </c>
      <c r="F44" s="3">
        <f>F12</f>
        <v>40589</v>
      </c>
    </row>
    <row r="45" spans="1:6" ht="15" customHeight="1">
      <c r="A45" s="1" t="s">
        <v>63</v>
      </c>
      <c r="B45" s="3">
        <f>B22</f>
        <v>2093</v>
      </c>
      <c r="C45" s="3">
        <f>C22</f>
        <v>2177</v>
      </c>
      <c r="D45" s="3">
        <f>D22</f>
        <v>2826</v>
      </c>
      <c r="E45" s="3">
        <f>E22</f>
        <v>3594</v>
      </c>
      <c r="F45" s="3">
        <f>F22</f>
        <v>6598</v>
      </c>
    </row>
    <row r="46" spans="1:6" ht="15" customHeight="1">
      <c r="A46" s="1" t="s">
        <v>130</v>
      </c>
      <c r="B46" s="3">
        <f>B30</f>
        <v>-1174</v>
      </c>
      <c r="C46" s="3">
        <f>C30</f>
        <v>-1226</v>
      </c>
      <c r="D46" s="3">
        <f>D30</f>
        <v>-1246</v>
      </c>
      <c r="E46" s="3">
        <f>E30</f>
        <v>-1426</v>
      </c>
      <c r="F46" s="3">
        <f>F30</f>
        <v>-2100</v>
      </c>
    </row>
    <row r="47" spans="1:6" ht="15" customHeight="1">
      <c r="A47" s="1" t="s">
        <v>66</v>
      </c>
      <c r="B47" s="3">
        <f>B35</f>
        <v>-2783</v>
      </c>
      <c r="C47" s="3">
        <f>C35</f>
        <v>-3027</v>
      </c>
      <c r="D47" s="3">
        <f>D35</f>
        <v>-3372</v>
      </c>
      <c r="E47" s="3">
        <f>E35</f>
        <v>-4467</v>
      </c>
      <c r="F47" s="3">
        <f>F35</f>
        <v>-5391</v>
      </c>
    </row>
    <row r="48" spans="1:6" ht="15" customHeight="1">
      <c r="A48" s="9" t="s">
        <v>131</v>
      </c>
      <c r="B48" s="10">
        <f>SUM(B44:B47)</f>
        <v>30972</v>
      </c>
      <c r="C48" s="10">
        <f>SUM(C44:C47)</f>
        <v>30606</v>
      </c>
      <c r="D48" s="10">
        <f>SUM(D44:D47)</f>
        <v>31271</v>
      </c>
      <c r="E48" s="10">
        <f>SUM(E44:E47)</f>
        <v>31228</v>
      </c>
      <c r="F48" s="10">
        <f>SUM(F44:F47)</f>
        <v>39696</v>
      </c>
    </row>
    <row r="49" spans="1:6" ht="15" customHeight="1">
      <c r="A49" s="1" t="s">
        <v>121</v>
      </c>
      <c r="B49" s="4">
        <v>0.30700088618812504</v>
      </c>
      <c r="C49" s="4">
        <v>0.20155464824120606</v>
      </c>
      <c r="D49" s="4">
        <v>0.14023701002734734</v>
      </c>
      <c r="E49" s="4">
        <v>9.491252059885702E-2</v>
      </c>
      <c r="F49" s="4">
        <v>0.29700058811997643</v>
      </c>
    </row>
    <row r="50" spans="1:6" ht="15" customHeight="1">
      <c r="A50" s="9" t="s">
        <v>49</v>
      </c>
      <c r="B50" s="12">
        <f>B48/B43</f>
        <v>0.32105650519856122</v>
      </c>
      <c r="C50" s="12">
        <f>C48/C43</f>
        <v>0.33918478622248821</v>
      </c>
      <c r="D50" s="12">
        <f>D48/D43</f>
        <v>0.32429377359273243</v>
      </c>
      <c r="E50" s="12">
        <f>E48/E43</f>
        <v>0.30512184159615424</v>
      </c>
      <c r="F50" s="12">
        <f>F48/F43</f>
        <v>0.36121423891679405</v>
      </c>
    </row>
    <row r="51" spans="1:6" ht="15" customHeight="1">
      <c r="A51" s="1"/>
      <c r="B51" s="2"/>
      <c r="C51" s="2"/>
      <c r="D51" s="2"/>
      <c r="E51" s="2"/>
      <c r="F51" s="2"/>
    </row>
    <row r="52" spans="1:6" ht="15" customHeight="1">
      <c r="A52" s="7" t="s">
        <v>132</v>
      </c>
      <c r="B52" s="8"/>
      <c r="C52" s="8"/>
      <c r="D52" s="8"/>
      <c r="E52" s="8"/>
      <c r="F52" s="8"/>
    </row>
    <row r="53" spans="1:6" ht="15" customHeight="1">
      <c r="A53" s="7"/>
      <c r="B53" s="8" t="s">
        <v>3</v>
      </c>
      <c r="C53" s="8" t="s">
        <v>4</v>
      </c>
      <c r="D53" s="8" t="s">
        <v>5</v>
      </c>
      <c r="E53" s="8" t="s">
        <v>6</v>
      </c>
      <c r="F53" s="8" t="s">
        <v>7</v>
      </c>
    </row>
    <row r="54" spans="1:6" ht="15" customHeight="1">
      <c r="A54" s="1" t="s">
        <v>62</v>
      </c>
      <c r="B54" s="4">
        <f>B14</f>
        <v>0.39046780983185481</v>
      </c>
      <c r="C54" s="4">
        <f>C14</f>
        <v>0.4229913025471112</v>
      </c>
      <c r="D54" s="4">
        <f>D14</f>
        <v>0.40055486231418774</v>
      </c>
      <c r="E54" s="4">
        <f>E14</f>
        <v>0.38513761889445391</v>
      </c>
      <c r="F54" s="4">
        <f>F14</f>
        <v>0.4528152437051664</v>
      </c>
    </row>
    <row r="55" spans="1:6" ht="15" customHeight="1">
      <c r="A55" s="1" t="s">
        <v>64</v>
      </c>
      <c r="B55" s="4">
        <f>B24</f>
        <v>0.17507319113341699</v>
      </c>
      <c r="C55" s="4">
        <f>C24</f>
        <v>0.17756933115823817</v>
      </c>
      <c r="D55" s="4">
        <f>D24</f>
        <v>0.20742806811509101</v>
      </c>
      <c r="E55" s="4">
        <f>E24</f>
        <v>0.23711816322491258</v>
      </c>
      <c r="F55" s="4">
        <f>F24</f>
        <v>0.32943878570002</v>
      </c>
    </row>
    <row r="56" spans="1:6" ht="15" customHeight="1">
      <c r="A56" s="1" t="s">
        <v>133</v>
      </c>
      <c r="B56" s="4">
        <f>B31</f>
        <v>-2.9350000000000001</v>
      </c>
      <c r="C56" s="4">
        <f>C31</f>
        <v>-2.7244444444444444</v>
      </c>
      <c r="D56" s="4">
        <f>D31</f>
        <v>-3.3404825737265416</v>
      </c>
      <c r="E56" s="4">
        <f>E31</f>
        <v>-4.1453488372093021</v>
      </c>
      <c r="F56" s="4">
        <f>F31</f>
        <v>-5.1094890510948909</v>
      </c>
    </row>
    <row r="57" spans="1:6" ht="15" customHeight="1">
      <c r="A57" s="1" t="s">
        <v>134</v>
      </c>
      <c r="B57" s="4">
        <f>B36</f>
        <v>2.8848645678922764E-2</v>
      </c>
      <c r="C57" s="4">
        <f>C36</f>
        <v>3.3546113438393511E-2</v>
      </c>
      <c r="D57" s="4">
        <f>D36</f>
        <v>3.4969096113162151E-2</v>
      </c>
      <c r="E57" s="4">
        <f>E36</f>
        <v>4.364606335372169E-2</v>
      </c>
      <c r="F57" s="4">
        <f>F36</f>
        <v>4.9055470626774407E-2</v>
      </c>
    </row>
    <row r="58" spans="1:6" ht="15" customHeight="1">
      <c r="A58" s="9" t="s">
        <v>135</v>
      </c>
      <c r="B58" s="12">
        <f>B50</f>
        <v>0.32105650519856122</v>
      </c>
      <c r="C58" s="12">
        <f>C50</f>
        <v>0.33918478622248821</v>
      </c>
      <c r="D58" s="12">
        <f>D50</f>
        <v>0.32429377359273243</v>
      </c>
      <c r="E58" s="12">
        <f>E50</f>
        <v>0.30512184159615424</v>
      </c>
      <c r="F58" s="12">
        <f>F50</f>
        <v>0.36121423891679405</v>
      </c>
    </row>
    <row r="59" spans="1:6" ht="15" customHeight="1">
      <c r="A59" s="1"/>
      <c r="B59" s="2"/>
      <c r="C59" s="2"/>
      <c r="D59" s="2"/>
      <c r="E59" s="2"/>
      <c r="F59" s="2"/>
    </row>
    <row r="60" spans="1:6" ht="15" customHeight="1">
      <c r="A60" s="1" t="s">
        <v>136</v>
      </c>
      <c r="B60" s="4">
        <f>B7/B43</f>
        <v>0.87172044905617352</v>
      </c>
      <c r="C60" s="4">
        <f>C7/C43</f>
        <v>0.85626260611299509</v>
      </c>
      <c r="D60" s="4">
        <f>D7/D43</f>
        <v>0.85600655411291326</v>
      </c>
      <c r="E60" s="4">
        <f>E7/E43</f>
        <v>0.8505657280206359</v>
      </c>
      <c r="F60" s="4">
        <f>F7/F43</f>
        <v>0.81565298100021844</v>
      </c>
    </row>
    <row r="61" spans="1:6" ht="15" customHeight="1">
      <c r="A61" s="1" t="s">
        <v>137</v>
      </c>
      <c r="B61" s="4">
        <f>B17/B43</f>
        <v>0.12392582072997543</v>
      </c>
      <c r="C61" s="4">
        <f>C17/C43</f>
        <v>0.13586896291863376</v>
      </c>
      <c r="D61" s="4">
        <f>D17/D43</f>
        <v>0.14128676318081884</v>
      </c>
      <c r="E61" s="4">
        <f>E17/E43</f>
        <v>0.1480956754538526</v>
      </c>
      <c r="F61" s="4">
        <f>F17/F43</f>
        <v>0.18224503166630268</v>
      </c>
    </row>
    <row r="62" spans="1:6" ht="15" customHeight="1">
      <c r="A62" s="1" t="s">
        <v>138</v>
      </c>
      <c r="B62" s="4">
        <f>B27/B43</f>
        <v>4.146409727477221E-3</v>
      </c>
      <c r="C62" s="4">
        <f>C27/C43</f>
        <v>4.9870337123478952E-3</v>
      </c>
      <c r="D62" s="4">
        <f>D27/D43</f>
        <v>3.8681710706433814E-3</v>
      </c>
      <c r="E62" s="4">
        <f>E27/E43</f>
        <v>3.3611474801164675E-3</v>
      </c>
      <c r="F62" s="4">
        <f>F27/F43</f>
        <v>3.7398995413845818E-3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 Model</vt:lpstr>
      <vt:lpstr>Segment 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2026-07-22T14:08:03Z</dcterms:modified>
</cp:coreProperties>
</file>