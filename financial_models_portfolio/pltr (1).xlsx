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ommy\Downloads\"/>
    </mc:Choice>
  </mc:AlternateContent>
  <xr:revisionPtr revIDLastSave="0" documentId="13_ncr:1_{1D156288-D497-45F9-871D-983F48A56DC1}" xr6:coauthVersionLast="47" xr6:coauthVersionMax="47" xr10:uidLastSave="{00000000-0000-0000-0000-000000000000}"/>
  <bookViews>
    <workbookView xWindow="-105" yWindow="0" windowWidth="11565" windowHeight="15585" tabRatio="621" activeTab="1" xr2:uid="{00000000-000D-0000-FFFF-FFFF00000000}"/>
  </bookViews>
  <sheets>
    <sheet name="Cover" sheetId="1" r:id="rId1"/>
    <sheet name="Financials_MyForecast" sheetId="2" r:id="rId2"/>
    <sheet name="Street" sheetId="6" r:id="rId3"/>
    <sheet name="Guidance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23" i="5" l="1"/>
  <c r="N23" i="5"/>
  <c r="O23" i="5"/>
  <c r="P23" i="5"/>
  <c r="L23" i="5"/>
  <c r="K62" i="6"/>
  <c r="K64" i="6" s="1"/>
  <c r="J62" i="6"/>
  <c r="J64" i="6" s="1"/>
  <c r="I62" i="6"/>
  <c r="I64" i="6" s="1"/>
  <c r="H62" i="6"/>
  <c r="H64" i="6" s="1"/>
  <c r="G62" i="6"/>
  <c r="G64" i="6" s="1"/>
  <c r="F62" i="6"/>
  <c r="F64" i="6" s="1"/>
  <c r="E62" i="6"/>
  <c r="E64" i="6" s="1"/>
  <c r="D62" i="6"/>
  <c r="D64" i="6" s="1"/>
  <c r="C62" i="6"/>
  <c r="C64" i="6" s="1"/>
  <c r="B62" i="6"/>
  <c r="B64" i="6" s="1"/>
  <c r="K52" i="6"/>
  <c r="K57" i="6" s="1"/>
  <c r="J52" i="6"/>
  <c r="J57" i="6" s="1"/>
  <c r="I48" i="6"/>
  <c r="I52" i="6" s="1"/>
  <c r="I57" i="6" s="1"/>
  <c r="H48" i="6"/>
  <c r="H52" i="6" s="1"/>
  <c r="H57" i="6" s="1"/>
  <c r="G48" i="6"/>
  <c r="G52" i="6" s="1"/>
  <c r="G57" i="6" s="1"/>
  <c r="F48" i="6"/>
  <c r="F52" i="6" s="1"/>
  <c r="F57" i="6" s="1"/>
  <c r="E48" i="6"/>
  <c r="E52" i="6" s="1"/>
  <c r="E57" i="6" s="1"/>
  <c r="D48" i="6"/>
  <c r="D52" i="6" s="1"/>
  <c r="D57" i="6" s="1"/>
  <c r="C48" i="6"/>
  <c r="C52" i="6" s="1"/>
  <c r="C57" i="6" s="1"/>
  <c r="B48" i="6"/>
  <c r="B52" i="6" s="1"/>
  <c r="B57" i="6" s="1"/>
  <c r="K43" i="6"/>
  <c r="K47" i="6" s="1"/>
  <c r="J43" i="6"/>
  <c r="J47" i="6" s="1"/>
  <c r="I43" i="6"/>
  <c r="I47" i="6" s="1"/>
  <c r="H43" i="6"/>
  <c r="H47" i="6" s="1"/>
  <c r="G43" i="6"/>
  <c r="G47" i="6" s="1"/>
  <c r="F43" i="6"/>
  <c r="F47" i="6" s="1"/>
  <c r="E43" i="6"/>
  <c r="E47" i="6" s="1"/>
  <c r="D43" i="6"/>
  <c r="D47" i="6" s="1"/>
  <c r="C43" i="6"/>
  <c r="C47" i="6" s="1"/>
  <c r="B43" i="6"/>
  <c r="B47" i="6" s="1"/>
  <c r="K36" i="6"/>
  <c r="J36" i="6"/>
  <c r="I36" i="6"/>
  <c r="H36" i="6"/>
  <c r="G36" i="6"/>
  <c r="F36" i="6"/>
  <c r="K35" i="6"/>
  <c r="J35" i="6"/>
  <c r="I35" i="6"/>
  <c r="H35" i="6"/>
  <c r="G35" i="6"/>
  <c r="F35" i="6"/>
  <c r="K34" i="6"/>
  <c r="J34" i="6"/>
  <c r="I34" i="6"/>
  <c r="H34" i="6"/>
  <c r="G34" i="6"/>
  <c r="F34" i="6"/>
  <c r="E34" i="6"/>
  <c r="D34" i="6"/>
  <c r="C34" i="6"/>
  <c r="B34" i="6"/>
  <c r="K23" i="6"/>
  <c r="J23" i="6"/>
  <c r="I23" i="6"/>
  <c r="H23" i="6"/>
  <c r="G23" i="6"/>
  <c r="F23" i="6"/>
  <c r="K6" i="6"/>
  <c r="J6" i="6"/>
  <c r="I6" i="6"/>
  <c r="H6" i="6"/>
  <c r="G6" i="6"/>
  <c r="F6" i="6"/>
  <c r="E6" i="6"/>
  <c r="D6" i="6"/>
  <c r="C6" i="6"/>
  <c r="B6" i="6"/>
  <c r="L4" i="6"/>
  <c r="P61" i="5"/>
  <c r="P63" i="5" s="1"/>
  <c r="O61" i="5"/>
  <c r="O63" i="5" s="1"/>
  <c r="N61" i="5"/>
  <c r="N63" i="5" s="1"/>
  <c r="M61" i="5"/>
  <c r="M63" i="5" s="1"/>
  <c r="L61" i="5"/>
  <c r="L63" i="5" s="1"/>
  <c r="L64" i="5" s="1"/>
  <c r="L65" i="5" s="1"/>
  <c r="K61" i="5"/>
  <c r="K63" i="5" s="1"/>
  <c r="K64" i="5" s="1"/>
  <c r="K65" i="5" s="1"/>
  <c r="J61" i="5"/>
  <c r="J63" i="5" s="1"/>
  <c r="J64" i="5" s="1"/>
  <c r="J65" i="5" s="1"/>
  <c r="I61" i="5"/>
  <c r="I63" i="5" s="1"/>
  <c r="I64" i="5" s="1"/>
  <c r="I65" i="5" s="1"/>
  <c r="H61" i="5"/>
  <c r="H63" i="5" s="1"/>
  <c r="H64" i="5" s="1"/>
  <c r="H65" i="5" s="1"/>
  <c r="G61" i="5"/>
  <c r="G63" i="5" s="1"/>
  <c r="G64" i="5" s="1"/>
  <c r="G65" i="5" s="1"/>
  <c r="F61" i="5"/>
  <c r="F63" i="5" s="1"/>
  <c r="F64" i="5" s="1"/>
  <c r="F65" i="5" s="1"/>
  <c r="E61" i="5"/>
  <c r="E63" i="5" s="1"/>
  <c r="E64" i="5" s="1"/>
  <c r="E65" i="5" s="1"/>
  <c r="D61" i="5"/>
  <c r="D63" i="5" s="1"/>
  <c r="D64" i="5" s="1"/>
  <c r="D65" i="5" s="1"/>
  <c r="C61" i="5"/>
  <c r="C63" i="5" s="1"/>
  <c r="C64" i="5" s="1"/>
  <c r="C65" i="5" s="1"/>
  <c r="B61" i="5"/>
  <c r="B63" i="5" s="1"/>
  <c r="B64" i="5" s="1"/>
  <c r="B65" i="5" s="1"/>
  <c r="P51" i="5"/>
  <c r="P56" i="5" s="1"/>
  <c r="O51" i="5"/>
  <c r="O56" i="5" s="1"/>
  <c r="N51" i="5"/>
  <c r="N56" i="5" s="1"/>
  <c r="M51" i="5"/>
  <c r="M56" i="5" s="1"/>
  <c r="L51" i="5"/>
  <c r="L56" i="5" s="1"/>
  <c r="K51" i="5"/>
  <c r="K56" i="5" s="1"/>
  <c r="J51" i="5"/>
  <c r="J56" i="5" s="1"/>
  <c r="I47" i="5"/>
  <c r="I51" i="5" s="1"/>
  <c r="I56" i="5" s="1"/>
  <c r="H47" i="5"/>
  <c r="H51" i="5" s="1"/>
  <c r="H56" i="5" s="1"/>
  <c r="G47" i="5"/>
  <c r="G51" i="5" s="1"/>
  <c r="G56" i="5" s="1"/>
  <c r="F47" i="5"/>
  <c r="F51" i="5" s="1"/>
  <c r="F56" i="5" s="1"/>
  <c r="E47" i="5"/>
  <c r="E51" i="5" s="1"/>
  <c r="E56" i="5" s="1"/>
  <c r="D47" i="5"/>
  <c r="D51" i="5" s="1"/>
  <c r="D56" i="5" s="1"/>
  <c r="C47" i="5"/>
  <c r="C51" i="5" s="1"/>
  <c r="C56" i="5" s="1"/>
  <c r="B47" i="5"/>
  <c r="B51" i="5" s="1"/>
  <c r="B56" i="5" s="1"/>
  <c r="P42" i="5"/>
  <c r="P46" i="5" s="1"/>
  <c r="O42" i="5"/>
  <c r="O46" i="5" s="1"/>
  <c r="N42" i="5"/>
  <c r="N46" i="5" s="1"/>
  <c r="M42" i="5"/>
  <c r="M46" i="5" s="1"/>
  <c r="L42" i="5"/>
  <c r="L46" i="5" s="1"/>
  <c r="K42" i="5"/>
  <c r="K46" i="5" s="1"/>
  <c r="J42" i="5"/>
  <c r="J46" i="5" s="1"/>
  <c r="I42" i="5"/>
  <c r="I46" i="5" s="1"/>
  <c r="H42" i="5"/>
  <c r="H46" i="5" s="1"/>
  <c r="G42" i="5"/>
  <c r="G46" i="5" s="1"/>
  <c r="F42" i="5"/>
  <c r="F46" i="5" s="1"/>
  <c r="E42" i="5"/>
  <c r="E46" i="5" s="1"/>
  <c r="D42" i="5"/>
  <c r="D46" i="5" s="1"/>
  <c r="C42" i="5"/>
  <c r="C46" i="5" s="1"/>
  <c r="B42" i="5"/>
  <c r="B46" i="5" s="1"/>
  <c r="K35" i="5"/>
  <c r="J35" i="5"/>
  <c r="I35" i="5"/>
  <c r="H35" i="5"/>
  <c r="G35" i="5"/>
  <c r="F35" i="5"/>
  <c r="K34" i="5"/>
  <c r="J34" i="5"/>
  <c r="I34" i="5"/>
  <c r="H34" i="5"/>
  <c r="G34" i="5"/>
  <c r="F34" i="5"/>
  <c r="K33" i="5"/>
  <c r="J33" i="5"/>
  <c r="I33" i="5"/>
  <c r="H33" i="5"/>
  <c r="G33" i="5"/>
  <c r="F33" i="5"/>
  <c r="E33" i="5"/>
  <c r="D33" i="5"/>
  <c r="C33" i="5"/>
  <c r="B33" i="5"/>
  <c r="K29" i="5"/>
  <c r="J29" i="5"/>
  <c r="I29" i="5"/>
  <c r="H29" i="5"/>
  <c r="G29" i="5"/>
  <c r="F29" i="5"/>
  <c r="E29" i="5"/>
  <c r="D29" i="5"/>
  <c r="C29" i="5"/>
  <c r="B29" i="5"/>
  <c r="K23" i="5"/>
  <c r="J23" i="5"/>
  <c r="I23" i="5"/>
  <c r="H23" i="5"/>
  <c r="G23" i="5"/>
  <c r="F23" i="5"/>
  <c r="K6" i="5"/>
  <c r="K10" i="5" s="1"/>
  <c r="J6" i="5"/>
  <c r="J10" i="5" s="1"/>
  <c r="I6" i="5"/>
  <c r="I10" i="5" s="1"/>
  <c r="H6" i="5"/>
  <c r="H10" i="5" s="1"/>
  <c r="G6" i="5"/>
  <c r="G10" i="5" s="1"/>
  <c r="F6" i="5"/>
  <c r="F10" i="5" s="1"/>
  <c r="E6" i="5"/>
  <c r="E10" i="5" s="1"/>
  <c r="D6" i="5"/>
  <c r="D10" i="5" s="1"/>
  <c r="C6" i="5"/>
  <c r="C10" i="5" s="1"/>
  <c r="B6" i="5"/>
  <c r="B10" i="5" s="1"/>
  <c r="M4" i="2"/>
  <c r="L4" i="2"/>
  <c r="G23" i="2"/>
  <c r="H23" i="2"/>
  <c r="I23" i="2"/>
  <c r="J23" i="2"/>
  <c r="K23" i="2"/>
  <c r="F23" i="2"/>
  <c r="M8" i="2"/>
  <c r="N8" i="2"/>
  <c r="O8" i="2"/>
  <c r="M9" i="2"/>
  <c r="N9" i="2"/>
  <c r="O9" i="2"/>
  <c r="L9" i="2"/>
  <c r="P9" i="2" s="1"/>
  <c r="L8" i="2"/>
  <c r="P8" i="2" s="1"/>
  <c r="G34" i="2"/>
  <c r="H34" i="2"/>
  <c r="I34" i="2"/>
  <c r="J34" i="2"/>
  <c r="K34" i="2"/>
  <c r="G35" i="2"/>
  <c r="H35" i="2"/>
  <c r="I35" i="2"/>
  <c r="J35" i="2"/>
  <c r="K35" i="2"/>
  <c r="F35" i="2"/>
  <c r="F34" i="2"/>
  <c r="L21" i="2"/>
  <c r="M21" i="2" s="1"/>
  <c r="L20" i="2"/>
  <c r="M20" i="2" s="1"/>
  <c r="L11" i="2"/>
  <c r="M11" i="2" s="1"/>
  <c r="C33" i="2"/>
  <c r="D33" i="2"/>
  <c r="E33" i="2"/>
  <c r="F33" i="2"/>
  <c r="G33" i="2"/>
  <c r="H33" i="2"/>
  <c r="I33" i="2"/>
  <c r="J33" i="2"/>
  <c r="K33" i="2"/>
  <c r="B33" i="2"/>
  <c r="L42" i="2"/>
  <c r="L46" i="2" s="1"/>
  <c r="M42" i="2"/>
  <c r="M46" i="2" s="1"/>
  <c r="N42" i="2"/>
  <c r="N46" i="2" s="1"/>
  <c r="O42" i="2"/>
  <c r="O46" i="2" s="1"/>
  <c r="P42" i="2"/>
  <c r="P46" i="2" s="1"/>
  <c r="L51" i="2"/>
  <c r="L56" i="2" s="1"/>
  <c r="M51" i="2"/>
  <c r="M56" i="2" s="1"/>
  <c r="N51" i="2"/>
  <c r="N56" i="2" s="1"/>
  <c r="O51" i="2"/>
  <c r="O56" i="2" s="1"/>
  <c r="P51" i="2"/>
  <c r="P56" i="2" s="1"/>
  <c r="L61" i="2"/>
  <c r="L63" i="2" s="1"/>
  <c r="M61" i="2"/>
  <c r="M63" i="2" s="1"/>
  <c r="N61" i="2"/>
  <c r="N63" i="2" s="1"/>
  <c r="O61" i="2"/>
  <c r="O63" i="2" s="1"/>
  <c r="P61" i="2"/>
  <c r="P63" i="2" s="1"/>
  <c r="C13" i="1"/>
  <c r="D12" i="1"/>
  <c r="E12" i="1" s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O11" i="1"/>
  <c r="J11" i="1"/>
  <c r="K11" i="1" s="1"/>
  <c r="L11" i="1" s="1"/>
  <c r="M11" i="1" s="1"/>
  <c r="D10" i="1"/>
  <c r="I9" i="1"/>
  <c r="J9" i="1" s="1"/>
  <c r="K9" i="1" s="1"/>
  <c r="L9" i="1" s="1"/>
  <c r="M9" i="1" s="1"/>
  <c r="N9" i="1" s="1"/>
  <c r="C6" i="1"/>
  <c r="C5" i="1"/>
  <c r="C3" i="1"/>
  <c r="C4" i="1" s="1"/>
  <c r="K61" i="2"/>
  <c r="K63" i="2" s="1"/>
  <c r="J61" i="2"/>
  <c r="J63" i="2" s="1"/>
  <c r="I61" i="2"/>
  <c r="I63" i="2" s="1"/>
  <c r="H61" i="2"/>
  <c r="H63" i="2" s="1"/>
  <c r="G61" i="2"/>
  <c r="G63" i="2" s="1"/>
  <c r="F61" i="2"/>
  <c r="F63" i="2" s="1"/>
  <c r="E61" i="2"/>
  <c r="E63" i="2" s="1"/>
  <c r="D61" i="2"/>
  <c r="D63" i="2" s="1"/>
  <c r="C61" i="2"/>
  <c r="C63" i="2" s="1"/>
  <c r="B61" i="2"/>
  <c r="B63" i="2" s="1"/>
  <c r="K51" i="2"/>
  <c r="K56" i="2" s="1"/>
  <c r="J51" i="2"/>
  <c r="J56" i="2" s="1"/>
  <c r="I47" i="2"/>
  <c r="I51" i="2" s="1"/>
  <c r="I56" i="2" s="1"/>
  <c r="H47" i="2"/>
  <c r="H51" i="2" s="1"/>
  <c r="H56" i="2" s="1"/>
  <c r="G47" i="2"/>
  <c r="G51" i="2" s="1"/>
  <c r="G56" i="2" s="1"/>
  <c r="F47" i="2"/>
  <c r="F51" i="2" s="1"/>
  <c r="F56" i="2" s="1"/>
  <c r="E47" i="2"/>
  <c r="E51" i="2" s="1"/>
  <c r="E56" i="2" s="1"/>
  <c r="D47" i="2"/>
  <c r="D51" i="2" s="1"/>
  <c r="D56" i="2" s="1"/>
  <c r="C47" i="2"/>
  <c r="C51" i="2" s="1"/>
  <c r="C56" i="2" s="1"/>
  <c r="B47" i="2"/>
  <c r="B51" i="2" s="1"/>
  <c r="B56" i="2" s="1"/>
  <c r="K42" i="2"/>
  <c r="K46" i="2" s="1"/>
  <c r="J42" i="2"/>
  <c r="J46" i="2" s="1"/>
  <c r="I42" i="2"/>
  <c r="I46" i="2" s="1"/>
  <c r="H42" i="2"/>
  <c r="H46" i="2" s="1"/>
  <c r="G42" i="2"/>
  <c r="G46" i="2" s="1"/>
  <c r="F42" i="2"/>
  <c r="F46" i="2" s="1"/>
  <c r="E42" i="2"/>
  <c r="E46" i="2" s="1"/>
  <c r="D42" i="2"/>
  <c r="D46" i="2" s="1"/>
  <c r="C42" i="2"/>
  <c r="C46" i="2" s="1"/>
  <c r="B42" i="2"/>
  <c r="B46" i="2" s="1"/>
  <c r="K6" i="2"/>
  <c r="J6" i="2"/>
  <c r="I6" i="2"/>
  <c r="H6" i="2"/>
  <c r="G6" i="2"/>
  <c r="F6" i="2"/>
  <c r="E6" i="2"/>
  <c r="D6" i="2"/>
  <c r="C6" i="2"/>
  <c r="B6" i="2"/>
  <c r="M7" i="2" l="1"/>
  <c r="M5" i="2"/>
  <c r="M6" i="2" s="1"/>
  <c r="M10" i="2" s="1"/>
  <c r="K10" i="6"/>
  <c r="K30" i="6"/>
  <c r="J10" i="6"/>
  <c r="J30" i="6"/>
  <c r="I10" i="6"/>
  <c r="I30" i="6"/>
  <c r="H10" i="6"/>
  <c r="H30" i="6"/>
  <c r="G10" i="6"/>
  <c r="G30" i="6"/>
  <c r="F10" i="6"/>
  <c r="F30" i="6"/>
  <c r="E10" i="6"/>
  <c r="E30" i="6"/>
  <c r="D10" i="6"/>
  <c r="D30" i="6"/>
  <c r="C10" i="6"/>
  <c r="C30" i="6"/>
  <c r="B10" i="6"/>
  <c r="B30" i="6"/>
  <c r="M4" i="6"/>
  <c r="K13" i="6"/>
  <c r="K15" i="6" s="1"/>
  <c r="K17" i="6" s="1"/>
  <c r="K25" i="6"/>
  <c r="J13" i="6"/>
  <c r="J15" i="6" s="1"/>
  <c r="J17" i="6" s="1"/>
  <c r="J25" i="6"/>
  <c r="I13" i="6"/>
  <c r="I15" i="6" s="1"/>
  <c r="I17" i="6" s="1"/>
  <c r="I25" i="6"/>
  <c r="H13" i="6"/>
  <c r="H15" i="6" s="1"/>
  <c r="H17" i="6" s="1"/>
  <c r="H25" i="6"/>
  <c r="G25" i="6"/>
  <c r="G13" i="6"/>
  <c r="G15" i="6" s="1"/>
  <c r="G17" i="6" s="1"/>
  <c r="F13" i="6"/>
  <c r="F15" i="6" s="1"/>
  <c r="F17" i="6" s="1"/>
  <c r="F25" i="6"/>
  <c r="E13" i="6"/>
  <c r="E15" i="6" s="1"/>
  <c r="E17" i="6" s="1"/>
  <c r="E25" i="6"/>
  <c r="D13" i="6"/>
  <c r="D15" i="6" s="1"/>
  <c r="D17" i="6" s="1"/>
  <c r="D25" i="6"/>
  <c r="C13" i="6"/>
  <c r="C15" i="6" s="1"/>
  <c r="C17" i="6" s="1"/>
  <c r="C25" i="6"/>
  <c r="B13" i="6"/>
  <c r="B15" i="6" s="1"/>
  <c r="B17" i="6" s="1"/>
  <c r="B25" i="6"/>
  <c r="K65" i="6"/>
  <c r="K66" i="6" s="1"/>
  <c r="J65" i="6"/>
  <c r="J66" i="6" s="1"/>
  <c r="I65" i="6"/>
  <c r="I66" i="6" s="1"/>
  <c r="H65" i="6"/>
  <c r="H66" i="6" s="1"/>
  <c r="G65" i="6"/>
  <c r="G66" i="6" s="1"/>
  <c r="E65" i="6"/>
  <c r="E66" i="6" s="1"/>
  <c r="D65" i="6"/>
  <c r="D66" i="6" s="1"/>
  <c r="C65" i="6"/>
  <c r="C66" i="6" s="1"/>
  <c r="B65" i="6"/>
  <c r="B66" i="6" s="1"/>
  <c r="F65" i="6"/>
  <c r="F66" i="6" s="1"/>
  <c r="K13" i="5"/>
  <c r="K15" i="5" s="1"/>
  <c r="K17" i="5" s="1"/>
  <c r="K25" i="5"/>
  <c r="J13" i="5"/>
  <c r="J15" i="5" s="1"/>
  <c r="J17" i="5" s="1"/>
  <c r="J25" i="5"/>
  <c r="I13" i="5"/>
  <c r="I15" i="5" s="1"/>
  <c r="I17" i="5" s="1"/>
  <c r="I25" i="5"/>
  <c r="H13" i="5"/>
  <c r="H15" i="5" s="1"/>
  <c r="H17" i="5" s="1"/>
  <c r="H25" i="5"/>
  <c r="G13" i="5"/>
  <c r="G15" i="5" s="1"/>
  <c r="G17" i="5" s="1"/>
  <c r="G25" i="5"/>
  <c r="F13" i="5"/>
  <c r="F15" i="5" s="1"/>
  <c r="F17" i="5" s="1"/>
  <c r="F25" i="5"/>
  <c r="E13" i="5"/>
  <c r="E15" i="5" s="1"/>
  <c r="E17" i="5" s="1"/>
  <c r="E25" i="5"/>
  <c r="D13" i="5"/>
  <c r="D15" i="5" s="1"/>
  <c r="D17" i="5" s="1"/>
  <c r="D25" i="5"/>
  <c r="C13" i="5"/>
  <c r="C15" i="5" s="1"/>
  <c r="C17" i="5" s="1"/>
  <c r="C25" i="5"/>
  <c r="B13" i="5"/>
  <c r="B15" i="5" s="1"/>
  <c r="B17" i="5" s="1"/>
  <c r="B25" i="5"/>
  <c r="L25" i="5"/>
  <c r="P64" i="5"/>
  <c r="P65" i="5" s="1"/>
  <c r="O64" i="5"/>
  <c r="O65" i="5" s="1"/>
  <c r="N64" i="5"/>
  <c r="N65" i="5" s="1"/>
  <c r="M64" i="5"/>
  <c r="M65" i="5" s="1"/>
  <c r="N4" i="2"/>
  <c r="L7" i="2"/>
  <c r="L5" i="2"/>
  <c r="L6" i="2" s="1"/>
  <c r="N11" i="2"/>
  <c r="O11" i="2" s="1"/>
  <c r="N21" i="2"/>
  <c r="N20" i="2"/>
  <c r="M64" i="2"/>
  <c r="M65" i="2" s="1"/>
  <c r="L64" i="2"/>
  <c r="L65" i="2" s="1"/>
  <c r="K10" i="2"/>
  <c r="K29" i="2"/>
  <c r="J10" i="2"/>
  <c r="J29" i="2"/>
  <c r="I10" i="2"/>
  <c r="I29" i="2"/>
  <c r="H10" i="2"/>
  <c r="H29" i="2"/>
  <c r="G10" i="2"/>
  <c r="G29" i="2"/>
  <c r="F10" i="2"/>
  <c r="F29" i="2"/>
  <c r="E10" i="2"/>
  <c r="E29" i="2"/>
  <c r="D10" i="2"/>
  <c r="D29" i="2"/>
  <c r="C10" i="2"/>
  <c r="C29" i="2"/>
  <c r="B10" i="2"/>
  <c r="B29" i="2"/>
  <c r="C7" i="1"/>
  <c r="N64" i="2"/>
  <c r="N65" i="2" s="1"/>
  <c r="O64" i="2"/>
  <c r="O65" i="2" s="1"/>
  <c r="P64" i="2"/>
  <c r="P65" i="2" s="1"/>
  <c r="D13" i="1"/>
  <c r="E10" i="1"/>
  <c r="J64" i="2"/>
  <c r="J65" i="2" s="1"/>
  <c r="I64" i="2"/>
  <c r="I65" i="2" s="1"/>
  <c r="H64" i="2"/>
  <c r="H65" i="2" s="1"/>
  <c r="F64" i="2"/>
  <c r="F65" i="2" s="1"/>
  <c r="E64" i="2"/>
  <c r="E65" i="2" s="1"/>
  <c r="C64" i="2"/>
  <c r="C65" i="2" s="1"/>
  <c r="B64" i="2"/>
  <c r="B65" i="2" s="1"/>
  <c r="K64" i="2"/>
  <c r="K65" i="2" s="1"/>
  <c r="G64" i="2"/>
  <c r="G65" i="2" s="1"/>
  <c r="D64" i="2"/>
  <c r="D65" i="2" s="1"/>
  <c r="M13" i="2" l="1"/>
  <c r="M15" i="2" s="1"/>
  <c r="M17" i="2" s="1"/>
  <c r="M25" i="2"/>
  <c r="N4" i="6"/>
  <c r="K18" i="6"/>
  <c r="K19" i="6"/>
  <c r="K27" i="6"/>
  <c r="K31" i="6"/>
  <c r="J18" i="6"/>
  <c r="J19" i="6"/>
  <c r="J31" i="6"/>
  <c r="J27" i="6"/>
  <c r="I18" i="6"/>
  <c r="I19" i="6"/>
  <c r="I31" i="6"/>
  <c r="I27" i="6"/>
  <c r="H18" i="6"/>
  <c r="H19" i="6"/>
  <c r="H27" i="6"/>
  <c r="H31" i="6"/>
  <c r="G27" i="6"/>
  <c r="G31" i="6"/>
  <c r="G18" i="6"/>
  <c r="G19" i="6"/>
  <c r="F18" i="6"/>
  <c r="F19" i="6"/>
  <c r="F31" i="6"/>
  <c r="F27" i="6"/>
  <c r="E18" i="6"/>
  <c r="E19" i="6"/>
  <c r="E31" i="6"/>
  <c r="E27" i="6"/>
  <c r="D18" i="6"/>
  <c r="D19" i="6"/>
  <c r="D31" i="6"/>
  <c r="D27" i="6"/>
  <c r="C18" i="6"/>
  <c r="C19" i="6"/>
  <c r="C31" i="6"/>
  <c r="C27" i="6"/>
  <c r="B18" i="6"/>
  <c r="B19" i="6"/>
  <c r="B27" i="6"/>
  <c r="B31" i="6"/>
  <c r="L25" i="6"/>
  <c r="K18" i="5"/>
  <c r="K19" i="5"/>
  <c r="K26" i="5"/>
  <c r="K30" i="5"/>
  <c r="J18" i="5"/>
  <c r="J19" i="5"/>
  <c r="J26" i="5"/>
  <c r="J30" i="5"/>
  <c r="I18" i="5"/>
  <c r="I19" i="5"/>
  <c r="I26" i="5"/>
  <c r="I30" i="5"/>
  <c r="H18" i="5"/>
  <c r="H19" i="5"/>
  <c r="H26" i="5"/>
  <c r="H30" i="5"/>
  <c r="G18" i="5"/>
  <c r="G19" i="5"/>
  <c r="G26" i="5"/>
  <c r="G30" i="5"/>
  <c r="F18" i="5"/>
  <c r="F19" i="5"/>
  <c r="F26" i="5"/>
  <c r="F30" i="5"/>
  <c r="E18" i="5"/>
  <c r="E19" i="5"/>
  <c r="E26" i="5"/>
  <c r="E30" i="5"/>
  <c r="D18" i="5"/>
  <c r="D19" i="5"/>
  <c r="D26" i="5"/>
  <c r="D30" i="5"/>
  <c r="C18" i="5"/>
  <c r="C19" i="5"/>
  <c r="C26" i="5"/>
  <c r="C30" i="5"/>
  <c r="B18" i="5"/>
  <c r="B19" i="5"/>
  <c r="B26" i="5"/>
  <c r="B30" i="5"/>
  <c r="L26" i="5"/>
  <c r="L30" i="5"/>
  <c r="O4" i="2"/>
  <c r="P4" i="2"/>
  <c r="N7" i="2"/>
  <c r="N5" i="2"/>
  <c r="N6" i="2" s="1"/>
  <c r="N10" i="2" s="1"/>
  <c r="J13" i="2"/>
  <c r="J15" i="2" s="1"/>
  <c r="J17" i="2" s="1"/>
  <c r="J25" i="2"/>
  <c r="C25" i="2"/>
  <c r="C13" i="2"/>
  <c r="C15" i="2" s="1"/>
  <c r="C17" i="2" s="1"/>
  <c r="B25" i="2"/>
  <c r="B13" i="2"/>
  <c r="B15" i="2" s="1"/>
  <c r="B17" i="2" s="1"/>
  <c r="P11" i="2"/>
  <c r="I25" i="2"/>
  <c r="I13" i="2"/>
  <c r="I15" i="2" s="1"/>
  <c r="I17" i="2" s="1"/>
  <c r="O21" i="2"/>
  <c r="O20" i="2"/>
  <c r="H13" i="2"/>
  <c r="H15" i="2" s="1"/>
  <c r="H17" i="2" s="1"/>
  <c r="H25" i="2"/>
  <c r="G13" i="2"/>
  <c r="G15" i="2" s="1"/>
  <c r="G17" i="2" s="1"/>
  <c r="G25" i="2"/>
  <c r="F13" i="2"/>
  <c r="F15" i="2" s="1"/>
  <c r="F17" i="2" s="1"/>
  <c r="F25" i="2"/>
  <c r="E13" i="2"/>
  <c r="E15" i="2" s="1"/>
  <c r="E17" i="2" s="1"/>
  <c r="E25" i="2"/>
  <c r="D13" i="2"/>
  <c r="D15" i="2" s="1"/>
  <c r="D17" i="2" s="1"/>
  <c r="D25" i="2"/>
  <c r="K13" i="2"/>
  <c r="K15" i="2" s="1"/>
  <c r="K17" i="2" s="1"/>
  <c r="K25" i="2"/>
  <c r="F10" i="1"/>
  <c r="E13" i="1"/>
  <c r="M26" i="2" l="1"/>
  <c r="M30" i="2"/>
  <c r="M18" i="2"/>
  <c r="M19" i="2"/>
  <c r="P4" i="6"/>
  <c r="O4" i="6"/>
  <c r="K32" i="6"/>
  <c r="K28" i="6"/>
  <c r="J28" i="6"/>
  <c r="J32" i="6"/>
  <c r="I28" i="6"/>
  <c r="I32" i="6"/>
  <c r="H28" i="6"/>
  <c r="H32" i="6"/>
  <c r="G28" i="6"/>
  <c r="G32" i="6"/>
  <c r="F28" i="6"/>
  <c r="F32" i="6"/>
  <c r="E32" i="6"/>
  <c r="E28" i="6"/>
  <c r="D28" i="6"/>
  <c r="D32" i="6"/>
  <c r="C32" i="6"/>
  <c r="C28" i="6"/>
  <c r="B32" i="6"/>
  <c r="B28" i="6"/>
  <c r="L31" i="6"/>
  <c r="K27" i="5"/>
  <c r="K31" i="5"/>
  <c r="J27" i="5"/>
  <c r="J31" i="5"/>
  <c r="I27" i="5"/>
  <c r="I31" i="5"/>
  <c r="H27" i="5"/>
  <c r="H31" i="5"/>
  <c r="G27" i="5"/>
  <c r="G31" i="5"/>
  <c r="F27" i="5"/>
  <c r="F31" i="5"/>
  <c r="E27" i="5"/>
  <c r="E31" i="5"/>
  <c r="D27" i="5"/>
  <c r="D31" i="5"/>
  <c r="C27" i="5"/>
  <c r="C31" i="5"/>
  <c r="B27" i="5"/>
  <c r="B31" i="5"/>
  <c r="L27" i="5"/>
  <c r="L31" i="5"/>
  <c r="O7" i="2"/>
  <c r="O5" i="2"/>
  <c r="O6" i="2" s="1"/>
  <c r="N13" i="2"/>
  <c r="N15" i="2" s="1"/>
  <c r="N17" i="2" s="1"/>
  <c r="N25" i="2"/>
  <c r="P5" i="2"/>
  <c r="P6" i="2" s="1"/>
  <c r="P7" i="2"/>
  <c r="P10" i="2" s="1"/>
  <c r="B26" i="2"/>
  <c r="B30" i="2"/>
  <c r="C26" i="2"/>
  <c r="C30" i="2"/>
  <c r="J18" i="2"/>
  <c r="J19" i="2"/>
  <c r="J26" i="2"/>
  <c r="J30" i="2"/>
  <c r="C18" i="2"/>
  <c r="C19" i="2"/>
  <c r="B18" i="2"/>
  <c r="B19" i="2"/>
  <c r="I26" i="2"/>
  <c r="I30" i="2"/>
  <c r="I18" i="2"/>
  <c r="I19" i="2"/>
  <c r="H18" i="2"/>
  <c r="H19" i="2"/>
  <c r="G19" i="2"/>
  <c r="G18" i="2"/>
  <c r="F18" i="2"/>
  <c r="F19" i="2"/>
  <c r="P21" i="2"/>
  <c r="P20" i="2"/>
  <c r="E18" i="2"/>
  <c r="E19" i="2"/>
  <c r="D18" i="2"/>
  <c r="D19" i="2"/>
  <c r="H26" i="2"/>
  <c r="H30" i="2"/>
  <c r="G26" i="2"/>
  <c r="G30" i="2"/>
  <c r="F26" i="2"/>
  <c r="F30" i="2"/>
  <c r="E26" i="2"/>
  <c r="E30" i="2"/>
  <c r="D26" i="2"/>
  <c r="D30" i="2"/>
  <c r="K18" i="2"/>
  <c r="K19" i="2"/>
  <c r="K26" i="2"/>
  <c r="K30" i="2"/>
  <c r="F13" i="1"/>
  <c r="G10" i="1"/>
  <c r="O10" i="2" l="1"/>
  <c r="M27" i="2"/>
  <c r="M31" i="2"/>
  <c r="L32" i="6"/>
  <c r="M25" i="6"/>
  <c r="N25" i="5"/>
  <c r="M25" i="5"/>
  <c r="N18" i="2"/>
  <c r="N19" i="2"/>
  <c r="N26" i="2"/>
  <c r="N30" i="2"/>
  <c r="P25" i="2"/>
  <c r="P13" i="2"/>
  <c r="P15" i="2" s="1"/>
  <c r="P17" i="2" s="1"/>
  <c r="B31" i="2"/>
  <c r="B27" i="2"/>
  <c r="C31" i="2"/>
  <c r="C27" i="2"/>
  <c r="F27" i="2"/>
  <c r="F31" i="2"/>
  <c r="J31" i="2"/>
  <c r="J27" i="2"/>
  <c r="I27" i="2"/>
  <c r="I31" i="2"/>
  <c r="H31" i="2"/>
  <c r="H27" i="2"/>
  <c r="G31" i="2"/>
  <c r="G27" i="2"/>
  <c r="K31" i="2"/>
  <c r="K27" i="2"/>
  <c r="E31" i="2"/>
  <c r="E27" i="2"/>
  <c r="D31" i="2"/>
  <c r="D27" i="2"/>
  <c r="H10" i="1"/>
  <c r="G13" i="1"/>
  <c r="O13" i="2" l="1"/>
  <c r="O15" i="2" s="1"/>
  <c r="O17" i="2" s="1"/>
  <c r="O25" i="2"/>
  <c r="P25" i="6"/>
  <c r="M31" i="6"/>
  <c r="N25" i="6"/>
  <c r="P25" i="5"/>
  <c r="O25" i="5"/>
  <c r="N26" i="5"/>
  <c r="N30" i="5"/>
  <c r="M26" i="5"/>
  <c r="M30" i="5"/>
  <c r="P19" i="2"/>
  <c r="P18" i="2"/>
  <c r="N27" i="2"/>
  <c r="N31" i="2"/>
  <c r="P26" i="2"/>
  <c r="P30" i="2"/>
  <c r="H13" i="1"/>
  <c r="I10" i="1"/>
  <c r="O18" i="2" l="1"/>
  <c r="O19" i="2"/>
  <c r="O26" i="2"/>
  <c r="O30" i="2"/>
  <c r="P31" i="6"/>
  <c r="M32" i="6"/>
  <c r="N31" i="6"/>
  <c r="O25" i="6"/>
  <c r="P26" i="5"/>
  <c r="P30" i="5"/>
  <c r="O26" i="5"/>
  <c r="O30" i="5"/>
  <c r="N27" i="5"/>
  <c r="N31" i="5"/>
  <c r="M27" i="5"/>
  <c r="M31" i="5"/>
  <c r="O31" i="2"/>
  <c r="O27" i="2"/>
  <c r="P27" i="2"/>
  <c r="P31" i="2"/>
  <c r="J10" i="1"/>
  <c r="I13" i="1"/>
  <c r="P32" i="6" l="1"/>
  <c r="N32" i="6"/>
  <c r="O31" i="6"/>
  <c r="P31" i="5"/>
  <c r="P27" i="5"/>
  <c r="O31" i="5"/>
  <c r="O27" i="5"/>
  <c r="J13" i="1"/>
  <c r="K10" i="1"/>
  <c r="O32" i="6" l="1"/>
  <c r="L10" i="1"/>
  <c r="K13" i="1"/>
  <c r="M10" i="1" l="1"/>
  <c r="L13" i="1"/>
  <c r="N10" i="1" l="1"/>
  <c r="M13" i="1"/>
  <c r="N13" i="1" l="1"/>
  <c r="O10" i="1"/>
  <c r="O13" i="1" s="1"/>
  <c r="C15" i="1" s="1"/>
  <c r="C16" i="1" s="1"/>
  <c r="C17" i="1" s="1"/>
  <c r="C18" i="1" s="1"/>
  <c r="L10" i="2"/>
  <c r="L25" i="2" l="1"/>
  <c r="L13" i="2"/>
  <c r="L15" i="2" s="1"/>
  <c r="L17" i="2" s="1"/>
  <c r="L30" i="2" l="1"/>
  <c r="L26" i="2"/>
  <c r="L19" i="2"/>
  <c r="L18" i="2"/>
  <c r="L27" i="2" l="1"/>
  <c r="L31" i="2"/>
</calcChain>
</file>

<file path=xl/sharedStrings.xml><?xml version="1.0" encoding="utf-8"?>
<sst xmlns="http://schemas.openxmlformats.org/spreadsheetml/2006/main" count="233" uniqueCount="81">
  <si>
    <t>PLTR</t>
  </si>
  <si>
    <t>Shares</t>
  </si>
  <si>
    <t>MC</t>
  </si>
  <si>
    <t>Cash</t>
  </si>
  <si>
    <t>Debt</t>
  </si>
  <si>
    <t>EV</t>
  </si>
  <si>
    <t>Year'</t>
  </si>
  <si>
    <t>TV</t>
  </si>
  <si>
    <t>CF</t>
  </si>
  <si>
    <t>Growth</t>
  </si>
  <si>
    <t>Disc</t>
  </si>
  <si>
    <t>Disc CF</t>
  </si>
  <si>
    <t>Equity</t>
  </si>
  <si>
    <t>Price</t>
  </si>
  <si>
    <t>Change</t>
  </si>
  <si>
    <t>Period</t>
  </si>
  <si>
    <t>Q423</t>
  </si>
  <si>
    <t>Q124</t>
  </si>
  <si>
    <t>Q224</t>
  </si>
  <si>
    <t>Q324</t>
  </si>
  <si>
    <t>Q424</t>
  </si>
  <si>
    <t>Q125</t>
  </si>
  <si>
    <t>Q225</t>
  </si>
  <si>
    <t>Q325</t>
  </si>
  <si>
    <t>Q425</t>
  </si>
  <si>
    <t>Q126</t>
  </si>
  <si>
    <t>Q226</t>
  </si>
  <si>
    <t>Q326</t>
  </si>
  <si>
    <t>Q426</t>
  </si>
  <si>
    <t>Q127</t>
  </si>
  <si>
    <t>Q227</t>
  </si>
  <si>
    <t>Sales</t>
  </si>
  <si>
    <t>COGS</t>
  </si>
  <si>
    <t>Gross profit</t>
  </si>
  <si>
    <t>S&amp;M</t>
  </si>
  <si>
    <t>R&amp;D</t>
  </si>
  <si>
    <t>G&amp;A</t>
  </si>
  <si>
    <t>Operating profit</t>
  </si>
  <si>
    <t>Interest income</t>
  </si>
  <si>
    <t>Other</t>
  </si>
  <si>
    <t>EBT</t>
  </si>
  <si>
    <t>Taxes</t>
  </si>
  <si>
    <t>Net income</t>
  </si>
  <si>
    <t>NCI</t>
  </si>
  <si>
    <t>Common NI</t>
  </si>
  <si>
    <t>Basic EPS</t>
  </si>
  <si>
    <t>Diluted EPS</t>
  </si>
  <si>
    <t>Basic WASO</t>
  </si>
  <si>
    <t>Diluted WASO</t>
  </si>
  <si>
    <t>ST securities</t>
  </si>
  <si>
    <t>AR</t>
  </si>
  <si>
    <t>Prepaid &amp; other</t>
  </si>
  <si>
    <t>Current assets</t>
  </si>
  <si>
    <t>PP&amp;E</t>
  </si>
  <si>
    <t>Operating ROU assets</t>
  </si>
  <si>
    <t>Assets</t>
  </si>
  <si>
    <t>AP</t>
  </si>
  <si>
    <t>Deferred revenue</t>
  </si>
  <si>
    <t>Cust. Deposits</t>
  </si>
  <si>
    <t>ROU liab.</t>
  </si>
  <si>
    <t>Current liabilities</t>
  </si>
  <si>
    <t>Operating ROU liab.</t>
  </si>
  <si>
    <t>Liabilities</t>
  </si>
  <si>
    <t>Common stock</t>
  </si>
  <si>
    <t>APIC</t>
  </si>
  <si>
    <t>AOCI</t>
  </si>
  <si>
    <t>RE</t>
  </si>
  <si>
    <t>Total equity</t>
  </si>
  <si>
    <t>Liabilities+equity</t>
  </si>
  <si>
    <t>Balance</t>
  </si>
  <si>
    <t>EBIT</t>
  </si>
  <si>
    <t>Adj earnings</t>
  </si>
  <si>
    <t>Adj EPS</t>
  </si>
  <si>
    <t>Gross margin</t>
  </si>
  <si>
    <t>EBIT margin</t>
  </si>
  <si>
    <t>Net margin</t>
  </si>
  <si>
    <t>S&amp;M % of sales</t>
  </si>
  <si>
    <t>R&amp;D growth</t>
  </si>
  <si>
    <t>G&amp;A growth</t>
  </si>
  <si>
    <t>Sales growth</t>
  </si>
  <si>
    <t>EBTDA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</si>
</sst>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\-??_);_(@_)"/>
    <numFmt numFmtId="165" formatCode="_(* #,##0_);_(* \(#,##0\);_(* \-??_);_(@_)"/>
    <numFmt numFmtId="166" formatCode="0.0%"/>
  </numFmts>
  <fonts count="5" x14ac:knownFonts="1">
    <font>
      <sz val="12"/>
      <color theme="1"/>
      <name val="Arial"/>
      <family val="2"/>
      <charset val="1"/>
    </font>
    <font>
      <sz val="12"/>
      <color theme="1"/>
      <name val="Arial"/>
      <family val="2"/>
    </font>
    <font>
      <b/>
      <sz val="12"/>
      <color theme="1"/>
      <name val="Arial"/>
      <family val="2"/>
      <charset val="1"/>
    </font>
    <font>
      <u/>
      <sz val="12"/>
      <color theme="1"/>
      <name val="Arial"/>
      <family val="2"/>
      <charset val="1"/>
    </font>
    <font>
      <sz val="12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164" fontId="4" fillId="0" borderId="0"/>
  </cellStyleXfs>
  <cellXfs count="24">
    <xf numFmtId="0" fontId="0" fillId="0" borderId="0" xfId="0"/>
    <xf numFmtId="0" fontId="2" fillId="0" borderId="0" xfId="0" applyFont="1"/>
    <xf numFmtId="164" fontId="2" fillId="0" borderId="0" xfId="1" applyFont="1"/>
    <xf numFmtId="165" fontId="4" fillId="0" borderId="0" xfId="1" applyNumberFormat="1"/>
    <xf numFmtId="165" fontId="0" fillId="0" borderId="0" xfId="0" applyNumberFormat="1"/>
    <xf numFmtId="0" fontId="0" fillId="0" borderId="0" xfId="0" applyAlignment="1">
      <alignment horizontal="right"/>
    </xf>
    <xf numFmtId="166" fontId="4" fillId="0" borderId="0" xfId="1" applyNumberFormat="1"/>
    <xf numFmtId="10" fontId="0" fillId="0" borderId="0" xfId="0" applyNumberFormat="1"/>
    <xf numFmtId="9" fontId="0" fillId="0" borderId="0" xfId="0" applyNumberFormat="1"/>
    <xf numFmtId="164" fontId="4" fillId="0" borderId="0" xfId="1"/>
    <xf numFmtId="166" fontId="0" fillId="0" borderId="0" xfId="0" applyNumberFormat="1"/>
    <xf numFmtId="0" fontId="0" fillId="0" borderId="1" xfId="0" applyBorder="1"/>
    <xf numFmtId="0" fontId="3" fillId="0" borderId="0" xfId="0" applyFont="1" applyAlignment="1">
      <alignment horizontal="right"/>
    </xf>
    <xf numFmtId="0" fontId="3" fillId="0" borderId="1" xfId="0" applyFont="1" applyBorder="1" applyAlignment="1">
      <alignment horizontal="right"/>
    </xf>
    <xf numFmtId="165" fontId="2" fillId="0" borderId="0" xfId="1" applyNumberFormat="1" applyFont="1"/>
    <xf numFmtId="165" fontId="2" fillId="0" borderId="1" xfId="1" applyNumberFormat="1" applyFont="1" applyBorder="1"/>
    <xf numFmtId="165" fontId="4" fillId="0" borderId="1" xfId="1" applyNumberFormat="1" applyBorder="1"/>
    <xf numFmtId="164" fontId="4" fillId="0" borderId="1" xfId="1" applyBorder="1"/>
    <xf numFmtId="165" fontId="2" fillId="0" borderId="0" xfId="1" applyNumberFormat="1" applyFont="1" applyBorder="1"/>
    <xf numFmtId="165" fontId="4" fillId="0" borderId="0" xfId="1" applyNumberFormat="1" applyBorder="1"/>
    <xf numFmtId="164" fontId="4" fillId="0" borderId="0" xfId="1" applyBorder="1"/>
    <xf numFmtId="0" fontId="1" fillId="0" borderId="0" xfId="0" applyFont="1"/>
    <xf numFmtId="166" fontId="4" fillId="0" borderId="1" xfId="1" applyNumberFormat="1" applyBorder="1"/>
    <xf numFmtId="165" fontId="2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18"/>
  <sheetViews>
    <sheetView zoomScaleNormal="100" workbookViewId="0">
      <selection activeCell="B7" sqref="B7:C7"/>
    </sheetView>
  </sheetViews>
  <sheetFormatPr defaultColWidth="8.5546875" defaultRowHeight="15" x14ac:dyDescent="0.2"/>
  <cols>
    <col min="3" max="3" width="11" customWidth="1"/>
  </cols>
  <sheetData>
    <row r="2" spans="2:15" s="1" customFormat="1" ht="15.75" customHeight="1" x14ac:dyDescent="0.25">
      <c r="B2" s="1" t="s">
        <v>0</v>
      </c>
      <c r="C2" s="2">
        <v>125.52</v>
      </c>
    </row>
    <row r="3" spans="2:15" x14ac:dyDescent="0.2">
      <c r="B3" t="s">
        <v>1</v>
      </c>
      <c r="C3" s="3">
        <f>Financials_MyForecast!K21</f>
        <v>2570.924</v>
      </c>
    </row>
    <row r="4" spans="2:15" x14ac:dyDescent="0.2">
      <c r="B4" t="s">
        <v>2</v>
      </c>
      <c r="C4" s="3">
        <f>C3*C2</f>
        <v>322702.38047999999</v>
      </c>
    </row>
    <row r="5" spans="2:15" x14ac:dyDescent="0.2">
      <c r="B5" t="s">
        <v>3</v>
      </c>
      <c r="C5" s="3">
        <f>SUM(Financials_MyForecast!K38:K39)</f>
        <v>8026.4130000000005</v>
      </c>
    </row>
    <row r="6" spans="2:15" x14ac:dyDescent="0.2">
      <c r="B6" t="s">
        <v>4</v>
      </c>
      <c r="C6" s="3">
        <f>SUM(Financials_MyForecast!K54)</f>
        <v>211.977</v>
      </c>
    </row>
    <row r="7" spans="2:15" x14ac:dyDescent="0.2">
      <c r="B7" t="s">
        <v>5</v>
      </c>
      <c r="C7" s="4">
        <f>C4-C5+C6</f>
        <v>314887.94448000001</v>
      </c>
    </row>
    <row r="9" spans="2:15" x14ac:dyDescent="0.2">
      <c r="B9" t="s">
        <v>6</v>
      </c>
      <c r="C9">
        <v>1</v>
      </c>
      <c r="D9">
        <v>2</v>
      </c>
      <c r="E9">
        <v>3</v>
      </c>
      <c r="F9">
        <v>4</v>
      </c>
      <c r="G9">
        <v>5</v>
      </c>
      <c r="H9">
        <v>6</v>
      </c>
      <c r="I9">
        <f t="shared" ref="I9:N9" si="0">H9+1</f>
        <v>7</v>
      </c>
      <c r="J9">
        <f t="shared" si="0"/>
        <v>8</v>
      </c>
      <c r="K9">
        <f t="shared" si="0"/>
        <v>9</v>
      </c>
      <c r="L9">
        <f t="shared" si="0"/>
        <v>10</v>
      </c>
      <c r="M9">
        <f t="shared" si="0"/>
        <v>11</v>
      </c>
      <c r="N9">
        <f t="shared" si="0"/>
        <v>12</v>
      </c>
      <c r="O9" s="5" t="s">
        <v>7</v>
      </c>
    </row>
    <row r="10" spans="2:15" x14ac:dyDescent="0.2">
      <c r="B10" t="s">
        <v>8</v>
      </c>
      <c r="C10" s="3">
        <v>4330</v>
      </c>
      <c r="D10" s="3">
        <f t="shared" ref="D10:O10" si="1">C10*(1+D11)</f>
        <v>7361</v>
      </c>
      <c r="E10" s="3">
        <f t="shared" si="1"/>
        <v>10305.4</v>
      </c>
      <c r="F10" s="3">
        <f t="shared" si="1"/>
        <v>14427.559999999998</v>
      </c>
      <c r="G10" s="3">
        <f t="shared" si="1"/>
        <v>20198.583999999995</v>
      </c>
      <c r="H10" s="3">
        <f t="shared" si="1"/>
        <v>28278.017599999992</v>
      </c>
      <c r="I10" s="3">
        <f t="shared" si="1"/>
        <v>39589.224639999986</v>
      </c>
      <c r="J10" s="3">
        <f t="shared" si="1"/>
        <v>47507.069567999984</v>
      </c>
      <c r="K10" s="3">
        <f t="shared" si="1"/>
        <v>52257.776524799985</v>
      </c>
      <c r="L10" s="3">
        <f t="shared" si="1"/>
        <v>54870.665351039985</v>
      </c>
      <c r="M10" s="3">
        <f t="shared" si="1"/>
        <v>57065.491965081586</v>
      </c>
      <c r="N10" s="3">
        <f t="shared" si="1"/>
        <v>59062.78418385944</v>
      </c>
      <c r="O10" s="3">
        <f t="shared" si="1"/>
        <v>61129.981630294518</v>
      </c>
    </row>
    <row r="11" spans="2:15" x14ac:dyDescent="0.2">
      <c r="B11" t="s">
        <v>9</v>
      </c>
      <c r="C11" s="3"/>
      <c r="D11" s="6">
        <v>0.7</v>
      </c>
      <c r="E11" s="6">
        <v>0.4</v>
      </c>
      <c r="F11" s="6">
        <v>0.4</v>
      </c>
      <c r="G11" s="6">
        <v>0.4</v>
      </c>
      <c r="H11" s="6">
        <v>0.4</v>
      </c>
      <c r="I11" s="6">
        <v>0.4</v>
      </c>
      <c r="J11" s="7">
        <f>I11/2</f>
        <v>0.2</v>
      </c>
      <c r="K11" s="7">
        <f>J11/2</f>
        <v>0.1</v>
      </c>
      <c r="L11" s="7">
        <f>K11/2</f>
        <v>0.05</v>
      </c>
      <c r="M11" s="7">
        <f>L11-1%</f>
        <v>0.04</v>
      </c>
      <c r="N11" s="7">
        <v>3.5000000000000003E-2</v>
      </c>
      <c r="O11" s="7">
        <f>N11</f>
        <v>3.5000000000000003E-2</v>
      </c>
    </row>
    <row r="12" spans="2:15" x14ac:dyDescent="0.2">
      <c r="B12" t="s">
        <v>10</v>
      </c>
      <c r="C12" s="8">
        <v>8.5000000000000006E-2</v>
      </c>
      <c r="D12" s="8">
        <f t="shared" ref="D12:N12" si="2">C12</f>
        <v>8.5000000000000006E-2</v>
      </c>
      <c r="E12" s="8">
        <f t="shared" si="2"/>
        <v>8.5000000000000006E-2</v>
      </c>
      <c r="F12" s="8">
        <f t="shared" si="2"/>
        <v>8.5000000000000006E-2</v>
      </c>
      <c r="G12" s="8">
        <f t="shared" si="2"/>
        <v>8.5000000000000006E-2</v>
      </c>
      <c r="H12" s="8">
        <f t="shared" si="2"/>
        <v>8.5000000000000006E-2</v>
      </c>
      <c r="I12" s="8">
        <f t="shared" si="2"/>
        <v>8.5000000000000006E-2</v>
      </c>
      <c r="J12" s="8">
        <f t="shared" si="2"/>
        <v>8.5000000000000006E-2</v>
      </c>
      <c r="K12" s="8">
        <f t="shared" si="2"/>
        <v>8.5000000000000006E-2</v>
      </c>
      <c r="L12" s="8">
        <f t="shared" si="2"/>
        <v>8.5000000000000006E-2</v>
      </c>
      <c r="M12" s="8">
        <f t="shared" si="2"/>
        <v>8.5000000000000006E-2</v>
      </c>
      <c r="N12" s="8">
        <f t="shared" si="2"/>
        <v>8.5000000000000006E-2</v>
      </c>
      <c r="O12" s="8">
        <f>N12</f>
        <v>8.5000000000000006E-2</v>
      </c>
    </row>
    <row r="13" spans="2:15" x14ac:dyDescent="0.2">
      <c r="B13" t="s">
        <v>11</v>
      </c>
      <c r="C13" s="3">
        <f t="shared" ref="C13:N13" si="3">C10/(1+C12)^C9</f>
        <v>3990.7834101382491</v>
      </c>
      <c r="D13" s="3">
        <f t="shared" si="3"/>
        <v>6252.8403661152288</v>
      </c>
      <c r="E13" s="3">
        <f t="shared" si="3"/>
        <v>8068.1811175680368</v>
      </c>
      <c r="F13" s="3">
        <f t="shared" si="3"/>
        <v>10410.55628073295</v>
      </c>
      <c r="G13" s="3">
        <f t="shared" si="3"/>
        <v>13432.975846107032</v>
      </c>
      <c r="H13" s="3">
        <f t="shared" si="3"/>
        <v>17332.872059492944</v>
      </c>
      <c r="I13" s="3">
        <f t="shared" si="3"/>
        <v>22364.996205797343</v>
      </c>
      <c r="J13" s="3">
        <f t="shared" si="3"/>
        <v>24735.47967461458</v>
      </c>
      <c r="K13" s="3">
        <f t="shared" si="3"/>
        <v>25077.444831406487</v>
      </c>
      <c r="L13" s="3">
        <f t="shared" si="3"/>
        <v>24268.494998135309</v>
      </c>
      <c r="M13" s="3">
        <f t="shared" si="3"/>
        <v>23261.967555816336</v>
      </c>
      <c r="N13" s="3">
        <f t="shared" si="3"/>
        <v>22189.987484119734</v>
      </c>
      <c r="O13" s="3">
        <f>O10/(O12-O11)/(1+O12)^N9</f>
        <v>459332.74092127843</v>
      </c>
    </row>
    <row r="15" spans="2:15" x14ac:dyDescent="0.2">
      <c r="B15" t="s">
        <v>5</v>
      </c>
      <c r="C15" s="4">
        <f>SUM(C13:O13)</f>
        <v>660719.32075132267</v>
      </c>
    </row>
    <row r="16" spans="2:15" x14ac:dyDescent="0.2">
      <c r="B16" t="s">
        <v>12</v>
      </c>
      <c r="C16" s="4">
        <f>C15+C5-C6</f>
        <v>668533.75675132265</v>
      </c>
    </row>
    <row r="17" spans="2:3" x14ac:dyDescent="0.2">
      <c r="B17" t="s">
        <v>13</v>
      </c>
      <c r="C17" s="9">
        <f>C16/C3</f>
        <v>260.03637476305119</v>
      </c>
    </row>
    <row r="18" spans="2:3" x14ac:dyDescent="0.2">
      <c r="B18" t="s">
        <v>14</v>
      </c>
      <c r="C18" s="10">
        <f>C17/C2-1</f>
        <v>1.0716728390937793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Q65"/>
  <sheetViews>
    <sheetView tabSelected="1" zoomScaleNormal="100" workbookViewId="0">
      <pane xSplit="1" ySplit="2" topLeftCell="L3" activePane="bottomRight" state="frozen"/>
      <selection pane="topRight" activeCell="B1" sqref="B1"/>
      <selection pane="bottomLeft" activeCell="A3" sqref="A3"/>
      <selection pane="bottomRight" activeCell="Q4" sqref="Q4"/>
    </sheetView>
  </sheetViews>
  <sheetFormatPr defaultColWidth="8.5546875" defaultRowHeight="15" x14ac:dyDescent="0.2"/>
  <cols>
    <col min="1" max="1" width="19.44140625" customWidth="1"/>
    <col min="2" max="10" width="9" customWidth="1"/>
    <col min="11" max="11" width="9" style="11" customWidth="1"/>
    <col min="12" max="12" width="9" customWidth="1"/>
  </cols>
  <sheetData>
    <row r="2" spans="1:17" x14ac:dyDescent="0.2">
      <c r="A2" t="s">
        <v>15</v>
      </c>
      <c r="B2" s="12" t="s">
        <v>16</v>
      </c>
      <c r="C2" s="12" t="s">
        <v>17</v>
      </c>
      <c r="D2" s="12" t="s">
        <v>18</v>
      </c>
      <c r="E2" s="12" t="s">
        <v>19</v>
      </c>
      <c r="F2" s="12" t="s">
        <v>20</v>
      </c>
      <c r="G2" s="12" t="s">
        <v>21</v>
      </c>
      <c r="H2" s="12" t="s">
        <v>22</v>
      </c>
      <c r="I2" s="12" t="s">
        <v>23</v>
      </c>
      <c r="J2" s="12" t="s">
        <v>24</v>
      </c>
      <c r="K2" s="13" t="s">
        <v>25</v>
      </c>
      <c r="L2" s="12" t="s">
        <v>26</v>
      </c>
      <c r="M2" s="12" t="s">
        <v>27</v>
      </c>
      <c r="N2" s="12" t="s">
        <v>28</v>
      </c>
      <c r="O2" s="12" t="s">
        <v>29</v>
      </c>
      <c r="P2" s="12" t="s">
        <v>30</v>
      </c>
    </row>
    <row r="4" spans="1:17" s="1" customFormat="1" ht="15.75" customHeight="1" x14ac:dyDescent="0.25">
      <c r="A4" s="1" t="s">
        <v>31</v>
      </c>
      <c r="B4" s="14">
        <v>608.35</v>
      </c>
      <c r="C4" s="14">
        <v>634.33799999999997</v>
      </c>
      <c r="D4" s="14">
        <v>678.13400000000001</v>
      </c>
      <c r="E4" s="14">
        <v>725.51599999999996</v>
      </c>
      <c r="F4" s="14">
        <v>827.51900000000001</v>
      </c>
      <c r="G4" s="14">
        <v>883.85500000000002</v>
      </c>
      <c r="H4" s="14">
        <v>1003.697</v>
      </c>
      <c r="I4" s="14">
        <v>1181.0920000000001</v>
      </c>
      <c r="J4" s="14">
        <v>1406.8019999999999</v>
      </c>
      <c r="K4" s="15">
        <v>1632.5830000000001</v>
      </c>
      <c r="L4" s="18">
        <f>H4*(1+L23)</f>
        <v>1851.8209649999999</v>
      </c>
      <c r="M4" s="18">
        <f t="shared" ref="M4:P4" si="0">I4*(1+M23)</f>
        <v>2244.0747999999999</v>
      </c>
      <c r="N4" s="18">
        <f t="shared" si="0"/>
        <v>2813.6039999999998</v>
      </c>
      <c r="O4" s="18">
        <f t="shared" si="0"/>
        <v>2775.3911000000003</v>
      </c>
      <c r="P4" s="18">
        <f t="shared" si="0"/>
        <v>3240.68668875</v>
      </c>
      <c r="Q4" s="23"/>
    </row>
    <row r="5" spans="1:17" x14ac:dyDescent="0.2">
      <c r="A5" t="s">
        <v>32</v>
      </c>
      <c r="B5" s="3">
        <v>108.639</v>
      </c>
      <c r="C5" s="3">
        <v>116.256</v>
      </c>
      <c r="D5" s="3">
        <v>128.56200000000001</v>
      </c>
      <c r="E5" s="3">
        <v>146.63900000000001</v>
      </c>
      <c r="F5" s="3">
        <v>174.53299999999999</v>
      </c>
      <c r="G5" s="3">
        <v>172.97</v>
      </c>
      <c r="H5" s="3">
        <v>192.934</v>
      </c>
      <c r="I5" s="3">
        <v>207.30699999999999</v>
      </c>
      <c r="J5" s="3">
        <v>215.96600000000001</v>
      </c>
      <c r="K5" s="16">
        <v>215.798</v>
      </c>
      <c r="L5" s="19">
        <f>L4*(1-L29)</f>
        <v>233.32944158999999</v>
      </c>
      <c r="M5" s="19">
        <f>M4*(1-M29)</f>
        <v>282.7534248</v>
      </c>
      <c r="N5" s="19">
        <f>N4*(1-N29)</f>
        <v>354.51410399999997</v>
      </c>
      <c r="O5" s="19">
        <f>O4*(1-O29)</f>
        <v>349.69927860000001</v>
      </c>
      <c r="P5" s="19">
        <f>P4*(1-P29)</f>
        <v>408.32652278249998</v>
      </c>
    </row>
    <row r="6" spans="1:17" s="1" customFormat="1" ht="15.75" customHeight="1" x14ac:dyDescent="0.25">
      <c r="A6" s="1" t="s">
        <v>33</v>
      </c>
      <c r="B6" s="14">
        <f t="shared" ref="B6:K6" si="1">B4-B5</f>
        <v>499.71100000000001</v>
      </c>
      <c r="C6" s="14">
        <f t="shared" si="1"/>
        <v>518.08199999999999</v>
      </c>
      <c r="D6" s="14">
        <f t="shared" si="1"/>
        <v>549.572</v>
      </c>
      <c r="E6" s="14">
        <f t="shared" si="1"/>
        <v>578.87699999999995</v>
      </c>
      <c r="F6" s="14">
        <f t="shared" si="1"/>
        <v>652.98599999999999</v>
      </c>
      <c r="G6" s="14">
        <f t="shared" si="1"/>
        <v>710.88499999999999</v>
      </c>
      <c r="H6" s="14">
        <f t="shared" si="1"/>
        <v>810.76300000000003</v>
      </c>
      <c r="I6" s="14">
        <f t="shared" si="1"/>
        <v>973.78500000000008</v>
      </c>
      <c r="J6" s="14">
        <f t="shared" si="1"/>
        <v>1190.8359999999998</v>
      </c>
      <c r="K6" s="15">
        <f t="shared" si="1"/>
        <v>1416.7850000000001</v>
      </c>
      <c r="L6" s="18">
        <f t="shared" ref="L6" si="2">L4-L5</f>
        <v>1618.4915234099999</v>
      </c>
      <c r="M6" s="18">
        <f t="shared" ref="M6" si="3">M4-M5</f>
        <v>1961.3213751999999</v>
      </c>
      <c r="N6" s="18">
        <f t="shared" ref="N6" si="4">N4-N5</f>
        <v>2459.089896</v>
      </c>
      <c r="O6" s="18">
        <f t="shared" ref="O6" si="5">O4-O5</f>
        <v>2425.6918214000002</v>
      </c>
      <c r="P6" s="18">
        <f t="shared" ref="P6" si="6">P4-P5</f>
        <v>2832.3601659675001</v>
      </c>
    </row>
    <row r="7" spans="1:17" x14ac:dyDescent="0.2">
      <c r="A7" t="s">
        <v>34</v>
      </c>
      <c r="B7" s="3">
        <v>197.363</v>
      </c>
      <c r="C7" s="3">
        <v>193.17699999999999</v>
      </c>
      <c r="D7" s="3">
        <v>196.809</v>
      </c>
      <c r="E7" s="3">
        <v>209.47399999999999</v>
      </c>
      <c r="F7" s="3">
        <v>288.29500000000002</v>
      </c>
      <c r="G7" s="3">
        <v>236.309</v>
      </c>
      <c r="H7" s="3">
        <v>243.78800000000001</v>
      </c>
      <c r="I7" s="3">
        <v>274.63600000000002</v>
      </c>
      <c r="J7" s="3">
        <v>302.12599999999998</v>
      </c>
      <c r="K7" s="16">
        <v>319.22000000000003</v>
      </c>
      <c r="L7" s="19">
        <f>L33*L4</f>
        <v>333.32777369999997</v>
      </c>
      <c r="M7" s="19">
        <f>M33*M4</f>
        <v>403.93346399999996</v>
      </c>
      <c r="N7" s="19">
        <f>N33*N4</f>
        <v>506.44871999999992</v>
      </c>
      <c r="O7" s="19">
        <f>O33*O4</f>
        <v>499.57039800000001</v>
      </c>
      <c r="P7" s="19">
        <f>P33*P4</f>
        <v>583.32360397499997</v>
      </c>
    </row>
    <row r="8" spans="1:17" x14ac:dyDescent="0.2">
      <c r="A8" t="s">
        <v>35</v>
      </c>
      <c r="B8" s="3">
        <v>109.283</v>
      </c>
      <c r="C8" s="3">
        <v>110.04</v>
      </c>
      <c r="D8" s="3">
        <v>108.78100000000001</v>
      </c>
      <c r="E8" s="3">
        <v>117.55500000000001</v>
      </c>
      <c r="F8" s="3">
        <v>171.50200000000001</v>
      </c>
      <c r="G8" s="3">
        <v>134.88900000000001</v>
      </c>
      <c r="H8" s="3">
        <v>135.04300000000001</v>
      </c>
      <c r="I8" s="3">
        <v>144.191</v>
      </c>
      <c r="J8" s="3">
        <v>143.55600000000001</v>
      </c>
      <c r="K8" s="16">
        <v>160.98099999999999</v>
      </c>
      <c r="L8" s="19">
        <f>H8*(1+L34)</f>
        <v>164.75246000000001</v>
      </c>
      <c r="M8" s="19">
        <f>I8*(1+M34)</f>
        <v>174.47111000000001</v>
      </c>
      <c r="N8" s="19">
        <f>J8*(1+N34)</f>
        <v>172.2672</v>
      </c>
      <c r="O8" s="19">
        <f>K8*(1+O34)</f>
        <v>193.1772</v>
      </c>
      <c r="P8" s="19">
        <f>L8*(1+P34)</f>
        <v>197.70295200000001</v>
      </c>
    </row>
    <row r="9" spans="1:17" x14ac:dyDescent="0.2">
      <c r="A9" t="s">
        <v>36</v>
      </c>
      <c r="B9" s="3">
        <v>127.271</v>
      </c>
      <c r="C9" s="3">
        <v>133.98400000000001</v>
      </c>
      <c r="D9" s="3">
        <v>138.643</v>
      </c>
      <c r="E9" s="3">
        <v>138.708</v>
      </c>
      <c r="F9" s="3">
        <v>182.14599999999999</v>
      </c>
      <c r="G9" s="3">
        <v>163.63900000000001</v>
      </c>
      <c r="H9" s="3">
        <v>162.61500000000001</v>
      </c>
      <c r="I9" s="3">
        <v>161.702</v>
      </c>
      <c r="J9" s="3">
        <v>169.762</v>
      </c>
      <c r="K9" s="16">
        <v>182.58600000000001</v>
      </c>
      <c r="L9" s="19">
        <f>H9*(1+L35)</f>
        <v>187.00725</v>
      </c>
      <c r="M9" s="19">
        <f>I9*(1+M35)</f>
        <v>185.95729999999998</v>
      </c>
      <c r="N9" s="19">
        <f>J9*(1+N35)</f>
        <v>195.22629999999998</v>
      </c>
      <c r="O9" s="19">
        <f>K9*(1+O35)</f>
        <v>209.97389999999999</v>
      </c>
      <c r="P9" s="19">
        <f>L9*(1+P35)</f>
        <v>215.05833749999999</v>
      </c>
    </row>
    <row r="10" spans="1:17" s="1" customFormat="1" ht="15.75" customHeight="1" x14ac:dyDescent="0.25">
      <c r="A10" s="1" t="s">
        <v>37</v>
      </c>
      <c r="B10" s="14">
        <f t="shared" ref="B10:K10" si="7">B6-B7-B8-B9</f>
        <v>65.793999999999997</v>
      </c>
      <c r="C10" s="14">
        <f t="shared" si="7"/>
        <v>80.880999999999943</v>
      </c>
      <c r="D10" s="14">
        <f t="shared" si="7"/>
        <v>105.33900000000003</v>
      </c>
      <c r="E10" s="14">
        <f t="shared" si="7"/>
        <v>113.13999999999996</v>
      </c>
      <c r="F10" s="14">
        <f t="shared" si="7"/>
        <v>11.042999999999978</v>
      </c>
      <c r="G10" s="14">
        <f t="shared" si="7"/>
        <v>176.048</v>
      </c>
      <c r="H10" s="14">
        <f t="shared" si="7"/>
        <v>269.31700000000001</v>
      </c>
      <c r="I10" s="14">
        <f t="shared" si="7"/>
        <v>393.25600000000009</v>
      </c>
      <c r="J10" s="14">
        <f t="shared" si="7"/>
        <v>575.39199999999983</v>
      </c>
      <c r="K10" s="15">
        <f t="shared" si="7"/>
        <v>753.99800000000005</v>
      </c>
      <c r="L10" s="18">
        <f t="shared" ref="L10" si="8">L6-L7-L8-L9</f>
        <v>933.40403971000012</v>
      </c>
      <c r="M10" s="18">
        <f t="shared" ref="M10" si="9">M6-M7-M8-M9</f>
        <v>1196.9595012</v>
      </c>
      <c r="N10" s="18">
        <f t="shared" ref="N10" si="10">N6-N7-N8-N9</f>
        <v>1585.147676</v>
      </c>
      <c r="O10" s="18">
        <f t="shared" ref="O10" si="11">O6-O7-O8-O9</f>
        <v>1522.9703234000001</v>
      </c>
      <c r="P10" s="18">
        <f t="shared" ref="P10" si="12">P6-P7-P8-P9</f>
        <v>1836.2752724924999</v>
      </c>
    </row>
    <row r="11" spans="1:17" x14ac:dyDescent="0.2">
      <c r="A11" t="s">
        <v>38</v>
      </c>
      <c r="B11" s="3">
        <v>44.545000000000002</v>
      </c>
      <c r="C11" s="3">
        <v>43.351999999999997</v>
      </c>
      <c r="D11" s="3">
        <v>46.593000000000004</v>
      </c>
      <c r="E11" s="3">
        <v>52.12</v>
      </c>
      <c r="F11" s="3">
        <v>54.726999999999997</v>
      </c>
      <c r="G11" s="3">
        <v>50.441000000000003</v>
      </c>
      <c r="H11" s="3">
        <v>56.255000000000003</v>
      </c>
      <c r="I11" s="3">
        <v>59.762</v>
      </c>
      <c r="J11" s="3">
        <v>62.722999999999999</v>
      </c>
      <c r="K11" s="16">
        <v>66.394000000000005</v>
      </c>
      <c r="L11" s="19">
        <f>+K11</f>
        <v>66.394000000000005</v>
      </c>
      <c r="M11" s="19">
        <f t="shared" ref="M11:P11" si="13">+L11</f>
        <v>66.394000000000005</v>
      </c>
      <c r="N11" s="19">
        <f t="shared" si="13"/>
        <v>66.394000000000005</v>
      </c>
      <c r="O11" s="19">
        <f t="shared" si="13"/>
        <v>66.394000000000005</v>
      </c>
      <c r="P11" s="19">
        <f t="shared" si="13"/>
        <v>66.394000000000005</v>
      </c>
    </row>
    <row r="12" spans="1:17" x14ac:dyDescent="0.2">
      <c r="A12" t="s">
        <v>39</v>
      </c>
      <c r="B12" s="3">
        <v>-0.13600000000000001</v>
      </c>
      <c r="C12" s="3">
        <v>-13.507</v>
      </c>
      <c r="D12" s="3">
        <v>-11.173</v>
      </c>
      <c r="E12" s="3">
        <v>-8.11</v>
      </c>
      <c r="F12" s="3">
        <v>14.768000000000001</v>
      </c>
      <c r="G12" s="3">
        <v>-3.173</v>
      </c>
      <c r="H12" s="3">
        <v>6.5960000000000001</v>
      </c>
      <c r="I12" s="3">
        <v>27.483000000000001</v>
      </c>
      <c r="J12" s="3">
        <v>-16.734000000000002</v>
      </c>
      <c r="K12" s="16">
        <v>68.209000000000003</v>
      </c>
      <c r="L12" s="19">
        <v>0</v>
      </c>
      <c r="M12" s="19">
        <v>0</v>
      </c>
      <c r="N12" s="19">
        <v>0</v>
      </c>
      <c r="O12" s="19">
        <v>0</v>
      </c>
      <c r="P12" s="19">
        <v>0</v>
      </c>
    </row>
    <row r="13" spans="1:17" s="1" customFormat="1" ht="15.75" customHeight="1" x14ac:dyDescent="0.25">
      <c r="A13" s="1" t="s">
        <v>40</v>
      </c>
      <c r="B13" s="14">
        <f t="shared" ref="B13:K13" si="14">B10+B11+B12</f>
        <v>110.203</v>
      </c>
      <c r="C13" s="14">
        <f t="shared" si="14"/>
        <v>110.72599999999994</v>
      </c>
      <c r="D13" s="14">
        <f t="shared" si="14"/>
        <v>140.75900000000001</v>
      </c>
      <c r="E13" s="14">
        <f t="shared" si="14"/>
        <v>157.14999999999998</v>
      </c>
      <c r="F13" s="14">
        <f t="shared" si="14"/>
        <v>80.537999999999982</v>
      </c>
      <c r="G13" s="14">
        <f t="shared" si="14"/>
        <v>223.316</v>
      </c>
      <c r="H13" s="14">
        <f t="shared" si="14"/>
        <v>332.16800000000001</v>
      </c>
      <c r="I13" s="14">
        <f t="shared" si="14"/>
        <v>480.50100000000009</v>
      </c>
      <c r="J13" s="14">
        <f t="shared" si="14"/>
        <v>621.38099999999974</v>
      </c>
      <c r="K13" s="15">
        <f t="shared" si="14"/>
        <v>888.60100000000011</v>
      </c>
      <c r="L13" s="18">
        <f t="shared" ref="L13" si="15">L10+L11+L12</f>
        <v>999.79803971000013</v>
      </c>
      <c r="M13" s="18">
        <f t="shared" ref="M13" si="16">M10+M11+M12</f>
        <v>1263.3535012</v>
      </c>
      <c r="N13" s="18">
        <f t="shared" ref="N13" si="17">N10+N11+N12</f>
        <v>1651.5416760000001</v>
      </c>
      <c r="O13" s="18">
        <f t="shared" ref="O13" si="18">O10+O11+O12</f>
        <v>1589.3643234000001</v>
      </c>
      <c r="P13" s="18">
        <f t="shared" ref="P13" si="19">P10+P11+P12</f>
        <v>1902.6692724924999</v>
      </c>
    </row>
    <row r="14" spans="1:17" x14ac:dyDescent="0.2">
      <c r="A14" t="s">
        <v>41</v>
      </c>
      <c r="B14" s="3">
        <v>9.3339999999999996</v>
      </c>
      <c r="C14" s="3">
        <v>4.6550000000000002</v>
      </c>
      <c r="D14" s="3">
        <v>5.1890000000000001</v>
      </c>
      <c r="E14" s="3">
        <v>7.8090000000000002</v>
      </c>
      <c r="F14" s="3">
        <v>3.6019999999999999</v>
      </c>
      <c r="G14" s="3">
        <v>5.5990000000000002</v>
      </c>
      <c r="H14" s="3">
        <v>3.5960000000000001</v>
      </c>
      <c r="I14" s="3">
        <v>3.7530000000000001</v>
      </c>
      <c r="J14" s="3">
        <v>9.7759999999999998</v>
      </c>
      <c r="K14" s="16">
        <v>12.199</v>
      </c>
      <c r="L14" s="19">
        <v>15</v>
      </c>
      <c r="M14" s="19">
        <v>18</v>
      </c>
      <c r="N14" s="19">
        <v>25</v>
      </c>
      <c r="O14" s="19">
        <v>30</v>
      </c>
      <c r="P14" s="19">
        <v>40</v>
      </c>
    </row>
    <row r="15" spans="1:17" x14ac:dyDescent="0.2">
      <c r="A15" t="s">
        <v>42</v>
      </c>
      <c r="B15" s="3">
        <f t="shared" ref="B15:K15" si="20">B13-B14</f>
        <v>100.869</v>
      </c>
      <c r="C15" s="3">
        <f t="shared" si="20"/>
        <v>106.07099999999994</v>
      </c>
      <c r="D15" s="3">
        <f t="shared" si="20"/>
        <v>135.57000000000002</v>
      </c>
      <c r="E15" s="3">
        <f t="shared" si="20"/>
        <v>149.34099999999998</v>
      </c>
      <c r="F15" s="3">
        <f t="shared" si="20"/>
        <v>76.935999999999979</v>
      </c>
      <c r="G15" s="3">
        <f t="shared" si="20"/>
        <v>217.71700000000001</v>
      </c>
      <c r="H15" s="3">
        <f t="shared" si="20"/>
        <v>328.572</v>
      </c>
      <c r="I15" s="3">
        <f t="shared" si="20"/>
        <v>476.7480000000001</v>
      </c>
      <c r="J15" s="3">
        <f t="shared" si="20"/>
        <v>611.60499999999979</v>
      </c>
      <c r="K15" s="16">
        <f t="shared" si="20"/>
        <v>876.40200000000016</v>
      </c>
      <c r="L15" s="19">
        <f t="shared" ref="L15" si="21">L13-L14</f>
        <v>984.79803971000013</v>
      </c>
      <c r="M15" s="19">
        <f t="shared" ref="M15" si="22">M13-M14</f>
        <v>1245.3535012</v>
      </c>
      <c r="N15" s="19">
        <f t="shared" ref="N15" si="23">N13-N14</f>
        <v>1626.5416760000001</v>
      </c>
      <c r="O15" s="19">
        <f t="shared" ref="O15" si="24">O13-O14</f>
        <v>1559.3643234000001</v>
      </c>
      <c r="P15" s="19">
        <f t="shared" ref="P15" si="25">P13-P14</f>
        <v>1862.6692724924999</v>
      </c>
    </row>
    <row r="16" spans="1:17" x14ac:dyDescent="0.2">
      <c r="A16" t="s">
        <v>43</v>
      </c>
      <c r="B16" s="3">
        <v>3.5219999999999998</v>
      </c>
      <c r="C16" s="3">
        <v>0.54100000000000004</v>
      </c>
      <c r="D16" s="3">
        <v>1.444</v>
      </c>
      <c r="E16" s="3">
        <v>5.8159999999999998</v>
      </c>
      <c r="F16" s="3">
        <v>-2.073</v>
      </c>
      <c r="G16" s="3">
        <v>3.6859999999999999</v>
      </c>
      <c r="H16" s="3">
        <v>1.845</v>
      </c>
      <c r="I16" s="3">
        <v>1.149</v>
      </c>
      <c r="J16" s="3">
        <v>2.931</v>
      </c>
      <c r="K16" s="16">
        <v>5.875</v>
      </c>
      <c r="L16" s="19">
        <v>5</v>
      </c>
      <c r="M16" s="19">
        <v>5</v>
      </c>
      <c r="N16" s="19">
        <v>5</v>
      </c>
      <c r="O16" s="19">
        <v>5</v>
      </c>
      <c r="P16" s="19">
        <v>5</v>
      </c>
    </row>
    <row r="17" spans="1:16" s="1" customFormat="1" ht="15.75" customHeight="1" x14ac:dyDescent="0.25">
      <c r="A17" s="1" t="s">
        <v>44</v>
      </c>
      <c r="B17" s="14">
        <f t="shared" ref="B17:K17" si="26">B15-B16</f>
        <v>97.346999999999994</v>
      </c>
      <c r="C17" s="14">
        <f t="shared" si="26"/>
        <v>105.52999999999994</v>
      </c>
      <c r="D17" s="14">
        <f t="shared" si="26"/>
        <v>134.12600000000003</v>
      </c>
      <c r="E17" s="14">
        <f t="shared" si="26"/>
        <v>143.52499999999998</v>
      </c>
      <c r="F17" s="14">
        <f t="shared" si="26"/>
        <v>79.008999999999972</v>
      </c>
      <c r="G17" s="14">
        <f t="shared" si="26"/>
        <v>214.03100000000001</v>
      </c>
      <c r="H17" s="14">
        <f t="shared" si="26"/>
        <v>326.72699999999998</v>
      </c>
      <c r="I17" s="14">
        <f t="shared" si="26"/>
        <v>475.5990000000001</v>
      </c>
      <c r="J17" s="14">
        <f t="shared" si="26"/>
        <v>608.67399999999975</v>
      </c>
      <c r="K17" s="15">
        <f t="shared" si="26"/>
        <v>870.52700000000016</v>
      </c>
      <c r="L17" s="18">
        <f t="shared" ref="L17" si="27">L15-L16</f>
        <v>979.79803971000013</v>
      </c>
      <c r="M17" s="18">
        <f t="shared" ref="M17" si="28">M15-M16</f>
        <v>1240.3535012</v>
      </c>
      <c r="N17" s="18">
        <f t="shared" ref="N17" si="29">N15-N16</f>
        <v>1621.5416760000001</v>
      </c>
      <c r="O17" s="18">
        <f t="shared" ref="O17" si="30">O15-O16</f>
        <v>1554.3643234000001</v>
      </c>
      <c r="P17" s="18">
        <f t="shared" ref="P17" si="31">P15-P16</f>
        <v>1857.6692724924999</v>
      </c>
    </row>
    <row r="18" spans="1:16" s="1" customFormat="1" ht="15.75" customHeight="1" x14ac:dyDescent="0.25">
      <c r="A18" s="21" t="s">
        <v>45</v>
      </c>
      <c r="B18" s="9">
        <f t="shared" ref="B18:K18" si="32">B$17/B20</f>
        <v>4.4507304726469382E-2</v>
      </c>
      <c r="C18" s="9">
        <f t="shared" si="32"/>
        <v>4.7674657619339089E-2</v>
      </c>
      <c r="D18" s="9">
        <f t="shared" si="32"/>
        <v>6.0103280527981827E-2</v>
      </c>
      <c r="E18" s="9">
        <f t="shared" si="32"/>
        <v>6.2269972054980659E-2</v>
      </c>
      <c r="F18" s="9">
        <f t="shared" si="32"/>
        <v>3.427896340074528E-2</v>
      </c>
      <c r="G18" s="9">
        <f t="shared" si="32"/>
        <v>9.1128246984794437E-2</v>
      </c>
      <c r="H18" s="9">
        <f t="shared" si="32"/>
        <v>0.13813950302638767</v>
      </c>
      <c r="I18" s="9">
        <f t="shared" si="32"/>
        <v>0.20006966275402616</v>
      </c>
      <c r="J18" s="9">
        <f t="shared" si="32"/>
        <v>0.25500564748309934</v>
      </c>
      <c r="K18" s="17">
        <f t="shared" si="32"/>
        <v>0.36364855386823597</v>
      </c>
      <c r="L18" s="20">
        <f t="shared" ref="L18" si="33">L$17/L20</f>
        <v>0.40929476078682669</v>
      </c>
      <c r="M18" s="20">
        <f t="shared" ref="M18:P18" si="34">M$17/M20</f>
        <v>0.51813758447099645</v>
      </c>
      <c r="N18" s="20">
        <f t="shared" si="34"/>
        <v>0.67737277018917907</v>
      </c>
      <c r="O18" s="20">
        <f t="shared" si="34"/>
        <v>0.64931051924729377</v>
      </c>
      <c r="P18" s="20">
        <f t="shared" si="34"/>
        <v>0.77601124894156692</v>
      </c>
    </row>
    <row r="19" spans="1:16" s="1" customFormat="1" ht="15.75" customHeight="1" x14ac:dyDescent="0.25">
      <c r="A19" s="21" t="s">
        <v>46</v>
      </c>
      <c r="B19" s="9">
        <f t="shared" ref="B19:K19" si="35">B$17/B21</f>
        <v>4.1288232554706997E-2</v>
      </c>
      <c r="C19" s="9">
        <f t="shared" si="35"/>
        <v>4.3968873054409635E-2</v>
      </c>
      <c r="D19" s="9">
        <f t="shared" si="35"/>
        <v>5.5545708445286709E-2</v>
      </c>
      <c r="E19" s="9">
        <f t="shared" si="35"/>
        <v>5.6767864622535719E-2</v>
      </c>
      <c r="F19" s="9">
        <f t="shared" si="35"/>
        <v>3.1250111241678619E-2</v>
      </c>
      <c r="G19" s="9">
        <f t="shared" si="35"/>
        <v>8.3841072884945175E-2</v>
      </c>
      <c r="H19" s="9">
        <f t="shared" si="35"/>
        <v>0.1274827227778402</v>
      </c>
      <c r="I19" s="9">
        <f t="shared" si="35"/>
        <v>0.18498189655071831</v>
      </c>
      <c r="J19" s="9">
        <f t="shared" si="35"/>
        <v>0.23651630446820018</v>
      </c>
      <c r="K19" s="17">
        <f t="shared" si="35"/>
        <v>0.33860471954830257</v>
      </c>
      <c r="L19" s="20">
        <f t="shared" ref="L19" si="36">L$17/L21</f>
        <v>0.3811073527299913</v>
      </c>
      <c r="M19" s="20">
        <f t="shared" ref="M19:P19" si="37">M$17/M21</f>
        <v>0.48245436317837476</v>
      </c>
      <c r="N19" s="20">
        <f t="shared" si="37"/>
        <v>0.63072330259470921</v>
      </c>
      <c r="O19" s="20">
        <f t="shared" si="37"/>
        <v>0.60459364936497539</v>
      </c>
      <c r="P19" s="20">
        <f t="shared" si="37"/>
        <v>0.72256872334324151</v>
      </c>
    </row>
    <row r="20" spans="1:16" s="1" customFormat="1" ht="15.75" customHeight="1" x14ac:dyDescent="0.25">
      <c r="A20" s="21" t="s">
        <v>47</v>
      </c>
      <c r="B20" s="3">
        <v>2187.2139999999999</v>
      </c>
      <c r="C20" s="3">
        <v>2213.5450000000001</v>
      </c>
      <c r="D20" s="3">
        <v>2231.5920000000001</v>
      </c>
      <c r="E20" s="3">
        <v>2304.8829999999998</v>
      </c>
      <c r="F20" s="3">
        <v>2304.8829999999998</v>
      </c>
      <c r="G20" s="3">
        <v>2348.6790000000001</v>
      </c>
      <c r="H20" s="3">
        <v>2365.1959999999999</v>
      </c>
      <c r="I20" s="3">
        <v>2377.1669999999999</v>
      </c>
      <c r="J20" s="3">
        <v>2386.904</v>
      </c>
      <c r="K20" s="16">
        <v>2393.8690000000001</v>
      </c>
      <c r="L20" s="19">
        <f>K20</f>
        <v>2393.8690000000001</v>
      </c>
      <c r="M20" s="19">
        <f t="shared" ref="M20:P20" si="38">L20</f>
        <v>2393.8690000000001</v>
      </c>
      <c r="N20" s="19">
        <f t="shared" si="38"/>
        <v>2393.8690000000001</v>
      </c>
      <c r="O20" s="19">
        <f t="shared" si="38"/>
        <v>2393.8690000000001</v>
      </c>
      <c r="P20" s="19">
        <f t="shared" si="38"/>
        <v>2393.8690000000001</v>
      </c>
    </row>
    <row r="21" spans="1:16" s="1" customFormat="1" ht="15.75" customHeight="1" x14ac:dyDescent="0.25">
      <c r="A21" s="21" t="s">
        <v>48</v>
      </c>
      <c r="B21" s="3">
        <v>2357.7420000000002</v>
      </c>
      <c r="C21" s="3">
        <v>2400.107</v>
      </c>
      <c r="D21" s="3">
        <v>2414.6959999999999</v>
      </c>
      <c r="E21" s="3">
        <v>2528.279</v>
      </c>
      <c r="F21" s="3">
        <v>2528.279</v>
      </c>
      <c r="G21" s="3">
        <v>2552.8180000000002</v>
      </c>
      <c r="H21" s="3">
        <v>2562.9119999999998</v>
      </c>
      <c r="I21" s="3">
        <v>2571.0569999999998</v>
      </c>
      <c r="J21" s="3">
        <v>2573.4969999999998</v>
      </c>
      <c r="K21" s="16">
        <v>2570.924</v>
      </c>
      <c r="L21" s="19">
        <f>K21</f>
        <v>2570.924</v>
      </c>
      <c r="M21" s="19">
        <f t="shared" ref="M21:P21" si="39">L21</f>
        <v>2570.924</v>
      </c>
      <c r="N21" s="19">
        <f t="shared" si="39"/>
        <v>2570.924</v>
      </c>
      <c r="O21" s="19">
        <f t="shared" si="39"/>
        <v>2570.924</v>
      </c>
      <c r="P21" s="19">
        <f t="shared" si="39"/>
        <v>2570.924</v>
      </c>
    </row>
    <row r="22" spans="1:16" s="1" customFormat="1" ht="15.75" customHeight="1" x14ac:dyDescent="0.25">
      <c r="A22" s="21"/>
      <c r="B22" s="3"/>
      <c r="C22" s="3"/>
      <c r="D22" s="3"/>
      <c r="E22" s="3"/>
      <c r="F22" s="3"/>
      <c r="G22" s="3"/>
      <c r="H22" s="3"/>
      <c r="I22" s="3"/>
      <c r="J22" s="3"/>
      <c r="K22" s="16"/>
      <c r="L22" s="19"/>
      <c r="M22" s="19"/>
      <c r="N22" s="19"/>
      <c r="O22" s="19"/>
      <c r="P22" s="19"/>
    </row>
    <row r="23" spans="1:16" s="1" customFormat="1" ht="15.75" customHeight="1" x14ac:dyDescent="0.25">
      <c r="A23" s="21" t="s">
        <v>79</v>
      </c>
      <c r="B23" s="3"/>
      <c r="C23" s="3"/>
      <c r="D23" s="3"/>
      <c r="E23" s="3"/>
      <c r="F23" s="6">
        <f>F4/B4</f>
        <v>1.360267937864716</v>
      </c>
      <c r="G23" s="6">
        <f t="shared" ref="G23:P23" si="40">G4/C4</f>
        <v>1.3933502328411669</v>
      </c>
      <c r="H23" s="6">
        <f t="shared" si="40"/>
        <v>1.4800865315704566</v>
      </c>
      <c r="I23" s="6">
        <f t="shared" si="40"/>
        <v>1.6279337740311726</v>
      </c>
      <c r="J23" s="6">
        <f t="shared" si="40"/>
        <v>1.7000238060999202</v>
      </c>
      <c r="K23" s="22">
        <f t="shared" si="40"/>
        <v>1.8471163256416494</v>
      </c>
      <c r="L23" s="6">
        <v>0.84499999999999997</v>
      </c>
      <c r="M23" s="6">
        <v>0.9</v>
      </c>
      <c r="N23" s="6">
        <v>1</v>
      </c>
      <c r="O23" s="6">
        <v>0.7</v>
      </c>
      <c r="P23" s="6">
        <v>0.75</v>
      </c>
    </row>
    <row r="24" spans="1:16" s="1" customFormat="1" ht="15.75" customHeight="1" x14ac:dyDescent="0.25">
      <c r="A24" s="21"/>
      <c r="B24" s="3"/>
      <c r="C24" s="3"/>
      <c r="D24" s="3"/>
      <c r="E24" s="3"/>
      <c r="F24" s="3"/>
      <c r="G24" s="3"/>
      <c r="H24" s="3"/>
      <c r="I24" s="3"/>
      <c r="J24" s="3"/>
      <c r="K24" s="16"/>
      <c r="L24" s="19"/>
      <c r="M24" s="19"/>
      <c r="N24" s="19"/>
      <c r="O24" s="19"/>
      <c r="P24" s="19"/>
    </row>
    <row r="25" spans="1:16" s="1" customFormat="1" ht="15.75" customHeight="1" x14ac:dyDescent="0.25">
      <c r="A25" s="21" t="s">
        <v>70</v>
      </c>
      <c r="B25" s="3">
        <f>B10</f>
        <v>65.793999999999997</v>
      </c>
      <c r="C25" s="3">
        <f>C10</f>
        <v>80.880999999999943</v>
      </c>
      <c r="D25" s="3">
        <f>D10</f>
        <v>105.33900000000003</v>
      </c>
      <c r="E25" s="3">
        <f>E10</f>
        <v>113.13999999999996</v>
      </c>
      <c r="F25" s="3">
        <f>F10</f>
        <v>11.042999999999978</v>
      </c>
      <c r="G25" s="3">
        <f>G10</f>
        <v>176.048</v>
      </c>
      <c r="H25" s="3">
        <f>H10</f>
        <v>269.31700000000001</v>
      </c>
      <c r="I25" s="3">
        <f>I10</f>
        <v>393.25600000000009</v>
      </c>
      <c r="J25" s="3">
        <f>J10</f>
        <v>575.39199999999983</v>
      </c>
      <c r="K25" s="16">
        <f>K10</f>
        <v>753.99800000000005</v>
      </c>
      <c r="L25" s="3">
        <f>L10</f>
        <v>933.40403971000012</v>
      </c>
      <c r="M25" s="3">
        <f t="shared" ref="M25:P25" si="41">M10</f>
        <v>1196.9595012</v>
      </c>
      <c r="N25" s="3">
        <f t="shared" si="41"/>
        <v>1585.147676</v>
      </c>
      <c r="O25" s="3">
        <f t="shared" si="41"/>
        <v>1522.9703234000001</v>
      </c>
      <c r="P25" s="3">
        <f t="shared" si="41"/>
        <v>1836.2752724924999</v>
      </c>
    </row>
    <row r="26" spans="1:16" s="1" customFormat="1" ht="15.75" customHeight="1" x14ac:dyDescent="0.25">
      <c r="A26" s="21" t="s">
        <v>71</v>
      </c>
      <c r="B26" s="3">
        <f>B25+B11-B14-B16</f>
        <v>97.48299999999999</v>
      </c>
      <c r="C26" s="3">
        <f>C25+C11-C14-C16</f>
        <v>119.03699999999995</v>
      </c>
      <c r="D26" s="3">
        <f>D25+D11-D14-D16</f>
        <v>145.29900000000004</v>
      </c>
      <c r="E26" s="3">
        <f>E25+E11-E14-E16</f>
        <v>151.63499999999996</v>
      </c>
      <c r="F26" s="3">
        <f>F25+F11-F14-F16</f>
        <v>64.240999999999985</v>
      </c>
      <c r="G26" s="3">
        <f>G25+G11-G14-G16</f>
        <v>217.20400000000001</v>
      </c>
      <c r="H26" s="3">
        <f>H25+H11-H14-H16</f>
        <v>320.13099999999997</v>
      </c>
      <c r="I26" s="3">
        <f>I25+I11-I14-I16</f>
        <v>448.1160000000001</v>
      </c>
      <c r="J26" s="3">
        <f>J25+J11-J14-J16</f>
        <v>625.40799999999979</v>
      </c>
      <c r="K26" s="16">
        <f>K25+K11-K14-K16</f>
        <v>802.3180000000001</v>
      </c>
      <c r="L26" s="3">
        <f>L25+L11-L14-L16</f>
        <v>979.79803971000013</v>
      </c>
      <c r="M26" s="3">
        <f>M25+M11-M14-M16</f>
        <v>1240.3535012</v>
      </c>
      <c r="N26" s="3">
        <f>N25+N11-N14-N16</f>
        <v>1621.5416760000001</v>
      </c>
      <c r="O26" s="3">
        <f>O25+O11-O14-O16</f>
        <v>1554.3643234000001</v>
      </c>
      <c r="P26" s="3">
        <f>P25+P11-P14-P16</f>
        <v>1857.6692724924999</v>
      </c>
    </row>
    <row r="27" spans="1:16" s="1" customFormat="1" ht="15.75" customHeight="1" x14ac:dyDescent="0.25">
      <c r="A27" s="21" t="s">
        <v>72</v>
      </c>
      <c r="B27" s="9">
        <f>B26/B21</f>
        <v>4.1345914862610064E-2</v>
      </c>
      <c r="C27" s="9">
        <f>C26/C21</f>
        <v>4.9596538820977545E-2</v>
      </c>
      <c r="D27" s="9">
        <f>D26/D21</f>
        <v>6.0172791937370185E-2</v>
      </c>
      <c r="E27" s="9">
        <f>E26/E21</f>
        <v>5.9975580226707563E-2</v>
      </c>
      <c r="F27" s="9">
        <f>F26/F21</f>
        <v>2.5408983739531904E-2</v>
      </c>
      <c r="G27" s="9">
        <f>G26/G21</f>
        <v>8.5084013039707487E-2</v>
      </c>
      <c r="H27" s="9">
        <f>H26/H21</f>
        <v>0.12490908778764155</v>
      </c>
      <c r="I27" s="9">
        <f>I26/I21</f>
        <v>0.17429251860227141</v>
      </c>
      <c r="J27" s="9">
        <f>J26/J21</f>
        <v>0.24301874064745357</v>
      </c>
      <c r="K27" s="17">
        <f>K26/K21</f>
        <v>0.31207379136839519</v>
      </c>
      <c r="L27" s="9">
        <f>L26/L21</f>
        <v>0.3811073527299913</v>
      </c>
      <c r="M27" s="9">
        <f>M26/M21</f>
        <v>0.48245436317837476</v>
      </c>
      <c r="N27" s="9">
        <f>N26/N21</f>
        <v>0.63072330259470921</v>
      </c>
      <c r="O27" s="9">
        <f>O26/O21</f>
        <v>0.60459364936497539</v>
      </c>
      <c r="P27" s="9">
        <f>P26/P21</f>
        <v>0.72256872334324151</v>
      </c>
    </row>
    <row r="28" spans="1:16" s="1" customFormat="1" ht="15.75" customHeight="1" x14ac:dyDescent="0.25">
      <c r="A28" s="21"/>
      <c r="B28" s="3"/>
      <c r="C28" s="3"/>
      <c r="D28" s="3"/>
      <c r="E28" s="3"/>
      <c r="F28" s="3"/>
      <c r="G28" s="3"/>
      <c r="H28" s="3"/>
      <c r="I28" s="3"/>
      <c r="J28" s="3"/>
      <c r="K28" s="16"/>
      <c r="L28" s="19"/>
      <c r="M28" s="19"/>
      <c r="N28" s="19"/>
      <c r="O28" s="19"/>
      <c r="P28" s="19"/>
    </row>
    <row r="29" spans="1:16" s="1" customFormat="1" ht="15.75" customHeight="1" x14ac:dyDescent="0.25">
      <c r="A29" s="21" t="s">
        <v>73</v>
      </c>
      <c r="B29" s="6">
        <f>B6/B4</f>
        <v>0.82142023506205308</v>
      </c>
      <c r="C29" s="6">
        <f>C6/C4</f>
        <v>0.81672862101907817</v>
      </c>
      <c r="D29" s="6">
        <f>D6/D4</f>
        <v>0.81041799998230435</v>
      </c>
      <c r="E29" s="6">
        <f>E6/E4</f>
        <v>0.79788316177727303</v>
      </c>
      <c r="F29" s="6">
        <f>F6/F4</f>
        <v>0.7890888305887841</v>
      </c>
      <c r="G29" s="6">
        <f>G6/G4</f>
        <v>0.8043004791509919</v>
      </c>
      <c r="H29" s="6">
        <f>H6/H4</f>
        <v>0.80777664972596319</v>
      </c>
      <c r="I29" s="6">
        <f>I6/I4</f>
        <v>0.82447853342499988</v>
      </c>
      <c r="J29" s="6">
        <f>J6/J4</f>
        <v>0.84648443775314497</v>
      </c>
      <c r="K29" s="22">
        <f>K6/K4</f>
        <v>0.86781805274218826</v>
      </c>
      <c r="L29" s="6">
        <v>0.874</v>
      </c>
      <c r="M29" s="6">
        <v>0.874</v>
      </c>
      <c r="N29" s="6">
        <v>0.874</v>
      </c>
      <c r="O29" s="6">
        <v>0.874</v>
      </c>
      <c r="P29" s="6">
        <v>0.874</v>
      </c>
    </row>
    <row r="30" spans="1:16" s="1" customFormat="1" ht="15.75" customHeight="1" x14ac:dyDescent="0.25">
      <c r="A30" s="21" t="s">
        <v>74</v>
      </c>
      <c r="B30" s="6">
        <f>B25/B4</f>
        <v>0.10815155749157557</v>
      </c>
      <c r="C30" s="6">
        <f>C25/C4</f>
        <v>0.12750457957744915</v>
      </c>
      <c r="D30" s="6">
        <f>D25/D4</f>
        <v>0.15533655590193093</v>
      </c>
      <c r="E30" s="6">
        <f>E25/E4</f>
        <v>0.15594418317445785</v>
      </c>
      <c r="F30" s="6">
        <f>F25/F4</f>
        <v>1.3344708701552445E-2</v>
      </c>
      <c r="G30" s="6">
        <f>G25/G4</f>
        <v>0.19918199252139773</v>
      </c>
      <c r="H30" s="6">
        <f>H25/H4</f>
        <v>0.26832500246588364</v>
      </c>
      <c r="I30" s="6">
        <f>I25/I4</f>
        <v>0.33295966783281916</v>
      </c>
      <c r="J30" s="6">
        <f>J25/J4</f>
        <v>0.4090070955258806</v>
      </c>
      <c r="K30" s="22">
        <f>K25/K4</f>
        <v>0.46184359386322166</v>
      </c>
      <c r="L30" s="6">
        <f>L25/L4</f>
        <v>0.5040465883860431</v>
      </c>
      <c r="M30" s="6">
        <f>M25/M4</f>
        <v>0.53338663274504039</v>
      </c>
      <c r="N30" s="6">
        <f>N25/N4</f>
        <v>0.56338691443429856</v>
      </c>
      <c r="O30" s="6">
        <f>O25/O4</f>
        <v>0.54874079671149767</v>
      </c>
      <c r="P30" s="6">
        <f>P25/P4</f>
        <v>0.566631534874107</v>
      </c>
    </row>
    <row r="31" spans="1:16" s="1" customFormat="1" ht="15.75" customHeight="1" x14ac:dyDescent="0.25">
      <c r="A31" s="21" t="s">
        <v>75</v>
      </c>
      <c r="B31" s="6">
        <f>B26/B4</f>
        <v>0.16024163721541873</v>
      </c>
      <c r="C31" s="6">
        <f>C26/C4</f>
        <v>0.18765547704851349</v>
      </c>
      <c r="D31" s="6">
        <f>D26/D4</f>
        <v>0.21426296277726825</v>
      </c>
      <c r="E31" s="6">
        <f>E26/E4</f>
        <v>0.20900297167808837</v>
      </c>
      <c r="F31" s="6">
        <f>F26/F4</f>
        <v>7.7630845938280554E-2</v>
      </c>
      <c r="G31" s="6">
        <f>G26/G4</f>
        <v>0.24574619140017312</v>
      </c>
      <c r="H31" s="6">
        <f>H26/H4</f>
        <v>0.31895183506576186</v>
      </c>
      <c r="I31" s="6">
        <f>I26/I4</f>
        <v>0.37940820867468417</v>
      </c>
      <c r="J31" s="6">
        <f>J26/J4</f>
        <v>0.44456007313040485</v>
      </c>
      <c r="K31" s="22">
        <f>K26/K4</f>
        <v>0.49144086395607456</v>
      </c>
      <c r="L31" s="6">
        <f>L26/L4</f>
        <v>0.52909976624549138</v>
      </c>
      <c r="M31" s="6">
        <f>M26/M4</f>
        <v>0.55272377783485649</v>
      </c>
      <c r="N31" s="6">
        <f>N26/N4</f>
        <v>0.57632192590002007</v>
      </c>
      <c r="O31" s="6">
        <f>O26/O4</f>
        <v>0.56005235564818234</v>
      </c>
      <c r="P31" s="6">
        <f>P26/P4</f>
        <v>0.5732332221258456</v>
      </c>
    </row>
    <row r="32" spans="1:16" x14ac:dyDescent="0.2">
      <c r="B32" s="3"/>
      <c r="C32" s="3"/>
      <c r="D32" s="3"/>
      <c r="E32" s="3"/>
      <c r="F32" s="3"/>
      <c r="G32" s="3"/>
      <c r="H32" s="3"/>
      <c r="I32" s="3"/>
      <c r="J32" s="3"/>
      <c r="K32" s="16"/>
      <c r="L32" s="19"/>
      <c r="M32" s="19"/>
      <c r="N32" s="19"/>
      <c r="O32" s="19"/>
      <c r="P32" s="19"/>
    </row>
    <row r="33" spans="1:16" x14ac:dyDescent="0.2">
      <c r="A33" s="21" t="s">
        <v>76</v>
      </c>
      <c r="B33" s="6">
        <f>B7/B4</f>
        <v>0.32442344045368621</v>
      </c>
      <c r="C33" s="6">
        <f>C7/C4</f>
        <v>0.30453322991843468</v>
      </c>
      <c r="D33" s="6">
        <f>D7/D4</f>
        <v>0.29022140166987642</v>
      </c>
      <c r="E33" s="6">
        <f>E7/E4</f>
        <v>0.28872416321624883</v>
      </c>
      <c r="F33" s="6">
        <f>F7/F4</f>
        <v>0.34838475007824593</v>
      </c>
      <c r="G33" s="6">
        <f>G7/G4</f>
        <v>0.26736172788523005</v>
      </c>
      <c r="H33" s="6">
        <f>H7/H4</f>
        <v>0.24289003553861377</v>
      </c>
      <c r="I33" s="6">
        <f>I7/I4</f>
        <v>0.23252718670518469</v>
      </c>
      <c r="J33" s="6">
        <f>J7/J4</f>
        <v>0.21476085476136655</v>
      </c>
      <c r="K33" s="22">
        <f>K7/K4</f>
        <v>0.19553064070861942</v>
      </c>
      <c r="L33" s="6">
        <v>0.18</v>
      </c>
      <c r="M33" s="6">
        <v>0.18</v>
      </c>
      <c r="N33" s="6">
        <v>0.18</v>
      </c>
      <c r="O33" s="6">
        <v>0.18</v>
      </c>
      <c r="P33" s="6">
        <v>0.18</v>
      </c>
    </row>
    <row r="34" spans="1:16" x14ac:dyDescent="0.2">
      <c r="A34" s="21" t="s">
        <v>77</v>
      </c>
      <c r="B34" s="6"/>
      <c r="C34" s="6"/>
      <c r="D34" s="6"/>
      <c r="E34" s="6"/>
      <c r="F34" s="6">
        <f>F8/B8-1</f>
        <v>0.56933832343548407</v>
      </c>
      <c r="G34" s="6">
        <f>G8/C8-1</f>
        <v>0.22581788440567063</v>
      </c>
      <c r="H34" s="6">
        <f>H8/D8-1</f>
        <v>0.24142083635929068</v>
      </c>
      <c r="I34" s="6">
        <f>I8/E8-1</f>
        <v>0.22658330143337158</v>
      </c>
      <c r="J34" s="6">
        <f>J8/F8-1</f>
        <v>-0.16294853704329981</v>
      </c>
      <c r="K34" s="22">
        <f>K8/G8-1</f>
        <v>0.19343311908309779</v>
      </c>
      <c r="L34" s="6">
        <v>0.22</v>
      </c>
      <c r="M34" s="6">
        <v>0.21</v>
      </c>
      <c r="N34" s="6">
        <v>0.2</v>
      </c>
      <c r="O34" s="6">
        <v>0.2</v>
      </c>
      <c r="P34" s="6">
        <v>0.2</v>
      </c>
    </row>
    <row r="35" spans="1:16" x14ac:dyDescent="0.2">
      <c r="A35" s="21" t="s">
        <v>78</v>
      </c>
      <c r="B35" s="6"/>
      <c r="C35" s="6"/>
      <c r="D35" s="6"/>
      <c r="E35" s="6"/>
      <c r="F35" s="6">
        <f>F9/B9-1</f>
        <v>0.43116656583196478</v>
      </c>
      <c r="G35" s="6">
        <f>G9/C9-1</f>
        <v>0.22133239789825643</v>
      </c>
      <c r="H35" s="6">
        <f>H9/D9-1</f>
        <v>0.17290451014476038</v>
      </c>
      <c r="I35" s="6">
        <f>I9/E9-1</f>
        <v>0.16577270236756347</v>
      </c>
      <c r="J35" s="6">
        <f>J9/F9-1</f>
        <v>-6.7989415084602434E-2</v>
      </c>
      <c r="K35" s="22">
        <f>K9/G9-1</f>
        <v>0.11578535679147395</v>
      </c>
      <c r="L35" s="6">
        <v>0.15</v>
      </c>
      <c r="M35" s="6">
        <v>0.15</v>
      </c>
      <c r="N35" s="6">
        <v>0.15</v>
      </c>
      <c r="O35" s="6">
        <v>0.15</v>
      </c>
      <c r="P35" s="6">
        <v>0.15</v>
      </c>
    </row>
    <row r="36" spans="1:16" x14ac:dyDescent="0.2">
      <c r="B36" s="3"/>
      <c r="C36" s="3"/>
      <c r="D36" s="3"/>
      <c r="E36" s="3"/>
      <c r="F36" s="3"/>
      <c r="G36" s="3"/>
      <c r="H36" s="3"/>
      <c r="I36" s="3"/>
      <c r="J36" s="3"/>
      <c r="K36" s="16"/>
      <c r="L36" s="19"/>
      <c r="M36" s="19"/>
      <c r="N36" s="19"/>
      <c r="O36" s="19"/>
      <c r="P36" s="19"/>
    </row>
    <row r="37" spans="1:16" x14ac:dyDescent="0.2">
      <c r="B37" s="3"/>
      <c r="C37" s="3"/>
      <c r="D37" s="3"/>
      <c r="E37" s="3"/>
      <c r="F37" s="3"/>
      <c r="G37" s="3"/>
      <c r="H37" s="3"/>
      <c r="I37" s="3"/>
      <c r="J37" s="3"/>
      <c r="K37" s="16"/>
      <c r="L37" s="19"/>
      <c r="M37" s="19"/>
      <c r="N37" s="19"/>
      <c r="O37" s="19"/>
      <c r="P37" s="19"/>
    </row>
    <row r="38" spans="1:16" x14ac:dyDescent="0.2">
      <c r="A38" t="s">
        <v>3</v>
      </c>
      <c r="B38" s="3">
        <v>831.04700000000003</v>
      </c>
      <c r="C38" s="3">
        <v>520.38800000000003</v>
      </c>
      <c r="D38" s="3">
        <v>512.65899999999999</v>
      </c>
      <c r="E38" s="3">
        <v>768.71</v>
      </c>
      <c r="F38" s="3">
        <v>2098.5239999999999</v>
      </c>
      <c r="G38" s="3">
        <v>993.46400000000006</v>
      </c>
      <c r="H38" s="3">
        <v>929.54700000000003</v>
      </c>
      <c r="I38" s="3">
        <v>1615.9670000000001</v>
      </c>
      <c r="J38" s="3">
        <v>1423.796</v>
      </c>
      <c r="K38" s="16">
        <v>2291.6309999999999</v>
      </c>
      <c r="L38" s="19"/>
      <c r="M38" s="19"/>
      <c r="N38" s="19"/>
      <c r="O38" s="19"/>
      <c r="P38" s="19"/>
    </row>
    <row r="39" spans="1:16" x14ac:dyDescent="0.2">
      <c r="A39" t="s">
        <v>49</v>
      </c>
      <c r="B39" s="3">
        <v>2843.1320000000001</v>
      </c>
      <c r="C39" s="3">
        <v>3347.5120000000002</v>
      </c>
      <c r="D39" s="3">
        <v>3485.8</v>
      </c>
      <c r="E39" s="3">
        <v>3795.9490000000001</v>
      </c>
      <c r="F39" s="3">
        <v>3131.4630000000002</v>
      </c>
      <c r="G39" s="3">
        <v>4437.2250000000004</v>
      </c>
      <c r="H39" s="3">
        <v>5070.875</v>
      </c>
      <c r="I39" s="3">
        <v>4821.8500000000004</v>
      </c>
      <c r="J39" s="3">
        <v>5753.2470000000003</v>
      </c>
      <c r="K39" s="16">
        <v>5734.7820000000002</v>
      </c>
      <c r="L39" s="19"/>
      <c r="M39" s="19"/>
      <c r="N39" s="19"/>
      <c r="O39" s="19"/>
      <c r="P39" s="19"/>
    </row>
    <row r="40" spans="1:16" x14ac:dyDescent="0.2">
      <c r="A40" t="s">
        <v>50</v>
      </c>
      <c r="B40" s="3">
        <v>364.78399999999999</v>
      </c>
      <c r="C40" s="3">
        <v>486.98599999999999</v>
      </c>
      <c r="D40" s="3">
        <v>659.33900000000006</v>
      </c>
      <c r="E40" s="3">
        <v>668.11</v>
      </c>
      <c r="F40" s="3">
        <v>575.048</v>
      </c>
      <c r="G40" s="3">
        <v>725.20500000000004</v>
      </c>
      <c r="H40" s="3">
        <v>747.48400000000004</v>
      </c>
      <c r="I40" s="3">
        <v>1005.91</v>
      </c>
      <c r="J40" s="3">
        <v>1042.0650000000001</v>
      </c>
      <c r="K40" s="16">
        <v>1405.588</v>
      </c>
      <c r="L40" s="19"/>
      <c r="M40" s="19"/>
      <c r="N40" s="19"/>
      <c r="O40" s="19"/>
      <c r="P40" s="19"/>
    </row>
    <row r="41" spans="1:16" x14ac:dyDescent="0.2">
      <c r="A41" t="s">
        <v>51</v>
      </c>
      <c r="B41" s="3">
        <v>99.655000000000001</v>
      </c>
      <c r="C41" s="3">
        <v>81.177999999999997</v>
      </c>
      <c r="D41" s="3">
        <v>115.712</v>
      </c>
      <c r="E41" s="3">
        <v>119.193</v>
      </c>
      <c r="F41" s="3">
        <v>129.25399999999999</v>
      </c>
      <c r="G41" s="3">
        <v>126.705</v>
      </c>
      <c r="H41" s="3">
        <v>142.48699999999999</v>
      </c>
      <c r="I41" s="3">
        <v>142.429</v>
      </c>
      <c r="J41" s="3">
        <v>139.066</v>
      </c>
      <c r="K41" s="16">
        <v>119.703</v>
      </c>
      <c r="L41" s="19"/>
      <c r="M41" s="19"/>
      <c r="N41" s="19"/>
      <c r="O41" s="19"/>
      <c r="P41" s="19"/>
    </row>
    <row r="42" spans="1:16" s="1" customFormat="1" ht="15.75" customHeight="1" x14ac:dyDescent="0.25">
      <c r="A42" s="1" t="s">
        <v>52</v>
      </c>
      <c r="B42" s="14">
        <f t="shared" ref="B42:L42" si="42">SUM(B38:B41)</f>
        <v>4138.6180000000004</v>
      </c>
      <c r="C42" s="14">
        <f t="shared" si="42"/>
        <v>4436.0640000000003</v>
      </c>
      <c r="D42" s="14">
        <f t="shared" si="42"/>
        <v>4773.5100000000011</v>
      </c>
      <c r="E42" s="14">
        <f t="shared" si="42"/>
        <v>5351.9619999999995</v>
      </c>
      <c r="F42" s="14">
        <f t="shared" si="42"/>
        <v>5934.2889999999998</v>
      </c>
      <c r="G42" s="14">
        <f t="shared" si="42"/>
        <v>6282.5990000000002</v>
      </c>
      <c r="H42" s="14">
        <f t="shared" si="42"/>
        <v>6890.3930000000009</v>
      </c>
      <c r="I42" s="14">
        <f t="shared" si="42"/>
        <v>7586.1560000000009</v>
      </c>
      <c r="J42" s="14">
        <f t="shared" si="42"/>
        <v>8358.1740000000009</v>
      </c>
      <c r="K42" s="15">
        <f t="shared" si="42"/>
        <v>9551.7039999999997</v>
      </c>
      <c r="L42" s="18">
        <f t="shared" ref="L42" si="43">SUM(L38:L41)</f>
        <v>0</v>
      </c>
      <c r="M42" s="18">
        <f t="shared" ref="M42" si="44">SUM(M38:M41)</f>
        <v>0</v>
      </c>
      <c r="N42" s="18">
        <f t="shared" ref="N42" si="45">SUM(N38:N41)</f>
        <v>0</v>
      </c>
      <c r="O42" s="18">
        <f t="shared" ref="O42" si="46">SUM(O38:O41)</f>
        <v>0</v>
      </c>
      <c r="P42" s="18">
        <f t="shared" ref="P42" si="47">SUM(P38:P41)</f>
        <v>0</v>
      </c>
    </row>
    <row r="43" spans="1:16" x14ac:dyDescent="0.2">
      <c r="A43" t="s">
        <v>53</v>
      </c>
      <c r="B43" s="3">
        <v>47.758000000000003</v>
      </c>
      <c r="C43" s="3">
        <v>46.905999999999999</v>
      </c>
      <c r="D43" s="3">
        <v>43.482999999999997</v>
      </c>
      <c r="E43" s="3">
        <v>40.344999999999999</v>
      </c>
      <c r="F43" s="3">
        <v>39.637999999999998</v>
      </c>
      <c r="G43" s="3">
        <v>39.668999999999997</v>
      </c>
      <c r="H43" s="3">
        <v>43.523000000000003</v>
      </c>
      <c r="I43" s="3">
        <v>45.706000000000003</v>
      </c>
      <c r="J43" s="3">
        <v>51.96</v>
      </c>
      <c r="K43" s="16">
        <v>55.725999999999999</v>
      </c>
      <c r="L43" s="19"/>
      <c r="M43" s="19"/>
      <c r="N43" s="19"/>
      <c r="O43" s="19"/>
      <c r="P43" s="19"/>
    </row>
    <row r="44" spans="1:16" x14ac:dyDescent="0.2">
      <c r="A44" t="s">
        <v>54</v>
      </c>
      <c r="B44" s="3">
        <v>182.863</v>
      </c>
      <c r="C44" s="3">
        <v>173.70699999999999</v>
      </c>
      <c r="D44" s="3">
        <v>213.453</v>
      </c>
      <c r="E44" s="3">
        <v>211.57</v>
      </c>
      <c r="F44" s="3">
        <v>200.74</v>
      </c>
      <c r="G44" s="3">
        <v>209.34800000000001</v>
      </c>
      <c r="H44" s="3">
        <v>203.47399999999999</v>
      </c>
      <c r="I44" s="3">
        <v>204.315</v>
      </c>
      <c r="J44" s="3">
        <v>200.10499999999999</v>
      </c>
      <c r="K44" s="16">
        <v>228.98</v>
      </c>
      <c r="L44" s="19"/>
      <c r="M44" s="19"/>
      <c r="N44" s="19"/>
      <c r="O44" s="19"/>
      <c r="P44" s="19"/>
    </row>
    <row r="45" spans="1:16" x14ac:dyDescent="0.2">
      <c r="A45" t="s">
        <v>39</v>
      </c>
      <c r="B45" s="3">
        <v>153.18600000000001</v>
      </c>
      <c r="C45" s="3">
        <v>150.40199999999999</v>
      </c>
      <c r="D45" s="3">
        <v>161.434</v>
      </c>
      <c r="E45" s="3">
        <v>164.22</v>
      </c>
      <c r="F45" s="3">
        <v>166.21700000000001</v>
      </c>
      <c r="G45" s="3">
        <v>205.30099999999999</v>
      </c>
      <c r="H45" s="3">
        <v>228.298</v>
      </c>
      <c r="I45" s="3">
        <v>277.78300000000002</v>
      </c>
      <c r="J45" s="3">
        <v>290.15300000000002</v>
      </c>
      <c r="K45" s="16">
        <v>362.77300000000002</v>
      </c>
      <c r="L45" s="19"/>
      <c r="M45" s="19"/>
      <c r="N45" s="19"/>
      <c r="O45" s="19"/>
      <c r="P45" s="19"/>
    </row>
    <row r="46" spans="1:16" s="1" customFormat="1" ht="15.75" customHeight="1" x14ac:dyDescent="0.25">
      <c r="A46" s="1" t="s">
        <v>55</v>
      </c>
      <c r="B46" s="14">
        <f t="shared" ref="B46:L46" si="48">SUM(B42:B45)</f>
        <v>4522.4250000000002</v>
      </c>
      <c r="C46" s="14">
        <f t="shared" si="48"/>
        <v>4807.0790000000006</v>
      </c>
      <c r="D46" s="14">
        <f t="shared" si="48"/>
        <v>5191.8800000000019</v>
      </c>
      <c r="E46" s="14">
        <f t="shared" si="48"/>
        <v>5768.0969999999998</v>
      </c>
      <c r="F46" s="14">
        <f t="shared" si="48"/>
        <v>6340.8839999999991</v>
      </c>
      <c r="G46" s="14">
        <f t="shared" si="48"/>
        <v>6736.9170000000004</v>
      </c>
      <c r="H46" s="14">
        <f t="shared" si="48"/>
        <v>7365.688000000001</v>
      </c>
      <c r="I46" s="14">
        <f t="shared" si="48"/>
        <v>8113.9600000000009</v>
      </c>
      <c r="J46" s="14">
        <f t="shared" si="48"/>
        <v>8900.3919999999998</v>
      </c>
      <c r="K46" s="15">
        <f t="shared" si="48"/>
        <v>10199.182999999999</v>
      </c>
      <c r="L46" s="18">
        <f t="shared" ref="L46" si="49">SUM(L42:L45)</f>
        <v>0</v>
      </c>
      <c r="M46" s="18">
        <f t="shared" ref="M46" si="50">SUM(M42:M45)</f>
        <v>0</v>
      </c>
      <c r="N46" s="18">
        <f t="shared" ref="N46" si="51">SUM(N42:N45)</f>
        <v>0</v>
      </c>
      <c r="O46" s="18">
        <f t="shared" ref="O46" si="52">SUM(O42:O45)</f>
        <v>0</v>
      </c>
      <c r="P46" s="18">
        <f t="shared" ref="P46" si="53">SUM(P42:P45)</f>
        <v>0</v>
      </c>
    </row>
    <row r="47" spans="1:16" x14ac:dyDescent="0.2">
      <c r="A47" t="s">
        <v>56</v>
      </c>
      <c r="B47" s="3">
        <f>12.122+222.991</f>
        <v>235.113</v>
      </c>
      <c r="C47" s="3">
        <f>35.634+206.034</f>
        <v>241.66800000000001</v>
      </c>
      <c r="D47" s="3">
        <f>67.345+195.489</f>
        <v>262.834</v>
      </c>
      <c r="E47" s="3">
        <f>27.021+265.244</f>
        <v>292.26500000000004</v>
      </c>
      <c r="F47" s="3">
        <f>0.103+427.046</f>
        <v>427.149</v>
      </c>
      <c r="G47" s="3">
        <f>2.33+371.061</f>
        <v>373.39099999999996</v>
      </c>
      <c r="H47" s="3">
        <f>10.774+393.623</f>
        <v>404.39699999999999</v>
      </c>
      <c r="I47" s="3">
        <f>67.503+381.737</f>
        <v>449.24</v>
      </c>
      <c r="J47" s="3">
        <v>409.55200000000002</v>
      </c>
      <c r="K47" s="16">
        <v>495.96199999999999</v>
      </c>
      <c r="L47" s="19"/>
      <c r="M47" s="19"/>
      <c r="N47" s="19"/>
      <c r="O47" s="19"/>
      <c r="P47" s="19"/>
    </row>
    <row r="48" spans="1:16" x14ac:dyDescent="0.2">
      <c r="A48" t="s">
        <v>57</v>
      </c>
      <c r="B48" s="3">
        <v>246.90100000000001</v>
      </c>
      <c r="C48" s="3">
        <v>237.19499999999999</v>
      </c>
      <c r="D48" s="3">
        <v>278.44099999999997</v>
      </c>
      <c r="E48" s="3">
        <v>236.608</v>
      </c>
      <c r="F48" s="3">
        <v>259.62400000000002</v>
      </c>
      <c r="G48" s="3">
        <v>318.55599999999998</v>
      </c>
      <c r="H48" s="3">
        <v>376.78399999999999</v>
      </c>
      <c r="I48" s="3">
        <v>316.72199999999998</v>
      </c>
      <c r="J48" s="3">
        <v>408.96300000000002</v>
      </c>
      <c r="K48" s="16">
        <v>516.86800000000005</v>
      </c>
      <c r="L48" s="19"/>
      <c r="M48" s="19"/>
      <c r="N48" s="19"/>
      <c r="O48" s="19"/>
      <c r="P48" s="19"/>
    </row>
    <row r="49" spans="1:16" x14ac:dyDescent="0.2">
      <c r="A49" t="s">
        <v>58</v>
      </c>
      <c r="B49" s="3">
        <v>209.828</v>
      </c>
      <c r="C49" s="3">
        <v>217.63399999999999</v>
      </c>
      <c r="D49" s="3">
        <v>221.51900000000001</v>
      </c>
      <c r="E49" s="3">
        <v>366.94600000000003</v>
      </c>
      <c r="F49" s="3">
        <v>265.25200000000001</v>
      </c>
      <c r="G49" s="3">
        <v>231.077</v>
      </c>
      <c r="H49" s="3">
        <v>262.99400000000003</v>
      </c>
      <c r="I49" s="3">
        <v>368.17</v>
      </c>
      <c r="J49" s="3">
        <v>357.06599999999997</v>
      </c>
      <c r="K49" s="16">
        <v>370.11900000000003</v>
      </c>
      <c r="L49" s="19"/>
      <c r="M49" s="19"/>
      <c r="N49" s="19"/>
      <c r="O49" s="19"/>
      <c r="P49" s="19"/>
    </row>
    <row r="50" spans="1:16" x14ac:dyDescent="0.2">
      <c r="A50" t="s">
        <v>59</v>
      </c>
      <c r="B50" s="3">
        <v>54.176000000000002</v>
      </c>
      <c r="C50" s="3">
        <v>54.055999999999997</v>
      </c>
      <c r="D50" s="3">
        <v>44.125</v>
      </c>
      <c r="E50" s="3">
        <v>47.637</v>
      </c>
      <c r="F50" s="3">
        <v>43.993000000000002</v>
      </c>
      <c r="G50" s="3">
        <v>44.418999999999997</v>
      </c>
      <c r="H50" s="3">
        <v>45.465000000000003</v>
      </c>
      <c r="I50" s="3">
        <v>46.271000000000001</v>
      </c>
      <c r="J50" s="3">
        <v>0</v>
      </c>
      <c r="K50" s="16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</row>
    <row r="51" spans="1:16" s="1" customFormat="1" ht="15.75" customHeight="1" x14ac:dyDescent="0.25">
      <c r="A51" s="1" t="s">
        <v>60</v>
      </c>
      <c r="B51" s="14">
        <f t="shared" ref="B51:L51" si="54">SUM(B47:B50)</f>
        <v>746.01800000000003</v>
      </c>
      <c r="C51" s="14">
        <f t="shared" si="54"/>
        <v>750.553</v>
      </c>
      <c r="D51" s="14">
        <f t="shared" si="54"/>
        <v>806.91899999999998</v>
      </c>
      <c r="E51" s="14">
        <f t="shared" si="54"/>
        <v>943.45600000000013</v>
      </c>
      <c r="F51" s="14">
        <f t="shared" si="54"/>
        <v>996.01800000000014</v>
      </c>
      <c r="G51" s="14">
        <f t="shared" si="54"/>
        <v>967.44299999999987</v>
      </c>
      <c r="H51" s="14">
        <f t="shared" si="54"/>
        <v>1089.6400000000001</v>
      </c>
      <c r="I51" s="14">
        <f t="shared" si="54"/>
        <v>1180.403</v>
      </c>
      <c r="J51" s="14">
        <f t="shared" si="54"/>
        <v>1175.5810000000001</v>
      </c>
      <c r="K51" s="15">
        <f t="shared" si="54"/>
        <v>1382.9490000000001</v>
      </c>
      <c r="L51" s="18">
        <f t="shared" ref="L51" si="55">SUM(L47:L50)</f>
        <v>0</v>
      </c>
      <c r="M51" s="18">
        <f t="shared" ref="M51" si="56">SUM(M47:M50)</f>
        <v>0</v>
      </c>
      <c r="N51" s="18">
        <f t="shared" ref="N51" si="57">SUM(N47:N50)</f>
        <v>0</v>
      </c>
      <c r="O51" s="18">
        <f t="shared" ref="O51" si="58">SUM(O47:O50)</f>
        <v>0</v>
      </c>
      <c r="P51" s="18">
        <f t="shared" ref="P51" si="59">SUM(P47:P50)</f>
        <v>0</v>
      </c>
    </row>
    <row r="52" spans="1:16" x14ac:dyDescent="0.2">
      <c r="A52" t="s">
        <v>57</v>
      </c>
      <c r="B52" s="3">
        <v>28.047000000000001</v>
      </c>
      <c r="C52" s="3">
        <v>20.722000000000001</v>
      </c>
      <c r="D52" s="3">
        <v>15.648999999999999</v>
      </c>
      <c r="E52" s="3">
        <v>7.8250000000000002</v>
      </c>
      <c r="F52" s="3">
        <v>39.884999999999998</v>
      </c>
      <c r="G52" s="3">
        <v>36.372</v>
      </c>
      <c r="H52" s="3">
        <v>44.637999999999998</v>
      </c>
      <c r="I52" s="3">
        <v>43.901000000000003</v>
      </c>
      <c r="J52" s="3">
        <v>46.216000000000001</v>
      </c>
      <c r="K52" s="16">
        <v>41.128</v>
      </c>
      <c r="L52" s="19"/>
      <c r="M52" s="19"/>
      <c r="N52" s="19"/>
      <c r="O52" s="19"/>
      <c r="P52" s="19"/>
    </row>
    <row r="53" spans="1:16" x14ac:dyDescent="0.2">
      <c r="A53" t="s">
        <v>58</v>
      </c>
      <c r="B53" s="3">
        <v>1.4770000000000001</v>
      </c>
      <c r="C53" s="3">
        <v>1.651</v>
      </c>
      <c r="D53" s="3">
        <v>1.5269999999999999</v>
      </c>
      <c r="E53" s="3">
        <v>3.681</v>
      </c>
      <c r="F53" s="3">
        <v>1.663</v>
      </c>
      <c r="G53" s="3">
        <v>1.4630000000000001</v>
      </c>
      <c r="H53" s="3">
        <v>1.4910000000000001</v>
      </c>
      <c r="I53" s="3">
        <v>1.57</v>
      </c>
      <c r="J53" s="3">
        <v>1.7999999999999999E-2</v>
      </c>
      <c r="K53" s="16">
        <v>1.175</v>
      </c>
      <c r="L53" s="19"/>
      <c r="M53" s="19"/>
      <c r="N53" s="19"/>
      <c r="O53" s="19"/>
      <c r="P53" s="19"/>
    </row>
    <row r="54" spans="1:16" x14ac:dyDescent="0.2">
      <c r="A54" t="s">
        <v>61</v>
      </c>
      <c r="B54" s="3">
        <v>175.21600000000001</v>
      </c>
      <c r="C54" s="3">
        <v>163.01300000000001</v>
      </c>
      <c r="D54" s="3">
        <v>214.334</v>
      </c>
      <c r="E54" s="3">
        <v>207.27799999999999</v>
      </c>
      <c r="F54" s="3">
        <v>195.226</v>
      </c>
      <c r="G54" s="3">
        <v>200.17699999999999</v>
      </c>
      <c r="H54" s="3">
        <v>192.34700000000001</v>
      </c>
      <c r="I54" s="3">
        <v>189.16499999999999</v>
      </c>
      <c r="J54" s="3">
        <v>183.47399999999999</v>
      </c>
      <c r="K54" s="16">
        <v>211.977</v>
      </c>
      <c r="L54" s="19"/>
      <c r="M54" s="19"/>
      <c r="N54" s="19"/>
      <c r="O54" s="19"/>
      <c r="P54" s="19"/>
    </row>
    <row r="55" spans="1:16" x14ac:dyDescent="0.2">
      <c r="A55" t="s">
        <v>39</v>
      </c>
      <c r="B55" s="3">
        <v>10.702</v>
      </c>
      <c r="C55" s="3">
        <v>9.968</v>
      </c>
      <c r="D55" s="3">
        <v>15.645</v>
      </c>
      <c r="E55" s="3">
        <v>14.494999999999999</v>
      </c>
      <c r="F55" s="3">
        <v>13.685</v>
      </c>
      <c r="G55" s="3">
        <v>12.489000000000001</v>
      </c>
      <c r="H55" s="3">
        <v>12.007999999999999</v>
      </c>
      <c r="I55" s="3">
        <v>10.651999999999999</v>
      </c>
      <c r="J55" s="3">
        <v>7.0919999999999996</v>
      </c>
      <c r="K55" s="16">
        <v>5.673</v>
      </c>
      <c r="L55" s="19"/>
      <c r="M55" s="19"/>
      <c r="N55" s="19"/>
      <c r="O55" s="19"/>
      <c r="P55" s="19"/>
    </row>
    <row r="56" spans="1:16" s="1" customFormat="1" ht="15.75" customHeight="1" x14ac:dyDescent="0.25">
      <c r="A56" s="1" t="s">
        <v>62</v>
      </c>
      <c r="B56" s="14">
        <f t="shared" ref="B56:L56" si="60">SUM(B51:B55)</f>
        <v>961.46</v>
      </c>
      <c r="C56" s="14">
        <f t="shared" si="60"/>
        <v>945.90699999999993</v>
      </c>
      <c r="D56" s="14">
        <f t="shared" si="60"/>
        <v>1054.0740000000001</v>
      </c>
      <c r="E56" s="14">
        <f t="shared" si="60"/>
        <v>1176.7350000000001</v>
      </c>
      <c r="F56" s="14">
        <f t="shared" si="60"/>
        <v>1246.4770000000003</v>
      </c>
      <c r="G56" s="14">
        <f t="shared" si="60"/>
        <v>1217.9439999999997</v>
      </c>
      <c r="H56" s="14">
        <f t="shared" si="60"/>
        <v>1340.124</v>
      </c>
      <c r="I56" s="14">
        <f t="shared" si="60"/>
        <v>1425.691</v>
      </c>
      <c r="J56" s="14">
        <f t="shared" si="60"/>
        <v>1412.3810000000001</v>
      </c>
      <c r="K56" s="15">
        <f t="shared" si="60"/>
        <v>1642.902</v>
      </c>
      <c r="L56" s="18">
        <f t="shared" ref="L56" si="61">SUM(L51:L55)</f>
        <v>0</v>
      </c>
      <c r="M56" s="18">
        <f t="shared" ref="M56" si="62">SUM(M51:M55)</f>
        <v>0</v>
      </c>
      <c r="N56" s="18">
        <f t="shared" ref="N56" si="63">SUM(N51:N55)</f>
        <v>0</v>
      </c>
      <c r="O56" s="18">
        <f t="shared" ref="O56" si="64">SUM(O51:O55)</f>
        <v>0</v>
      </c>
      <c r="P56" s="18">
        <f t="shared" ref="P56" si="65">SUM(P51:P55)</f>
        <v>0</v>
      </c>
    </row>
    <row r="57" spans="1:16" x14ac:dyDescent="0.2">
      <c r="A57" t="s">
        <v>63</v>
      </c>
      <c r="B57" s="3">
        <v>2.2000000000000002</v>
      </c>
      <c r="C57" s="3">
        <v>2.2269999999999999</v>
      </c>
      <c r="D57" s="3">
        <v>2.238</v>
      </c>
      <c r="E57" s="3">
        <v>2.27</v>
      </c>
      <c r="F57" s="3">
        <v>2.339</v>
      </c>
      <c r="G57" s="3">
        <v>2.36</v>
      </c>
      <c r="H57" s="3">
        <v>2.3719999999999999</v>
      </c>
      <c r="I57" s="3">
        <v>2.383</v>
      </c>
      <c r="J57" s="3">
        <v>2.391</v>
      </c>
      <c r="K57" s="16">
        <v>2.3969999999999998</v>
      </c>
      <c r="L57" s="19"/>
      <c r="M57" s="19"/>
      <c r="N57" s="19"/>
      <c r="O57" s="19"/>
      <c r="P57" s="19"/>
    </row>
    <row r="58" spans="1:16" x14ac:dyDescent="0.2">
      <c r="A58" t="s">
        <v>64</v>
      </c>
      <c r="B58" s="3">
        <v>9122.1730000000007</v>
      </c>
      <c r="C58" s="3">
        <v>9322.8029999999999</v>
      </c>
      <c r="D58" s="3">
        <v>9463.1779999999999</v>
      </c>
      <c r="E58" s="3">
        <v>9757.3799999999992</v>
      </c>
      <c r="F58" s="3">
        <v>10193.969999999999</v>
      </c>
      <c r="G58" s="3">
        <v>10398.181</v>
      </c>
      <c r="H58" s="3">
        <v>10568.473</v>
      </c>
      <c r="I58" s="3">
        <v>10747.602999999999</v>
      </c>
      <c r="J58" s="3">
        <v>10933.325000000001</v>
      </c>
      <c r="K58" s="16">
        <v>11138.528</v>
      </c>
      <c r="L58" s="19"/>
      <c r="M58" s="19"/>
      <c r="N58" s="19"/>
      <c r="O58" s="19"/>
      <c r="P58" s="19"/>
    </row>
    <row r="59" spans="1:16" x14ac:dyDescent="0.2">
      <c r="A59" t="s">
        <v>65</v>
      </c>
      <c r="B59" s="3">
        <v>0.80100000000000005</v>
      </c>
      <c r="C59" s="3">
        <v>-5.72</v>
      </c>
      <c r="D59" s="3">
        <v>-4.9349999999999996</v>
      </c>
      <c r="E59" s="3">
        <v>4.9249999999999998</v>
      </c>
      <c r="F59" s="3">
        <v>-5.6109999999999998</v>
      </c>
      <c r="G59" s="3">
        <v>-2.9940000000000002</v>
      </c>
      <c r="H59" s="3">
        <v>4.7210000000000001</v>
      </c>
      <c r="I59" s="3">
        <v>11.537000000000001</v>
      </c>
      <c r="J59" s="3">
        <v>13.942</v>
      </c>
      <c r="K59" s="16">
        <v>0.60099999999999998</v>
      </c>
      <c r="L59" s="19"/>
      <c r="M59" s="19"/>
      <c r="N59" s="19"/>
      <c r="O59" s="19"/>
      <c r="P59" s="19"/>
    </row>
    <row r="60" spans="1:16" x14ac:dyDescent="0.2">
      <c r="A60" t="s">
        <v>66</v>
      </c>
      <c r="B60" s="3">
        <v>-5649.6130000000003</v>
      </c>
      <c r="C60" s="3">
        <v>-5544.0829999999996</v>
      </c>
      <c r="D60" s="3">
        <v>-5409.9570000000003</v>
      </c>
      <c r="E60" s="3">
        <v>-5266.4319999999998</v>
      </c>
      <c r="F60" s="3">
        <v>-5187.4229999999998</v>
      </c>
      <c r="G60" s="3">
        <v>-4973.3919999999998</v>
      </c>
      <c r="H60" s="3">
        <v>-4646.665</v>
      </c>
      <c r="I60" s="3">
        <v>-4171.0659999999998</v>
      </c>
      <c r="J60" s="3">
        <v>-3562.39</v>
      </c>
      <c r="K60" s="16">
        <v>-2691.8629999999998</v>
      </c>
      <c r="L60" s="19"/>
      <c r="M60" s="19"/>
      <c r="N60" s="19"/>
      <c r="O60" s="19"/>
      <c r="P60" s="19"/>
    </row>
    <row r="61" spans="1:16" x14ac:dyDescent="0.2">
      <c r="A61" t="s">
        <v>12</v>
      </c>
      <c r="B61" s="3">
        <f t="shared" ref="B61:L61" si="66">SUM(B57:B60)</f>
        <v>3475.5610000000006</v>
      </c>
      <c r="C61" s="3">
        <f t="shared" si="66"/>
        <v>3775.2270000000017</v>
      </c>
      <c r="D61" s="3">
        <f t="shared" si="66"/>
        <v>4050.5239999999994</v>
      </c>
      <c r="E61" s="3">
        <f t="shared" si="66"/>
        <v>4498.1429999999991</v>
      </c>
      <c r="F61" s="3">
        <f t="shared" si="66"/>
        <v>5003.2749999999987</v>
      </c>
      <c r="G61" s="3">
        <f t="shared" si="66"/>
        <v>5424.1550000000007</v>
      </c>
      <c r="H61" s="3">
        <f t="shared" si="66"/>
        <v>5928.9009999999989</v>
      </c>
      <c r="I61" s="3">
        <f t="shared" si="66"/>
        <v>6590.4569999999994</v>
      </c>
      <c r="J61" s="3">
        <f t="shared" si="66"/>
        <v>7387.268</v>
      </c>
      <c r="K61" s="16">
        <f t="shared" si="66"/>
        <v>8449.6630000000023</v>
      </c>
      <c r="L61" s="19">
        <f t="shared" ref="L61" si="67">SUM(L57:L60)</f>
        <v>0</v>
      </c>
      <c r="M61" s="19">
        <f t="shared" ref="M61" si="68">SUM(M57:M60)</f>
        <v>0</v>
      </c>
      <c r="N61" s="19">
        <f t="shared" ref="N61" si="69">SUM(N57:N60)</f>
        <v>0</v>
      </c>
      <c r="O61" s="19">
        <f t="shared" ref="O61" si="70">SUM(O57:O60)</f>
        <v>0</v>
      </c>
      <c r="P61" s="19">
        <f t="shared" ref="P61" si="71">SUM(P57:P60)</f>
        <v>0</v>
      </c>
    </row>
    <row r="62" spans="1:16" x14ac:dyDescent="0.2">
      <c r="A62" t="s">
        <v>43</v>
      </c>
      <c r="B62" s="3">
        <v>85.403999999999996</v>
      </c>
      <c r="C62" s="3">
        <v>85.944999999999993</v>
      </c>
      <c r="D62" s="3">
        <v>87.281999999999996</v>
      </c>
      <c r="E62" s="3">
        <v>93.218999999999994</v>
      </c>
      <c r="F62" s="3">
        <v>91.132000000000005</v>
      </c>
      <c r="G62" s="3">
        <v>94.817999999999998</v>
      </c>
      <c r="H62" s="3">
        <v>96.662999999999997</v>
      </c>
      <c r="I62" s="3">
        <v>97.811999999999998</v>
      </c>
      <c r="J62" s="3">
        <v>100.74299999999999</v>
      </c>
      <c r="K62" s="16">
        <v>106.61799999999999</v>
      </c>
      <c r="L62" s="19"/>
      <c r="M62" s="19"/>
      <c r="N62" s="19"/>
      <c r="O62" s="19"/>
      <c r="P62" s="19"/>
    </row>
    <row r="63" spans="1:16" s="1" customFormat="1" ht="15.75" customHeight="1" x14ac:dyDescent="0.25">
      <c r="A63" s="1" t="s">
        <v>67</v>
      </c>
      <c r="B63" s="14">
        <f t="shared" ref="B63:L63" si="72">SUM(B61:B62)</f>
        <v>3560.9650000000006</v>
      </c>
      <c r="C63" s="14">
        <f t="shared" si="72"/>
        <v>3861.1720000000018</v>
      </c>
      <c r="D63" s="14">
        <f t="shared" si="72"/>
        <v>4137.8059999999996</v>
      </c>
      <c r="E63" s="14">
        <f t="shared" si="72"/>
        <v>4591.3619999999992</v>
      </c>
      <c r="F63" s="14">
        <f t="shared" si="72"/>
        <v>5094.4069999999983</v>
      </c>
      <c r="G63" s="14">
        <f t="shared" si="72"/>
        <v>5518.9730000000009</v>
      </c>
      <c r="H63" s="14">
        <f t="shared" si="72"/>
        <v>6025.5639999999985</v>
      </c>
      <c r="I63" s="14">
        <f t="shared" si="72"/>
        <v>6688.2689999999993</v>
      </c>
      <c r="J63" s="14">
        <f t="shared" si="72"/>
        <v>7488.0110000000004</v>
      </c>
      <c r="K63" s="15">
        <f t="shared" si="72"/>
        <v>8556.2810000000027</v>
      </c>
      <c r="L63" s="18">
        <f t="shared" ref="L63" si="73">SUM(L61:L62)</f>
        <v>0</v>
      </c>
      <c r="M63" s="18">
        <f t="shared" ref="M63" si="74">SUM(M61:M62)</f>
        <v>0</v>
      </c>
      <c r="N63" s="18">
        <f t="shared" ref="N63" si="75">SUM(N61:N62)</f>
        <v>0</v>
      </c>
      <c r="O63" s="18">
        <f t="shared" ref="O63" si="76">SUM(O61:O62)</f>
        <v>0</v>
      </c>
      <c r="P63" s="18">
        <f t="shared" ref="P63" si="77">SUM(P61:P62)</f>
        <v>0</v>
      </c>
    </row>
    <row r="64" spans="1:16" s="1" customFormat="1" ht="15.75" customHeight="1" x14ac:dyDescent="0.25">
      <c r="A64" s="1" t="s">
        <v>68</v>
      </c>
      <c r="B64" s="14">
        <f t="shared" ref="B64:L64" si="78">B63+B56</f>
        <v>4522.4250000000011</v>
      </c>
      <c r="C64" s="14">
        <f t="shared" si="78"/>
        <v>4807.0790000000015</v>
      </c>
      <c r="D64" s="14">
        <f t="shared" si="78"/>
        <v>5191.8799999999992</v>
      </c>
      <c r="E64" s="14">
        <f t="shared" si="78"/>
        <v>5768.0969999999998</v>
      </c>
      <c r="F64" s="14">
        <f t="shared" si="78"/>
        <v>6340.8839999999982</v>
      </c>
      <c r="G64" s="14">
        <f t="shared" si="78"/>
        <v>6736.9170000000004</v>
      </c>
      <c r="H64" s="14">
        <f t="shared" si="78"/>
        <v>7365.6879999999983</v>
      </c>
      <c r="I64" s="14">
        <f t="shared" si="78"/>
        <v>8113.9599999999991</v>
      </c>
      <c r="J64" s="14">
        <f t="shared" si="78"/>
        <v>8900.3919999999998</v>
      </c>
      <c r="K64" s="15">
        <f t="shared" si="78"/>
        <v>10199.183000000003</v>
      </c>
      <c r="L64" s="18">
        <f t="shared" ref="L64" si="79">L63+L56</f>
        <v>0</v>
      </c>
      <c r="M64" s="18">
        <f t="shared" ref="M64" si="80">M63+M56</f>
        <v>0</v>
      </c>
      <c r="N64" s="18">
        <f t="shared" ref="N64" si="81">N63+N56</f>
        <v>0</v>
      </c>
      <c r="O64" s="18">
        <f t="shared" ref="O64" si="82">O63+O56</f>
        <v>0</v>
      </c>
      <c r="P64" s="18">
        <f t="shared" ref="P64" si="83">P63+P56</f>
        <v>0</v>
      </c>
    </row>
    <row r="65" spans="1:16" x14ac:dyDescent="0.2">
      <c r="A65" t="s">
        <v>69</v>
      </c>
      <c r="B65" s="3">
        <f t="shared" ref="B65:L65" si="84">B64-B46</f>
        <v>0</v>
      </c>
      <c r="C65" s="3">
        <f t="shared" si="84"/>
        <v>0</v>
      </c>
      <c r="D65" s="3">
        <f t="shared" si="84"/>
        <v>0</v>
      </c>
      <c r="E65" s="3">
        <f t="shared" si="84"/>
        <v>0</v>
      </c>
      <c r="F65" s="3">
        <f t="shared" si="84"/>
        <v>0</v>
      </c>
      <c r="G65" s="3">
        <f t="shared" si="84"/>
        <v>0</v>
      </c>
      <c r="H65" s="3">
        <f t="shared" si="84"/>
        <v>0</v>
      </c>
      <c r="I65" s="3">
        <f t="shared" si="84"/>
        <v>0</v>
      </c>
      <c r="J65" s="3">
        <f t="shared" si="84"/>
        <v>0</v>
      </c>
      <c r="K65" s="16">
        <f t="shared" si="84"/>
        <v>0</v>
      </c>
      <c r="L65" s="19">
        <f t="shared" ref="L65" si="85">L64-L46</f>
        <v>0</v>
      </c>
      <c r="M65" s="19">
        <f t="shared" ref="M65" si="86">M64-M46</f>
        <v>0</v>
      </c>
      <c r="N65" s="19">
        <f t="shared" ref="N65" si="87">N64-N46</f>
        <v>0</v>
      </c>
      <c r="O65" s="19">
        <f t="shared" ref="O65" si="88">O64-O46</f>
        <v>0</v>
      </c>
      <c r="P65" s="19">
        <f t="shared" ref="P65" si="89">P64-P46</f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91092-4441-4071-B8C7-D05BDBF60B60}">
  <dimension ref="A2:P66"/>
  <sheetViews>
    <sheetView zoomScaleNormal="100" workbookViewId="0">
      <pane xSplit="1" ySplit="2" topLeftCell="I26" activePane="bottomRight" state="frozen"/>
      <selection pane="topRight" activeCell="B1" sqref="B1"/>
      <selection pane="bottomLeft" activeCell="A3" sqref="A3"/>
      <selection pane="bottomRight" activeCell="Q64" sqref="Q64"/>
    </sheetView>
  </sheetViews>
  <sheetFormatPr defaultColWidth="8.5546875" defaultRowHeight="15" x14ac:dyDescent="0.2"/>
  <cols>
    <col min="1" max="1" width="19.44140625" customWidth="1"/>
    <col min="2" max="10" width="9" customWidth="1"/>
    <col min="11" max="11" width="9" style="11" customWidth="1"/>
    <col min="12" max="12" width="9" customWidth="1"/>
  </cols>
  <sheetData>
    <row r="2" spans="1:16" x14ac:dyDescent="0.2">
      <c r="A2" t="s">
        <v>15</v>
      </c>
      <c r="B2" s="12" t="s">
        <v>16</v>
      </c>
      <c r="C2" s="12" t="s">
        <v>17</v>
      </c>
      <c r="D2" s="12" t="s">
        <v>18</v>
      </c>
      <c r="E2" s="12" t="s">
        <v>19</v>
      </c>
      <c r="F2" s="12" t="s">
        <v>20</v>
      </c>
      <c r="G2" s="12" t="s">
        <v>21</v>
      </c>
      <c r="H2" s="12" t="s">
        <v>22</v>
      </c>
      <c r="I2" s="12" t="s">
        <v>23</v>
      </c>
      <c r="J2" s="12" t="s">
        <v>24</v>
      </c>
      <c r="K2" s="13" t="s">
        <v>25</v>
      </c>
      <c r="L2" s="12" t="s">
        <v>26</v>
      </c>
      <c r="M2" s="12" t="s">
        <v>27</v>
      </c>
      <c r="N2" s="12" t="s">
        <v>28</v>
      </c>
      <c r="O2" s="12" t="s">
        <v>29</v>
      </c>
      <c r="P2" s="12" t="s">
        <v>30</v>
      </c>
    </row>
    <row r="4" spans="1:16" s="1" customFormat="1" ht="15.75" customHeight="1" x14ac:dyDescent="0.25">
      <c r="A4" s="1" t="s">
        <v>31</v>
      </c>
      <c r="B4" s="14">
        <v>608.35</v>
      </c>
      <c r="C4" s="14">
        <v>634.33799999999997</v>
      </c>
      <c r="D4" s="14">
        <v>678.13400000000001</v>
      </c>
      <c r="E4" s="14">
        <v>725.51599999999996</v>
      </c>
      <c r="F4" s="14">
        <v>827.51900000000001</v>
      </c>
      <c r="G4" s="14">
        <v>883.85500000000002</v>
      </c>
      <c r="H4" s="14">
        <v>1003.697</v>
      </c>
      <c r="I4" s="14">
        <v>1181.0920000000001</v>
      </c>
      <c r="J4" s="14">
        <v>1406.8019999999999</v>
      </c>
      <c r="K4" s="15">
        <v>1632.5830000000001</v>
      </c>
      <c r="L4" s="18">
        <f>H4*(1+L23)</f>
        <v>1810.669388</v>
      </c>
      <c r="M4" s="18">
        <f t="shared" ref="M4:P4" si="0">I4*(1+M23)</f>
        <v>1998.4076640000001</v>
      </c>
      <c r="N4" s="18">
        <f t="shared" si="0"/>
        <v>2286.0532499999999</v>
      </c>
      <c r="O4" s="18">
        <f t="shared" si="0"/>
        <v>2426.0183380000003</v>
      </c>
      <c r="P4" s="18">
        <f t="shared" si="0"/>
        <v>2629.091951376</v>
      </c>
    </row>
    <row r="5" spans="1:16" x14ac:dyDescent="0.2">
      <c r="A5" t="s">
        <v>32</v>
      </c>
      <c r="B5" s="3">
        <v>108.639</v>
      </c>
      <c r="C5" s="3">
        <v>116.256</v>
      </c>
      <c r="D5" s="3">
        <v>128.56200000000001</v>
      </c>
      <c r="E5" s="3">
        <v>146.63900000000001</v>
      </c>
      <c r="F5" s="3">
        <v>174.53299999999999</v>
      </c>
      <c r="G5" s="3">
        <v>172.97</v>
      </c>
      <c r="H5" s="3">
        <v>192.934</v>
      </c>
      <c r="I5" s="3">
        <v>207.30699999999999</v>
      </c>
      <c r="J5" s="3">
        <v>215.96600000000001</v>
      </c>
      <c r="K5" s="16">
        <v>215.798</v>
      </c>
      <c r="L5" s="19"/>
      <c r="M5" s="19"/>
      <c r="N5" s="19"/>
      <c r="O5" s="19"/>
      <c r="P5" s="19"/>
    </row>
    <row r="6" spans="1:16" s="1" customFormat="1" ht="15.75" customHeight="1" x14ac:dyDescent="0.25">
      <c r="A6" s="1" t="s">
        <v>33</v>
      </c>
      <c r="B6" s="14">
        <f t="shared" ref="B6:K6" si="1">B4-B5</f>
        <v>499.71100000000001</v>
      </c>
      <c r="C6" s="14">
        <f t="shared" si="1"/>
        <v>518.08199999999999</v>
      </c>
      <c r="D6" s="14">
        <f t="shared" si="1"/>
        <v>549.572</v>
      </c>
      <c r="E6" s="14">
        <f t="shared" si="1"/>
        <v>578.87699999999995</v>
      </c>
      <c r="F6" s="14">
        <f t="shared" si="1"/>
        <v>652.98599999999999</v>
      </c>
      <c r="G6" s="14">
        <f t="shared" si="1"/>
        <v>710.88499999999999</v>
      </c>
      <c r="H6" s="14">
        <f t="shared" si="1"/>
        <v>810.76300000000003</v>
      </c>
      <c r="I6" s="14">
        <f t="shared" si="1"/>
        <v>973.78500000000008</v>
      </c>
      <c r="J6" s="14">
        <f t="shared" si="1"/>
        <v>1190.8359999999998</v>
      </c>
      <c r="K6" s="15">
        <f t="shared" si="1"/>
        <v>1416.7850000000001</v>
      </c>
      <c r="L6" s="18"/>
      <c r="M6" s="18"/>
      <c r="N6" s="18"/>
      <c r="O6" s="18"/>
      <c r="P6" s="18"/>
    </row>
    <row r="7" spans="1:16" x14ac:dyDescent="0.2">
      <c r="A7" t="s">
        <v>34</v>
      </c>
      <c r="B7" s="3">
        <v>197.363</v>
      </c>
      <c r="C7" s="3">
        <v>193.17699999999999</v>
      </c>
      <c r="D7" s="3">
        <v>196.809</v>
      </c>
      <c r="E7" s="3">
        <v>209.47399999999999</v>
      </c>
      <c r="F7" s="3">
        <v>288.29500000000002</v>
      </c>
      <c r="G7" s="3">
        <v>236.309</v>
      </c>
      <c r="H7" s="3">
        <v>243.78800000000001</v>
      </c>
      <c r="I7" s="3">
        <v>274.63600000000002</v>
      </c>
      <c r="J7" s="3">
        <v>302.12599999999998</v>
      </c>
      <c r="K7" s="16">
        <v>319.22000000000003</v>
      </c>
      <c r="L7" s="19"/>
      <c r="M7" s="19"/>
      <c r="N7" s="19"/>
      <c r="O7" s="19"/>
      <c r="P7" s="19"/>
    </row>
    <row r="8" spans="1:16" x14ac:dyDescent="0.2">
      <c r="A8" t="s">
        <v>35</v>
      </c>
      <c r="B8" s="3">
        <v>109.283</v>
      </c>
      <c r="C8" s="3">
        <v>110.04</v>
      </c>
      <c r="D8" s="3">
        <v>108.78100000000001</v>
      </c>
      <c r="E8" s="3">
        <v>117.55500000000001</v>
      </c>
      <c r="F8" s="3">
        <v>171.50200000000001</v>
      </c>
      <c r="G8" s="3">
        <v>134.88900000000001</v>
      </c>
      <c r="H8" s="3">
        <v>135.04300000000001</v>
      </c>
      <c r="I8" s="3">
        <v>144.191</v>
      </c>
      <c r="J8" s="3">
        <v>143.55600000000001</v>
      </c>
      <c r="K8" s="16">
        <v>160.98099999999999</v>
      </c>
      <c r="L8" s="19"/>
      <c r="M8" s="19"/>
      <c r="N8" s="19"/>
      <c r="O8" s="19"/>
      <c r="P8" s="19"/>
    </row>
    <row r="9" spans="1:16" x14ac:dyDescent="0.2">
      <c r="A9" t="s">
        <v>36</v>
      </c>
      <c r="B9" s="3">
        <v>127.271</v>
      </c>
      <c r="C9" s="3">
        <v>133.98400000000001</v>
      </c>
      <c r="D9" s="3">
        <v>138.643</v>
      </c>
      <c r="E9" s="3">
        <v>138.708</v>
      </c>
      <c r="F9" s="3">
        <v>182.14599999999999</v>
      </c>
      <c r="G9" s="3">
        <v>163.63900000000001</v>
      </c>
      <c r="H9" s="3">
        <v>162.61500000000001</v>
      </c>
      <c r="I9" s="3">
        <v>161.702</v>
      </c>
      <c r="J9" s="3">
        <v>169.762</v>
      </c>
      <c r="K9" s="16">
        <v>182.58600000000001</v>
      </c>
      <c r="L9" s="19"/>
      <c r="M9" s="19"/>
      <c r="N9" s="19"/>
      <c r="O9" s="19"/>
      <c r="P9" s="19"/>
    </row>
    <row r="10" spans="1:16" s="1" customFormat="1" ht="15.75" customHeight="1" x14ac:dyDescent="0.25">
      <c r="A10" s="1" t="s">
        <v>37</v>
      </c>
      <c r="B10" s="14">
        <f t="shared" ref="B10:K10" si="2">B6-B7-B8-B9</f>
        <v>65.793999999999997</v>
      </c>
      <c r="C10" s="14">
        <f t="shared" si="2"/>
        <v>80.880999999999943</v>
      </c>
      <c r="D10" s="14">
        <f t="shared" si="2"/>
        <v>105.33900000000003</v>
      </c>
      <c r="E10" s="14">
        <f t="shared" si="2"/>
        <v>113.13999999999996</v>
      </c>
      <c r="F10" s="14">
        <f t="shared" si="2"/>
        <v>11.042999999999978</v>
      </c>
      <c r="G10" s="14">
        <f t="shared" si="2"/>
        <v>176.048</v>
      </c>
      <c r="H10" s="14">
        <f t="shared" si="2"/>
        <v>269.31700000000001</v>
      </c>
      <c r="I10" s="14">
        <f t="shared" si="2"/>
        <v>393.25600000000009</v>
      </c>
      <c r="J10" s="14">
        <f t="shared" si="2"/>
        <v>575.39199999999983</v>
      </c>
      <c r="K10" s="15">
        <f t="shared" si="2"/>
        <v>753.99800000000005</v>
      </c>
      <c r="L10" s="18"/>
      <c r="M10" s="18"/>
      <c r="N10" s="18"/>
      <c r="O10" s="18"/>
      <c r="P10" s="18"/>
    </row>
    <row r="11" spans="1:16" x14ac:dyDescent="0.2">
      <c r="A11" t="s">
        <v>38</v>
      </c>
      <c r="B11" s="3">
        <v>44.545000000000002</v>
      </c>
      <c r="C11" s="3">
        <v>43.351999999999997</v>
      </c>
      <c r="D11" s="3">
        <v>46.593000000000004</v>
      </c>
      <c r="E11" s="3">
        <v>52.12</v>
      </c>
      <c r="F11" s="3">
        <v>54.726999999999997</v>
      </c>
      <c r="G11" s="3">
        <v>50.441000000000003</v>
      </c>
      <c r="H11" s="3">
        <v>56.255000000000003</v>
      </c>
      <c r="I11" s="3">
        <v>59.762</v>
      </c>
      <c r="J11" s="3">
        <v>62.722999999999999</v>
      </c>
      <c r="K11" s="16">
        <v>66.394000000000005</v>
      </c>
      <c r="L11" s="19"/>
      <c r="M11" s="19"/>
      <c r="N11" s="19"/>
      <c r="O11" s="19"/>
      <c r="P11" s="19"/>
    </row>
    <row r="12" spans="1:16" x14ac:dyDescent="0.2">
      <c r="A12" t="s">
        <v>39</v>
      </c>
      <c r="B12" s="3">
        <v>-0.13600000000000001</v>
      </c>
      <c r="C12" s="3">
        <v>-13.507</v>
      </c>
      <c r="D12" s="3">
        <v>-11.173</v>
      </c>
      <c r="E12" s="3">
        <v>-8.11</v>
      </c>
      <c r="F12" s="3">
        <v>14.768000000000001</v>
      </c>
      <c r="G12" s="3">
        <v>-3.173</v>
      </c>
      <c r="H12" s="3">
        <v>6.5960000000000001</v>
      </c>
      <c r="I12" s="3">
        <v>27.483000000000001</v>
      </c>
      <c r="J12" s="3">
        <v>-16.734000000000002</v>
      </c>
      <c r="K12" s="16">
        <v>68.209000000000003</v>
      </c>
      <c r="L12" s="19"/>
      <c r="M12" s="19"/>
      <c r="N12" s="19"/>
      <c r="O12" s="19"/>
      <c r="P12" s="19"/>
    </row>
    <row r="13" spans="1:16" s="1" customFormat="1" ht="15.75" customHeight="1" x14ac:dyDescent="0.25">
      <c r="A13" s="1" t="s">
        <v>40</v>
      </c>
      <c r="B13" s="14">
        <f t="shared" ref="B13:K13" si="3">B10+B11+B12</f>
        <v>110.203</v>
      </c>
      <c r="C13" s="14">
        <f t="shared" si="3"/>
        <v>110.72599999999994</v>
      </c>
      <c r="D13" s="14">
        <f t="shared" si="3"/>
        <v>140.75900000000001</v>
      </c>
      <c r="E13" s="14">
        <f t="shared" si="3"/>
        <v>157.14999999999998</v>
      </c>
      <c r="F13" s="14">
        <f t="shared" si="3"/>
        <v>80.537999999999982</v>
      </c>
      <c r="G13" s="14">
        <f t="shared" si="3"/>
        <v>223.316</v>
      </c>
      <c r="H13" s="14">
        <f t="shared" si="3"/>
        <v>332.16800000000001</v>
      </c>
      <c r="I13" s="14">
        <f t="shared" si="3"/>
        <v>480.50100000000009</v>
      </c>
      <c r="J13" s="14">
        <f t="shared" si="3"/>
        <v>621.38099999999974</v>
      </c>
      <c r="K13" s="15">
        <f t="shared" si="3"/>
        <v>888.60100000000011</v>
      </c>
      <c r="L13" s="18"/>
      <c r="M13" s="18"/>
      <c r="N13" s="18"/>
      <c r="O13" s="18"/>
      <c r="P13" s="18"/>
    </row>
    <row r="14" spans="1:16" x14ac:dyDescent="0.2">
      <c r="A14" t="s">
        <v>41</v>
      </c>
      <c r="B14" s="3">
        <v>9.3339999999999996</v>
      </c>
      <c r="C14" s="3">
        <v>4.6550000000000002</v>
      </c>
      <c r="D14" s="3">
        <v>5.1890000000000001</v>
      </c>
      <c r="E14" s="3">
        <v>7.8090000000000002</v>
      </c>
      <c r="F14" s="3">
        <v>3.6019999999999999</v>
      </c>
      <c r="G14" s="3">
        <v>5.5990000000000002</v>
      </c>
      <c r="H14" s="3">
        <v>3.5960000000000001</v>
      </c>
      <c r="I14" s="3">
        <v>3.7530000000000001</v>
      </c>
      <c r="J14" s="3">
        <v>9.7759999999999998</v>
      </c>
      <c r="K14" s="16">
        <v>12.199</v>
      </c>
      <c r="L14" s="19"/>
      <c r="M14" s="19"/>
      <c r="N14" s="19"/>
      <c r="O14" s="19"/>
      <c r="P14" s="19"/>
    </row>
    <row r="15" spans="1:16" x14ac:dyDescent="0.2">
      <c r="A15" t="s">
        <v>42</v>
      </c>
      <c r="B15" s="3">
        <f t="shared" ref="B15:K15" si="4">B13-B14</f>
        <v>100.869</v>
      </c>
      <c r="C15" s="3">
        <f t="shared" si="4"/>
        <v>106.07099999999994</v>
      </c>
      <c r="D15" s="3">
        <f t="shared" si="4"/>
        <v>135.57000000000002</v>
      </c>
      <c r="E15" s="3">
        <f t="shared" si="4"/>
        <v>149.34099999999998</v>
      </c>
      <c r="F15" s="3">
        <f t="shared" si="4"/>
        <v>76.935999999999979</v>
      </c>
      <c r="G15" s="3">
        <f t="shared" si="4"/>
        <v>217.71700000000001</v>
      </c>
      <c r="H15" s="3">
        <f t="shared" si="4"/>
        <v>328.572</v>
      </c>
      <c r="I15" s="3">
        <f t="shared" si="4"/>
        <v>476.7480000000001</v>
      </c>
      <c r="J15" s="3">
        <f t="shared" si="4"/>
        <v>611.60499999999979</v>
      </c>
      <c r="K15" s="16">
        <f t="shared" si="4"/>
        <v>876.40200000000016</v>
      </c>
      <c r="L15" s="19"/>
      <c r="M15" s="19"/>
      <c r="N15" s="19"/>
      <c r="O15" s="19"/>
      <c r="P15" s="19"/>
    </row>
    <row r="16" spans="1:16" x14ac:dyDescent="0.2">
      <c r="A16" t="s">
        <v>43</v>
      </c>
      <c r="B16" s="3">
        <v>3.5219999999999998</v>
      </c>
      <c r="C16" s="3">
        <v>0.54100000000000004</v>
      </c>
      <c r="D16" s="3">
        <v>1.444</v>
      </c>
      <c r="E16" s="3">
        <v>5.8159999999999998</v>
      </c>
      <c r="F16" s="3">
        <v>-2.073</v>
      </c>
      <c r="G16" s="3">
        <v>3.6859999999999999</v>
      </c>
      <c r="H16" s="3">
        <v>1.845</v>
      </c>
      <c r="I16" s="3">
        <v>1.149</v>
      </c>
      <c r="J16" s="3">
        <v>2.931</v>
      </c>
      <c r="K16" s="16">
        <v>5.875</v>
      </c>
      <c r="L16" s="19"/>
      <c r="M16" s="19"/>
      <c r="N16" s="19"/>
      <c r="O16" s="19"/>
      <c r="P16" s="19"/>
    </row>
    <row r="17" spans="1:16" s="1" customFormat="1" ht="15.75" customHeight="1" x14ac:dyDescent="0.25">
      <c r="A17" s="1" t="s">
        <v>44</v>
      </c>
      <c r="B17" s="14">
        <f t="shared" ref="B17:K17" si="5">B15-B16</f>
        <v>97.346999999999994</v>
      </c>
      <c r="C17" s="14">
        <f t="shared" si="5"/>
        <v>105.52999999999994</v>
      </c>
      <c r="D17" s="14">
        <f t="shared" si="5"/>
        <v>134.12600000000003</v>
      </c>
      <c r="E17" s="14">
        <f t="shared" si="5"/>
        <v>143.52499999999998</v>
      </c>
      <c r="F17" s="14">
        <f t="shared" si="5"/>
        <v>79.008999999999972</v>
      </c>
      <c r="G17" s="14">
        <f t="shared" si="5"/>
        <v>214.03100000000001</v>
      </c>
      <c r="H17" s="14">
        <f t="shared" si="5"/>
        <v>326.72699999999998</v>
      </c>
      <c r="I17" s="14">
        <f t="shared" si="5"/>
        <v>475.5990000000001</v>
      </c>
      <c r="J17" s="14">
        <f t="shared" si="5"/>
        <v>608.67399999999975</v>
      </c>
      <c r="K17" s="15">
        <f t="shared" si="5"/>
        <v>870.52700000000016</v>
      </c>
      <c r="L17" s="18"/>
      <c r="M17" s="18"/>
      <c r="N17" s="18"/>
      <c r="O17" s="18"/>
      <c r="P17" s="18"/>
    </row>
    <row r="18" spans="1:16" s="1" customFormat="1" ht="15.75" customHeight="1" x14ac:dyDescent="0.25">
      <c r="A18" s="21" t="s">
        <v>45</v>
      </c>
      <c r="B18" s="9">
        <f t="shared" ref="B18:K19" si="6">B$17/B20</f>
        <v>4.4507304726469382E-2</v>
      </c>
      <c r="C18" s="9">
        <f t="shared" si="6"/>
        <v>4.7674657619339089E-2</v>
      </c>
      <c r="D18" s="9">
        <f t="shared" si="6"/>
        <v>6.0103280527981827E-2</v>
      </c>
      <c r="E18" s="9">
        <f t="shared" si="6"/>
        <v>6.2269972054980659E-2</v>
      </c>
      <c r="F18" s="9">
        <f t="shared" si="6"/>
        <v>3.427896340074528E-2</v>
      </c>
      <c r="G18" s="9">
        <f t="shared" si="6"/>
        <v>9.1128246984794437E-2</v>
      </c>
      <c r="H18" s="9">
        <f t="shared" si="6"/>
        <v>0.13813950302638767</v>
      </c>
      <c r="I18" s="9">
        <f t="shared" si="6"/>
        <v>0.20006966275402616</v>
      </c>
      <c r="J18" s="9">
        <f t="shared" si="6"/>
        <v>0.25500564748309934</v>
      </c>
      <c r="K18" s="17">
        <f t="shared" si="6"/>
        <v>0.36364855386823597</v>
      </c>
      <c r="L18" s="20"/>
      <c r="M18" s="20"/>
      <c r="N18" s="20"/>
      <c r="O18" s="20"/>
      <c r="P18" s="20"/>
    </row>
    <row r="19" spans="1:16" s="1" customFormat="1" ht="15.75" customHeight="1" x14ac:dyDescent="0.25">
      <c r="A19" s="21" t="s">
        <v>46</v>
      </c>
      <c r="B19" s="9">
        <f t="shared" si="6"/>
        <v>4.1288232554706997E-2</v>
      </c>
      <c r="C19" s="9">
        <f t="shared" si="6"/>
        <v>4.3968873054409635E-2</v>
      </c>
      <c r="D19" s="9">
        <f t="shared" si="6"/>
        <v>5.5545708445286709E-2</v>
      </c>
      <c r="E19" s="9">
        <f t="shared" si="6"/>
        <v>5.6767864622535719E-2</v>
      </c>
      <c r="F19" s="9">
        <f t="shared" si="6"/>
        <v>3.1250111241678619E-2</v>
      </c>
      <c r="G19" s="9">
        <f t="shared" si="6"/>
        <v>8.3841072884945175E-2</v>
      </c>
      <c r="H19" s="9">
        <f t="shared" si="6"/>
        <v>0.1274827227778402</v>
      </c>
      <c r="I19" s="9">
        <f t="shared" si="6"/>
        <v>0.18498189655071831</v>
      </c>
      <c r="J19" s="9">
        <f t="shared" si="6"/>
        <v>0.23651630446820018</v>
      </c>
      <c r="K19" s="17">
        <f t="shared" si="6"/>
        <v>0.33860471954830257</v>
      </c>
      <c r="L19" s="20"/>
      <c r="M19" s="20"/>
      <c r="N19" s="20"/>
      <c r="O19" s="20"/>
      <c r="P19" s="20"/>
    </row>
    <row r="20" spans="1:16" s="1" customFormat="1" ht="15.75" customHeight="1" x14ac:dyDescent="0.25">
      <c r="A20" s="21" t="s">
        <v>47</v>
      </c>
      <c r="B20" s="3">
        <v>2187.2139999999999</v>
      </c>
      <c r="C20" s="3">
        <v>2213.5450000000001</v>
      </c>
      <c r="D20" s="3">
        <v>2231.5920000000001</v>
      </c>
      <c r="E20" s="3">
        <v>2304.8829999999998</v>
      </c>
      <c r="F20" s="3">
        <v>2304.8829999999998</v>
      </c>
      <c r="G20" s="3">
        <v>2348.6790000000001</v>
      </c>
      <c r="H20" s="3">
        <v>2365.1959999999999</v>
      </c>
      <c r="I20" s="3">
        <v>2377.1669999999999</v>
      </c>
      <c r="J20" s="3">
        <v>2386.904</v>
      </c>
      <c r="K20" s="16">
        <v>2393.8690000000001</v>
      </c>
      <c r="L20" s="19"/>
      <c r="M20" s="19"/>
      <c r="N20" s="19"/>
      <c r="O20" s="19"/>
      <c r="P20" s="19"/>
    </row>
    <row r="21" spans="1:16" s="1" customFormat="1" ht="15.75" customHeight="1" x14ac:dyDescent="0.25">
      <c r="A21" s="21" t="s">
        <v>48</v>
      </c>
      <c r="B21" s="3">
        <v>2357.7420000000002</v>
      </c>
      <c r="C21" s="3">
        <v>2400.107</v>
      </c>
      <c r="D21" s="3">
        <v>2414.6959999999999</v>
      </c>
      <c r="E21" s="3">
        <v>2528.279</v>
      </c>
      <c r="F21" s="3">
        <v>2528.279</v>
      </c>
      <c r="G21" s="3">
        <v>2552.8180000000002</v>
      </c>
      <c r="H21" s="3">
        <v>2562.9119999999998</v>
      </c>
      <c r="I21" s="3">
        <v>2571.0569999999998</v>
      </c>
      <c r="J21" s="3">
        <v>2573.4969999999998</v>
      </c>
      <c r="K21" s="16">
        <v>2570.924</v>
      </c>
      <c r="L21" s="19"/>
      <c r="M21" s="19"/>
      <c r="N21" s="19"/>
      <c r="O21" s="19"/>
      <c r="P21" s="19"/>
    </row>
    <row r="22" spans="1:16" s="1" customFormat="1" ht="15.75" customHeight="1" x14ac:dyDescent="0.25">
      <c r="A22" s="21"/>
      <c r="B22" s="3"/>
      <c r="C22" s="3"/>
      <c r="D22" s="3"/>
      <c r="E22" s="3"/>
      <c r="F22" s="3"/>
      <c r="G22" s="3"/>
      <c r="H22" s="3"/>
      <c r="I22" s="3"/>
      <c r="J22" s="3"/>
      <c r="K22" s="16"/>
      <c r="L22" s="19"/>
      <c r="M22" s="19"/>
      <c r="N22" s="19"/>
      <c r="O22" s="19"/>
      <c r="P22" s="19"/>
    </row>
    <row r="23" spans="1:16" s="1" customFormat="1" ht="15.75" customHeight="1" x14ac:dyDescent="0.25">
      <c r="A23" s="21" t="s">
        <v>79</v>
      </c>
      <c r="B23" s="3"/>
      <c r="C23" s="3"/>
      <c r="D23" s="3"/>
      <c r="E23" s="3"/>
      <c r="F23" s="6">
        <f>F4/B4</f>
        <v>1.360267937864716</v>
      </c>
      <c r="G23" s="6">
        <f t="shared" ref="G23:K23" si="7">G4/C4</f>
        <v>1.3933502328411669</v>
      </c>
      <c r="H23" s="6">
        <f t="shared" si="7"/>
        <v>1.4800865315704566</v>
      </c>
      <c r="I23" s="6">
        <f t="shared" si="7"/>
        <v>1.6279337740311726</v>
      </c>
      <c r="J23" s="6">
        <f t="shared" si="7"/>
        <v>1.7000238060999202</v>
      </c>
      <c r="K23" s="22">
        <f t="shared" si="7"/>
        <v>1.8471163256416494</v>
      </c>
      <c r="L23" s="6">
        <v>0.80400000000000005</v>
      </c>
      <c r="M23" s="6">
        <v>0.69199999999999995</v>
      </c>
      <c r="N23" s="6">
        <v>0.625</v>
      </c>
      <c r="O23" s="6">
        <v>0.48599999999999999</v>
      </c>
      <c r="P23" s="6">
        <v>0.45200000000000001</v>
      </c>
    </row>
    <row r="24" spans="1:16" s="1" customFormat="1" ht="15.75" customHeight="1" x14ac:dyDescent="0.25">
      <c r="A24" s="21"/>
      <c r="B24" s="3"/>
      <c r="C24" s="3"/>
      <c r="D24" s="3"/>
      <c r="E24" s="3"/>
      <c r="F24" s="3"/>
      <c r="G24" s="3"/>
      <c r="H24" s="3"/>
      <c r="I24" s="3"/>
      <c r="J24" s="3"/>
      <c r="K24" s="16"/>
      <c r="L24" s="19"/>
      <c r="M24" s="19"/>
      <c r="N24" s="19"/>
      <c r="O24" s="19"/>
      <c r="P24" s="19"/>
    </row>
    <row r="25" spans="1:16" s="1" customFormat="1" ht="15.75" customHeight="1" x14ac:dyDescent="0.25">
      <c r="A25" s="21" t="s">
        <v>70</v>
      </c>
      <c r="B25" s="3">
        <f>B10</f>
        <v>65.793999999999997</v>
      </c>
      <c r="C25" s="3">
        <f>C10</f>
        <v>80.880999999999943</v>
      </c>
      <c r="D25" s="3">
        <f>D10</f>
        <v>105.33900000000003</v>
      </c>
      <c r="E25" s="3">
        <f>E10</f>
        <v>113.13999999999996</v>
      </c>
      <c r="F25" s="3">
        <f>F10</f>
        <v>11.042999999999978</v>
      </c>
      <c r="G25" s="3">
        <f>G10</f>
        <v>176.048</v>
      </c>
      <c r="H25" s="3">
        <f>H10</f>
        <v>269.31700000000001</v>
      </c>
      <c r="I25" s="3">
        <f>I10</f>
        <v>393.25600000000009</v>
      </c>
      <c r="J25" s="3">
        <f>J10</f>
        <v>575.39199999999983</v>
      </c>
      <c r="K25" s="16">
        <f>K10</f>
        <v>753.99800000000005</v>
      </c>
      <c r="L25" s="3">
        <f>L10</f>
        <v>0</v>
      </c>
      <c r="M25" s="3">
        <f t="shared" ref="M25:P25" si="8">M10</f>
        <v>0</v>
      </c>
      <c r="N25" s="3">
        <f t="shared" si="8"/>
        <v>0</v>
      </c>
      <c r="O25" s="3">
        <f t="shared" si="8"/>
        <v>0</v>
      </c>
      <c r="P25" s="3">
        <f t="shared" si="8"/>
        <v>0</v>
      </c>
    </row>
    <row r="26" spans="1:16" s="1" customFormat="1" ht="15.75" customHeight="1" x14ac:dyDescent="0.25">
      <c r="A26" s="21" t="s">
        <v>80</v>
      </c>
      <c r="B26" s="3"/>
      <c r="C26" s="3"/>
      <c r="D26" s="3"/>
      <c r="E26" s="3"/>
      <c r="F26" s="3"/>
      <c r="G26" s="3"/>
      <c r="H26" s="3"/>
      <c r="I26" s="3"/>
      <c r="J26" s="3"/>
      <c r="K26" s="16"/>
      <c r="L26" s="3">
        <v>971</v>
      </c>
      <c r="M26" s="3">
        <v>1110</v>
      </c>
      <c r="N26" s="3">
        <v>1300</v>
      </c>
      <c r="O26" s="3">
        <v>1390</v>
      </c>
      <c r="P26" s="3">
        <v>1470</v>
      </c>
    </row>
    <row r="27" spans="1:16" s="1" customFormat="1" ht="15.75" customHeight="1" x14ac:dyDescent="0.25">
      <c r="A27" s="21" t="s">
        <v>71</v>
      </c>
      <c r="B27" s="3">
        <f>B25+B11-B14-B16</f>
        <v>97.48299999999999</v>
      </c>
      <c r="C27" s="3">
        <f>C25+C11-C14-C16</f>
        <v>119.03699999999995</v>
      </c>
      <c r="D27" s="3">
        <f>D25+D11-D14-D16</f>
        <v>145.29900000000004</v>
      </c>
      <c r="E27" s="3">
        <f>E25+E11-E14-E16</f>
        <v>151.63499999999996</v>
      </c>
      <c r="F27" s="3">
        <f>F25+F11-F14-F16</f>
        <v>64.240999999999985</v>
      </c>
      <c r="G27" s="3">
        <f>G25+G11-G14-G16</f>
        <v>217.20400000000001</v>
      </c>
      <c r="H27" s="3">
        <f>H25+H11-H14-H16</f>
        <v>320.13099999999997</v>
      </c>
      <c r="I27" s="3">
        <f>I25+I11-I14-I16</f>
        <v>448.1160000000001</v>
      </c>
      <c r="J27" s="3">
        <f>J25+J11-J14-J16</f>
        <v>625.40799999999979</v>
      </c>
      <c r="K27" s="16">
        <f>K25+K11-K14-K16</f>
        <v>802.3180000000001</v>
      </c>
      <c r="L27" s="3">
        <v>677</v>
      </c>
      <c r="M27" s="3">
        <v>773</v>
      </c>
      <c r="N27" s="3">
        <v>916</v>
      </c>
      <c r="O27" s="3">
        <v>913</v>
      </c>
      <c r="P27" s="3">
        <v>1100</v>
      </c>
    </row>
    <row r="28" spans="1:16" s="1" customFormat="1" ht="15.75" customHeight="1" x14ac:dyDescent="0.25">
      <c r="A28" s="21" t="s">
        <v>72</v>
      </c>
      <c r="B28" s="9">
        <f>B27/B21</f>
        <v>4.1345914862610064E-2</v>
      </c>
      <c r="C28" s="9">
        <f>C27/C21</f>
        <v>4.9596538820977545E-2</v>
      </c>
      <c r="D28" s="9">
        <f>D27/D21</f>
        <v>6.0172791937370185E-2</v>
      </c>
      <c r="E28" s="9">
        <f>E27/E21</f>
        <v>5.9975580226707563E-2</v>
      </c>
      <c r="F28" s="9">
        <f>F27/F21</f>
        <v>2.5408983739531904E-2</v>
      </c>
      <c r="G28" s="9">
        <f>G27/G21</f>
        <v>8.5084013039707487E-2</v>
      </c>
      <c r="H28" s="9">
        <f>H27/H21</f>
        <v>0.12490908778764155</v>
      </c>
      <c r="I28" s="9">
        <f>I27/I21</f>
        <v>0.17429251860227141</v>
      </c>
      <c r="J28" s="9">
        <f>J27/J21</f>
        <v>0.24301874064745357</v>
      </c>
      <c r="K28" s="17">
        <f>K27/K21</f>
        <v>0.31207379136839519</v>
      </c>
      <c r="L28" s="9">
        <v>0.34</v>
      </c>
      <c r="M28" s="9">
        <v>0.37</v>
      </c>
      <c r="N28" s="9">
        <v>0.62</v>
      </c>
      <c r="O28" s="9">
        <v>0.45</v>
      </c>
      <c r="P28" s="9">
        <v>0.49</v>
      </c>
    </row>
    <row r="29" spans="1:16" s="1" customFormat="1" ht="15.75" customHeight="1" x14ac:dyDescent="0.25">
      <c r="A29" s="21"/>
      <c r="B29" s="3"/>
      <c r="C29" s="3"/>
      <c r="D29" s="3"/>
      <c r="E29" s="3"/>
      <c r="F29" s="3"/>
      <c r="G29" s="3"/>
      <c r="H29" s="3"/>
      <c r="I29" s="3"/>
      <c r="J29" s="3"/>
      <c r="K29" s="16"/>
      <c r="L29" s="19"/>
      <c r="M29" s="19"/>
      <c r="N29" s="19"/>
      <c r="O29" s="19"/>
      <c r="P29" s="19"/>
    </row>
    <row r="30" spans="1:16" s="1" customFormat="1" ht="15.75" customHeight="1" x14ac:dyDescent="0.25">
      <c r="A30" s="21" t="s">
        <v>73</v>
      </c>
      <c r="B30" s="6">
        <f>B6/B4</f>
        <v>0.82142023506205308</v>
      </c>
      <c r="C30" s="6">
        <f>C6/C4</f>
        <v>0.81672862101907817</v>
      </c>
      <c r="D30" s="6">
        <f>D6/D4</f>
        <v>0.81041799998230435</v>
      </c>
      <c r="E30" s="6">
        <f>E6/E4</f>
        <v>0.79788316177727303</v>
      </c>
      <c r="F30" s="6">
        <f>F6/F4</f>
        <v>0.7890888305887841</v>
      </c>
      <c r="G30" s="6">
        <f>G6/G4</f>
        <v>0.8043004791509919</v>
      </c>
      <c r="H30" s="6">
        <f>H6/H4</f>
        <v>0.80777664972596319</v>
      </c>
      <c r="I30" s="6">
        <f>I6/I4</f>
        <v>0.82447853342499988</v>
      </c>
      <c r="J30" s="6">
        <f>J6/J4</f>
        <v>0.84648443775314497</v>
      </c>
      <c r="K30" s="22">
        <f>K6/K4</f>
        <v>0.86781805274218826</v>
      </c>
      <c r="L30" s="6">
        <v>0.874</v>
      </c>
      <c r="M30" s="6">
        <v>0.874</v>
      </c>
      <c r="N30" s="6">
        <v>0.874</v>
      </c>
      <c r="O30" s="6">
        <v>0.874</v>
      </c>
      <c r="P30" s="6">
        <v>0.874</v>
      </c>
    </row>
    <row r="31" spans="1:16" s="1" customFormat="1" ht="15.75" customHeight="1" x14ac:dyDescent="0.25">
      <c r="A31" s="21" t="s">
        <v>74</v>
      </c>
      <c r="B31" s="6">
        <f>B25/B4</f>
        <v>0.10815155749157557</v>
      </c>
      <c r="C31" s="6">
        <f>C25/C4</f>
        <v>0.12750457957744915</v>
      </c>
      <c r="D31" s="6">
        <f>D25/D4</f>
        <v>0.15533655590193093</v>
      </c>
      <c r="E31" s="6">
        <f>E25/E4</f>
        <v>0.15594418317445785</v>
      </c>
      <c r="F31" s="6">
        <f>F25/F4</f>
        <v>1.3344708701552445E-2</v>
      </c>
      <c r="G31" s="6">
        <f>G25/G4</f>
        <v>0.19918199252139773</v>
      </c>
      <c r="H31" s="6">
        <f>H25/H4</f>
        <v>0.26832500246588364</v>
      </c>
      <c r="I31" s="6">
        <f>I25/I4</f>
        <v>0.33295966783281916</v>
      </c>
      <c r="J31" s="6">
        <f>J25/J4</f>
        <v>0.4090070955258806</v>
      </c>
      <c r="K31" s="22">
        <f>K25/K4</f>
        <v>0.46184359386322166</v>
      </c>
      <c r="L31" s="6">
        <f>L25/L4</f>
        <v>0</v>
      </c>
      <c r="M31" s="6">
        <f>M25/M4</f>
        <v>0</v>
      </c>
      <c r="N31" s="6">
        <f>N25/N4</f>
        <v>0</v>
      </c>
      <c r="O31" s="6">
        <f>O25/O4</f>
        <v>0</v>
      </c>
      <c r="P31" s="6">
        <f>P25/P4</f>
        <v>0</v>
      </c>
    </row>
    <row r="32" spans="1:16" s="1" customFormat="1" ht="15.75" customHeight="1" x14ac:dyDescent="0.25">
      <c r="A32" s="21" t="s">
        <v>75</v>
      </c>
      <c r="B32" s="6">
        <f>B27/B4</f>
        <v>0.16024163721541873</v>
      </c>
      <c r="C32" s="6">
        <f>C27/C4</f>
        <v>0.18765547704851349</v>
      </c>
      <c r="D32" s="6">
        <f>D27/D4</f>
        <v>0.21426296277726825</v>
      </c>
      <c r="E32" s="6">
        <f>E27/E4</f>
        <v>0.20900297167808837</v>
      </c>
      <c r="F32" s="6">
        <f>F27/F4</f>
        <v>7.7630845938280554E-2</v>
      </c>
      <c r="G32" s="6">
        <f>G27/G4</f>
        <v>0.24574619140017312</v>
      </c>
      <c r="H32" s="6">
        <f>H27/H4</f>
        <v>0.31895183506576186</v>
      </c>
      <c r="I32" s="6">
        <f>I27/I4</f>
        <v>0.37940820867468417</v>
      </c>
      <c r="J32" s="6">
        <f>J27/J4</f>
        <v>0.44456007313040485</v>
      </c>
      <c r="K32" s="22">
        <f>K27/K4</f>
        <v>0.49144086395607456</v>
      </c>
      <c r="L32" s="6">
        <f>L27/L4</f>
        <v>0.37389487251882564</v>
      </c>
      <c r="M32" s="6">
        <f>M27/M4</f>
        <v>0.38680796412318003</v>
      </c>
      <c r="N32" s="6">
        <f>N27/N4</f>
        <v>0.40069057883931619</v>
      </c>
      <c r="O32" s="6">
        <f>O27/O4</f>
        <v>0.37633680904187783</v>
      </c>
      <c r="P32" s="6">
        <f>P27/P4</f>
        <v>0.41839540812723874</v>
      </c>
    </row>
    <row r="33" spans="1:16" x14ac:dyDescent="0.2">
      <c r="B33" s="3"/>
      <c r="C33" s="3"/>
      <c r="D33" s="3"/>
      <c r="E33" s="3"/>
      <c r="F33" s="3"/>
      <c r="G33" s="3"/>
      <c r="H33" s="3"/>
      <c r="I33" s="3"/>
      <c r="J33" s="3"/>
      <c r="K33" s="16"/>
      <c r="L33" s="19"/>
      <c r="M33" s="19"/>
      <c r="N33" s="19"/>
      <c r="O33" s="19"/>
      <c r="P33" s="19"/>
    </row>
    <row r="34" spans="1:16" x14ac:dyDescent="0.2">
      <c r="A34" s="21" t="s">
        <v>76</v>
      </c>
      <c r="B34" s="6">
        <f>B7/B4</f>
        <v>0.32442344045368621</v>
      </c>
      <c r="C34" s="6">
        <f>C7/C4</f>
        <v>0.30453322991843468</v>
      </c>
      <c r="D34" s="6">
        <f>D7/D4</f>
        <v>0.29022140166987642</v>
      </c>
      <c r="E34" s="6">
        <f>E7/E4</f>
        <v>0.28872416321624883</v>
      </c>
      <c r="F34" s="6">
        <f>F7/F4</f>
        <v>0.34838475007824593</v>
      </c>
      <c r="G34" s="6">
        <f>G7/G4</f>
        <v>0.26736172788523005</v>
      </c>
      <c r="H34" s="6">
        <f>H7/H4</f>
        <v>0.24289003553861377</v>
      </c>
      <c r="I34" s="6">
        <f>I7/I4</f>
        <v>0.23252718670518469</v>
      </c>
      <c r="J34" s="6">
        <f>J7/J4</f>
        <v>0.21476085476136655</v>
      </c>
      <c r="K34" s="22">
        <f>K7/K4</f>
        <v>0.19553064070861942</v>
      </c>
      <c r="L34" s="6">
        <v>0.18</v>
      </c>
      <c r="M34" s="6">
        <v>0.18</v>
      </c>
      <c r="N34" s="6">
        <v>0.18</v>
      </c>
      <c r="O34" s="6">
        <v>0.18</v>
      </c>
      <c r="P34" s="6">
        <v>0.18</v>
      </c>
    </row>
    <row r="35" spans="1:16" x14ac:dyDescent="0.2">
      <c r="A35" s="21" t="s">
        <v>77</v>
      </c>
      <c r="B35" s="6"/>
      <c r="C35" s="6"/>
      <c r="D35" s="6"/>
      <c r="E35" s="6"/>
      <c r="F35" s="6">
        <f>F8/B8-1</f>
        <v>0.56933832343548407</v>
      </c>
      <c r="G35" s="6">
        <f>G8/C8-1</f>
        <v>0.22581788440567063</v>
      </c>
      <c r="H35" s="6">
        <f>H8/D8-1</f>
        <v>0.24142083635929068</v>
      </c>
      <c r="I35" s="6">
        <f>I8/E8-1</f>
        <v>0.22658330143337158</v>
      </c>
      <c r="J35" s="6">
        <f>J8/F8-1</f>
        <v>-0.16294853704329981</v>
      </c>
      <c r="K35" s="22">
        <f>K8/G8-1</f>
        <v>0.19343311908309779</v>
      </c>
      <c r="L35" s="6">
        <v>0.22</v>
      </c>
      <c r="M35" s="6">
        <v>0.21</v>
      </c>
      <c r="N35" s="6">
        <v>0.2</v>
      </c>
      <c r="O35" s="6">
        <v>0.2</v>
      </c>
      <c r="P35" s="6">
        <v>0.2</v>
      </c>
    </row>
    <row r="36" spans="1:16" x14ac:dyDescent="0.2">
      <c r="A36" s="21" t="s">
        <v>78</v>
      </c>
      <c r="B36" s="6"/>
      <c r="C36" s="6"/>
      <c r="D36" s="6"/>
      <c r="E36" s="6"/>
      <c r="F36" s="6">
        <f>F9/B9-1</f>
        <v>0.43116656583196478</v>
      </c>
      <c r="G36" s="6">
        <f>G9/C9-1</f>
        <v>0.22133239789825643</v>
      </c>
      <c r="H36" s="6">
        <f>H9/D9-1</f>
        <v>0.17290451014476038</v>
      </c>
      <c r="I36" s="6">
        <f>I9/E9-1</f>
        <v>0.16577270236756347</v>
      </c>
      <c r="J36" s="6">
        <f>J9/F9-1</f>
        <v>-6.7989415084602434E-2</v>
      </c>
      <c r="K36" s="22">
        <f>K9/G9-1</f>
        <v>0.11578535679147395</v>
      </c>
      <c r="L36" s="6">
        <v>0.15</v>
      </c>
      <c r="M36" s="6">
        <v>0.15</v>
      </c>
      <c r="N36" s="6">
        <v>0.15</v>
      </c>
      <c r="O36" s="6">
        <v>0.15</v>
      </c>
      <c r="P36" s="6">
        <v>0.15</v>
      </c>
    </row>
    <row r="37" spans="1:16" x14ac:dyDescent="0.2">
      <c r="B37" s="3"/>
      <c r="C37" s="3"/>
      <c r="D37" s="3"/>
      <c r="E37" s="3"/>
      <c r="F37" s="3"/>
      <c r="G37" s="3"/>
      <c r="H37" s="3"/>
      <c r="I37" s="3"/>
      <c r="J37" s="3"/>
      <c r="K37" s="16"/>
      <c r="L37" s="19"/>
      <c r="M37" s="19"/>
      <c r="N37" s="19"/>
      <c r="O37" s="19"/>
      <c r="P37" s="19"/>
    </row>
    <row r="38" spans="1:16" x14ac:dyDescent="0.2">
      <c r="B38" s="3"/>
      <c r="C38" s="3"/>
      <c r="D38" s="3"/>
      <c r="E38" s="3"/>
      <c r="F38" s="3"/>
      <c r="G38" s="3"/>
      <c r="H38" s="3"/>
      <c r="I38" s="3"/>
      <c r="J38" s="3"/>
      <c r="K38" s="16"/>
      <c r="L38" s="19"/>
      <c r="M38" s="19"/>
      <c r="N38" s="19"/>
      <c r="O38" s="19"/>
      <c r="P38" s="19"/>
    </row>
    <row r="39" spans="1:16" x14ac:dyDescent="0.2">
      <c r="A39" t="s">
        <v>3</v>
      </c>
      <c r="B39" s="3">
        <v>831.04700000000003</v>
      </c>
      <c r="C39" s="3">
        <v>520.38800000000003</v>
      </c>
      <c r="D39" s="3">
        <v>512.65899999999999</v>
      </c>
      <c r="E39" s="3">
        <v>768.71</v>
      </c>
      <c r="F39" s="3">
        <v>2098.5239999999999</v>
      </c>
      <c r="G39" s="3">
        <v>993.46400000000006</v>
      </c>
      <c r="H39" s="3">
        <v>929.54700000000003</v>
      </c>
      <c r="I39" s="3">
        <v>1615.9670000000001</v>
      </c>
      <c r="J39" s="3">
        <v>1423.796</v>
      </c>
      <c r="K39" s="16">
        <v>2291.6309999999999</v>
      </c>
      <c r="L39" s="19"/>
      <c r="M39" s="19"/>
      <c r="N39" s="19"/>
      <c r="O39" s="19"/>
      <c r="P39" s="19"/>
    </row>
    <row r="40" spans="1:16" x14ac:dyDescent="0.2">
      <c r="A40" t="s">
        <v>49</v>
      </c>
      <c r="B40" s="3">
        <v>2843.1320000000001</v>
      </c>
      <c r="C40" s="3">
        <v>3347.5120000000002</v>
      </c>
      <c r="D40" s="3">
        <v>3485.8</v>
      </c>
      <c r="E40" s="3">
        <v>3795.9490000000001</v>
      </c>
      <c r="F40" s="3">
        <v>3131.4630000000002</v>
      </c>
      <c r="G40" s="3">
        <v>4437.2250000000004</v>
      </c>
      <c r="H40" s="3">
        <v>5070.875</v>
      </c>
      <c r="I40" s="3">
        <v>4821.8500000000004</v>
      </c>
      <c r="J40" s="3">
        <v>5753.2470000000003</v>
      </c>
      <c r="K40" s="16">
        <v>5734.7820000000002</v>
      </c>
      <c r="L40" s="19"/>
      <c r="M40" s="19"/>
      <c r="N40" s="19"/>
      <c r="O40" s="19"/>
      <c r="P40" s="19"/>
    </row>
    <row r="41" spans="1:16" x14ac:dyDescent="0.2">
      <c r="A41" t="s">
        <v>50</v>
      </c>
      <c r="B41" s="3">
        <v>364.78399999999999</v>
      </c>
      <c r="C41" s="3">
        <v>486.98599999999999</v>
      </c>
      <c r="D41" s="3">
        <v>659.33900000000006</v>
      </c>
      <c r="E41" s="3">
        <v>668.11</v>
      </c>
      <c r="F41" s="3">
        <v>575.048</v>
      </c>
      <c r="G41" s="3">
        <v>725.20500000000004</v>
      </c>
      <c r="H41" s="3">
        <v>747.48400000000004</v>
      </c>
      <c r="I41" s="3">
        <v>1005.91</v>
      </c>
      <c r="J41" s="3">
        <v>1042.0650000000001</v>
      </c>
      <c r="K41" s="16">
        <v>1405.588</v>
      </c>
      <c r="L41" s="19"/>
      <c r="M41" s="19"/>
      <c r="N41" s="19"/>
      <c r="O41" s="19"/>
      <c r="P41" s="19"/>
    </row>
    <row r="42" spans="1:16" x14ac:dyDescent="0.2">
      <c r="A42" t="s">
        <v>51</v>
      </c>
      <c r="B42" s="3">
        <v>99.655000000000001</v>
      </c>
      <c r="C42" s="3">
        <v>81.177999999999997</v>
      </c>
      <c r="D42" s="3">
        <v>115.712</v>
      </c>
      <c r="E42" s="3">
        <v>119.193</v>
      </c>
      <c r="F42" s="3">
        <v>129.25399999999999</v>
      </c>
      <c r="G42" s="3">
        <v>126.705</v>
      </c>
      <c r="H42" s="3">
        <v>142.48699999999999</v>
      </c>
      <c r="I42" s="3">
        <v>142.429</v>
      </c>
      <c r="J42" s="3">
        <v>139.066</v>
      </c>
      <c r="K42" s="16">
        <v>119.703</v>
      </c>
      <c r="L42" s="19"/>
      <c r="M42" s="19"/>
      <c r="N42" s="19"/>
      <c r="O42" s="19"/>
      <c r="P42" s="19"/>
    </row>
    <row r="43" spans="1:16" s="1" customFormat="1" ht="15.75" customHeight="1" x14ac:dyDescent="0.25">
      <c r="A43" s="1" t="s">
        <v>52</v>
      </c>
      <c r="B43" s="14">
        <f t="shared" ref="B43:K43" si="9">SUM(B39:B42)</f>
        <v>4138.6180000000004</v>
      </c>
      <c r="C43" s="14">
        <f t="shared" si="9"/>
        <v>4436.0640000000003</v>
      </c>
      <c r="D43" s="14">
        <f t="shared" si="9"/>
        <v>4773.5100000000011</v>
      </c>
      <c r="E43" s="14">
        <f t="shared" si="9"/>
        <v>5351.9619999999995</v>
      </c>
      <c r="F43" s="14">
        <f t="shared" si="9"/>
        <v>5934.2889999999998</v>
      </c>
      <c r="G43" s="14">
        <f t="shared" si="9"/>
        <v>6282.5990000000002</v>
      </c>
      <c r="H43" s="14">
        <f t="shared" si="9"/>
        <v>6890.3930000000009</v>
      </c>
      <c r="I43" s="14">
        <f t="shared" si="9"/>
        <v>7586.1560000000009</v>
      </c>
      <c r="J43" s="14">
        <f t="shared" si="9"/>
        <v>8358.1740000000009</v>
      </c>
      <c r="K43" s="15">
        <f t="shared" si="9"/>
        <v>9551.7039999999997</v>
      </c>
      <c r="L43" s="18">
        <v>10340</v>
      </c>
      <c r="M43" s="18">
        <v>11420</v>
      </c>
      <c r="N43" s="18">
        <v>12780</v>
      </c>
      <c r="O43" s="18">
        <v>14030</v>
      </c>
      <c r="P43" s="18">
        <v>15540</v>
      </c>
    </row>
    <row r="44" spans="1:16" x14ac:dyDescent="0.2">
      <c r="A44" t="s">
        <v>53</v>
      </c>
      <c r="B44" s="3">
        <v>47.758000000000003</v>
      </c>
      <c r="C44" s="3">
        <v>46.905999999999999</v>
      </c>
      <c r="D44" s="3">
        <v>43.482999999999997</v>
      </c>
      <c r="E44" s="3">
        <v>40.344999999999999</v>
      </c>
      <c r="F44" s="3">
        <v>39.637999999999998</v>
      </c>
      <c r="G44" s="3">
        <v>39.668999999999997</v>
      </c>
      <c r="H44" s="3">
        <v>43.523000000000003</v>
      </c>
      <c r="I44" s="3">
        <v>45.706000000000003</v>
      </c>
      <c r="J44" s="3">
        <v>51.96</v>
      </c>
      <c r="K44" s="16">
        <v>55.725999999999999</v>
      </c>
      <c r="L44" s="19"/>
      <c r="M44" s="19"/>
      <c r="N44" s="19"/>
      <c r="O44" s="19"/>
      <c r="P44" s="19"/>
    </row>
    <row r="45" spans="1:16" x14ac:dyDescent="0.2">
      <c r="A45" t="s">
        <v>54</v>
      </c>
      <c r="B45" s="3">
        <v>182.863</v>
      </c>
      <c r="C45" s="3">
        <v>173.70699999999999</v>
      </c>
      <c r="D45" s="3">
        <v>213.453</v>
      </c>
      <c r="E45" s="3">
        <v>211.57</v>
      </c>
      <c r="F45" s="3">
        <v>200.74</v>
      </c>
      <c r="G45" s="3">
        <v>209.34800000000001</v>
      </c>
      <c r="H45" s="3">
        <v>203.47399999999999</v>
      </c>
      <c r="I45" s="3">
        <v>204.315</v>
      </c>
      <c r="J45" s="3">
        <v>200.10499999999999</v>
      </c>
      <c r="K45" s="16">
        <v>228.98</v>
      </c>
      <c r="L45" s="19"/>
      <c r="M45" s="19"/>
      <c r="N45" s="19"/>
      <c r="O45" s="19"/>
      <c r="P45" s="19"/>
    </row>
    <row r="46" spans="1:16" x14ac:dyDescent="0.2">
      <c r="A46" t="s">
        <v>39</v>
      </c>
      <c r="B46" s="3">
        <v>153.18600000000001</v>
      </c>
      <c r="C46" s="3">
        <v>150.40199999999999</v>
      </c>
      <c r="D46" s="3">
        <v>161.434</v>
      </c>
      <c r="E46" s="3">
        <v>164.22</v>
      </c>
      <c r="F46" s="3">
        <v>166.21700000000001</v>
      </c>
      <c r="G46" s="3">
        <v>205.30099999999999</v>
      </c>
      <c r="H46" s="3">
        <v>228.298</v>
      </c>
      <c r="I46" s="3">
        <v>277.78300000000002</v>
      </c>
      <c r="J46" s="3">
        <v>290.15300000000002</v>
      </c>
      <c r="K46" s="16">
        <v>362.77300000000002</v>
      </c>
      <c r="L46" s="19"/>
      <c r="M46" s="19"/>
      <c r="N46" s="19"/>
      <c r="O46" s="19"/>
      <c r="P46" s="19"/>
    </row>
    <row r="47" spans="1:16" s="1" customFormat="1" ht="15.75" customHeight="1" x14ac:dyDescent="0.25">
      <c r="A47" s="1" t="s">
        <v>55</v>
      </c>
      <c r="B47" s="14">
        <f t="shared" ref="B47:K47" si="10">SUM(B43:B46)</f>
        <v>4522.4250000000002</v>
      </c>
      <c r="C47" s="14">
        <f t="shared" si="10"/>
        <v>4807.0790000000006</v>
      </c>
      <c r="D47" s="14">
        <f t="shared" si="10"/>
        <v>5191.8800000000019</v>
      </c>
      <c r="E47" s="14">
        <f t="shared" si="10"/>
        <v>5768.0969999999998</v>
      </c>
      <c r="F47" s="14">
        <f t="shared" si="10"/>
        <v>6340.8839999999991</v>
      </c>
      <c r="G47" s="14">
        <f t="shared" si="10"/>
        <v>6736.9170000000004</v>
      </c>
      <c r="H47" s="14">
        <f t="shared" si="10"/>
        <v>7365.688000000001</v>
      </c>
      <c r="I47" s="14">
        <f t="shared" si="10"/>
        <v>8113.9600000000009</v>
      </c>
      <c r="J47" s="14">
        <f t="shared" si="10"/>
        <v>8900.3919999999998</v>
      </c>
      <c r="K47" s="15">
        <f t="shared" si="10"/>
        <v>10199.182999999999</v>
      </c>
      <c r="L47" s="18">
        <v>10960</v>
      </c>
      <c r="M47" s="18">
        <v>12090</v>
      </c>
      <c r="N47" s="18">
        <v>13460</v>
      </c>
      <c r="O47" s="18">
        <v>14820</v>
      </c>
      <c r="P47" s="18">
        <v>16410</v>
      </c>
    </row>
    <row r="48" spans="1:16" x14ac:dyDescent="0.2">
      <c r="A48" t="s">
        <v>56</v>
      </c>
      <c r="B48" s="3">
        <f>12.122+222.991</f>
        <v>235.113</v>
      </c>
      <c r="C48" s="3">
        <f>35.634+206.034</f>
        <v>241.66800000000001</v>
      </c>
      <c r="D48" s="3">
        <f>67.345+195.489</f>
        <v>262.834</v>
      </c>
      <c r="E48" s="3">
        <f>27.021+265.244</f>
        <v>292.26500000000004</v>
      </c>
      <c r="F48" s="3">
        <f>0.103+427.046</f>
        <v>427.149</v>
      </c>
      <c r="G48" s="3">
        <f>2.33+371.061</f>
        <v>373.39099999999996</v>
      </c>
      <c r="H48" s="3">
        <f>10.774+393.623</f>
        <v>404.39699999999999</v>
      </c>
      <c r="I48" s="3">
        <f>67.503+381.737</f>
        <v>449.24</v>
      </c>
      <c r="J48" s="3">
        <v>409.55200000000002</v>
      </c>
      <c r="K48" s="16">
        <v>495.96199999999999</v>
      </c>
      <c r="L48" s="19"/>
      <c r="M48" s="19"/>
      <c r="N48" s="19"/>
      <c r="O48" s="19"/>
      <c r="P48" s="19"/>
    </row>
    <row r="49" spans="1:16" x14ac:dyDescent="0.2">
      <c r="A49" t="s">
        <v>57</v>
      </c>
      <c r="B49" s="3">
        <v>246.90100000000001</v>
      </c>
      <c r="C49" s="3">
        <v>237.19499999999999</v>
      </c>
      <c r="D49" s="3">
        <v>278.44099999999997</v>
      </c>
      <c r="E49" s="3">
        <v>236.608</v>
      </c>
      <c r="F49" s="3">
        <v>259.62400000000002</v>
      </c>
      <c r="G49" s="3">
        <v>318.55599999999998</v>
      </c>
      <c r="H49" s="3">
        <v>376.78399999999999</v>
      </c>
      <c r="I49" s="3">
        <v>316.72199999999998</v>
      </c>
      <c r="J49" s="3">
        <v>408.96300000000002</v>
      </c>
      <c r="K49" s="16">
        <v>516.86800000000005</v>
      </c>
      <c r="L49" s="19"/>
      <c r="M49" s="19"/>
      <c r="N49" s="19"/>
      <c r="O49" s="19"/>
      <c r="P49" s="19"/>
    </row>
    <row r="50" spans="1:16" x14ac:dyDescent="0.2">
      <c r="A50" t="s">
        <v>58</v>
      </c>
      <c r="B50" s="3">
        <v>209.828</v>
      </c>
      <c r="C50" s="3">
        <v>217.63399999999999</v>
      </c>
      <c r="D50" s="3">
        <v>221.51900000000001</v>
      </c>
      <c r="E50" s="3">
        <v>366.94600000000003</v>
      </c>
      <c r="F50" s="3">
        <v>265.25200000000001</v>
      </c>
      <c r="G50" s="3">
        <v>231.077</v>
      </c>
      <c r="H50" s="3">
        <v>262.99400000000003</v>
      </c>
      <c r="I50" s="3">
        <v>368.17</v>
      </c>
      <c r="J50" s="3">
        <v>357.06599999999997</v>
      </c>
      <c r="K50" s="16">
        <v>370.11900000000003</v>
      </c>
      <c r="L50" s="19"/>
      <c r="M50" s="19"/>
      <c r="N50" s="19"/>
      <c r="O50" s="19"/>
      <c r="P50" s="19"/>
    </row>
    <row r="51" spans="1:16" x14ac:dyDescent="0.2">
      <c r="A51" t="s">
        <v>59</v>
      </c>
      <c r="B51" s="3">
        <v>54.176000000000002</v>
      </c>
      <c r="C51" s="3">
        <v>54.055999999999997</v>
      </c>
      <c r="D51" s="3">
        <v>44.125</v>
      </c>
      <c r="E51" s="3">
        <v>47.637</v>
      </c>
      <c r="F51" s="3">
        <v>43.993000000000002</v>
      </c>
      <c r="G51" s="3">
        <v>44.418999999999997</v>
      </c>
      <c r="H51" s="3">
        <v>45.465000000000003</v>
      </c>
      <c r="I51" s="3">
        <v>46.271000000000001</v>
      </c>
      <c r="J51" s="3">
        <v>0</v>
      </c>
      <c r="K51" s="16">
        <v>0</v>
      </c>
      <c r="L51" s="19"/>
      <c r="M51" s="19"/>
      <c r="N51" s="19"/>
      <c r="O51" s="19"/>
      <c r="P51" s="19"/>
    </row>
    <row r="52" spans="1:16" s="1" customFormat="1" ht="15.75" customHeight="1" x14ac:dyDescent="0.25">
      <c r="A52" s="1" t="s">
        <v>60</v>
      </c>
      <c r="B52" s="14">
        <f t="shared" ref="B52:K52" si="11">SUM(B48:B51)</f>
        <v>746.01800000000003</v>
      </c>
      <c r="C52" s="14">
        <f t="shared" si="11"/>
        <v>750.553</v>
      </c>
      <c r="D52" s="14">
        <f t="shared" si="11"/>
        <v>806.91899999999998</v>
      </c>
      <c r="E52" s="14">
        <f t="shared" si="11"/>
        <v>943.45600000000013</v>
      </c>
      <c r="F52" s="14">
        <f t="shared" si="11"/>
        <v>996.01800000000014</v>
      </c>
      <c r="G52" s="14">
        <f t="shared" si="11"/>
        <v>967.44299999999987</v>
      </c>
      <c r="H52" s="14">
        <f t="shared" si="11"/>
        <v>1089.6400000000001</v>
      </c>
      <c r="I52" s="14">
        <f t="shared" si="11"/>
        <v>1180.403</v>
      </c>
      <c r="J52" s="14">
        <f t="shared" si="11"/>
        <v>1175.5810000000001</v>
      </c>
      <c r="K52" s="15">
        <f t="shared" si="11"/>
        <v>1382.9490000000001</v>
      </c>
      <c r="L52" s="18">
        <v>1400</v>
      </c>
      <c r="M52" s="18">
        <v>1490</v>
      </c>
      <c r="N52" s="18">
        <v>1660</v>
      </c>
      <c r="O52" s="18">
        <v>1640</v>
      </c>
      <c r="P52" s="18">
        <v>2000</v>
      </c>
    </row>
    <row r="53" spans="1:16" x14ac:dyDescent="0.2">
      <c r="A53" t="s">
        <v>57</v>
      </c>
      <c r="B53" s="3">
        <v>28.047000000000001</v>
      </c>
      <c r="C53" s="3">
        <v>20.722000000000001</v>
      </c>
      <c r="D53" s="3">
        <v>15.648999999999999</v>
      </c>
      <c r="E53" s="3">
        <v>7.8250000000000002</v>
      </c>
      <c r="F53" s="3">
        <v>39.884999999999998</v>
      </c>
      <c r="G53" s="3">
        <v>36.372</v>
      </c>
      <c r="H53" s="3">
        <v>44.637999999999998</v>
      </c>
      <c r="I53" s="3">
        <v>43.901000000000003</v>
      </c>
      <c r="J53" s="3">
        <v>46.216000000000001</v>
      </c>
      <c r="K53" s="16">
        <v>41.128</v>
      </c>
      <c r="L53" s="19"/>
      <c r="M53" s="19"/>
      <c r="N53" s="19"/>
      <c r="O53" s="19"/>
      <c r="P53" s="19"/>
    </row>
    <row r="54" spans="1:16" x14ac:dyDescent="0.2">
      <c r="A54" t="s">
        <v>58</v>
      </c>
      <c r="B54" s="3">
        <v>1.4770000000000001</v>
      </c>
      <c r="C54" s="3">
        <v>1.651</v>
      </c>
      <c r="D54" s="3">
        <v>1.5269999999999999</v>
      </c>
      <c r="E54" s="3">
        <v>3.681</v>
      </c>
      <c r="F54" s="3">
        <v>1.663</v>
      </c>
      <c r="G54" s="3">
        <v>1.4630000000000001</v>
      </c>
      <c r="H54" s="3">
        <v>1.4910000000000001</v>
      </c>
      <c r="I54" s="3">
        <v>1.57</v>
      </c>
      <c r="J54" s="3">
        <v>1.7999999999999999E-2</v>
      </c>
      <c r="K54" s="16">
        <v>1.175</v>
      </c>
      <c r="L54" s="19"/>
      <c r="M54" s="19"/>
      <c r="N54" s="19"/>
      <c r="O54" s="19"/>
      <c r="P54" s="19"/>
    </row>
    <row r="55" spans="1:16" x14ac:dyDescent="0.2">
      <c r="A55" t="s">
        <v>61</v>
      </c>
      <c r="B55" s="3">
        <v>175.21600000000001</v>
      </c>
      <c r="C55" s="3">
        <v>163.01300000000001</v>
      </c>
      <c r="D55" s="3">
        <v>214.334</v>
      </c>
      <c r="E55" s="3">
        <v>207.27799999999999</v>
      </c>
      <c r="F55" s="3">
        <v>195.226</v>
      </c>
      <c r="G55" s="3">
        <v>200.17699999999999</v>
      </c>
      <c r="H55" s="3">
        <v>192.34700000000001</v>
      </c>
      <c r="I55" s="3">
        <v>189.16499999999999</v>
      </c>
      <c r="J55" s="3">
        <v>183.47399999999999</v>
      </c>
      <c r="K55" s="16">
        <v>211.977</v>
      </c>
      <c r="L55" s="19"/>
      <c r="M55" s="19"/>
      <c r="N55" s="19"/>
      <c r="O55" s="19"/>
      <c r="P55" s="19"/>
    </row>
    <row r="56" spans="1:16" x14ac:dyDescent="0.2">
      <c r="A56" t="s">
        <v>39</v>
      </c>
      <c r="B56" s="3">
        <v>10.702</v>
      </c>
      <c r="C56" s="3">
        <v>9.968</v>
      </c>
      <c r="D56" s="3">
        <v>15.645</v>
      </c>
      <c r="E56" s="3">
        <v>14.494999999999999</v>
      </c>
      <c r="F56" s="3">
        <v>13.685</v>
      </c>
      <c r="G56" s="3">
        <v>12.489000000000001</v>
      </c>
      <c r="H56" s="3">
        <v>12.007999999999999</v>
      </c>
      <c r="I56" s="3">
        <v>10.651999999999999</v>
      </c>
      <c r="J56" s="3">
        <v>7.0919999999999996</v>
      </c>
      <c r="K56" s="16">
        <v>5.673</v>
      </c>
      <c r="L56" s="19"/>
      <c r="M56" s="19"/>
      <c r="N56" s="19"/>
      <c r="O56" s="19"/>
      <c r="P56" s="19"/>
    </row>
    <row r="57" spans="1:16" s="1" customFormat="1" ht="15.75" customHeight="1" x14ac:dyDescent="0.25">
      <c r="A57" s="1" t="s">
        <v>62</v>
      </c>
      <c r="B57" s="14">
        <f t="shared" ref="B57:K57" si="12">SUM(B52:B56)</f>
        <v>961.46</v>
      </c>
      <c r="C57" s="14">
        <f t="shared" si="12"/>
        <v>945.90699999999993</v>
      </c>
      <c r="D57" s="14">
        <f t="shared" si="12"/>
        <v>1054.0740000000001</v>
      </c>
      <c r="E57" s="14">
        <f t="shared" si="12"/>
        <v>1176.7350000000001</v>
      </c>
      <c r="F57" s="14">
        <f t="shared" si="12"/>
        <v>1246.4770000000003</v>
      </c>
      <c r="G57" s="14">
        <f t="shared" si="12"/>
        <v>1217.9439999999997</v>
      </c>
      <c r="H57" s="14">
        <f t="shared" si="12"/>
        <v>1340.124</v>
      </c>
      <c r="I57" s="14">
        <f t="shared" si="12"/>
        <v>1425.691</v>
      </c>
      <c r="J57" s="14">
        <f t="shared" si="12"/>
        <v>1412.3810000000001</v>
      </c>
      <c r="K57" s="15">
        <f t="shared" si="12"/>
        <v>1642.902</v>
      </c>
      <c r="L57" s="18"/>
      <c r="M57" s="18"/>
      <c r="N57" s="18"/>
      <c r="O57" s="18"/>
      <c r="P57" s="18"/>
    </row>
    <row r="58" spans="1:16" x14ac:dyDescent="0.2">
      <c r="A58" t="s">
        <v>63</v>
      </c>
      <c r="B58" s="3">
        <v>2.2000000000000002</v>
      </c>
      <c r="C58" s="3">
        <v>2.2269999999999999</v>
      </c>
      <c r="D58" s="3">
        <v>2.238</v>
      </c>
      <c r="E58" s="3">
        <v>2.27</v>
      </c>
      <c r="F58" s="3">
        <v>2.339</v>
      </c>
      <c r="G58" s="3">
        <v>2.36</v>
      </c>
      <c r="H58" s="3">
        <v>2.3719999999999999</v>
      </c>
      <c r="I58" s="3">
        <v>2.383</v>
      </c>
      <c r="J58" s="3">
        <v>2.391</v>
      </c>
      <c r="K58" s="16">
        <v>2.3969999999999998</v>
      </c>
      <c r="L58" s="19"/>
      <c r="M58" s="19"/>
      <c r="N58" s="19"/>
      <c r="O58" s="19"/>
      <c r="P58" s="19"/>
    </row>
    <row r="59" spans="1:16" x14ac:dyDescent="0.2">
      <c r="A59" t="s">
        <v>64</v>
      </c>
      <c r="B59" s="3">
        <v>9122.1730000000007</v>
      </c>
      <c r="C59" s="3">
        <v>9322.8029999999999</v>
      </c>
      <c r="D59" s="3">
        <v>9463.1779999999999</v>
      </c>
      <c r="E59" s="3">
        <v>9757.3799999999992</v>
      </c>
      <c r="F59" s="3">
        <v>10193.969999999999</v>
      </c>
      <c r="G59" s="3">
        <v>10398.181</v>
      </c>
      <c r="H59" s="3">
        <v>10568.473</v>
      </c>
      <c r="I59" s="3">
        <v>10747.602999999999</v>
      </c>
      <c r="J59" s="3">
        <v>10933.325000000001</v>
      </c>
      <c r="K59" s="16">
        <v>11138.528</v>
      </c>
      <c r="L59" s="19"/>
      <c r="M59" s="19"/>
      <c r="N59" s="19"/>
      <c r="O59" s="19"/>
      <c r="P59" s="19"/>
    </row>
    <row r="60" spans="1:16" x14ac:dyDescent="0.2">
      <c r="A60" t="s">
        <v>65</v>
      </c>
      <c r="B60" s="3">
        <v>0.80100000000000005</v>
      </c>
      <c r="C60" s="3">
        <v>-5.72</v>
      </c>
      <c r="D60" s="3">
        <v>-4.9349999999999996</v>
      </c>
      <c r="E60" s="3">
        <v>4.9249999999999998</v>
      </c>
      <c r="F60" s="3">
        <v>-5.6109999999999998</v>
      </c>
      <c r="G60" s="3">
        <v>-2.9940000000000002</v>
      </c>
      <c r="H60" s="3">
        <v>4.7210000000000001</v>
      </c>
      <c r="I60" s="3">
        <v>11.537000000000001</v>
      </c>
      <c r="J60" s="3">
        <v>13.942</v>
      </c>
      <c r="K60" s="16">
        <v>0.60099999999999998</v>
      </c>
      <c r="L60" s="19"/>
      <c r="M60" s="19"/>
      <c r="N60" s="19"/>
      <c r="O60" s="19"/>
      <c r="P60" s="19"/>
    </row>
    <row r="61" spans="1:16" x14ac:dyDescent="0.2">
      <c r="A61" t="s">
        <v>66</v>
      </c>
      <c r="B61" s="3">
        <v>-5649.6130000000003</v>
      </c>
      <c r="C61" s="3">
        <v>-5544.0829999999996</v>
      </c>
      <c r="D61" s="3">
        <v>-5409.9570000000003</v>
      </c>
      <c r="E61" s="3">
        <v>-5266.4319999999998</v>
      </c>
      <c r="F61" s="3">
        <v>-5187.4229999999998</v>
      </c>
      <c r="G61" s="3">
        <v>-4973.3919999999998</v>
      </c>
      <c r="H61" s="3">
        <v>-4646.665</v>
      </c>
      <c r="I61" s="3">
        <v>-4171.0659999999998</v>
      </c>
      <c r="J61" s="3">
        <v>-3562.39</v>
      </c>
      <c r="K61" s="16">
        <v>-2691.8629999999998</v>
      </c>
      <c r="L61" s="19"/>
      <c r="M61" s="19"/>
      <c r="N61" s="19"/>
      <c r="O61" s="19"/>
      <c r="P61" s="19"/>
    </row>
    <row r="62" spans="1:16" x14ac:dyDescent="0.2">
      <c r="A62" t="s">
        <v>12</v>
      </c>
      <c r="B62" s="3">
        <f t="shared" ref="B62:K62" si="13">SUM(B58:B61)</f>
        <v>3475.5610000000006</v>
      </c>
      <c r="C62" s="3">
        <f t="shared" si="13"/>
        <v>3775.2270000000017</v>
      </c>
      <c r="D62" s="3">
        <f t="shared" si="13"/>
        <v>4050.5239999999994</v>
      </c>
      <c r="E62" s="3">
        <f t="shared" si="13"/>
        <v>4498.1429999999991</v>
      </c>
      <c r="F62" s="3">
        <f t="shared" si="13"/>
        <v>5003.2749999999987</v>
      </c>
      <c r="G62" s="3">
        <f t="shared" si="13"/>
        <v>5424.1550000000007</v>
      </c>
      <c r="H62" s="3">
        <f t="shared" si="13"/>
        <v>5928.9009999999989</v>
      </c>
      <c r="I62" s="3">
        <f t="shared" si="13"/>
        <v>6590.4569999999994</v>
      </c>
      <c r="J62" s="3">
        <f t="shared" si="13"/>
        <v>7387.268</v>
      </c>
      <c r="K62" s="16">
        <f t="shared" si="13"/>
        <v>8449.6630000000023</v>
      </c>
      <c r="L62" s="19"/>
      <c r="M62" s="19"/>
      <c r="N62" s="19"/>
      <c r="O62" s="19"/>
      <c r="P62" s="19"/>
    </row>
    <row r="63" spans="1:16" x14ac:dyDescent="0.2">
      <c r="A63" t="s">
        <v>43</v>
      </c>
      <c r="B63" s="3">
        <v>85.403999999999996</v>
      </c>
      <c r="C63" s="3">
        <v>85.944999999999993</v>
      </c>
      <c r="D63" s="3">
        <v>87.281999999999996</v>
      </c>
      <c r="E63" s="3">
        <v>93.218999999999994</v>
      </c>
      <c r="F63" s="3">
        <v>91.132000000000005</v>
      </c>
      <c r="G63" s="3">
        <v>94.817999999999998</v>
      </c>
      <c r="H63" s="3">
        <v>96.662999999999997</v>
      </c>
      <c r="I63" s="3">
        <v>97.811999999999998</v>
      </c>
      <c r="J63" s="3">
        <v>100.74299999999999</v>
      </c>
      <c r="K63" s="16">
        <v>106.61799999999999</v>
      </c>
      <c r="L63" s="19"/>
      <c r="M63" s="19"/>
      <c r="N63" s="19"/>
      <c r="O63" s="19"/>
      <c r="P63" s="19"/>
    </row>
    <row r="64" spans="1:16" s="1" customFormat="1" ht="15.75" customHeight="1" x14ac:dyDescent="0.25">
      <c r="A64" s="1" t="s">
        <v>67</v>
      </c>
      <c r="B64" s="14">
        <f t="shared" ref="B64:K64" si="14">SUM(B62:B63)</f>
        <v>3560.9650000000006</v>
      </c>
      <c r="C64" s="14">
        <f t="shared" si="14"/>
        <v>3861.1720000000018</v>
      </c>
      <c r="D64" s="14">
        <f t="shared" si="14"/>
        <v>4137.8059999999996</v>
      </c>
      <c r="E64" s="14">
        <f t="shared" si="14"/>
        <v>4591.3619999999992</v>
      </c>
      <c r="F64" s="14">
        <f t="shared" si="14"/>
        <v>5094.4069999999983</v>
      </c>
      <c r="G64" s="14">
        <f t="shared" si="14"/>
        <v>5518.9730000000009</v>
      </c>
      <c r="H64" s="14">
        <f t="shared" si="14"/>
        <v>6025.5639999999985</v>
      </c>
      <c r="I64" s="14">
        <f t="shared" si="14"/>
        <v>6688.2689999999993</v>
      </c>
      <c r="J64" s="14">
        <f t="shared" si="14"/>
        <v>7488.0110000000004</v>
      </c>
      <c r="K64" s="15">
        <f t="shared" si="14"/>
        <v>8556.2810000000027</v>
      </c>
      <c r="L64" s="18">
        <v>9280</v>
      </c>
      <c r="M64" s="18">
        <v>10320</v>
      </c>
      <c r="N64" s="18">
        <v>11540</v>
      </c>
      <c r="O64" s="18">
        <v>12820</v>
      </c>
      <c r="P64" s="18">
        <v>14010</v>
      </c>
    </row>
    <row r="65" spans="1:16" s="1" customFormat="1" ht="15.75" customHeight="1" x14ac:dyDescent="0.25">
      <c r="A65" s="1" t="s">
        <v>68</v>
      </c>
      <c r="B65" s="14">
        <f t="shared" ref="B65:K65" si="15">B64+B57</f>
        <v>4522.4250000000011</v>
      </c>
      <c r="C65" s="14">
        <f t="shared" si="15"/>
        <v>4807.0790000000015</v>
      </c>
      <c r="D65" s="14">
        <f t="shared" si="15"/>
        <v>5191.8799999999992</v>
      </c>
      <c r="E65" s="14">
        <f t="shared" si="15"/>
        <v>5768.0969999999998</v>
      </c>
      <c r="F65" s="14">
        <f t="shared" si="15"/>
        <v>6340.8839999999982</v>
      </c>
      <c r="G65" s="14">
        <f t="shared" si="15"/>
        <v>6736.9170000000004</v>
      </c>
      <c r="H65" s="14">
        <f t="shared" si="15"/>
        <v>7365.6879999999983</v>
      </c>
      <c r="I65" s="14">
        <f t="shared" si="15"/>
        <v>8113.9599999999991</v>
      </c>
      <c r="J65" s="14">
        <f t="shared" si="15"/>
        <v>8900.3919999999998</v>
      </c>
      <c r="K65" s="15">
        <f t="shared" si="15"/>
        <v>10199.183000000003</v>
      </c>
      <c r="L65" s="18"/>
      <c r="M65" s="18"/>
      <c r="N65" s="18"/>
      <c r="O65" s="18"/>
      <c r="P65" s="18"/>
    </row>
    <row r="66" spans="1:16" x14ac:dyDescent="0.2">
      <c r="A66" t="s">
        <v>69</v>
      </c>
      <c r="B66" s="3">
        <f t="shared" ref="B66:K66" si="16">B65-B47</f>
        <v>0</v>
      </c>
      <c r="C66" s="3">
        <f t="shared" si="16"/>
        <v>0</v>
      </c>
      <c r="D66" s="3">
        <f t="shared" si="16"/>
        <v>0</v>
      </c>
      <c r="E66" s="3">
        <f t="shared" si="16"/>
        <v>0</v>
      </c>
      <c r="F66" s="3">
        <f t="shared" si="16"/>
        <v>0</v>
      </c>
      <c r="G66" s="3">
        <f t="shared" si="16"/>
        <v>0</v>
      </c>
      <c r="H66" s="3">
        <f t="shared" si="16"/>
        <v>0</v>
      </c>
      <c r="I66" s="3">
        <f t="shared" si="16"/>
        <v>0</v>
      </c>
      <c r="J66" s="3">
        <f t="shared" si="16"/>
        <v>0</v>
      </c>
      <c r="K66" s="16">
        <f t="shared" si="16"/>
        <v>0</v>
      </c>
      <c r="L66" s="19"/>
      <c r="M66" s="19"/>
      <c r="N66" s="19"/>
      <c r="O66" s="19"/>
      <c r="P66" s="19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EB9D6-5FCC-4478-A417-FC342CF3060B}">
  <dimension ref="A2:P65"/>
  <sheetViews>
    <sheetView zoomScaleNormal="100" workbookViewId="0">
      <pane xSplit="1" ySplit="2" topLeftCell="F3" activePane="bottomRight" state="frozen"/>
      <selection pane="topRight" activeCell="B1" sqref="B1"/>
      <selection pane="bottomLeft" activeCell="A3" sqref="A3"/>
      <selection pane="bottomRight" activeCell="L23" sqref="L23"/>
    </sheetView>
  </sheetViews>
  <sheetFormatPr defaultColWidth="8.5546875" defaultRowHeight="15" x14ac:dyDescent="0.2"/>
  <cols>
    <col min="1" max="1" width="19.44140625" customWidth="1"/>
    <col min="2" max="10" width="9" customWidth="1"/>
    <col min="11" max="11" width="9" style="11" customWidth="1"/>
    <col min="12" max="12" width="9" customWidth="1"/>
  </cols>
  <sheetData>
    <row r="2" spans="1:16" x14ac:dyDescent="0.2">
      <c r="A2" t="s">
        <v>15</v>
      </c>
      <c r="B2" s="12" t="s">
        <v>16</v>
      </c>
      <c r="C2" s="12" t="s">
        <v>17</v>
      </c>
      <c r="D2" s="12" t="s">
        <v>18</v>
      </c>
      <c r="E2" s="12" t="s">
        <v>19</v>
      </c>
      <c r="F2" s="12" t="s">
        <v>20</v>
      </c>
      <c r="G2" s="12" t="s">
        <v>21</v>
      </c>
      <c r="H2" s="12" t="s">
        <v>22</v>
      </c>
      <c r="I2" s="12" t="s">
        <v>23</v>
      </c>
      <c r="J2" s="12" t="s">
        <v>24</v>
      </c>
      <c r="K2" s="13" t="s">
        <v>25</v>
      </c>
      <c r="L2" s="12" t="s">
        <v>26</v>
      </c>
      <c r="M2" s="12" t="s">
        <v>27</v>
      </c>
      <c r="N2" s="12" t="s">
        <v>28</v>
      </c>
      <c r="O2" s="12" t="s">
        <v>29</v>
      </c>
      <c r="P2" s="12" t="s">
        <v>30</v>
      </c>
    </row>
    <row r="4" spans="1:16" s="1" customFormat="1" ht="15.75" customHeight="1" x14ac:dyDescent="0.25">
      <c r="A4" s="1" t="s">
        <v>31</v>
      </c>
      <c r="B4" s="14">
        <v>608.35</v>
      </c>
      <c r="C4" s="14">
        <v>634.33799999999997</v>
      </c>
      <c r="D4" s="14">
        <v>678.13400000000001</v>
      </c>
      <c r="E4" s="14">
        <v>725.51599999999996</v>
      </c>
      <c r="F4" s="14">
        <v>827.51900000000001</v>
      </c>
      <c r="G4" s="14">
        <v>883.85500000000002</v>
      </c>
      <c r="H4" s="14">
        <v>1003.697</v>
      </c>
      <c r="I4" s="14">
        <v>1181.0920000000001</v>
      </c>
      <c r="J4" s="14">
        <v>1406.8019999999999</v>
      </c>
      <c r="K4" s="15">
        <v>1632.5830000000001</v>
      </c>
      <c r="L4" s="18">
        <v>1801</v>
      </c>
      <c r="M4" s="18"/>
      <c r="N4" s="18"/>
      <c r="O4" s="18"/>
      <c r="P4" s="18"/>
    </row>
    <row r="5" spans="1:16" x14ac:dyDescent="0.2">
      <c r="A5" t="s">
        <v>32</v>
      </c>
      <c r="B5" s="3">
        <v>108.639</v>
      </c>
      <c r="C5" s="3">
        <v>116.256</v>
      </c>
      <c r="D5" s="3">
        <v>128.56200000000001</v>
      </c>
      <c r="E5" s="3">
        <v>146.63900000000001</v>
      </c>
      <c r="F5" s="3">
        <v>174.53299999999999</v>
      </c>
      <c r="G5" s="3">
        <v>172.97</v>
      </c>
      <c r="H5" s="3">
        <v>192.934</v>
      </c>
      <c r="I5" s="3">
        <v>207.30699999999999</v>
      </c>
      <c r="J5" s="3">
        <v>215.96600000000001</v>
      </c>
      <c r="K5" s="16">
        <v>215.798</v>
      </c>
      <c r="L5" s="19"/>
      <c r="M5" s="19"/>
      <c r="N5" s="19"/>
      <c r="O5" s="19"/>
      <c r="P5" s="19"/>
    </row>
    <row r="6" spans="1:16" s="1" customFormat="1" ht="15.75" customHeight="1" x14ac:dyDescent="0.25">
      <c r="A6" s="1" t="s">
        <v>33</v>
      </c>
      <c r="B6" s="14">
        <f t="shared" ref="B6:P6" si="0">B4-B5</f>
        <v>499.71100000000001</v>
      </c>
      <c r="C6" s="14">
        <f t="shared" si="0"/>
        <v>518.08199999999999</v>
      </c>
      <c r="D6" s="14">
        <f t="shared" si="0"/>
        <v>549.572</v>
      </c>
      <c r="E6" s="14">
        <f t="shared" si="0"/>
        <v>578.87699999999995</v>
      </c>
      <c r="F6" s="14">
        <f t="shared" si="0"/>
        <v>652.98599999999999</v>
      </c>
      <c r="G6" s="14">
        <f t="shared" si="0"/>
        <v>710.88499999999999</v>
      </c>
      <c r="H6" s="14">
        <f t="shared" si="0"/>
        <v>810.76300000000003</v>
      </c>
      <c r="I6" s="14">
        <f t="shared" si="0"/>
        <v>973.78500000000008</v>
      </c>
      <c r="J6" s="14">
        <f t="shared" si="0"/>
        <v>1190.8359999999998</v>
      </c>
      <c r="K6" s="15">
        <f t="shared" si="0"/>
        <v>1416.7850000000001</v>
      </c>
      <c r="L6" s="18"/>
      <c r="M6" s="18"/>
      <c r="N6" s="18"/>
      <c r="O6" s="18"/>
      <c r="P6" s="18"/>
    </row>
    <row r="7" spans="1:16" x14ac:dyDescent="0.2">
      <c r="A7" t="s">
        <v>34</v>
      </c>
      <c r="B7" s="3">
        <v>197.363</v>
      </c>
      <c r="C7" s="3">
        <v>193.17699999999999</v>
      </c>
      <c r="D7" s="3">
        <v>196.809</v>
      </c>
      <c r="E7" s="3">
        <v>209.47399999999999</v>
      </c>
      <c r="F7" s="3">
        <v>288.29500000000002</v>
      </c>
      <c r="G7" s="3">
        <v>236.309</v>
      </c>
      <c r="H7" s="3">
        <v>243.78800000000001</v>
      </c>
      <c r="I7" s="3">
        <v>274.63600000000002</v>
      </c>
      <c r="J7" s="3">
        <v>302.12599999999998</v>
      </c>
      <c r="K7" s="16">
        <v>319.22000000000003</v>
      </c>
      <c r="L7" s="19"/>
      <c r="M7" s="19"/>
      <c r="N7" s="19"/>
      <c r="O7" s="19"/>
      <c r="P7" s="19"/>
    </row>
    <row r="8" spans="1:16" x14ac:dyDescent="0.2">
      <c r="A8" t="s">
        <v>35</v>
      </c>
      <c r="B8" s="3">
        <v>109.283</v>
      </c>
      <c r="C8" s="3">
        <v>110.04</v>
      </c>
      <c r="D8" s="3">
        <v>108.78100000000001</v>
      </c>
      <c r="E8" s="3">
        <v>117.55500000000001</v>
      </c>
      <c r="F8" s="3">
        <v>171.50200000000001</v>
      </c>
      <c r="G8" s="3">
        <v>134.88900000000001</v>
      </c>
      <c r="H8" s="3">
        <v>135.04300000000001</v>
      </c>
      <c r="I8" s="3">
        <v>144.191</v>
      </c>
      <c r="J8" s="3">
        <v>143.55600000000001</v>
      </c>
      <c r="K8" s="16">
        <v>160.98099999999999</v>
      </c>
      <c r="L8" s="19"/>
      <c r="M8" s="19"/>
      <c r="N8" s="19"/>
      <c r="O8" s="19"/>
      <c r="P8" s="19"/>
    </row>
    <row r="9" spans="1:16" x14ac:dyDescent="0.2">
      <c r="A9" t="s">
        <v>36</v>
      </c>
      <c r="B9" s="3">
        <v>127.271</v>
      </c>
      <c r="C9" s="3">
        <v>133.98400000000001</v>
      </c>
      <c r="D9" s="3">
        <v>138.643</v>
      </c>
      <c r="E9" s="3">
        <v>138.708</v>
      </c>
      <c r="F9" s="3">
        <v>182.14599999999999</v>
      </c>
      <c r="G9" s="3">
        <v>163.63900000000001</v>
      </c>
      <c r="H9" s="3">
        <v>162.61500000000001</v>
      </c>
      <c r="I9" s="3">
        <v>161.702</v>
      </c>
      <c r="J9" s="3">
        <v>169.762</v>
      </c>
      <c r="K9" s="16">
        <v>182.58600000000001</v>
      </c>
      <c r="L9" s="19"/>
      <c r="M9" s="19"/>
      <c r="N9" s="19"/>
      <c r="O9" s="19"/>
      <c r="P9" s="19"/>
    </row>
    <row r="10" spans="1:16" s="1" customFormat="1" ht="15.75" customHeight="1" x14ac:dyDescent="0.25">
      <c r="A10" s="1" t="s">
        <v>37</v>
      </c>
      <c r="B10" s="14">
        <f t="shared" ref="B10:P10" si="1">B6-B7-B8-B9</f>
        <v>65.793999999999997</v>
      </c>
      <c r="C10" s="14">
        <f t="shared" si="1"/>
        <v>80.880999999999943</v>
      </c>
      <c r="D10" s="14">
        <f t="shared" si="1"/>
        <v>105.33900000000003</v>
      </c>
      <c r="E10" s="14">
        <f t="shared" si="1"/>
        <v>113.13999999999996</v>
      </c>
      <c r="F10" s="14">
        <f t="shared" si="1"/>
        <v>11.042999999999978</v>
      </c>
      <c r="G10" s="14">
        <f t="shared" si="1"/>
        <v>176.048</v>
      </c>
      <c r="H10" s="14">
        <f t="shared" si="1"/>
        <v>269.31700000000001</v>
      </c>
      <c r="I10" s="14">
        <f t="shared" si="1"/>
        <v>393.25600000000009</v>
      </c>
      <c r="J10" s="14">
        <f t="shared" si="1"/>
        <v>575.39199999999983</v>
      </c>
      <c r="K10" s="15">
        <f t="shared" si="1"/>
        <v>753.99800000000005</v>
      </c>
      <c r="L10" s="18"/>
      <c r="M10" s="18"/>
      <c r="N10" s="18"/>
      <c r="O10" s="18"/>
      <c r="P10" s="18"/>
    </row>
    <row r="11" spans="1:16" x14ac:dyDescent="0.2">
      <c r="A11" t="s">
        <v>38</v>
      </c>
      <c r="B11" s="3">
        <v>44.545000000000002</v>
      </c>
      <c r="C11" s="3">
        <v>43.351999999999997</v>
      </c>
      <c r="D11" s="3">
        <v>46.593000000000004</v>
      </c>
      <c r="E11" s="3">
        <v>52.12</v>
      </c>
      <c r="F11" s="3">
        <v>54.726999999999997</v>
      </c>
      <c r="G11" s="3">
        <v>50.441000000000003</v>
      </c>
      <c r="H11" s="3">
        <v>56.255000000000003</v>
      </c>
      <c r="I11" s="3">
        <v>59.762</v>
      </c>
      <c r="J11" s="3">
        <v>62.722999999999999</v>
      </c>
      <c r="K11" s="16">
        <v>66.394000000000005</v>
      </c>
      <c r="L11" s="19"/>
      <c r="M11" s="19"/>
      <c r="N11" s="19"/>
      <c r="O11" s="19"/>
      <c r="P11" s="19"/>
    </row>
    <row r="12" spans="1:16" x14ac:dyDescent="0.2">
      <c r="A12" t="s">
        <v>39</v>
      </c>
      <c r="B12" s="3">
        <v>-0.13600000000000001</v>
      </c>
      <c r="C12" s="3">
        <v>-13.507</v>
      </c>
      <c r="D12" s="3">
        <v>-11.173</v>
      </c>
      <c r="E12" s="3">
        <v>-8.11</v>
      </c>
      <c r="F12" s="3">
        <v>14.768000000000001</v>
      </c>
      <c r="G12" s="3">
        <v>-3.173</v>
      </c>
      <c r="H12" s="3">
        <v>6.5960000000000001</v>
      </c>
      <c r="I12" s="3">
        <v>27.483000000000001</v>
      </c>
      <c r="J12" s="3">
        <v>-16.734000000000002</v>
      </c>
      <c r="K12" s="16">
        <v>68.209000000000003</v>
      </c>
      <c r="L12" s="19"/>
      <c r="M12" s="19"/>
      <c r="N12" s="19"/>
      <c r="O12" s="19"/>
      <c r="P12" s="19"/>
    </row>
    <row r="13" spans="1:16" s="1" customFormat="1" ht="15.75" customHeight="1" x14ac:dyDescent="0.25">
      <c r="A13" s="1" t="s">
        <v>40</v>
      </c>
      <c r="B13" s="14">
        <f t="shared" ref="B13:P13" si="2">B10+B11+B12</f>
        <v>110.203</v>
      </c>
      <c r="C13" s="14">
        <f t="shared" si="2"/>
        <v>110.72599999999994</v>
      </c>
      <c r="D13" s="14">
        <f t="shared" si="2"/>
        <v>140.75900000000001</v>
      </c>
      <c r="E13" s="14">
        <f t="shared" si="2"/>
        <v>157.14999999999998</v>
      </c>
      <c r="F13" s="14">
        <f t="shared" si="2"/>
        <v>80.537999999999982</v>
      </c>
      <c r="G13" s="14">
        <f t="shared" si="2"/>
        <v>223.316</v>
      </c>
      <c r="H13" s="14">
        <f t="shared" si="2"/>
        <v>332.16800000000001</v>
      </c>
      <c r="I13" s="14">
        <f t="shared" si="2"/>
        <v>480.50100000000009</v>
      </c>
      <c r="J13" s="14">
        <f t="shared" si="2"/>
        <v>621.38099999999974</v>
      </c>
      <c r="K13" s="15">
        <f t="shared" si="2"/>
        <v>888.60100000000011</v>
      </c>
      <c r="L13" s="18"/>
      <c r="M13" s="18"/>
      <c r="N13" s="18"/>
      <c r="O13" s="18"/>
      <c r="P13" s="18"/>
    </row>
    <row r="14" spans="1:16" x14ac:dyDescent="0.2">
      <c r="A14" t="s">
        <v>41</v>
      </c>
      <c r="B14" s="3">
        <v>9.3339999999999996</v>
      </c>
      <c r="C14" s="3">
        <v>4.6550000000000002</v>
      </c>
      <c r="D14" s="3">
        <v>5.1890000000000001</v>
      </c>
      <c r="E14" s="3">
        <v>7.8090000000000002</v>
      </c>
      <c r="F14" s="3">
        <v>3.6019999999999999</v>
      </c>
      <c r="G14" s="3">
        <v>5.5990000000000002</v>
      </c>
      <c r="H14" s="3">
        <v>3.5960000000000001</v>
      </c>
      <c r="I14" s="3">
        <v>3.7530000000000001</v>
      </c>
      <c r="J14" s="3">
        <v>9.7759999999999998</v>
      </c>
      <c r="K14" s="16">
        <v>12.199</v>
      </c>
      <c r="L14" s="19"/>
      <c r="M14" s="19"/>
      <c r="N14" s="19"/>
      <c r="O14" s="19"/>
      <c r="P14" s="19"/>
    </row>
    <row r="15" spans="1:16" x14ac:dyDescent="0.2">
      <c r="A15" t="s">
        <v>42</v>
      </c>
      <c r="B15" s="3">
        <f t="shared" ref="B15:P15" si="3">B13-B14</f>
        <v>100.869</v>
      </c>
      <c r="C15" s="3">
        <f t="shared" si="3"/>
        <v>106.07099999999994</v>
      </c>
      <c r="D15" s="3">
        <f t="shared" si="3"/>
        <v>135.57000000000002</v>
      </c>
      <c r="E15" s="3">
        <f t="shared" si="3"/>
        <v>149.34099999999998</v>
      </c>
      <c r="F15" s="3">
        <f t="shared" si="3"/>
        <v>76.935999999999979</v>
      </c>
      <c r="G15" s="3">
        <f t="shared" si="3"/>
        <v>217.71700000000001</v>
      </c>
      <c r="H15" s="3">
        <f t="shared" si="3"/>
        <v>328.572</v>
      </c>
      <c r="I15" s="3">
        <f t="shared" si="3"/>
        <v>476.7480000000001</v>
      </c>
      <c r="J15" s="3">
        <f t="shared" si="3"/>
        <v>611.60499999999979</v>
      </c>
      <c r="K15" s="16">
        <f t="shared" si="3"/>
        <v>876.40200000000016</v>
      </c>
      <c r="L15" s="19"/>
      <c r="M15" s="19"/>
      <c r="N15" s="19"/>
      <c r="O15" s="19"/>
      <c r="P15" s="19"/>
    </row>
    <row r="16" spans="1:16" x14ac:dyDescent="0.2">
      <c r="A16" t="s">
        <v>43</v>
      </c>
      <c r="B16" s="3">
        <v>3.5219999999999998</v>
      </c>
      <c r="C16" s="3">
        <v>0.54100000000000004</v>
      </c>
      <c r="D16" s="3">
        <v>1.444</v>
      </c>
      <c r="E16" s="3">
        <v>5.8159999999999998</v>
      </c>
      <c r="F16" s="3">
        <v>-2.073</v>
      </c>
      <c r="G16" s="3">
        <v>3.6859999999999999</v>
      </c>
      <c r="H16" s="3">
        <v>1.845</v>
      </c>
      <c r="I16" s="3">
        <v>1.149</v>
      </c>
      <c r="J16" s="3">
        <v>2.931</v>
      </c>
      <c r="K16" s="16">
        <v>5.875</v>
      </c>
      <c r="L16" s="19"/>
      <c r="M16" s="19"/>
      <c r="N16" s="19"/>
      <c r="O16" s="19"/>
      <c r="P16" s="19"/>
    </row>
    <row r="17" spans="1:16" s="1" customFormat="1" ht="15.75" customHeight="1" x14ac:dyDescent="0.25">
      <c r="A17" s="1" t="s">
        <v>44</v>
      </c>
      <c r="B17" s="14">
        <f t="shared" ref="B17:P17" si="4">B15-B16</f>
        <v>97.346999999999994</v>
      </c>
      <c r="C17" s="14">
        <f t="shared" si="4"/>
        <v>105.52999999999994</v>
      </c>
      <c r="D17" s="14">
        <f t="shared" si="4"/>
        <v>134.12600000000003</v>
      </c>
      <c r="E17" s="14">
        <f t="shared" si="4"/>
        <v>143.52499999999998</v>
      </c>
      <c r="F17" s="14">
        <f t="shared" si="4"/>
        <v>79.008999999999972</v>
      </c>
      <c r="G17" s="14">
        <f t="shared" si="4"/>
        <v>214.03100000000001</v>
      </c>
      <c r="H17" s="14">
        <f t="shared" si="4"/>
        <v>326.72699999999998</v>
      </c>
      <c r="I17" s="14">
        <f t="shared" si="4"/>
        <v>475.5990000000001</v>
      </c>
      <c r="J17" s="14">
        <f t="shared" si="4"/>
        <v>608.67399999999975</v>
      </c>
      <c r="K17" s="15">
        <f t="shared" si="4"/>
        <v>870.52700000000016</v>
      </c>
      <c r="L17" s="18"/>
      <c r="M17" s="18"/>
      <c r="N17" s="18"/>
      <c r="O17" s="18"/>
      <c r="P17" s="18"/>
    </row>
    <row r="18" spans="1:16" s="1" customFormat="1" ht="15.75" customHeight="1" x14ac:dyDescent="0.25">
      <c r="A18" s="21" t="s">
        <v>45</v>
      </c>
      <c r="B18" s="9">
        <f t="shared" ref="B18:P19" si="5">B$17/B20</f>
        <v>4.4507304726469382E-2</v>
      </c>
      <c r="C18" s="9">
        <f t="shared" si="5"/>
        <v>4.7674657619339089E-2</v>
      </c>
      <c r="D18" s="9">
        <f t="shared" si="5"/>
        <v>6.0103280527981827E-2</v>
      </c>
      <c r="E18" s="9">
        <f t="shared" si="5"/>
        <v>6.2269972054980659E-2</v>
      </c>
      <c r="F18" s="9">
        <f t="shared" si="5"/>
        <v>3.427896340074528E-2</v>
      </c>
      <c r="G18" s="9">
        <f t="shared" si="5"/>
        <v>9.1128246984794437E-2</v>
      </c>
      <c r="H18" s="9">
        <f t="shared" si="5"/>
        <v>0.13813950302638767</v>
      </c>
      <c r="I18" s="9">
        <f t="shared" si="5"/>
        <v>0.20006966275402616</v>
      </c>
      <c r="J18" s="9">
        <f t="shared" si="5"/>
        <v>0.25500564748309934</v>
      </c>
      <c r="K18" s="17">
        <f t="shared" si="5"/>
        <v>0.36364855386823597</v>
      </c>
      <c r="L18" s="20"/>
      <c r="M18" s="20"/>
      <c r="N18" s="20"/>
      <c r="O18" s="20"/>
      <c r="P18" s="20"/>
    </row>
    <row r="19" spans="1:16" s="1" customFormat="1" ht="15.75" customHeight="1" x14ac:dyDescent="0.25">
      <c r="A19" s="21" t="s">
        <v>46</v>
      </c>
      <c r="B19" s="9">
        <f t="shared" si="5"/>
        <v>4.1288232554706997E-2</v>
      </c>
      <c r="C19" s="9">
        <f t="shared" si="5"/>
        <v>4.3968873054409635E-2</v>
      </c>
      <c r="D19" s="9">
        <f t="shared" si="5"/>
        <v>5.5545708445286709E-2</v>
      </c>
      <c r="E19" s="9">
        <f t="shared" si="5"/>
        <v>5.6767864622535719E-2</v>
      </c>
      <c r="F19" s="9">
        <f t="shared" si="5"/>
        <v>3.1250111241678619E-2</v>
      </c>
      <c r="G19" s="9">
        <f t="shared" si="5"/>
        <v>8.3841072884945175E-2</v>
      </c>
      <c r="H19" s="9">
        <f t="shared" si="5"/>
        <v>0.1274827227778402</v>
      </c>
      <c r="I19" s="9">
        <f t="shared" si="5"/>
        <v>0.18498189655071831</v>
      </c>
      <c r="J19" s="9">
        <f t="shared" si="5"/>
        <v>0.23651630446820018</v>
      </c>
      <c r="K19" s="17">
        <f t="shared" si="5"/>
        <v>0.33860471954830257</v>
      </c>
      <c r="L19" s="20"/>
      <c r="M19" s="20"/>
      <c r="N19" s="20"/>
      <c r="O19" s="20"/>
      <c r="P19" s="20"/>
    </row>
    <row r="20" spans="1:16" s="1" customFormat="1" ht="15.75" customHeight="1" x14ac:dyDescent="0.25">
      <c r="A20" s="21" t="s">
        <v>47</v>
      </c>
      <c r="B20" s="3">
        <v>2187.2139999999999</v>
      </c>
      <c r="C20" s="3">
        <v>2213.5450000000001</v>
      </c>
      <c r="D20" s="3">
        <v>2231.5920000000001</v>
      </c>
      <c r="E20" s="3">
        <v>2304.8829999999998</v>
      </c>
      <c r="F20" s="3">
        <v>2304.8829999999998</v>
      </c>
      <c r="G20" s="3">
        <v>2348.6790000000001</v>
      </c>
      <c r="H20" s="3">
        <v>2365.1959999999999</v>
      </c>
      <c r="I20" s="3">
        <v>2377.1669999999999</v>
      </c>
      <c r="J20" s="3">
        <v>2386.904</v>
      </c>
      <c r="K20" s="16">
        <v>2393.8690000000001</v>
      </c>
      <c r="L20" s="19"/>
      <c r="M20" s="19"/>
      <c r="N20" s="19"/>
      <c r="O20" s="19"/>
      <c r="P20" s="19"/>
    </row>
    <row r="21" spans="1:16" s="1" customFormat="1" ht="15.75" customHeight="1" x14ac:dyDescent="0.25">
      <c r="A21" s="21" t="s">
        <v>48</v>
      </c>
      <c r="B21" s="3">
        <v>2357.7420000000002</v>
      </c>
      <c r="C21" s="3">
        <v>2400.107</v>
      </c>
      <c r="D21" s="3">
        <v>2414.6959999999999</v>
      </c>
      <c r="E21" s="3">
        <v>2528.279</v>
      </c>
      <c r="F21" s="3">
        <v>2528.279</v>
      </c>
      <c r="G21" s="3">
        <v>2552.8180000000002</v>
      </c>
      <c r="H21" s="3">
        <v>2562.9119999999998</v>
      </c>
      <c r="I21" s="3">
        <v>2571.0569999999998</v>
      </c>
      <c r="J21" s="3">
        <v>2573.4969999999998</v>
      </c>
      <c r="K21" s="16">
        <v>2570.924</v>
      </c>
      <c r="L21" s="19"/>
      <c r="M21" s="19"/>
      <c r="N21" s="19"/>
      <c r="O21" s="19"/>
      <c r="P21" s="19"/>
    </row>
    <row r="22" spans="1:16" s="1" customFormat="1" ht="15.75" customHeight="1" x14ac:dyDescent="0.25">
      <c r="A22" s="21"/>
      <c r="B22" s="3"/>
      <c r="C22" s="3"/>
      <c r="D22" s="3"/>
      <c r="E22" s="3"/>
      <c r="F22" s="3"/>
      <c r="G22" s="3"/>
      <c r="H22" s="3"/>
      <c r="I22" s="3"/>
      <c r="J22" s="3"/>
      <c r="K22" s="16"/>
      <c r="L22" s="19"/>
      <c r="M22" s="19"/>
      <c r="N22" s="19"/>
      <c r="O22" s="19"/>
      <c r="P22" s="19"/>
    </row>
    <row r="23" spans="1:16" s="1" customFormat="1" ht="15.75" customHeight="1" x14ac:dyDescent="0.25">
      <c r="A23" s="21" t="s">
        <v>79</v>
      </c>
      <c r="B23" s="3"/>
      <c r="C23" s="3"/>
      <c r="D23" s="3"/>
      <c r="E23" s="3"/>
      <c r="F23" s="6">
        <f>F4/B4</f>
        <v>1.360267937864716</v>
      </c>
      <c r="G23" s="6">
        <f t="shared" ref="G23:L23" si="6">G4/C4</f>
        <v>1.3933502328411669</v>
      </c>
      <c r="H23" s="6">
        <f t="shared" si="6"/>
        <v>1.4800865315704566</v>
      </c>
      <c r="I23" s="6">
        <f t="shared" si="6"/>
        <v>1.6279337740311726</v>
      </c>
      <c r="J23" s="6">
        <f t="shared" si="6"/>
        <v>1.7000238060999202</v>
      </c>
      <c r="K23" s="22">
        <f t="shared" si="6"/>
        <v>1.8471163256416494</v>
      </c>
      <c r="L23" s="6">
        <f t="shared" si="6"/>
        <v>1.7943662280548811</v>
      </c>
      <c r="M23" s="6">
        <f t="shared" ref="M23" si="7">M4/I4</f>
        <v>0</v>
      </c>
      <c r="N23" s="6">
        <f t="shared" ref="N23" si="8">N4/J4</f>
        <v>0</v>
      </c>
      <c r="O23" s="6">
        <f t="shared" ref="O23" si="9">O4/K4</f>
        <v>0</v>
      </c>
      <c r="P23" s="6">
        <f t="shared" ref="P23" si="10">P4/L4</f>
        <v>0</v>
      </c>
    </row>
    <row r="24" spans="1:16" s="1" customFormat="1" ht="15.75" customHeight="1" x14ac:dyDescent="0.25">
      <c r="A24" s="21"/>
      <c r="B24" s="3"/>
      <c r="C24" s="3"/>
      <c r="D24" s="3"/>
      <c r="E24" s="3"/>
      <c r="F24" s="3"/>
      <c r="G24" s="3"/>
      <c r="H24" s="3"/>
      <c r="I24" s="3"/>
      <c r="J24" s="3"/>
      <c r="K24" s="16"/>
      <c r="L24" s="19"/>
      <c r="M24" s="19"/>
      <c r="N24" s="19"/>
      <c r="O24" s="19"/>
      <c r="P24" s="19"/>
    </row>
    <row r="25" spans="1:16" s="1" customFormat="1" ht="15.75" customHeight="1" x14ac:dyDescent="0.25">
      <c r="A25" s="21" t="s">
        <v>70</v>
      </c>
      <c r="B25" s="3">
        <f>B10</f>
        <v>65.793999999999997</v>
      </c>
      <c r="C25" s="3">
        <f>C10</f>
        <v>80.880999999999943</v>
      </c>
      <c r="D25" s="3">
        <f>D10</f>
        <v>105.33900000000003</v>
      </c>
      <c r="E25" s="3">
        <f>E10</f>
        <v>113.13999999999996</v>
      </c>
      <c r="F25" s="3">
        <f>F10</f>
        <v>11.042999999999978</v>
      </c>
      <c r="G25" s="3">
        <f>G10</f>
        <v>176.048</v>
      </c>
      <c r="H25" s="3">
        <f>H10</f>
        <v>269.31700000000001</v>
      </c>
      <c r="I25" s="3">
        <f>I10</f>
        <v>393.25600000000009</v>
      </c>
      <c r="J25" s="3">
        <f>J10</f>
        <v>575.39199999999983</v>
      </c>
      <c r="K25" s="16">
        <f>K10</f>
        <v>753.99800000000005</v>
      </c>
      <c r="L25" s="3">
        <f>L10</f>
        <v>0</v>
      </c>
      <c r="M25" s="3">
        <f t="shared" ref="M25:P25" si="11">M10</f>
        <v>0</v>
      </c>
      <c r="N25" s="3">
        <f t="shared" si="11"/>
        <v>0</v>
      </c>
      <c r="O25" s="3">
        <f t="shared" si="11"/>
        <v>0</v>
      </c>
      <c r="P25" s="3">
        <f t="shared" si="11"/>
        <v>0</v>
      </c>
    </row>
    <row r="26" spans="1:16" s="1" customFormat="1" ht="15.75" customHeight="1" x14ac:dyDescent="0.25">
      <c r="A26" s="21" t="s">
        <v>71</v>
      </c>
      <c r="B26" s="3">
        <f>B25+B11-B14-B16</f>
        <v>97.48299999999999</v>
      </c>
      <c r="C26" s="3">
        <f>C25+C11-C14-C16</f>
        <v>119.03699999999995</v>
      </c>
      <c r="D26" s="3">
        <f>D25+D11-D14-D16</f>
        <v>145.29900000000004</v>
      </c>
      <c r="E26" s="3">
        <f>E25+E11-E14-E16</f>
        <v>151.63499999999996</v>
      </c>
      <c r="F26" s="3">
        <f>F25+F11-F14-F16</f>
        <v>64.240999999999985</v>
      </c>
      <c r="G26" s="3">
        <f>G25+G11-G14-G16</f>
        <v>217.20400000000001</v>
      </c>
      <c r="H26" s="3">
        <f>H25+H11-H14-H16</f>
        <v>320.13099999999997</v>
      </c>
      <c r="I26" s="3">
        <f>I25+I11-I14-I16</f>
        <v>448.1160000000001</v>
      </c>
      <c r="J26" s="3">
        <f>J25+J11-J14-J16</f>
        <v>625.40799999999979</v>
      </c>
      <c r="K26" s="16">
        <f>K25+K11-K14-K16</f>
        <v>802.3180000000001</v>
      </c>
      <c r="L26" s="3">
        <f>L25+L11-L14-L16</f>
        <v>0</v>
      </c>
      <c r="M26" s="3">
        <f>M25+M11-M14-M16</f>
        <v>0</v>
      </c>
      <c r="N26" s="3">
        <f>N25+N11-N14-N16</f>
        <v>0</v>
      </c>
      <c r="O26" s="3">
        <f>O25+O11-O14-O16</f>
        <v>0</v>
      </c>
      <c r="P26" s="3">
        <f>P25+P11-P14-P16</f>
        <v>0</v>
      </c>
    </row>
    <row r="27" spans="1:16" s="1" customFormat="1" ht="15.75" customHeight="1" x14ac:dyDescent="0.25">
      <c r="A27" s="21" t="s">
        <v>72</v>
      </c>
      <c r="B27" s="9">
        <f>B26/B21</f>
        <v>4.1345914862610064E-2</v>
      </c>
      <c r="C27" s="9">
        <f>C26/C21</f>
        <v>4.9596538820977545E-2</v>
      </c>
      <c r="D27" s="9">
        <f>D26/D21</f>
        <v>6.0172791937370185E-2</v>
      </c>
      <c r="E27" s="9">
        <f>E26/E21</f>
        <v>5.9975580226707563E-2</v>
      </c>
      <c r="F27" s="9">
        <f>F26/F21</f>
        <v>2.5408983739531904E-2</v>
      </c>
      <c r="G27" s="9">
        <f>G26/G21</f>
        <v>8.5084013039707487E-2</v>
      </c>
      <c r="H27" s="9">
        <f>H26/H21</f>
        <v>0.12490908778764155</v>
      </c>
      <c r="I27" s="9">
        <f>I26/I21</f>
        <v>0.17429251860227141</v>
      </c>
      <c r="J27" s="9">
        <f>J26/J21</f>
        <v>0.24301874064745357</v>
      </c>
      <c r="K27" s="17">
        <f>K26/K21</f>
        <v>0.31207379136839519</v>
      </c>
      <c r="L27" s="9" t="e">
        <f>L26/L21</f>
        <v>#DIV/0!</v>
      </c>
      <c r="M27" s="9" t="e">
        <f>M26/M21</f>
        <v>#DIV/0!</v>
      </c>
      <c r="N27" s="9" t="e">
        <f>N26/N21</f>
        <v>#DIV/0!</v>
      </c>
      <c r="O27" s="9" t="e">
        <f>O26/O21</f>
        <v>#DIV/0!</v>
      </c>
      <c r="P27" s="9" t="e">
        <f>P26/P21</f>
        <v>#DIV/0!</v>
      </c>
    </row>
    <row r="28" spans="1:16" s="1" customFormat="1" ht="15.75" customHeight="1" x14ac:dyDescent="0.25">
      <c r="A28" s="21"/>
      <c r="B28" s="3"/>
      <c r="C28" s="3"/>
      <c r="D28" s="3"/>
      <c r="E28" s="3"/>
      <c r="F28" s="3"/>
      <c r="G28" s="3"/>
      <c r="H28" s="3"/>
      <c r="I28" s="3"/>
      <c r="J28" s="3"/>
      <c r="K28" s="16"/>
      <c r="L28" s="19"/>
      <c r="M28" s="19"/>
      <c r="N28" s="19"/>
      <c r="O28" s="19"/>
      <c r="P28" s="19"/>
    </row>
    <row r="29" spans="1:16" s="1" customFormat="1" ht="15.75" customHeight="1" x14ac:dyDescent="0.25">
      <c r="A29" s="21" t="s">
        <v>73</v>
      </c>
      <c r="B29" s="6">
        <f>B6/B4</f>
        <v>0.82142023506205308</v>
      </c>
      <c r="C29" s="6">
        <f>C6/C4</f>
        <v>0.81672862101907817</v>
      </c>
      <c r="D29" s="6">
        <f>D6/D4</f>
        <v>0.81041799998230435</v>
      </c>
      <c r="E29" s="6">
        <f>E6/E4</f>
        <v>0.79788316177727303</v>
      </c>
      <c r="F29" s="6">
        <f>F6/F4</f>
        <v>0.7890888305887841</v>
      </c>
      <c r="G29" s="6">
        <f>G6/G4</f>
        <v>0.8043004791509919</v>
      </c>
      <c r="H29" s="6">
        <f>H6/H4</f>
        <v>0.80777664972596319</v>
      </c>
      <c r="I29" s="6">
        <f>I6/I4</f>
        <v>0.82447853342499988</v>
      </c>
      <c r="J29" s="6">
        <f>J6/J4</f>
        <v>0.84648443775314497</v>
      </c>
      <c r="K29" s="22">
        <f>K6/K4</f>
        <v>0.86781805274218826</v>
      </c>
      <c r="L29" s="6">
        <v>0.874</v>
      </c>
      <c r="M29" s="6">
        <v>0.874</v>
      </c>
      <c r="N29" s="6">
        <v>0.874</v>
      </c>
      <c r="O29" s="6">
        <v>0.874</v>
      </c>
      <c r="P29" s="6">
        <v>0.874</v>
      </c>
    </row>
    <row r="30" spans="1:16" s="1" customFormat="1" ht="15.75" customHeight="1" x14ac:dyDescent="0.25">
      <c r="A30" s="21" t="s">
        <v>74</v>
      </c>
      <c r="B30" s="6">
        <f>B25/B4</f>
        <v>0.10815155749157557</v>
      </c>
      <c r="C30" s="6">
        <f>C25/C4</f>
        <v>0.12750457957744915</v>
      </c>
      <c r="D30" s="6">
        <f>D25/D4</f>
        <v>0.15533655590193093</v>
      </c>
      <c r="E30" s="6">
        <f>E25/E4</f>
        <v>0.15594418317445785</v>
      </c>
      <c r="F30" s="6">
        <f>F25/F4</f>
        <v>1.3344708701552445E-2</v>
      </c>
      <c r="G30" s="6">
        <f>G25/G4</f>
        <v>0.19918199252139773</v>
      </c>
      <c r="H30" s="6">
        <f>H25/H4</f>
        <v>0.26832500246588364</v>
      </c>
      <c r="I30" s="6">
        <f>I25/I4</f>
        <v>0.33295966783281916</v>
      </c>
      <c r="J30" s="6">
        <f>J25/J4</f>
        <v>0.4090070955258806</v>
      </c>
      <c r="K30" s="22">
        <f>K25/K4</f>
        <v>0.46184359386322166</v>
      </c>
      <c r="L30" s="6">
        <f>L25/L4</f>
        <v>0</v>
      </c>
      <c r="M30" s="6" t="e">
        <f>M25/M4</f>
        <v>#DIV/0!</v>
      </c>
      <c r="N30" s="6" t="e">
        <f>N25/N4</f>
        <v>#DIV/0!</v>
      </c>
      <c r="O30" s="6" t="e">
        <f>O25/O4</f>
        <v>#DIV/0!</v>
      </c>
      <c r="P30" s="6" t="e">
        <f>P25/P4</f>
        <v>#DIV/0!</v>
      </c>
    </row>
    <row r="31" spans="1:16" s="1" customFormat="1" ht="15.75" customHeight="1" x14ac:dyDescent="0.25">
      <c r="A31" s="21" t="s">
        <v>75</v>
      </c>
      <c r="B31" s="6">
        <f>B26/B4</f>
        <v>0.16024163721541873</v>
      </c>
      <c r="C31" s="6">
        <f>C26/C4</f>
        <v>0.18765547704851349</v>
      </c>
      <c r="D31" s="6">
        <f>D26/D4</f>
        <v>0.21426296277726825</v>
      </c>
      <c r="E31" s="6">
        <f>E26/E4</f>
        <v>0.20900297167808837</v>
      </c>
      <c r="F31" s="6">
        <f>F26/F4</f>
        <v>7.7630845938280554E-2</v>
      </c>
      <c r="G31" s="6">
        <f>G26/G4</f>
        <v>0.24574619140017312</v>
      </c>
      <c r="H31" s="6">
        <f>H26/H4</f>
        <v>0.31895183506576186</v>
      </c>
      <c r="I31" s="6">
        <f>I26/I4</f>
        <v>0.37940820867468417</v>
      </c>
      <c r="J31" s="6">
        <f>J26/J4</f>
        <v>0.44456007313040485</v>
      </c>
      <c r="K31" s="22">
        <f>K26/K4</f>
        <v>0.49144086395607456</v>
      </c>
      <c r="L31" s="6">
        <f>L26/L4</f>
        <v>0</v>
      </c>
      <c r="M31" s="6" t="e">
        <f>M26/M4</f>
        <v>#DIV/0!</v>
      </c>
      <c r="N31" s="6" t="e">
        <f>N26/N4</f>
        <v>#DIV/0!</v>
      </c>
      <c r="O31" s="6" t="e">
        <f>O26/O4</f>
        <v>#DIV/0!</v>
      </c>
      <c r="P31" s="6" t="e">
        <f>P26/P4</f>
        <v>#DIV/0!</v>
      </c>
    </row>
    <row r="32" spans="1:16" x14ac:dyDescent="0.2">
      <c r="B32" s="3"/>
      <c r="C32" s="3"/>
      <c r="D32" s="3"/>
      <c r="E32" s="3"/>
      <c r="F32" s="3"/>
      <c r="G32" s="3"/>
      <c r="H32" s="3"/>
      <c r="I32" s="3"/>
      <c r="J32" s="3"/>
      <c r="K32" s="16"/>
      <c r="L32" s="19"/>
      <c r="M32" s="19"/>
      <c r="N32" s="19"/>
      <c r="O32" s="19"/>
      <c r="P32" s="19"/>
    </row>
    <row r="33" spans="1:16" x14ac:dyDescent="0.2">
      <c r="A33" s="21" t="s">
        <v>76</v>
      </c>
      <c r="B33" s="6">
        <f>B7/B4</f>
        <v>0.32442344045368621</v>
      </c>
      <c r="C33" s="6">
        <f>C7/C4</f>
        <v>0.30453322991843468</v>
      </c>
      <c r="D33" s="6">
        <f>D7/D4</f>
        <v>0.29022140166987642</v>
      </c>
      <c r="E33" s="6">
        <f>E7/E4</f>
        <v>0.28872416321624883</v>
      </c>
      <c r="F33" s="6">
        <f>F7/F4</f>
        <v>0.34838475007824593</v>
      </c>
      <c r="G33" s="6">
        <f>G7/G4</f>
        <v>0.26736172788523005</v>
      </c>
      <c r="H33" s="6">
        <f>H7/H4</f>
        <v>0.24289003553861377</v>
      </c>
      <c r="I33" s="6">
        <f>I7/I4</f>
        <v>0.23252718670518469</v>
      </c>
      <c r="J33" s="6">
        <f>J7/J4</f>
        <v>0.21476085476136655</v>
      </c>
      <c r="K33" s="22">
        <f>K7/K4</f>
        <v>0.19553064070861942</v>
      </c>
      <c r="L33" s="6">
        <v>0.18</v>
      </c>
      <c r="M33" s="6">
        <v>0.18</v>
      </c>
      <c r="N33" s="6">
        <v>0.18</v>
      </c>
      <c r="O33" s="6">
        <v>0.18</v>
      </c>
      <c r="P33" s="6">
        <v>0.18</v>
      </c>
    </row>
    <row r="34" spans="1:16" x14ac:dyDescent="0.2">
      <c r="A34" s="21" t="s">
        <v>77</v>
      </c>
      <c r="B34" s="6"/>
      <c r="C34" s="6"/>
      <c r="D34" s="6"/>
      <c r="E34" s="6"/>
      <c r="F34" s="6">
        <f>F8/B8-1</f>
        <v>0.56933832343548407</v>
      </c>
      <c r="G34" s="6">
        <f>G8/C8-1</f>
        <v>0.22581788440567063</v>
      </c>
      <c r="H34" s="6">
        <f>H8/D8-1</f>
        <v>0.24142083635929068</v>
      </c>
      <c r="I34" s="6">
        <f>I8/E8-1</f>
        <v>0.22658330143337158</v>
      </c>
      <c r="J34" s="6">
        <f>J8/F8-1</f>
        <v>-0.16294853704329981</v>
      </c>
      <c r="K34" s="22">
        <f>K8/G8-1</f>
        <v>0.19343311908309779</v>
      </c>
      <c r="L34" s="6">
        <v>0.22</v>
      </c>
      <c r="M34" s="6">
        <v>0.21</v>
      </c>
      <c r="N34" s="6">
        <v>0.2</v>
      </c>
      <c r="O34" s="6">
        <v>0.2</v>
      </c>
      <c r="P34" s="6">
        <v>0.2</v>
      </c>
    </row>
    <row r="35" spans="1:16" x14ac:dyDescent="0.2">
      <c r="A35" s="21" t="s">
        <v>78</v>
      </c>
      <c r="B35" s="6"/>
      <c r="C35" s="6"/>
      <c r="D35" s="6"/>
      <c r="E35" s="6"/>
      <c r="F35" s="6">
        <f>F9/B9-1</f>
        <v>0.43116656583196478</v>
      </c>
      <c r="G35" s="6">
        <f>G9/C9-1</f>
        <v>0.22133239789825643</v>
      </c>
      <c r="H35" s="6">
        <f>H9/D9-1</f>
        <v>0.17290451014476038</v>
      </c>
      <c r="I35" s="6">
        <f>I9/E9-1</f>
        <v>0.16577270236756347</v>
      </c>
      <c r="J35" s="6">
        <f>J9/F9-1</f>
        <v>-6.7989415084602434E-2</v>
      </c>
      <c r="K35" s="22">
        <f>K9/G9-1</f>
        <v>0.11578535679147395</v>
      </c>
      <c r="L35" s="6">
        <v>0.15</v>
      </c>
      <c r="M35" s="6">
        <v>0.15</v>
      </c>
      <c r="N35" s="6">
        <v>0.15</v>
      </c>
      <c r="O35" s="6">
        <v>0.15</v>
      </c>
      <c r="P35" s="6">
        <v>0.15</v>
      </c>
    </row>
    <row r="36" spans="1:16" x14ac:dyDescent="0.2">
      <c r="B36" s="3"/>
      <c r="C36" s="3"/>
      <c r="D36" s="3"/>
      <c r="E36" s="3"/>
      <c r="F36" s="3"/>
      <c r="G36" s="3"/>
      <c r="H36" s="3"/>
      <c r="I36" s="3"/>
      <c r="J36" s="3"/>
      <c r="K36" s="16"/>
      <c r="L36" s="19"/>
      <c r="M36" s="19"/>
      <c r="N36" s="19"/>
      <c r="O36" s="19"/>
      <c r="P36" s="19"/>
    </row>
    <row r="37" spans="1:16" x14ac:dyDescent="0.2">
      <c r="B37" s="3"/>
      <c r="C37" s="3"/>
      <c r="D37" s="3"/>
      <c r="E37" s="3"/>
      <c r="F37" s="3"/>
      <c r="G37" s="3"/>
      <c r="H37" s="3"/>
      <c r="I37" s="3"/>
      <c r="J37" s="3"/>
      <c r="K37" s="16"/>
      <c r="L37" s="19"/>
      <c r="M37" s="19"/>
      <c r="N37" s="19"/>
      <c r="O37" s="19"/>
      <c r="P37" s="19"/>
    </row>
    <row r="38" spans="1:16" x14ac:dyDescent="0.2">
      <c r="A38" t="s">
        <v>3</v>
      </c>
      <c r="B38" s="3">
        <v>831.04700000000003</v>
      </c>
      <c r="C38" s="3">
        <v>520.38800000000003</v>
      </c>
      <c r="D38" s="3">
        <v>512.65899999999999</v>
      </c>
      <c r="E38" s="3">
        <v>768.71</v>
      </c>
      <c r="F38" s="3">
        <v>2098.5239999999999</v>
      </c>
      <c r="G38" s="3">
        <v>993.46400000000006</v>
      </c>
      <c r="H38" s="3">
        <v>929.54700000000003</v>
      </c>
      <c r="I38" s="3">
        <v>1615.9670000000001</v>
      </c>
      <c r="J38" s="3">
        <v>1423.796</v>
      </c>
      <c r="K38" s="16">
        <v>2291.6309999999999</v>
      </c>
      <c r="L38" s="19"/>
      <c r="M38" s="19"/>
      <c r="N38" s="19"/>
      <c r="O38" s="19"/>
      <c r="P38" s="19"/>
    </row>
    <row r="39" spans="1:16" x14ac:dyDescent="0.2">
      <c r="A39" t="s">
        <v>49</v>
      </c>
      <c r="B39" s="3">
        <v>2843.1320000000001</v>
      </c>
      <c r="C39" s="3">
        <v>3347.5120000000002</v>
      </c>
      <c r="D39" s="3">
        <v>3485.8</v>
      </c>
      <c r="E39" s="3">
        <v>3795.9490000000001</v>
      </c>
      <c r="F39" s="3">
        <v>3131.4630000000002</v>
      </c>
      <c r="G39" s="3">
        <v>4437.2250000000004</v>
      </c>
      <c r="H39" s="3">
        <v>5070.875</v>
      </c>
      <c r="I39" s="3">
        <v>4821.8500000000004</v>
      </c>
      <c r="J39" s="3">
        <v>5753.2470000000003</v>
      </c>
      <c r="K39" s="16">
        <v>5734.7820000000002</v>
      </c>
      <c r="L39" s="19"/>
      <c r="M39" s="19"/>
      <c r="N39" s="19"/>
      <c r="O39" s="19"/>
      <c r="P39" s="19"/>
    </row>
    <row r="40" spans="1:16" x14ac:dyDescent="0.2">
      <c r="A40" t="s">
        <v>50</v>
      </c>
      <c r="B40" s="3">
        <v>364.78399999999999</v>
      </c>
      <c r="C40" s="3">
        <v>486.98599999999999</v>
      </c>
      <c r="D40" s="3">
        <v>659.33900000000006</v>
      </c>
      <c r="E40" s="3">
        <v>668.11</v>
      </c>
      <c r="F40" s="3">
        <v>575.048</v>
      </c>
      <c r="G40" s="3">
        <v>725.20500000000004</v>
      </c>
      <c r="H40" s="3">
        <v>747.48400000000004</v>
      </c>
      <c r="I40" s="3">
        <v>1005.91</v>
      </c>
      <c r="J40" s="3">
        <v>1042.0650000000001</v>
      </c>
      <c r="K40" s="16">
        <v>1405.588</v>
      </c>
      <c r="L40" s="19"/>
      <c r="M40" s="19"/>
      <c r="N40" s="19"/>
      <c r="O40" s="19"/>
      <c r="P40" s="19"/>
    </row>
    <row r="41" spans="1:16" x14ac:dyDescent="0.2">
      <c r="A41" t="s">
        <v>51</v>
      </c>
      <c r="B41" s="3">
        <v>99.655000000000001</v>
      </c>
      <c r="C41" s="3">
        <v>81.177999999999997</v>
      </c>
      <c r="D41" s="3">
        <v>115.712</v>
      </c>
      <c r="E41" s="3">
        <v>119.193</v>
      </c>
      <c r="F41" s="3">
        <v>129.25399999999999</v>
      </c>
      <c r="G41" s="3">
        <v>126.705</v>
      </c>
      <c r="H41" s="3">
        <v>142.48699999999999</v>
      </c>
      <c r="I41" s="3">
        <v>142.429</v>
      </c>
      <c r="J41" s="3">
        <v>139.066</v>
      </c>
      <c r="K41" s="16">
        <v>119.703</v>
      </c>
      <c r="L41" s="19"/>
      <c r="M41" s="19"/>
      <c r="N41" s="19"/>
      <c r="O41" s="19"/>
      <c r="P41" s="19"/>
    </row>
    <row r="42" spans="1:16" s="1" customFormat="1" ht="15.75" customHeight="1" x14ac:dyDescent="0.25">
      <c r="A42" s="1" t="s">
        <v>52</v>
      </c>
      <c r="B42" s="14">
        <f t="shared" ref="B42:P42" si="12">SUM(B38:B41)</f>
        <v>4138.6180000000004</v>
      </c>
      <c r="C42" s="14">
        <f t="shared" si="12"/>
        <v>4436.0640000000003</v>
      </c>
      <c r="D42" s="14">
        <f t="shared" si="12"/>
        <v>4773.5100000000011</v>
      </c>
      <c r="E42" s="14">
        <f t="shared" si="12"/>
        <v>5351.9619999999995</v>
      </c>
      <c r="F42" s="14">
        <f t="shared" si="12"/>
        <v>5934.2889999999998</v>
      </c>
      <c r="G42" s="14">
        <f t="shared" si="12"/>
        <v>6282.5990000000002</v>
      </c>
      <c r="H42" s="14">
        <f t="shared" si="12"/>
        <v>6890.3930000000009</v>
      </c>
      <c r="I42" s="14">
        <f t="shared" si="12"/>
        <v>7586.1560000000009</v>
      </c>
      <c r="J42" s="14">
        <f t="shared" si="12"/>
        <v>8358.1740000000009</v>
      </c>
      <c r="K42" s="15">
        <f t="shared" si="12"/>
        <v>9551.7039999999997</v>
      </c>
      <c r="L42" s="18">
        <f t="shared" si="12"/>
        <v>0</v>
      </c>
      <c r="M42" s="18">
        <f t="shared" si="12"/>
        <v>0</v>
      </c>
      <c r="N42" s="18">
        <f t="shared" si="12"/>
        <v>0</v>
      </c>
      <c r="O42" s="18">
        <f t="shared" si="12"/>
        <v>0</v>
      </c>
      <c r="P42" s="18">
        <f t="shared" si="12"/>
        <v>0</v>
      </c>
    </row>
    <row r="43" spans="1:16" x14ac:dyDescent="0.2">
      <c r="A43" t="s">
        <v>53</v>
      </c>
      <c r="B43" s="3">
        <v>47.758000000000003</v>
      </c>
      <c r="C43" s="3">
        <v>46.905999999999999</v>
      </c>
      <c r="D43" s="3">
        <v>43.482999999999997</v>
      </c>
      <c r="E43" s="3">
        <v>40.344999999999999</v>
      </c>
      <c r="F43" s="3">
        <v>39.637999999999998</v>
      </c>
      <c r="G43" s="3">
        <v>39.668999999999997</v>
      </c>
      <c r="H43" s="3">
        <v>43.523000000000003</v>
      </c>
      <c r="I43" s="3">
        <v>45.706000000000003</v>
      </c>
      <c r="J43" s="3">
        <v>51.96</v>
      </c>
      <c r="K43" s="16">
        <v>55.725999999999999</v>
      </c>
      <c r="L43" s="19"/>
      <c r="M43" s="19"/>
      <c r="N43" s="19"/>
      <c r="O43" s="19"/>
      <c r="P43" s="19"/>
    </row>
    <row r="44" spans="1:16" x14ac:dyDescent="0.2">
      <c r="A44" t="s">
        <v>54</v>
      </c>
      <c r="B44" s="3">
        <v>182.863</v>
      </c>
      <c r="C44" s="3">
        <v>173.70699999999999</v>
      </c>
      <c r="D44" s="3">
        <v>213.453</v>
      </c>
      <c r="E44" s="3">
        <v>211.57</v>
      </c>
      <c r="F44" s="3">
        <v>200.74</v>
      </c>
      <c r="G44" s="3">
        <v>209.34800000000001</v>
      </c>
      <c r="H44" s="3">
        <v>203.47399999999999</v>
      </c>
      <c r="I44" s="3">
        <v>204.315</v>
      </c>
      <c r="J44" s="3">
        <v>200.10499999999999</v>
      </c>
      <c r="K44" s="16">
        <v>228.98</v>
      </c>
      <c r="L44" s="19"/>
      <c r="M44" s="19"/>
      <c r="N44" s="19"/>
      <c r="O44" s="19"/>
      <c r="P44" s="19"/>
    </row>
    <row r="45" spans="1:16" x14ac:dyDescent="0.2">
      <c r="A45" t="s">
        <v>39</v>
      </c>
      <c r="B45" s="3">
        <v>153.18600000000001</v>
      </c>
      <c r="C45" s="3">
        <v>150.40199999999999</v>
      </c>
      <c r="D45" s="3">
        <v>161.434</v>
      </c>
      <c r="E45" s="3">
        <v>164.22</v>
      </c>
      <c r="F45" s="3">
        <v>166.21700000000001</v>
      </c>
      <c r="G45" s="3">
        <v>205.30099999999999</v>
      </c>
      <c r="H45" s="3">
        <v>228.298</v>
      </c>
      <c r="I45" s="3">
        <v>277.78300000000002</v>
      </c>
      <c r="J45" s="3">
        <v>290.15300000000002</v>
      </c>
      <c r="K45" s="16">
        <v>362.77300000000002</v>
      </c>
      <c r="L45" s="19"/>
      <c r="M45" s="19"/>
      <c r="N45" s="19"/>
      <c r="O45" s="19"/>
      <c r="P45" s="19"/>
    </row>
    <row r="46" spans="1:16" s="1" customFormat="1" ht="15.75" customHeight="1" x14ac:dyDescent="0.25">
      <c r="A46" s="1" t="s">
        <v>55</v>
      </c>
      <c r="B46" s="14">
        <f t="shared" ref="B46:P46" si="13">SUM(B42:B45)</f>
        <v>4522.4250000000002</v>
      </c>
      <c r="C46" s="14">
        <f t="shared" si="13"/>
        <v>4807.0790000000006</v>
      </c>
      <c r="D46" s="14">
        <f t="shared" si="13"/>
        <v>5191.8800000000019</v>
      </c>
      <c r="E46" s="14">
        <f t="shared" si="13"/>
        <v>5768.0969999999998</v>
      </c>
      <c r="F46" s="14">
        <f t="shared" si="13"/>
        <v>6340.8839999999991</v>
      </c>
      <c r="G46" s="14">
        <f t="shared" si="13"/>
        <v>6736.9170000000004</v>
      </c>
      <c r="H46" s="14">
        <f t="shared" si="13"/>
        <v>7365.688000000001</v>
      </c>
      <c r="I46" s="14">
        <f t="shared" si="13"/>
        <v>8113.9600000000009</v>
      </c>
      <c r="J46" s="14">
        <f t="shared" si="13"/>
        <v>8900.3919999999998</v>
      </c>
      <c r="K46" s="15">
        <f t="shared" si="13"/>
        <v>10199.182999999999</v>
      </c>
      <c r="L46" s="18">
        <f t="shared" si="13"/>
        <v>0</v>
      </c>
      <c r="M46" s="18">
        <f t="shared" si="13"/>
        <v>0</v>
      </c>
      <c r="N46" s="18">
        <f t="shared" si="13"/>
        <v>0</v>
      </c>
      <c r="O46" s="18">
        <f t="shared" si="13"/>
        <v>0</v>
      </c>
      <c r="P46" s="18">
        <f t="shared" si="13"/>
        <v>0</v>
      </c>
    </row>
    <row r="47" spans="1:16" x14ac:dyDescent="0.2">
      <c r="A47" t="s">
        <v>56</v>
      </c>
      <c r="B47" s="3">
        <f>12.122+222.991</f>
        <v>235.113</v>
      </c>
      <c r="C47" s="3">
        <f>35.634+206.034</f>
        <v>241.66800000000001</v>
      </c>
      <c r="D47" s="3">
        <f>67.345+195.489</f>
        <v>262.834</v>
      </c>
      <c r="E47" s="3">
        <f>27.021+265.244</f>
        <v>292.26500000000004</v>
      </c>
      <c r="F47" s="3">
        <f>0.103+427.046</f>
        <v>427.149</v>
      </c>
      <c r="G47" s="3">
        <f>2.33+371.061</f>
        <v>373.39099999999996</v>
      </c>
      <c r="H47" s="3">
        <f>10.774+393.623</f>
        <v>404.39699999999999</v>
      </c>
      <c r="I47" s="3">
        <f>67.503+381.737</f>
        <v>449.24</v>
      </c>
      <c r="J47" s="3">
        <v>409.55200000000002</v>
      </c>
      <c r="K47" s="16">
        <v>495.96199999999999</v>
      </c>
      <c r="L47" s="19"/>
      <c r="M47" s="19"/>
      <c r="N47" s="19"/>
      <c r="O47" s="19"/>
      <c r="P47" s="19"/>
    </row>
    <row r="48" spans="1:16" x14ac:dyDescent="0.2">
      <c r="A48" t="s">
        <v>57</v>
      </c>
      <c r="B48" s="3">
        <v>246.90100000000001</v>
      </c>
      <c r="C48" s="3">
        <v>237.19499999999999</v>
      </c>
      <c r="D48" s="3">
        <v>278.44099999999997</v>
      </c>
      <c r="E48" s="3">
        <v>236.608</v>
      </c>
      <c r="F48" s="3">
        <v>259.62400000000002</v>
      </c>
      <c r="G48" s="3">
        <v>318.55599999999998</v>
      </c>
      <c r="H48" s="3">
        <v>376.78399999999999</v>
      </c>
      <c r="I48" s="3">
        <v>316.72199999999998</v>
      </c>
      <c r="J48" s="3">
        <v>408.96300000000002</v>
      </c>
      <c r="K48" s="16">
        <v>516.86800000000005</v>
      </c>
      <c r="L48" s="19"/>
      <c r="M48" s="19"/>
      <c r="N48" s="19"/>
      <c r="O48" s="19"/>
      <c r="P48" s="19"/>
    </row>
    <row r="49" spans="1:16" x14ac:dyDescent="0.2">
      <c r="A49" t="s">
        <v>58</v>
      </c>
      <c r="B49" s="3">
        <v>209.828</v>
      </c>
      <c r="C49" s="3">
        <v>217.63399999999999</v>
      </c>
      <c r="D49" s="3">
        <v>221.51900000000001</v>
      </c>
      <c r="E49" s="3">
        <v>366.94600000000003</v>
      </c>
      <c r="F49" s="3">
        <v>265.25200000000001</v>
      </c>
      <c r="G49" s="3">
        <v>231.077</v>
      </c>
      <c r="H49" s="3">
        <v>262.99400000000003</v>
      </c>
      <c r="I49" s="3">
        <v>368.17</v>
      </c>
      <c r="J49" s="3">
        <v>357.06599999999997</v>
      </c>
      <c r="K49" s="16">
        <v>370.11900000000003</v>
      </c>
      <c r="L49" s="19"/>
      <c r="M49" s="19"/>
      <c r="N49" s="19"/>
      <c r="O49" s="19"/>
      <c r="P49" s="19"/>
    </row>
    <row r="50" spans="1:16" x14ac:dyDescent="0.2">
      <c r="A50" t="s">
        <v>59</v>
      </c>
      <c r="B50" s="3">
        <v>54.176000000000002</v>
      </c>
      <c r="C50" s="3">
        <v>54.055999999999997</v>
      </c>
      <c r="D50" s="3">
        <v>44.125</v>
      </c>
      <c r="E50" s="3">
        <v>47.637</v>
      </c>
      <c r="F50" s="3">
        <v>43.993000000000002</v>
      </c>
      <c r="G50" s="3">
        <v>44.418999999999997</v>
      </c>
      <c r="H50" s="3">
        <v>45.465000000000003</v>
      </c>
      <c r="I50" s="3">
        <v>46.271000000000001</v>
      </c>
      <c r="J50" s="3">
        <v>0</v>
      </c>
      <c r="K50" s="16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</row>
    <row r="51" spans="1:16" s="1" customFormat="1" ht="15.75" customHeight="1" x14ac:dyDescent="0.25">
      <c r="A51" s="1" t="s">
        <v>60</v>
      </c>
      <c r="B51" s="14">
        <f t="shared" ref="B51:P51" si="14">SUM(B47:B50)</f>
        <v>746.01800000000003</v>
      </c>
      <c r="C51" s="14">
        <f t="shared" si="14"/>
        <v>750.553</v>
      </c>
      <c r="D51" s="14">
        <f t="shared" si="14"/>
        <v>806.91899999999998</v>
      </c>
      <c r="E51" s="14">
        <f t="shared" si="14"/>
        <v>943.45600000000013</v>
      </c>
      <c r="F51" s="14">
        <f t="shared" si="14"/>
        <v>996.01800000000014</v>
      </c>
      <c r="G51" s="14">
        <f t="shared" si="14"/>
        <v>967.44299999999987</v>
      </c>
      <c r="H51" s="14">
        <f t="shared" si="14"/>
        <v>1089.6400000000001</v>
      </c>
      <c r="I51" s="14">
        <f t="shared" si="14"/>
        <v>1180.403</v>
      </c>
      <c r="J51" s="14">
        <f t="shared" si="14"/>
        <v>1175.5810000000001</v>
      </c>
      <c r="K51" s="15">
        <f t="shared" si="14"/>
        <v>1382.9490000000001</v>
      </c>
      <c r="L51" s="18">
        <f t="shared" si="14"/>
        <v>0</v>
      </c>
      <c r="M51" s="18">
        <f t="shared" si="14"/>
        <v>0</v>
      </c>
      <c r="N51" s="18">
        <f t="shared" si="14"/>
        <v>0</v>
      </c>
      <c r="O51" s="18">
        <f t="shared" si="14"/>
        <v>0</v>
      </c>
      <c r="P51" s="18">
        <f t="shared" si="14"/>
        <v>0</v>
      </c>
    </row>
    <row r="52" spans="1:16" x14ac:dyDescent="0.2">
      <c r="A52" t="s">
        <v>57</v>
      </c>
      <c r="B52" s="3">
        <v>28.047000000000001</v>
      </c>
      <c r="C52" s="3">
        <v>20.722000000000001</v>
      </c>
      <c r="D52" s="3">
        <v>15.648999999999999</v>
      </c>
      <c r="E52" s="3">
        <v>7.8250000000000002</v>
      </c>
      <c r="F52" s="3">
        <v>39.884999999999998</v>
      </c>
      <c r="G52" s="3">
        <v>36.372</v>
      </c>
      <c r="H52" s="3">
        <v>44.637999999999998</v>
      </c>
      <c r="I52" s="3">
        <v>43.901000000000003</v>
      </c>
      <c r="J52" s="3">
        <v>46.216000000000001</v>
      </c>
      <c r="K52" s="16">
        <v>41.128</v>
      </c>
      <c r="L52" s="19"/>
      <c r="M52" s="19"/>
      <c r="N52" s="19"/>
      <c r="O52" s="19"/>
      <c r="P52" s="19"/>
    </row>
    <row r="53" spans="1:16" x14ac:dyDescent="0.2">
      <c r="A53" t="s">
        <v>58</v>
      </c>
      <c r="B53" s="3">
        <v>1.4770000000000001</v>
      </c>
      <c r="C53" s="3">
        <v>1.651</v>
      </c>
      <c r="D53" s="3">
        <v>1.5269999999999999</v>
      </c>
      <c r="E53" s="3">
        <v>3.681</v>
      </c>
      <c r="F53" s="3">
        <v>1.663</v>
      </c>
      <c r="G53" s="3">
        <v>1.4630000000000001</v>
      </c>
      <c r="H53" s="3">
        <v>1.4910000000000001</v>
      </c>
      <c r="I53" s="3">
        <v>1.57</v>
      </c>
      <c r="J53" s="3">
        <v>1.7999999999999999E-2</v>
      </c>
      <c r="K53" s="16">
        <v>1.175</v>
      </c>
      <c r="L53" s="19"/>
      <c r="M53" s="19"/>
      <c r="N53" s="19"/>
      <c r="O53" s="19"/>
      <c r="P53" s="19"/>
    </row>
    <row r="54" spans="1:16" x14ac:dyDescent="0.2">
      <c r="A54" t="s">
        <v>61</v>
      </c>
      <c r="B54" s="3">
        <v>175.21600000000001</v>
      </c>
      <c r="C54" s="3">
        <v>163.01300000000001</v>
      </c>
      <c r="D54" s="3">
        <v>214.334</v>
      </c>
      <c r="E54" s="3">
        <v>207.27799999999999</v>
      </c>
      <c r="F54" s="3">
        <v>195.226</v>
      </c>
      <c r="G54" s="3">
        <v>200.17699999999999</v>
      </c>
      <c r="H54" s="3">
        <v>192.34700000000001</v>
      </c>
      <c r="I54" s="3">
        <v>189.16499999999999</v>
      </c>
      <c r="J54" s="3">
        <v>183.47399999999999</v>
      </c>
      <c r="K54" s="16">
        <v>211.977</v>
      </c>
      <c r="L54" s="19"/>
      <c r="M54" s="19"/>
      <c r="N54" s="19"/>
      <c r="O54" s="19"/>
      <c r="P54" s="19"/>
    </row>
    <row r="55" spans="1:16" x14ac:dyDescent="0.2">
      <c r="A55" t="s">
        <v>39</v>
      </c>
      <c r="B55" s="3">
        <v>10.702</v>
      </c>
      <c r="C55" s="3">
        <v>9.968</v>
      </c>
      <c r="D55" s="3">
        <v>15.645</v>
      </c>
      <c r="E55" s="3">
        <v>14.494999999999999</v>
      </c>
      <c r="F55" s="3">
        <v>13.685</v>
      </c>
      <c r="G55" s="3">
        <v>12.489000000000001</v>
      </c>
      <c r="H55" s="3">
        <v>12.007999999999999</v>
      </c>
      <c r="I55" s="3">
        <v>10.651999999999999</v>
      </c>
      <c r="J55" s="3">
        <v>7.0919999999999996</v>
      </c>
      <c r="K55" s="16">
        <v>5.673</v>
      </c>
      <c r="L55" s="19"/>
      <c r="M55" s="19"/>
      <c r="N55" s="19"/>
      <c r="O55" s="19"/>
      <c r="P55" s="19"/>
    </row>
    <row r="56" spans="1:16" s="1" customFormat="1" ht="15.75" customHeight="1" x14ac:dyDescent="0.25">
      <c r="A56" s="1" t="s">
        <v>62</v>
      </c>
      <c r="B56" s="14">
        <f t="shared" ref="B56:P56" si="15">SUM(B51:B55)</f>
        <v>961.46</v>
      </c>
      <c r="C56" s="14">
        <f t="shared" si="15"/>
        <v>945.90699999999993</v>
      </c>
      <c r="D56" s="14">
        <f t="shared" si="15"/>
        <v>1054.0740000000001</v>
      </c>
      <c r="E56" s="14">
        <f t="shared" si="15"/>
        <v>1176.7350000000001</v>
      </c>
      <c r="F56" s="14">
        <f t="shared" si="15"/>
        <v>1246.4770000000003</v>
      </c>
      <c r="G56" s="14">
        <f t="shared" si="15"/>
        <v>1217.9439999999997</v>
      </c>
      <c r="H56" s="14">
        <f t="shared" si="15"/>
        <v>1340.124</v>
      </c>
      <c r="I56" s="14">
        <f t="shared" si="15"/>
        <v>1425.691</v>
      </c>
      <c r="J56" s="14">
        <f t="shared" si="15"/>
        <v>1412.3810000000001</v>
      </c>
      <c r="K56" s="15">
        <f t="shared" si="15"/>
        <v>1642.902</v>
      </c>
      <c r="L56" s="18">
        <f t="shared" si="15"/>
        <v>0</v>
      </c>
      <c r="M56" s="18">
        <f t="shared" si="15"/>
        <v>0</v>
      </c>
      <c r="N56" s="18">
        <f t="shared" si="15"/>
        <v>0</v>
      </c>
      <c r="O56" s="18">
        <f t="shared" si="15"/>
        <v>0</v>
      </c>
      <c r="P56" s="18">
        <f t="shared" si="15"/>
        <v>0</v>
      </c>
    </row>
    <row r="57" spans="1:16" x14ac:dyDescent="0.2">
      <c r="A57" t="s">
        <v>63</v>
      </c>
      <c r="B57" s="3">
        <v>2.2000000000000002</v>
      </c>
      <c r="C57" s="3">
        <v>2.2269999999999999</v>
      </c>
      <c r="D57" s="3">
        <v>2.238</v>
      </c>
      <c r="E57" s="3">
        <v>2.27</v>
      </c>
      <c r="F57" s="3">
        <v>2.339</v>
      </c>
      <c r="G57" s="3">
        <v>2.36</v>
      </c>
      <c r="H57" s="3">
        <v>2.3719999999999999</v>
      </c>
      <c r="I57" s="3">
        <v>2.383</v>
      </c>
      <c r="J57" s="3">
        <v>2.391</v>
      </c>
      <c r="K57" s="16">
        <v>2.3969999999999998</v>
      </c>
      <c r="L57" s="19"/>
      <c r="M57" s="19"/>
      <c r="N57" s="19"/>
      <c r="O57" s="19"/>
      <c r="P57" s="19"/>
    </row>
    <row r="58" spans="1:16" x14ac:dyDescent="0.2">
      <c r="A58" t="s">
        <v>64</v>
      </c>
      <c r="B58" s="3">
        <v>9122.1730000000007</v>
      </c>
      <c r="C58" s="3">
        <v>9322.8029999999999</v>
      </c>
      <c r="D58" s="3">
        <v>9463.1779999999999</v>
      </c>
      <c r="E58" s="3">
        <v>9757.3799999999992</v>
      </c>
      <c r="F58" s="3">
        <v>10193.969999999999</v>
      </c>
      <c r="G58" s="3">
        <v>10398.181</v>
      </c>
      <c r="H58" s="3">
        <v>10568.473</v>
      </c>
      <c r="I58" s="3">
        <v>10747.602999999999</v>
      </c>
      <c r="J58" s="3">
        <v>10933.325000000001</v>
      </c>
      <c r="K58" s="16">
        <v>11138.528</v>
      </c>
      <c r="L58" s="19"/>
      <c r="M58" s="19"/>
      <c r="N58" s="19"/>
      <c r="O58" s="19"/>
      <c r="P58" s="19"/>
    </row>
    <row r="59" spans="1:16" x14ac:dyDescent="0.2">
      <c r="A59" t="s">
        <v>65</v>
      </c>
      <c r="B59" s="3">
        <v>0.80100000000000005</v>
      </c>
      <c r="C59" s="3">
        <v>-5.72</v>
      </c>
      <c r="D59" s="3">
        <v>-4.9349999999999996</v>
      </c>
      <c r="E59" s="3">
        <v>4.9249999999999998</v>
      </c>
      <c r="F59" s="3">
        <v>-5.6109999999999998</v>
      </c>
      <c r="G59" s="3">
        <v>-2.9940000000000002</v>
      </c>
      <c r="H59" s="3">
        <v>4.7210000000000001</v>
      </c>
      <c r="I59" s="3">
        <v>11.537000000000001</v>
      </c>
      <c r="J59" s="3">
        <v>13.942</v>
      </c>
      <c r="K59" s="16">
        <v>0.60099999999999998</v>
      </c>
      <c r="L59" s="19"/>
      <c r="M59" s="19"/>
      <c r="N59" s="19"/>
      <c r="O59" s="19"/>
      <c r="P59" s="19"/>
    </row>
    <row r="60" spans="1:16" x14ac:dyDescent="0.2">
      <c r="A60" t="s">
        <v>66</v>
      </c>
      <c r="B60" s="3">
        <v>-5649.6130000000003</v>
      </c>
      <c r="C60" s="3">
        <v>-5544.0829999999996</v>
      </c>
      <c r="D60" s="3">
        <v>-5409.9570000000003</v>
      </c>
      <c r="E60" s="3">
        <v>-5266.4319999999998</v>
      </c>
      <c r="F60" s="3">
        <v>-5187.4229999999998</v>
      </c>
      <c r="G60" s="3">
        <v>-4973.3919999999998</v>
      </c>
      <c r="H60" s="3">
        <v>-4646.665</v>
      </c>
      <c r="I60" s="3">
        <v>-4171.0659999999998</v>
      </c>
      <c r="J60" s="3">
        <v>-3562.39</v>
      </c>
      <c r="K60" s="16">
        <v>-2691.8629999999998</v>
      </c>
      <c r="L60" s="19"/>
      <c r="M60" s="19"/>
      <c r="N60" s="19"/>
      <c r="O60" s="19"/>
      <c r="P60" s="19"/>
    </row>
    <row r="61" spans="1:16" x14ac:dyDescent="0.2">
      <c r="A61" t="s">
        <v>12</v>
      </c>
      <c r="B61" s="3">
        <f t="shared" ref="B61:P61" si="16">SUM(B57:B60)</f>
        <v>3475.5610000000006</v>
      </c>
      <c r="C61" s="3">
        <f t="shared" si="16"/>
        <v>3775.2270000000017</v>
      </c>
      <c r="D61" s="3">
        <f t="shared" si="16"/>
        <v>4050.5239999999994</v>
      </c>
      <c r="E61" s="3">
        <f t="shared" si="16"/>
        <v>4498.1429999999991</v>
      </c>
      <c r="F61" s="3">
        <f t="shared" si="16"/>
        <v>5003.2749999999987</v>
      </c>
      <c r="G61" s="3">
        <f t="shared" si="16"/>
        <v>5424.1550000000007</v>
      </c>
      <c r="H61" s="3">
        <f t="shared" si="16"/>
        <v>5928.9009999999989</v>
      </c>
      <c r="I61" s="3">
        <f t="shared" si="16"/>
        <v>6590.4569999999994</v>
      </c>
      <c r="J61" s="3">
        <f t="shared" si="16"/>
        <v>7387.268</v>
      </c>
      <c r="K61" s="16">
        <f t="shared" si="16"/>
        <v>8449.6630000000023</v>
      </c>
      <c r="L61" s="19">
        <f t="shared" si="16"/>
        <v>0</v>
      </c>
      <c r="M61" s="19">
        <f t="shared" si="16"/>
        <v>0</v>
      </c>
      <c r="N61" s="19">
        <f t="shared" si="16"/>
        <v>0</v>
      </c>
      <c r="O61" s="19">
        <f t="shared" si="16"/>
        <v>0</v>
      </c>
      <c r="P61" s="19">
        <f t="shared" si="16"/>
        <v>0</v>
      </c>
    </row>
    <row r="62" spans="1:16" x14ac:dyDescent="0.2">
      <c r="A62" t="s">
        <v>43</v>
      </c>
      <c r="B62" s="3">
        <v>85.403999999999996</v>
      </c>
      <c r="C62" s="3">
        <v>85.944999999999993</v>
      </c>
      <c r="D62" s="3">
        <v>87.281999999999996</v>
      </c>
      <c r="E62" s="3">
        <v>93.218999999999994</v>
      </c>
      <c r="F62" s="3">
        <v>91.132000000000005</v>
      </c>
      <c r="G62" s="3">
        <v>94.817999999999998</v>
      </c>
      <c r="H62" s="3">
        <v>96.662999999999997</v>
      </c>
      <c r="I62" s="3">
        <v>97.811999999999998</v>
      </c>
      <c r="J62" s="3">
        <v>100.74299999999999</v>
      </c>
      <c r="K62" s="16">
        <v>106.61799999999999</v>
      </c>
      <c r="L62" s="19"/>
      <c r="M62" s="19"/>
      <c r="N62" s="19"/>
      <c r="O62" s="19"/>
      <c r="P62" s="19"/>
    </row>
    <row r="63" spans="1:16" s="1" customFormat="1" ht="15.75" customHeight="1" x14ac:dyDescent="0.25">
      <c r="A63" s="1" t="s">
        <v>67</v>
      </c>
      <c r="B63" s="14">
        <f t="shared" ref="B63:P63" si="17">SUM(B61:B62)</f>
        <v>3560.9650000000006</v>
      </c>
      <c r="C63" s="14">
        <f t="shared" si="17"/>
        <v>3861.1720000000018</v>
      </c>
      <c r="D63" s="14">
        <f t="shared" si="17"/>
        <v>4137.8059999999996</v>
      </c>
      <c r="E63" s="14">
        <f t="shared" si="17"/>
        <v>4591.3619999999992</v>
      </c>
      <c r="F63" s="14">
        <f t="shared" si="17"/>
        <v>5094.4069999999983</v>
      </c>
      <c r="G63" s="14">
        <f t="shared" si="17"/>
        <v>5518.9730000000009</v>
      </c>
      <c r="H63" s="14">
        <f t="shared" si="17"/>
        <v>6025.5639999999985</v>
      </c>
      <c r="I63" s="14">
        <f t="shared" si="17"/>
        <v>6688.2689999999993</v>
      </c>
      <c r="J63" s="14">
        <f t="shared" si="17"/>
        <v>7488.0110000000004</v>
      </c>
      <c r="K63" s="15">
        <f t="shared" si="17"/>
        <v>8556.2810000000027</v>
      </c>
      <c r="L63" s="18">
        <f t="shared" si="17"/>
        <v>0</v>
      </c>
      <c r="M63" s="18">
        <f t="shared" si="17"/>
        <v>0</v>
      </c>
      <c r="N63" s="18">
        <f t="shared" si="17"/>
        <v>0</v>
      </c>
      <c r="O63" s="18">
        <f t="shared" si="17"/>
        <v>0</v>
      </c>
      <c r="P63" s="18">
        <f t="shared" si="17"/>
        <v>0</v>
      </c>
    </row>
    <row r="64" spans="1:16" s="1" customFormat="1" ht="15.75" customHeight="1" x14ac:dyDescent="0.25">
      <c r="A64" s="1" t="s">
        <v>68</v>
      </c>
      <c r="B64" s="14">
        <f t="shared" ref="B64:P64" si="18">B63+B56</f>
        <v>4522.4250000000011</v>
      </c>
      <c r="C64" s="14">
        <f t="shared" si="18"/>
        <v>4807.0790000000015</v>
      </c>
      <c r="D64" s="14">
        <f t="shared" si="18"/>
        <v>5191.8799999999992</v>
      </c>
      <c r="E64" s="14">
        <f t="shared" si="18"/>
        <v>5768.0969999999998</v>
      </c>
      <c r="F64" s="14">
        <f t="shared" si="18"/>
        <v>6340.8839999999982</v>
      </c>
      <c r="G64" s="14">
        <f t="shared" si="18"/>
        <v>6736.9170000000004</v>
      </c>
      <c r="H64" s="14">
        <f t="shared" si="18"/>
        <v>7365.6879999999983</v>
      </c>
      <c r="I64" s="14">
        <f t="shared" si="18"/>
        <v>8113.9599999999991</v>
      </c>
      <c r="J64" s="14">
        <f t="shared" si="18"/>
        <v>8900.3919999999998</v>
      </c>
      <c r="K64" s="15">
        <f t="shared" si="18"/>
        <v>10199.183000000003</v>
      </c>
      <c r="L64" s="18">
        <f t="shared" si="18"/>
        <v>0</v>
      </c>
      <c r="M64" s="18">
        <f t="shared" si="18"/>
        <v>0</v>
      </c>
      <c r="N64" s="18">
        <f t="shared" si="18"/>
        <v>0</v>
      </c>
      <c r="O64" s="18">
        <f t="shared" si="18"/>
        <v>0</v>
      </c>
      <c r="P64" s="18">
        <f t="shared" si="18"/>
        <v>0</v>
      </c>
    </row>
    <row r="65" spans="1:16" x14ac:dyDescent="0.2">
      <c r="A65" t="s">
        <v>69</v>
      </c>
      <c r="B65" s="3">
        <f t="shared" ref="B65:P65" si="19">B64-B46</f>
        <v>0</v>
      </c>
      <c r="C65" s="3">
        <f t="shared" si="19"/>
        <v>0</v>
      </c>
      <c r="D65" s="3">
        <f t="shared" si="19"/>
        <v>0</v>
      </c>
      <c r="E65" s="3">
        <f t="shared" si="19"/>
        <v>0</v>
      </c>
      <c r="F65" s="3">
        <f t="shared" si="19"/>
        <v>0</v>
      </c>
      <c r="G65" s="3">
        <f t="shared" si="19"/>
        <v>0</v>
      </c>
      <c r="H65" s="3">
        <f t="shared" si="19"/>
        <v>0</v>
      </c>
      <c r="I65" s="3">
        <f t="shared" si="19"/>
        <v>0</v>
      </c>
      <c r="J65" s="3">
        <f t="shared" si="19"/>
        <v>0</v>
      </c>
      <c r="K65" s="16">
        <f t="shared" si="19"/>
        <v>0</v>
      </c>
      <c r="L65" s="19">
        <f t="shared" si="19"/>
        <v>0</v>
      </c>
      <c r="M65" s="19">
        <f t="shared" si="19"/>
        <v>0</v>
      </c>
      <c r="N65" s="19">
        <f t="shared" si="19"/>
        <v>0</v>
      </c>
      <c r="O65" s="19">
        <f t="shared" si="19"/>
        <v>0</v>
      </c>
      <c r="P65" s="19">
        <f t="shared" si="19"/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Financials_MyForecast</vt:lpstr>
      <vt:lpstr>Street</vt:lpstr>
      <vt:lpstr>Guidance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Tomohawk WR</dc:creator>
  <dc:description/>
  <cp:lastModifiedBy>Tomohawk WR</cp:lastModifiedBy>
  <cp:revision>0</cp:revision>
  <dcterms:created xsi:type="dcterms:W3CDTF">2026-07-01T01:09:08Z</dcterms:created>
  <dcterms:modified xsi:type="dcterms:W3CDTF">2026-07-02T14:33:43Z</dcterms:modified>
  <dc:language>en-US</dc:language>
</cp:coreProperties>
</file>